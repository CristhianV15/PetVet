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LachiraP\Desktop\SOFIA\INGRESO DE MATERIAL\"/>
    </mc:Choice>
  </mc:AlternateContent>
  <xr:revisionPtr revIDLastSave="0" documentId="13_ncr:1_{1C360273-6B8E-4E93-81EB-0035DE5192BB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Formato_Enviar" sheetId="14" r:id="rId1"/>
    <sheet name="Resumen" sheetId="8" r:id="rId2"/>
    <sheet name="Informe_Ingresos" sheetId="1" r:id="rId3"/>
    <sheet name="TD" sheetId="72" r:id="rId4"/>
    <sheet name="Compradores" sheetId="15" r:id="rId5"/>
    <sheet name="Almacen" sheetId="31" r:id="rId6"/>
  </sheets>
  <definedNames>
    <definedName name="_xlnm._FilterDatabase" localSheetId="5" hidden="1">Almacen!$A$1:$G$60</definedName>
  </definedNames>
  <calcPr calcId="191029"/>
  <pivotCaches>
    <pivotCache cacheId="14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72" l="1"/>
  <c r="A15" i="72"/>
  <c r="A23" i="72"/>
  <c r="A31" i="72"/>
  <c r="A47" i="72"/>
  <c r="K4" i="72"/>
  <c r="A4" i="72" s="1"/>
  <c r="K5" i="72"/>
  <c r="A5" i="72" s="1"/>
  <c r="K6" i="72"/>
  <c r="A6" i="72" s="1"/>
  <c r="K7" i="72"/>
  <c r="K8" i="72"/>
  <c r="A8" i="72" s="1"/>
  <c r="K9" i="72"/>
  <c r="A9" i="72" s="1"/>
  <c r="K10" i="72"/>
  <c r="A10" i="72" s="1"/>
  <c r="K11" i="72"/>
  <c r="A11" i="72" s="1"/>
  <c r="K12" i="72"/>
  <c r="A12" i="72" s="1"/>
  <c r="K13" i="72"/>
  <c r="A13" i="72" s="1"/>
  <c r="K14" i="72"/>
  <c r="A14" i="72" s="1"/>
  <c r="K15" i="72"/>
  <c r="K16" i="72"/>
  <c r="A16" i="72" s="1"/>
  <c r="K17" i="72"/>
  <c r="A17" i="72" s="1"/>
  <c r="K18" i="72"/>
  <c r="A18" i="72" s="1"/>
  <c r="K19" i="72"/>
  <c r="A19" i="72" s="1"/>
  <c r="K20" i="72"/>
  <c r="A20" i="72" s="1"/>
  <c r="K21" i="72"/>
  <c r="A21" i="72" s="1"/>
  <c r="K22" i="72"/>
  <c r="A22" i="72" s="1"/>
  <c r="K23" i="72"/>
  <c r="K24" i="72"/>
  <c r="A24" i="72" s="1"/>
  <c r="K25" i="72"/>
  <c r="A25" i="72" s="1"/>
  <c r="K26" i="72"/>
  <c r="A26" i="72" s="1"/>
  <c r="K27" i="72"/>
  <c r="A27" i="72" s="1"/>
  <c r="K28" i="72"/>
  <c r="A28" i="72" s="1"/>
  <c r="K29" i="72"/>
  <c r="A29" i="72" s="1"/>
  <c r="K30" i="72"/>
  <c r="A30" i="72" s="1"/>
  <c r="K31" i="72"/>
  <c r="K32" i="72"/>
  <c r="A32" i="72" s="1"/>
  <c r="K33" i="72"/>
  <c r="A33" i="72" s="1"/>
  <c r="K34" i="72"/>
  <c r="A34" i="72" s="1"/>
  <c r="K35" i="72"/>
  <c r="A35" i="72" s="1"/>
  <c r="K36" i="72"/>
  <c r="A36" i="72" s="1"/>
  <c r="K37" i="72"/>
  <c r="A37" i="72" s="1"/>
  <c r="K38" i="72"/>
  <c r="A38" i="72" s="1"/>
  <c r="K39" i="72"/>
  <c r="A39" i="72" s="1"/>
  <c r="K40" i="72"/>
  <c r="A40" i="72" s="1"/>
  <c r="K41" i="72"/>
  <c r="A41" i="72" s="1"/>
  <c r="K42" i="72"/>
  <c r="A42" i="72" s="1"/>
  <c r="K43" i="72"/>
  <c r="A43" i="72" s="1"/>
  <c r="K44" i="72"/>
  <c r="A44" i="72" s="1"/>
  <c r="K45" i="72"/>
  <c r="A45" i="72" s="1"/>
  <c r="K46" i="72"/>
  <c r="A46" i="72" s="1"/>
  <c r="K47" i="72"/>
  <c r="K48" i="72"/>
  <c r="A48" i="72" s="1"/>
  <c r="K49" i="72"/>
  <c r="A49" i="72" s="1"/>
  <c r="K50" i="72"/>
  <c r="A50" i="72" s="1"/>
  <c r="K51" i="72"/>
  <c r="A51" i="72" s="1"/>
  <c r="K52" i="72"/>
  <c r="A52" i="72" s="1"/>
  <c r="K53" i="72"/>
  <c r="A53" i="72" s="1"/>
  <c r="K54" i="72"/>
  <c r="A54" i="72" s="1"/>
  <c r="K55" i="72"/>
  <c r="A55" i="72" s="1"/>
  <c r="K56" i="72"/>
  <c r="A56" i="72" s="1"/>
  <c r="K57" i="72"/>
  <c r="A57" i="72" s="1"/>
  <c r="K58" i="72"/>
  <c r="A58" i="72" s="1"/>
  <c r="K59" i="72"/>
  <c r="A59" i="72" s="1"/>
  <c r="K60" i="72"/>
  <c r="A60" i="72" s="1"/>
  <c r="K61" i="72"/>
  <c r="A61" i="72" s="1"/>
  <c r="K62" i="72"/>
  <c r="A62" i="72" s="1"/>
  <c r="K63" i="72"/>
  <c r="A63" i="72" s="1"/>
  <c r="K64" i="72"/>
  <c r="A64" i="72" s="1"/>
  <c r="K65" i="72"/>
  <c r="A65" i="72" s="1"/>
  <c r="K66" i="72"/>
  <c r="A66" i="72" s="1"/>
  <c r="K67" i="72"/>
  <c r="A67" i="72" s="1"/>
  <c r="K68" i="72"/>
  <c r="A68" i="72" s="1"/>
  <c r="K69" i="72"/>
  <c r="A69" i="72" s="1"/>
  <c r="K70" i="72"/>
  <c r="A70" i="72" s="1"/>
  <c r="K71" i="72"/>
  <c r="A71" i="72" s="1"/>
  <c r="K72" i="72"/>
  <c r="A72" i="72" s="1"/>
  <c r="K73" i="72"/>
  <c r="A73" i="72" s="1"/>
  <c r="K74" i="72"/>
  <c r="A74" i="72" s="1"/>
  <c r="K75" i="72"/>
  <c r="A75" i="72" s="1"/>
  <c r="K76" i="72"/>
  <c r="A76" i="72" s="1"/>
  <c r="K77" i="72"/>
  <c r="A77" i="72" s="1"/>
  <c r="K78" i="72"/>
  <c r="A78" i="72" s="1"/>
  <c r="K79" i="72"/>
  <c r="A79" i="72" s="1"/>
  <c r="K80" i="72"/>
  <c r="A80" i="72" s="1"/>
  <c r="K81" i="72"/>
  <c r="A81" i="72" s="1"/>
  <c r="K82" i="72"/>
  <c r="A82" i="72" s="1"/>
  <c r="K83" i="72"/>
  <c r="A83" i="72" s="1"/>
  <c r="K84" i="72"/>
  <c r="A84" i="72" s="1"/>
  <c r="K85" i="72"/>
  <c r="A85" i="72" s="1"/>
  <c r="K86" i="72"/>
  <c r="A86" i="72" s="1"/>
  <c r="K87" i="72"/>
  <c r="A87" i="72" s="1"/>
  <c r="K88" i="72"/>
  <c r="A88" i="72" s="1"/>
  <c r="K89" i="72"/>
  <c r="A89" i="72" s="1"/>
  <c r="K90" i="72"/>
  <c r="A90" i="72" s="1"/>
  <c r="K91" i="72"/>
  <c r="A91" i="72" s="1"/>
  <c r="K92" i="72"/>
  <c r="A92" i="72" s="1"/>
  <c r="K93" i="72"/>
  <c r="A93" i="72" s="1"/>
  <c r="K94" i="72"/>
  <c r="A94" i="72" s="1"/>
  <c r="K95" i="72"/>
  <c r="A95" i="72" s="1"/>
  <c r="K96" i="72"/>
  <c r="A96" i="72" s="1"/>
  <c r="K97" i="72"/>
  <c r="A97" i="72" s="1"/>
  <c r="K98" i="72"/>
  <c r="A98" i="72" s="1"/>
  <c r="K99" i="72"/>
  <c r="A99" i="72" s="1"/>
  <c r="K100" i="72"/>
  <c r="A100" i="72" s="1"/>
  <c r="K101" i="72"/>
  <c r="A101" i="72" s="1"/>
  <c r="K102" i="72"/>
  <c r="A102" i="72" s="1"/>
  <c r="K103" i="72"/>
  <c r="A103" i="72" s="1"/>
  <c r="K104" i="72"/>
  <c r="A104" i="72" s="1"/>
  <c r="K105" i="72"/>
  <c r="A105" i="72" s="1"/>
  <c r="K106" i="72"/>
  <c r="A106" i="72" s="1"/>
  <c r="K107" i="72"/>
  <c r="A107" i="72" s="1"/>
  <c r="K108" i="72"/>
  <c r="A108" i="72" s="1"/>
  <c r="K109" i="72"/>
  <c r="A109" i="72" s="1"/>
  <c r="K110" i="72"/>
  <c r="A110" i="72" s="1"/>
  <c r="K111" i="72"/>
  <c r="A111" i="72" s="1"/>
  <c r="K112" i="72"/>
  <c r="A112" i="72" s="1"/>
  <c r="K113" i="72"/>
  <c r="A113" i="72" s="1"/>
  <c r="K114" i="72"/>
  <c r="A114" i="72" s="1"/>
  <c r="K115" i="72"/>
  <c r="A115" i="72" s="1"/>
  <c r="K116" i="72"/>
  <c r="A116" i="72" s="1"/>
  <c r="K117" i="72"/>
  <c r="A117" i="72" s="1"/>
  <c r="K118" i="72"/>
  <c r="A118" i="72" s="1"/>
  <c r="K119" i="72"/>
  <c r="A119" i="72" s="1"/>
  <c r="K120" i="72"/>
  <c r="A120" i="72" s="1"/>
  <c r="K121" i="72"/>
  <c r="A121" i="72" s="1"/>
  <c r="K122" i="72"/>
  <c r="A122" i="72" s="1"/>
  <c r="K123" i="72"/>
  <c r="A123" i="72" s="1"/>
  <c r="K124" i="72"/>
  <c r="A124" i="72" s="1"/>
  <c r="K125" i="72"/>
  <c r="A125" i="72" s="1"/>
  <c r="K126" i="72"/>
  <c r="A126" i="72" s="1"/>
  <c r="K127" i="72"/>
  <c r="A127" i="72" s="1"/>
  <c r="K128" i="72"/>
  <c r="A128" i="72" s="1"/>
  <c r="K129" i="72"/>
  <c r="A129" i="72" s="1"/>
  <c r="K130" i="72"/>
  <c r="A130" i="72" s="1"/>
  <c r="K131" i="72"/>
  <c r="A131" i="72" s="1"/>
  <c r="K132" i="72"/>
  <c r="A132" i="72" s="1"/>
  <c r="K133" i="72"/>
  <c r="A133" i="72" s="1"/>
  <c r="K134" i="72"/>
  <c r="A134" i="72" s="1"/>
  <c r="K135" i="72"/>
  <c r="A135" i="72" s="1"/>
  <c r="K136" i="72"/>
  <c r="A136" i="72" s="1"/>
  <c r="K137" i="72"/>
  <c r="A137" i="72" s="1"/>
  <c r="K138" i="72"/>
  <c r="A138" i="72" s="1"/>
  <c r="K139" i="72"/>
  <c r="A139" i="72" s="1"/>
  <c r="K140" i="72"/>
  <c r="A140" i="72" s="1"/>
  <c r="K141" i="72"/>
  <c r="A141" i="72" s="1"/>
  <c r="K142" i="72"/>
  <c r="A142" i="72" s="1"/>
  <c r="K143" i="72"/>
  <c r="A143" i="72" s="1"/>
  <c r="K144" i="72"/>
  <c r="A144" i="72" s="1"/>
  <c r="K145" i="72"/>
  <c r="A145" i="72" s="1"/>
  <c r="K146" i="72"/>
  <c r="A146" i="72" s="1"/>
  <c r="K147" i="72"/>
  <c r="A147" i="72" s="1"/>
  <c r="K148" i="72"/>
  <c r="A148" i="72" s="1"/>
  <c r="K149" i="72"/>
  <c r="A149" i="72" s="1"/>
  <c r="K150" i="72"/>
  <c r="A150" i="72" s="1"/>
  <c r="K151" i="72"/>
  <c r="A151" i="72" s="1"/>
  <c r="K152" i="72"/>
  <c r="A152" i="72" s="1"/>
  <c r="K153" i="72"/>
  <c r="A153" i="72" s="1"/>
  <c r="K154" i="72"/>
  <c r="A154" i="72" s="1"/>
  <c r="K155" i="72"/>
  <c r="A155" i="72" s="1"/>
  <c r="K156" i="72"/>
  <c r="A156" i="72" s="1"/>
  <c r="K157" i="72"/>
  <c r="A157" i="72" s="1"/>
  <c r="K158" i="72"/>
  <c r="A158" i="72" s="1"/>
  <c r="K159" i="72"/>
  <c r="A159" i="72" s="1"/>
  <c r="K160" i="72"/>
  <c r="A160" i="72" s="1"/>
  <c r="K161" i="72"/>
  <c r="A161" i="72" s="1"/>
  <c r="K162" i="72"/>
  <c r="A162" i="72" s="1"/>
  <c r="K163" i="72"/>
  <c r="A163" i="72" s="1"/>
  <c r="K164" i="72"/>
  <c r="A164" i="72" s="1"/>
  <c r="K165" i="72"/>
  <c r="A165" i="72" s="1"/>
  <c r="K166" i="72"/>
  <c r="A166" i="72" s="1"/>
  <c r="K167" i="72"/>
  <c r="A167" i="72" s="1"/>
  <c r="K168" i="72"/>
  <c r="A168" i="72" s="1"/>
  <c r="K169" i="72"/>
  <c r="A169" i="72" s="1"/>
  <c r="K170" i="72"/>
  <c r="A170" i="72" s="1"/>
  <c r="K171" i="72"/>
  <c r="A171" i="72" s="1"/>
  <c r="K172" i="72"/>
  <c r="A172" i="72" s="1"/>
  <c r="K173" i="72"/>
  <c r="A173" i="72" s="1"/>
  <c r="K174" i="72"/>
  <c r="A174" i="72" s="1"/>
  <c r="K175" i="72"/>
  <c r="A175" i="72" s="1"/>
  <c r="K176" i="72"/>
  <c r="A176" i="72" s="1"/>
  <c r="K177" i="72"/>
  <c r="A177" i="72" s="1"/>
  <c r="K178" i="72"/>
  <c r="A178" i="72" s="1"/>
  <c r="K179" i="72"/>
  <c r="A179" i="72" s="1"/>
  <c r="K180" i="72"/>
  <c r="A180" i="72" s="1"/>
  <c r="K181" i="72"/>
  <c r="A181" i="72" s="1"/>
  <c r="K182" i="72"/>
  <c r="A182" i="72" s="1"/>
  <c r="K183" i="72"/>
  <c r="A183" i="72" s="1"/>
  <c r="K184" i="72"/>
  <c r="A184" i="72" s="1"/>
  <c r="K185" i="72"/>
  <c r="A185" i="72" s="1"/>
  <c r="K186" i="72"/>
  <c r="A186" i="72" s="1"/>
  <c r="K187" i="72"/>
  <c r="A187" i="72" s="1"/>
  <c r="K188" i="72"/>
  <c r="A188" i="72" s="1"/>
  <c r="K189" i="72"/>
  <c r="A189" i="72" s="1"/>
  <c r="K190" i="72"/>
  <c r="A190" i="72" s="1"/>
  <c r="K191" i="72"/>
  <c r="A191" i="72" s="1"/>
  <c r="K192" i="72"/>
  <c r="A192" i="72" s="1"/>
  <c r="K193" i="72"/>
  <c r="A193" i="72" s="1"/>
  <c r="K194" i="72"/>
  <c r="A194" i="72" s="1"/>
  <c r="K195" i="72"/>
  <c r="A195" i="72" s="1"/>
  <c r="K196" i="72"/>
  <c r="A196" i="72" s="1"/>
  <c r="K197" i="72"/>
  <c r="A197" i="72" s="1"/>
  <c r="K198" i="72"/>
  <c r="A198" i="72" s="1"/>
  <c r="K199" i="72"/>
  <c r="A199" i="72" s="1"/>
  <c r="K200" i="72"/>
  <c r="A200" i="72" s="1"/>
  <c r="K201" i="72"/>
  <c r="A201" i="72" s="1"/>
  <c r="K202" i="72"/>
  <c r="A202" i="72" s="1"/>
  <c r="K203" i="72"/>
  <c r="A203" i="72" s="1"/>
  <c r="K204" i="72"/>
  <c r="A204" i="72" s="1"/>
  <c r="K205" i="72"/>
  <c r="A205" i="72" s="1"/>
  <c r="K206" i="72"/>
  <c r="A206" i="72" s="1"/>
  <c r="K207" i="72"/>
  <c r="A207" i="72" s="1"/>
  <c r="K208" i="72"/>
  <c r="A208" i="72" s="1"/>
  <c r="K209" i="72"/>
  <c r="A209" i="72" s="1"/>
  <c r="K210" i="72"/>
  <c r="A210" i="72" s="1"/>
  <c r="K211" i="72"/>
  <c r="A211" i="72" s="1"/>
  <c r="K212" i="72"/>
  <c r="A212" i="72" s="1"/>
  <c r="K213" i="72"/>
  <c r="A213" i="72" s="1"/>
  <c r="K214" i="72"/>
  <c r="A214" i="72" s="1"/>
  <c r="K215" i="72"/>
  <c r="A215" i="72" s="1"/>
  <c r="K216" i="72"/>
  <c r="A216" i="72" s="1"/>
  <c r="K217" i="72"/>
  <c r="A217" i="72" s="1"/>
  <c r="K218" i="72"/>
  <c r="A218" i="72" s="1"/>
  <c r="K219" i="72"/>
  <c r="A219" i="72" s="1"/>
  <c r="K220" i="72"/>
  <c r="A220" i="72" s="1"/>
  <c r="K221" i="72"/>
  <c r="A221" i="72" s="1"/>
  <c r="K222" i="72"/>
  <c r="A222" i="72" s="1"/>
  <c r="K223" i="72"/>
  <c r="A223" i="72" s="1"/>
  <c r="K224" i="72"/>
  <c r="A224" i="72" s="1"/>
  <c r="K225" i="72"/>
  <c r="A225" i="72" s="1"/>
  <c r="K226" i="72"/>
  <c r="A226" i="72" s="1"/>
  <c r="K227" i="72"/>
  <c r="A227" i="72" s="1"/>
  <c r="K228" i="72"/>
  <c r="A228" i="72" s="1"/>
  <c r="K229" i="72"/>
  <c r="A229" i="72" s="1"/>
  <c r="K230" i="72"/>
  <c r="A230" i="72" s="1"/>
  <c r="K231" i="72"/>
  <c r="A231" i="72" s="1"/>
  <c r="K232" i="72"/>
  <c r="A232" i="72" s="1"/>
  <c r="K233" i="72"/>
  <c r="A233" i="72" s="1"/>
  <c r="K234" i="72"/>
  <c r="A234" i="72" s="1"/>
  <c r="K235" i="72"/>
  <c r="A235" i="72" s="1"/>
  <c r="K236" i="72"/>
  <c r="A236" i="72" s="1"/>
  <c r="K237" i="72"/>
  <c r="A237" i="72" s="1"/>
  <c r="K238" i="72"/>
  <c r="A238" i="72" s="1"/>
  <c r="K239" i="72"/>
  <c r="A239" i="72" s="1"/>
  <c r="K240" i="72"/>
  <c r="A240" i="72" s="1"/>
  <c r="K241" i="72"/>
  <c r="A241" i="72" s="1"/>
  <c r="K242" i="72"/>
  <c r="A242" i="72" s="1"/>
  <c r="K243" i="72"/>
  <c r="A243" i="72" s="1"/>
  <c r="K244" i="72"/>
  <c r="A244" i="72" s="1"/>
  <c r="K245" i="72"/>
  <c r="A245" i="72" s="1"/>
  <c r="K246" i="72"/>
  <c r="A246" i="72" s="1"/>
  <c r="K247" i="72"/>
  <c r="A247" i="72" s="1"/>
  <c r="K248" i="72"/>
  <c r="A248" i="72" s="1"/>
  <c r="K249" i="72"/>
  <c r="A249" i="72" s="1"/>
  <c r="K250" i="72"/>
  <c r="A250" i="72" s="1"/>
  <c r="K251" i="72"/>
  <c r="A251" i="72" s="1"/>
  <c r="K252" i="72"/>
  <c r="A252" i="72" s="1"/>
  <c r="K253" i="72"/>
  <c r="A253" i="72" s="1"/>
  <c r="K254" i="72"/>
  <c r="A254" i="72" s="1"/>
  <c r="K255" i="72"/>
  <c r="A255" i="72" s="1"/>
  <c r="K256" i="72"/>
  <c r="A256" i="72" s="1"/>
  <c r="K257" i="72"/>
  <c r="A257" i="72" s="1"/>
  <c r="K258" i="72"/>
  <c r="A258" i="72" s="1"/>
  <c r="K259" i="72"/>
  <c r="A259" i="72" s="1"/>
  <c r="K260" i="72"/>
  <c r="A260" i="72" s="1"/>
  <c r="K261" i="72"/>
  <c r="A261" i="72" s="1"/>
  <c r="K262" i="72"/>
  <c r="A262" i="72" s="1"/>
  <c r="K263" i="72"/>
  <c r="A263" i="72" s="1"/>
  <c r="K264" i="72"/>
  <c r="A264" i="72" s="1"/>
  <c r="K265" i="72"/>
  <c r="A265" i="72" s="1"/>
  <c r="K266" i="72"/>
  <c r="A266" i="72" s="1"/>
  <c r="K267" i="72"/>
  <c r="A267" i="72" s="1"/>
  <c r="K268" i="72"/>
  <c r="A268" i="72" s="1"/>
  <c r="K269" i="72"/>
  <c r="A269" i="72" s="1"/>
  <c r="K270" i="72"/>
  <c r="A270" i="72" s="1"/>
  <c r="K271" i="72"/>
  <c r="A271" i="72" s="1"/>
  <c r="K272" i="72"/>
  <c r="A272" i="72" s="1"/>
  <c r="K273" i="72"/>
  <c r="A273" i="72" s="1"/>
  <c r="K274" i="72"/>
  <c r="A274" i="72" s="1"/>
  <c r="K275" i="72"/>
  <c r="A275" i="72" s="1"/>
  <c r="K276" i="72"/>
  <c r="A276" i="72" s="1"/>
  <c r="K277" i="72"/>
  <c r="A277" i="72" s="1"/>
  <c r="K278" i="72"/>
  <c r="A278" i="72" s="1"/>
  <c r="K279" i="72"/>
  <c r="A279" i="72" s="1"/>
  <c r="K280" i="72"/>
  <c r="A280" i="72" s="1"/>
  <c r="K281" i="72"/>
  <c r="A281" i="72" s="1"/>
  <c r="K282" i="72"/>
  <c r="A282" i="72" s="1"/>
  <c r="K283" i="72"/>
  <c r="A283" i="72" s="1"/>
  <c r="K284" i="72"/>
  <c r="A284" i="72" s="1"/>
  <c r="K285" i="72"/>
  <c r="A285" i="72" s="1"/>
  <c r="K286" i="72"/>
  <c r="A286" i="72" s="1"/>
  <c r="K287" i="72"/>
  <c r="A287" i="72" s="1"/>
  <c r="K288" i="72"/>
  <c r="A288" i="72" s="1"/>
  <c r="K289" i="72"/>
  <c r="A289" i="72" s="1"/>
  <c r="K290" i="72"/>
  <c r="A290" i="72" s="1"/>
  <c r="K291" i="72"/>
  <c r="A291" i="72" s="1"/>
  <c r="K292" i="72"/>
  <c r="A292" i="72" s="1"/>
  <c r="K293" i="72"/>
  <c r="A293" i="72" s="1"/>
  <c r="K294" i="72"/>
  <c r="A294" i="72" s="1"/>
  <c r="K295" i="72"/>
  <c r="A295" i="72" s="1"/>
  <c r="K296" i="72"/>
  <c r="A296" i="72" s="1"/>
  <c r="K297" i="72"/>
  <c r="A297" i="72" s="1"/>
  <c r="K298" i="72"/>
  <c r="A298" i="72" s="1"/>
  <c r="K299" i="72"/>
  <c r="A299" i="72" s="1"/>
  <c r="K300" i="72"/>
  <c r="A300" i="72" s="1"/>
  <c r="K301" i="72"/>
  <c r="A301" i="72" s="1"/>
  <c r="K302" i="72"/>
  <c r="A302" i="72" s="1"/>
  <c r="K303" i="72"/>
  <c r="A303" i="72" s="1"/>
  <c r="K304" i="72"/>
  <c r="A304" i="72" s="1"/>
  <c r="K305" i="72"/>
  <c r="A305" i="72" s="1"/>
  <c r="K306" i="72"/>
  <c r="A306" i="72" s="1"/>
  <c r="K307" i="72"/>
  <c r="A307" i="72" s="1"/>
  <c r="K308" i="72"/>
  <c r="A308" i="72" s="1"/>
  <c r="K309" i="72"/>
  <c r="A309" i="72" s="1"/>
  <c r="K310" i="72"/>
  <c r="A310" i="72" s="1"/>
  <c r="K311" i="72"/>
  <c r="A311" i="72" s="1"/>
  <c r="K312" i="72"/>
  <c r="A312" i="72" s="1"/>
  <c r="K313" i="72"/>
  <c r="A313" i="72" s="1"/>
  <c r="K314" i="72"/>
  <c r="A314" i="72" s="1"/>
  <c r="K315" i="72"/>
  <c r="A315" i="72" s="1"/>
  <c r="K316" i="72"/>
  <c r="A316" i="72" s="1"/>
  <c r="K317" i="72"/>
  <c r="A317" i="72" s="1"/>
  <c r="K318" i="72"/>
  <c r="A318" i="72" s="1"/>
  <c r="K319" i="72"/>
  <c r="A319" i="72" s="1"/>
  <c r="K320" i="72"/>
  <c r="A320" i="72" s="1"/>
  <c r="K321" i="72"/>
  <c r="A321" i="72" s="1"/>
  <c r="K322" i="72"/>
  <c r="A322" i="72" s="1"/>
  <c r="K323" i="72"/>
  <c r="A323" i="72" s="1"/>
  <c r="K324" i="72"/>
  <c r="A324" i="72" s="1"/>
  <c r="K325" i="72"/>
  <c r="A325" i="72" s="1"/>
  <c r="K326" i="72"/>
  <c r="A326" i="72" s="1"/>
  <c r="K327" i="72"/>
  <c r="A327" i="72" s="1"/>
  <c r="K328" i="72"/>
  <c r="A328" i="72" s="1"/>
  <c r="K329" i="72"/>
  <c r="A329" i="72" s="1"/>
  <c r="K330" i="72"/>
  <c r="A330" i="72" s="1"/>
  <c r="K331" i="72"/>
  <c r="A331" i="72" s="1"/>
  <c r="K332" i="72"/>
  <c r="A332" i="72" s="1"/>
  <c r="K333" i="72"/>
  <c r="A333" i="72" s="1"/>
  <c r="K334" i="72"/>
  <c r="A334" i="72" s="1"/>
  <c r="K335" i="72"/>
  <c r="A335" i="72" s="1"/>
  <c r="K336" i="72"/>
  <c r="A336" i="72" s="1"/>
  <c r="K337" i="72"/>
  <c r="A337" i="72" s="1"/>
  <c r="K338" i="72"/>
  <c r="A338" i="72" s="1"/>
  <c r="K339" i="72"/>
  <c r="A339" i="72" s="1"/>
  <c r="K340" i="72"/>
  <c r="A340" i="72" s="1"/>
  <c r="K341" i="72"/>
  <c r="A341" i="72" s="1"/>
  <c r="K342" i="72"/>
  <c r="A342" i="72" s="1"/>
  <c r="K343" i="72"/>
  <c r="A343" i="72" s="1"/>
  <c r="K344" i="72"/>
  <c r="A344" i="72" s="1"/>
  <c r="K345" i="72"/>
  <c r="A345" i="72" s="1"/>
  <c r="K346" i="72"/>
  <c r="A346" i="72" s="1"/>
  <c r="K347" i="72"/>
  <c r="A347" i="72" s="1"/>
  <c r="K348" i="72"/>
  <c r="A348" i="72" s="1"/>
  <c r="K349" i="72"/>
  <c r="A349" i="72" s="1"/>
  <c r="K350" i="72"/>
  <c r="A350" i="72" s="1"/>
  <c r="K351" i="72"/>
  <c r="A351" i="72" s="1"/>
  <c r="K352" i="72"/>
  <c r="A352" i="72" s="1"/>
  <c r="K353" i="72"/>
  <c r="A353" i="72" s="1"/>
  <c r="K354" i="72"/>
  <c r="A354" i="72" s="1"/>
  <c r="K355" i="72"/>
  <c r="A355" i="72" s="1"/>
  <c r="K356" i="72"/>
  <c r="A356" i="72" s="1"/>
  <c r="K357" i="72"/>
  <c r="A357" i="72" s="1"/>
  <c r="K358" i="72"/>
  <c r="A358" i="72" s="1"/>
  <c r="K359" i="72"/>
  <c r="A359" i="72" s="1"/>
  <c r="K360" i="72"/>
  <c r="A360" i="72" s="1"/>
  <c r="K361" i="72"/>
  <c r="A361" i="72" s="1"/>
  <c r="K362" i="72"/>
  <c r="A362" i="72" s="1"/>
  <c r="K363" i="72"/>
  <c r="A363" i="72" s="1"/>
  <c r="K364" i="72"/>
  <c r="A364" i="72" s="1"/>
  <c r="K365" i="72"/>
  <c r="A365" i="72" s="1"/>
  <c r="K366" i="72"/>
  <c r="A366" i="72" s="1"/>
  <c r="K367" i="72"/>
  <c r="A367" i="72" s="1"/>
  <c r="K368" i="72"/>
  <c r="A368" i="72" s="1"/>
  <c r="K369" i="72"/>
  <c r="A369" i="72" s="1"/>
  <c r="K370" i="72"/>
  <c r="A370" i="72" s="1"/>
  <c r="K371" i="72"/>
  <c r="A371" i="72" s="1"/>
  <c r="K372" i="72"/>
  <c r="A372" i="72" s="1"/>
  <c r="K373" i="72"/>
  <c r="A373" i="72" s="1"/>
  <c r="K374" i="72"/>
  <c r="A374" i="72" s="1"/>
  <c r="K375" i="72"/>
  <c r="A375" i="72" s="1"/>
  <c r="K376" i="72"/>
  <c r="A376" i="72" s="1"/>
  <c r="K377" i="72"/>
  <c r="A377" i="72" s="1"/>
  <c r="K378" i="72"/>
  <c r="A378" i="72" s="1"/>
  <c r="K379" i="72"/>
  <c r="A379" i="72" s="1"/>
  <c r="K380" i="72"/>
  <c r="A380" i="72" s="1"/>
  <c r="K381" i="72"/>
  <c r="A381" i="72" s="1"/>
  <c r="K382" i="72"/>
  <c r="A382" i="72" s="1"/>
  <c r="K383" i="72"/>
  <c r="A383" i="72" s="1"/>
  <c r="K384" i="72"/>
  <c r="A384" i="72" s="1"/>
  <c r="K385" i="72"/>
  <c r="A385" i="72" s="1"/>
  <c r="K386" i="72"/>
  <c r="A386" i="72" s="1"/>
  <c r="K387" i="72"/>
  <c r="A387" i="72" s="1"/>
  <c r="K388" i="72"/>
  <c r="A388" i="72" s="1"/>
  <c r="K389" i="72"/>
  <c r="A389" i="72" s="1"/>
  <c r="K390" i="72"/>
  <c r="A390" i="72" s="1"/>
  <c r="K391" i="72"/>
  <c r="A391" i="72" s="1"/>
  <c r="K392" i="72"/>
  <c r="A392" i="72" s="1"/>
  <c r="K393" i="72"/>
  <c r="A393" i="72" s="1"/>
  <c r="K394" i="72"/>
  <c r="A394" i="72" s="1"/>
  <c r="K395" i="72"/>
  <c r="A395" i="72" s="1"/>
  <c r="K396" i="72"/>
  <c r="A396" i="72" s="1"/>
  <c r="K397" i="72"/>
  <c r="A397" i="72" s="1"/>
  <c r="K398" i="72"/>
  <c r="A398" i="72" s="1"/>
  <c r="K399" i="72"/>
  <c r="A399" i="72" s="1"/>
  <c r="K400" i="72"/>
  <c r="A400" i="72" s="1"/>
  <c r="K401" i="72"/>
  <c r="A401" i="72" s="1"/>
  <c r="K402" i="72"/>
  <c r="A402" i="72" s="1"/>
  <c r="K403" i="72"/>
  <c r="A403" i="72" s="1"/>
  <c r="K404" i="72"/>
  <c r="A404" i="72" s="1"/>
  <c r="K405" i="72"/>
  <c r="A405" i="72" s="1"/>
  <c r="K406" i="72"/>
  <c r="A406" i="72" s="1"/>
  <c r="K407" i="72"/>
  <c r="A407" i="72" s="1"/>
  <c r="K408" i="72"/>
  <c r="A408" i="72" s="1"/>
  <c r="K409" i="72"/>
  <c r="A409" i="72" s="1"/>
  <c r="K410" i="72"/>
  <c r="A410" i="72" s="1"/>
  <c r="K411" i="72"/>
  <c r="A411" i="72" s="1"/>
  <c r="K412" i="72"/>
  <c r="A412" i="72" s="1"/>
  <c r="K413" i="72"/>
  <c r="A413" i="72" s="1"/>
  <c r="K414" i="72"/>
  <c r="A414" i="72" s="1"/>
  <c r="K415" i="72"/>
  <c r="A415" i="72" s="1"/>
  <c r="K416" i="72"/>
  <c r="A416" i="72" s="1"/>
  <c r="K417" i="72"/>
  <c r="A417" i="72" s="1"/>
  <c r="K418" i="72"/>
  <c r="A418" i="72" s="1"/>
  <c r="K419" i="72"/>
  <c r="A419" i="72" s="1"/>
  <c r="K420" i="72"/>
  <c r="A420" i="72" s="1"/>
  <c r="K421" i="72"/>
  <c r="A421" i="72" s="1"/>
  <c r="K422" i="72"/>
  <c r="A422" i="72" s="1"/>
  <c r="K423" i="72"/>
  <c r="A423" i="72" s="1"/>
  <c r="K424" i="72"/>
  <c r="A424" i="72" s="1"/>
  <c r="K425" i="72"/>
  <c r="A425" i="72" s="1"/>
  <c r="K426" i="72"/>
  <c r="A426" i="72" s="1"/>
  <c r="K427" i="72"/>
  <c r="A427" i="72" s="1"/>
  <c r="K428" i="72"/>
  <c r="A428" i="72" s="1"/>
  <c r="K429" i="72"/>
  <c r="A429" i="72" s="1"/>
  <c r="K430" i="72"/>
  <c r="A430" i="72" s="1"/>
  <c r="K431" i="72"/>
  <c r="A431" i="72" s="1"/>
  <c r="K432" i="72"/>
  <c r="A432" i="72" s="1"/>
  <c r="K433" i="72"/>
  <c r="A433" i="72" s="1"/>
  <c r="K434" i="72"/>
  <c r="A434" i="72" s="1"/>
  <c r="K435" i="72"/>
  <c r="A435" i="72" s="1"/>
  <c r="K436" i="72"/>
  <c r="A436" i="72" s="1"/>
  <c r="K437" i="72"/>
  <c r="A437" i="72" s="1"/>
  <c r="K438" i="72"/>
  <c r="A438" i="72" s="1"/>
  <c r="K439" i="72"/>
  <c r="A439" i="72" s="1"/>
  <c r="K440" i="72"/>
  <c r="A440" i="72" s="1"/>
  <c r="K441" i="72"/>
  <c r="A441" i="72" s="1"/>
  <c r="K442" i="72"/>
  <c r="A442" i="72" s="1"/>
  <c r="K443" i="72"/>
  <c r="A443" i="72" s="1"/>
  <c r="K444" i="72"/>
  <c r="A444" i="72" s="1"/>
  <c r="K445" i="72"/>
  <c r="A445" i="72" s="1"/>
  <c r="K446" i="72"/>
  <c r="A446" i="72" s="1"/>
  <c r="K447" i="72"/>
  <c r="A447" i="72" s="1"/>
  <c r="K448" i="72"/>
  <c r="A448" i="72" s="1"/>
  <c r="K449" i="72"/>
  <c r="A449" i="72" s="1"/>
  <c r="K450" i="72"/>
  <c r="A450" i="72" s="1"/>
  <c r="K451" i="72"/>
  <c r="A451" i="72" s="1"/>
  <c r="K452" i="72"/>
  <c r="A452" i="72" s="1"/>
  <c r="K453" i="72"/>
  <c r="A453" i="72" s="1"/>
  <c r="K454" i="72"/>
  <c r="A454" i="72" s="1"/>
  <c r="K455" i="72"/>
  <c r="A455" i="72" s="1"/>
  <c r="K456" i="72"/>
  <c r="A456" i="72" s="1"/>
  <c r="K457" i="72"/>
  <c r="A457" i="72" s="1"/>
  <c r="K458" i="72"/>
  <c r="A458" i="72" s="1"/>
  <c r="K459" i="72"/>
  <c r="A459" i="72" s="1"/>
  <c r="K460" i="72"/>
  <c r="A460" i="72" s="1"/>
  <c r="K461" i="72"/>
  <c r="A461" i="72" s="1"/>
  <c r="K462" i="72"/>
  <c r="A462" i="72" s="1"/>
  <c r="K463" i="72"/>
  <c r="A463" i="72" s="1"/>
  <c r="K464" i="72"/>
  <c r="A464" i="72" s="1"/>
  <c r="K465" i="72"/>
  <c r="A465" i="72" s="1"/>
  <c r="K466" i="72"/>
  <c r="A466" i="72" s="1"/>
  <c r="K467" i="72"/>
  <c r="A467" i="72" s="1"/>
  <c r="K468" i="72"/>
  <c r="A468" i="72" s="1"/>
  <c r="K469" i="72"/>
  <c r="A469" i="72" s="1"/>
  <c r="K470" i="72"/>
  <c r="A470" i="72" s="1"/>
  <c r="K471" i="72"/>
  <c r="A471" i="72" s="1"/>
  <c r="K472" i="72"/>
  <c r="A472" i="72" s="1"/>
  <c r="K473" i="72"/>
  <c r="A473" i="72" s="1"/>
  <c r="K474" i="72"/>
  <c r="A474" i="72" s="1"/>
  <c r="K475" i="72"/>
  <c r="A475" i="72" s="1"/>
  <c r="K476" i="72"/>
  <c r="A476" i="72" s="1"/>
  <c r="K477" i="72"/>
  <c r="A477" i="72" s="1"/>
  <c r="K478" i="72"/>
  <c r="A478" i="72" s="1"/>
  <c r="K479" i="72"/>
  <c r="A479" i="72" s="1"/>
  <c r="K480" i="72"/>
  <c r="A480" i="72" s="1"/>
  <c r="K481" i="72"/>
  <c r="A481" i="72" s="1"/>
  <c r="K482" i="72"/>
  <c r="A482" i="72" s="1"/>
  <c r="K483" i="72"/>
  <c r="A483" i="72" s="1"/>
  <c r="K484" i="72"/>
  <c r="A484" i="72" s="1"/>
  <c r="K485" i="72"/>
  <c r="A485" i="72" s="1"/>
  <c r="K486" i="72"/>
  <c r="A486" i="72" s="1"/>
  <c r="K487" i="72"/>
  <c r="A487" i="72" s="1"/>
  <c r="K488" i="72"/>
  <c r="A488" i="72" s="1"/>
  <c r="K489" i="72"/>
  <c r="A489" i="72" s="1"/>
  <c r="K490" i="72"/>
  <c r="A490" i="72" s="1"/>
  <c r="K491" i="72"/>
  <c r="A491" i="72" s="1"/>
  <c r="K492" i="72"/>
  <c r="A492" i="72" s="1"/>
  <c r="K493" i="72"/>
  <c r="A493" i="72" s="1"/>
  <c r="K494" i="72"/>
  <c r="A494" i="72" s="1"/>
  <c r="K495" i="72"/>
  <c r="A495" i="72" s="1"/>
  <c r="K496" i="72"/>
  <c r="A496" i="72" s="1"/>
  <c r="K497" i="72"/>
  <c r="A497" i="72" s="1"/>
  <c r="K498" i="72"/>
  <c r="A498" i="72" s="1"/>
  <c r="K499" i="72"/>
  <c r="A499" i="72" s="1"/>
  <c r="K500" i="72"/>
  <c r="A500" i="72" s="1"/>
  <c r="K501" i="72"/>
  <c r="A501" i="72" s="1"/>
  <c r="K502" i="72"/>
  <c r="A502" i="72" s="1"/>
  <c r="K503" i="72"/>
  <c r="A503" i="72" s="1"/>
  <c r="K504" i="72"/>
  <c r="A504" i="72" s="1"/>
  <c r="K505" i="72"/>
  <c r="A505" i="72" s="1"/>
  <c r="K506" i="72"/>
  <c r="A506" i="72" s="1"/>
  <c r="K507" i="72"/>
  <c r="A507" i="72" s="1"/>
  <c r="K508" i="72"/>
  <c r="A508" i="72" s="1"/>
  <c r="K509" i="72"/>
  <c r="A509" i="72" s="1"/>
  <c r="K510" i="72"/>
  <c r="A510" i="72" s="1"/>
  <c r="K511" i="72"/>
  <c r="A511" i="72" s="1"/>
  <c r="K512" i="72"/>
  <c r="A512" i="72" s="1"/>
  <c r="K513" i="72"/>
  <c r="A513" i="72" s="1"/>
  <c r="K514" i="72"/>
  <c r="A514" i="72" s="1"/>
  <c r="K515" i="72"/>
  <c r="A515" i="72" s="1"/>
  <c r="K516" i="72"/>
  <c r="A516" i="72" s="1"/>
  <c r="K517" i="72"/>
  <c r="A517" i="72" s="1"/>
  <c r="K518" i="72"/>
  <c r="A518" i="72" s="1"/>
  <c r="K519" i="72"/>
  <c r="A519" i="72" s="1"/>
  <c r="K520" i="72"/>
  <c r="A520" i="72" s="1"/>
  <c r="K521" i="72"/>
  <c r="A521" i="72" s="1"/>
  <c r="K522" i="72"/>
  <c r="A522" i="72" s="1"/>
  <c r="K523" i="72"/>
  <c r="A523" i="72" s="1"/>
  <c r="K524" i="72"/>
  <c r="A524" i="72" s="1"/>
  <c r="K525" i="72"/>
  <c r="A525" i="72" s="1"/>
  <c r="K526" i="72"/>
  <c r="A526" i="72" s="1"/>
  <c r="K527" i="72"/>
  <c r="A527" i="72" s="1"/>
  <c r="K528" i="72"/>
  <c r="A528" i="72" s="1"/>
  <c r="K529" i="72"/>
  <c r="A529" i="72" s="1"/>
  <c r="K530" i="72"/>
  <c r="A530" i="72" s="1"/>
  <c r="K531" i="72"/>
  <c r="A531" i="72" s="1"/>
  <c r="K532" i="72"/>
  <c r="A532" i="72" s="1"/>
  <c r="K533" i="72"/>
  <c r="A533" i="72" s="1"/>
  <c r="K534" i="72"/>
  <c r="A534" i="72" s="1"/>
  <c r="K535" i="72"/>
  <c r="A535" i="72" s="1"/>
  <c r="K536" i="72"/>
  <c r="A536" i="72" s="1"/>
  <c r="K537" i="72"/>
  <c r="A537" i="72" s="1"/>
  <c r="K538" i="72"/>
  <c r="A538" i="72" s="1"/>
  <c r="K539" i="72"/>
  <c r="A539" i="72" s="1"/>
  <c r="K540" i="72"/>
  <c r="A540" i="72" s="1"/>
  <c r="K541" i="72"/>
  <c r="A541" i="72" s="1"/>
  <c r="K542" i="72"/>
  <c r="A542" i="72" s="1"/>
  <c r="K543" i="72"/>
  <c r="A543" i="72" s="1"/>
  <c r="K544" i="72"/>
  <c r="A544" i="72" s="1"/>
  <c r="K545" i="72"/>
  <c r="A545" i="72" s="1"/>
  <c r="K546" i="72"/>
  <c r="A546" i="72" s="1"/>
  <c r="K547" i="72"/>
  <c r="A547" i="72" s="1"/>
  <c r="K548" i="72"/>
  <c r="A548" i="72" s="1"/>
  <c r="K549" i="72"/>
  <c r="A549" i="72" s="1"/>
  <c r="K550" i="72"/>
  <c r="A550" i="72" s="1"/>
  <c r="K551" i="72"/>
  <c r="A551" i="72" s="1"/>
  <c r="K552" i="72"/>
  <c r="A552" i="72" s="1"/>
  <c r="K553" i="72"/>
  <c r="A553" i="72" s="1"/>
  <c r="K554" i="72"/>
  <c r="A554" i="72" s="1"/>
  <c r="K555" i="72"/>
  <c r="A555" i="72" s="1"/>
  <c r="K556" i="72"/>
  <c r="A556" i="72" s="1"/>
  <c r="K557" i="72"/>
  <c r="A557" i="72" s="1"/>
  <c r="K558" i="72"/>
  <c r="A558" i="72" s="1"/>
  <c r="K559" i="72"/>
  <c r="A559" i="72" s="1"/>
  <c r="K560" i="72"/>
  <c r="A560" i="72" s="1"/>
  <c r="K561" i="72"/>
  <c r="A561" i="72" s="1"/>
  <c r="K562" i="72"/>
  <c r="A562" i="72" s="1"/>
  <c r="K563" i="72"/>
  <c r="A563" i="72" s="1"/>
  <c r="K564" i="72"/>
  <c r="A564" i="72" s="1"/>
  <c r="K565" i="72"/>
  <c r="A565" i="72" s="1"/>
  <c r="K566" i="72"/>
  <c r="A566" i="72" s="1"/>
  <c r="K567" i="72"/>
  <c r="A567" i="72" s="1"/>
  <c r="K568" i="72"/>
  <c r="A568" i="72" s="1"/>
  <c r="K569" i="72"/>
  <c r="A569" i="72" s="1"/>
  <c r="K570" i="72"/>
  <c r="A570" i="72" s="1"/>
  <c r="K571" i="72"/>
  <c r="A571" i="72" s="1"/>
  <c r="K572" i="72"/>
  <c r="A572" i="72" s="1"/>
  <c r="K573" i="72"/>
  <c r="A573" i="72" s="1"/>
  <c r="K574" i="72"/>
  <c r="A574" i="72" s="1"/>
  <c r="K575" i="72"/>
  <c r="A575" i="72" s="1"/>
  <c r="K576" i="72"/>
  <c r="A576" i="72" s="1"/>
  <c r="K577" i="72"/>
  <c r="A577" i="72" s="1"/>
  <c r="K578" i="72"/>
  <c r="A578" i="72" s="1"/>
  <c r="K579" i="72"/>
  <c r="A579" i="72" s="1"/>
  <c r="K580" i="72"/>
  <c r="A580" i="72" s="1"/>
  <c r="K581" i="72"/>
  <c r="A581" i="72" s="1"/>
  <c r="K582" i="72"/>
  <c r="A582" i="72" s="1"/>
  <c r="K583" i="72"/>
  <c r="A583" i="72" s="1"/>
  <c r="K584" i="72"/>
  <c r="A584" i="72" s="1"/>
  <c r="K585" i="72"/>
  <c r="A585" i="72" s="1"/>
  <c r="K586" i="72"/>
  <c r="A586" i="72" s="1"/>
  <c r="K587" i="72"/>
  <c r="A587" i="72" s="1"/>
  <c r="K588" i="72"/>
  <c r="A588" i="72" s="1"/>
  <c r="K589" i="72"/>
  <c r="A589" i="72" s="1"/>
  <c r="K590" i="72"/>
  <c r="A590" i="72" s="1"/>
  <c r="K591" i="72"/>
  <c r="A591" i="72" s="1"/>
  <c r="K592" i="72"/>
  <c r="A592" i="72" s="1"/>
  <c r="K593" i="72"/>
  <c r="A593" i="72" s="1"/>
  <c r="K594" i="72"/>
  <c r="A594" i="72" s="1"/>
  <c r="K595" i="72"/>
  <c r="A595" i="72" s="1"/>
  <c r="K596" i="72"/>
  <c r="A596" i="72" s="1"/>
  <c r="K597" i="72"/>
  <c r="A597" i="72" s="1"/>
  <c r="K598" i="72"/>
  <c r="A598" i="72" s="1"/>
  <c r="K599" i="72"/>
  <c r="A599" i="72" s="1"/>
  <c r="K600" i="72"/>
  <c r="A600" i="72" s="1"/>
  <c r="K601" i="72"/>
  <c r="A601" i="72" s="1"/>
  <c r="K602" i="72"/>
  <c r="A602" i="72" s="1"/>
  <c r="K603" i="72"/>
  <c r="A603" i="72" s="1"/>
  <c r="K604" i="72"/>
  <c r="A604" i="72" s="1"/>
  <c r="K605" i="72"/>
  <c r="A605" i="72" s="1"/>
  <c r="K606" i="72"/>
  <c r="A606" i="72" s="1"/>
  <c r="K607" i="72"/>
  <c r="A607" i="72" s="1"/>
  <c r="K608" i="72"/>
  <c r="A608" i="72" s="1"/>
  <c r="K609" i="72"/>
  <c r="A609" i="72" s="1"/>
  <c r="K610" i="72"/>
  <c r="A610" i="72" s="1"/>
  <c r="K611" i="72"/>
  <c r="A611" i="72" s="1"/>
  <c r="K612" i="72"/>
  <c r="A612" i="72" s="1"/>
  <c r="K613" i="72"/>
  <c r="A613" i="72" s="1"/>
  <c r="K614" i="72"/>
  <c r="A614" i="72" s="1"/>
  <c r="K615" i="72"/>
  <c r="A615" i="72" s="1"/>
  <c r="K616" i="72"/>
  <c r="A616" i="72" s="1"/>
  <c r="K617" i="72"/>
  <c r="A617" i="72" s="1"/>
  <c r="K618" i="72"/>
  <c r="A618" i="72" s="1"/>
  <c r="K619" i="72"/>
  <c r="A619" i="72" s="1"/>
  <c r="K620" i="72"/>
  <c r="A620" i="72" s="1"/>
  <c r="K621" i="72"/>
  <c r="A621" i="72" s="1"/>
  <c r="K622" i="72"/>
  <c r="A622" i="72" s="1"/>
  <c r="K623" i="72"/>
  <c r="A623" i="72" s="1"/>
  <c r="K624" i="72"/>
  <c r="A624" i="72" s="1"/>
  <c r="K625" i="72"/>
  <c r="A625" i="72" s="1"/>
  <c r="K626" i="72"/>
  <c r="A626" i="72" s="1"/>
  <c r="K627" i="72"/>
  <c r="A627" i="72" s="1"/>
  <c r="K628" i="72"/>
  <c r="A628" i="72" s="1"/>
  <c r="K629" i="72"/>
  <c r="A629" i="72" s="1"/>
  <c r="K630" i="72"/>
  <c r="A630" i="72" s="1"/>
  <c r="K631" i="72"/>
  <c r="A631" i="72" s="1"/>
  <c r="K632" i="72"/>
  <c r="A632" i="72" s="1"/>
  <c r="K633" i="72"/>
  <c r="A633" i="72" s="1"/>
  <c r="K634" i="72"/>
  <c r="A634" i="72" s="1"/>
  <c r="K635" i="72"/>
  <c r="A635" i="72" s="1"/>
  <c r="K636" i="72"/>
  <c r="A636" i="72" s="1"/>
  <c r="K637" i="72"/>
  <c r="A637" i="72" s="1"/>
  <c r="K638" i="72"/>
  <c r="A638" i="72" s="1"/>
  <c r="K639" i="72"/>
  <c r="A639" i="72" s="1"/>
  <c r="K640" i="72"/>
  <c r="A640" i="72" s="1"/>
  <c r="K641" i="72"/>
  <c r="A641" i="72" s="1"/>
  <c r="K642" i="72"/>
  <c r="A642" i="72" s="1"/>
  <c r="K643" i="72"/>
  <c r="A643" i="72" s="1"/>
  <c r="K644" i="72"/>
  <c r="A644" i="72" s="1"/>
  <c r="K645" i="72"/>
  <c r="A645" i="72" s="1"/>
  <c r="K646" i="72"/>
  <c r="A646" i="72" s="1"/>
  <c r="K647" i="72"/>
  <c r="A647" i="72" s="1"/>
  <c r="K648" i="72"/>
  <c r="A648" i="72" s="1"/>
  <c r="K649" i="72"/>
  <c r="A649" i="72" s="1"/>
  <c r="K650" i="72"/>
  <c r="A650" i="72" s="1"/>
  <c r="K651" i="72"/>
  <c r="A651" i="72" s="1"/>
  <c r="K652" i="72"/>
  <c r="A652" i="72" s="1"/>
  <c r="K653" i="72"/>
  <c r="A653" i="72" s="1"/>
  <c r="K654" i="72"/>
  <c r="A654" i="72" s="1"/>
  <c r="K655" i="72"/>
  <c r="A655" i="72" s="1"/>
  <c r="K656" i="72"/>
  <c r="A656" i="72" s="1"/>
  <c r="K657" i="72"/>
  <c r="A657" i="72" s="1"/>
  <c r="K658" i="72"/>
  <c r="A658" i="72" s="1"/>
  <c r="K659" i="72"/>
  <c r="A659" i="72" s="1"/>
  <c r="K660" i="72"/>
  <c r="A660" i="72" s="1"/>
  <c r="K661" i="72"/>
  <c r="A661" i="72" s="1"/>
  <c r="K662" i="72"/>
  <c r="A662" i="72" s="1"/>
  <c r="K663" i="72"/>
  <c r="A663" i="72" s="1"/>
  <c r="K664" i="72"/>
  <c r="A664" i="72" s="1"/>
  <c r="K665" i="72"/>
  <c r="A665" i="72" s="1"/>
  <c r="K666" i="72"/>
  <c r="A666" i="72" s="1"/>
  <c r="K667" i="72"/>
  <c r="A667" i="72" s="1"/>
  <c r="K668" i="72"/>
  <c r="A668" i="72" s="1"/>
  <c r="K669" i="72"/>
  <c r="A669" i="72" s="1"/>
  <c r="K670" i="72"/>
  <c r="A670" i="72" s="1"/>
  <c r="K671" i="72"/>
  <c r="A671" i="72" s="1"/>
  <c r="K672" i="72"/>
  <c r="A672" i="72" s="1"/>
  <c r="K673" i="72"/>
  <c r="A673" i="72" s="1"/>
  <c r="K674" i="72"/>
  <c r="A674" i="72" s="1"/>
  <c r="K675" i="72"/>
  <c r="A675" i="72" s="1"/>
  <c r="K676" i="72"/>
  <c r="A676" i="72" s="1"/>
  <c r="K677" i="72"/>
  <c r="A677" i="72" s="1"/>
  <c r="K678" i="72"/>
  <c r="A678" i="72" s="1"/>
  <c r="K679" i="72"/>
  <c r="A679" i="72" s="1"/>
  <c r="K680" i="72"/>
  <c r="A680" i="72" s="1"/>
  <c r="K681" i="72"/>
  <c r="A681" i="72" s="1"/>
  <c r="K682" i="72"/>
  <c r="A682" i="72" s="1"/>
  <c r="K683" i="72"/>
  <c r="A683" i="72" s="1"/>
  <c r="K684" i="72"/>
  <c r="A684" i="72" s="1"/>
  <c r="K685" i="72"/>
  <c r="A685" i="72" s="1"/>
  <c r="K686" i="72"/>
  <c r="A686" i="72" s="1"/>
  <c r="K687" i="72"/>
  <c r="A687" i="72" s="1"/>
  <c r="K688" i="72"/>
  <c r="A688" i="72" s="1"/>
  <c r="K689" i="72"/>
  <c r="A689" i="72" s="1"/>
  <c r="K690" i="72"/>
  <c r="A690" i="72" s="1"/>
  <c r="K691" i="72"/>
  <c r="A691" i="72" s="1"/>
  <c r="K692" i="72"/>
  <c r="A692" i="72" s="1"/>
  <c r="K693" i="72"/>
  <c r="A693" i="72" s="1"/>
  <c r="K694" i="72"/>
  <c r="A694" i="72" s="1"/>
  <c r="K695" i="72"/>
  <c r="A695" i="72" s="1"/>
  <c r="K696" i="72"/>
  <c r="A696" i="72" s="1"/>
  <c r="K697" i="72"/>
  <c r="A697" i="72" s="1"/>
  <c r="K698" i="72"/>
  <c r="A698" i="72" s="1"/>
  <c r="K699" i="72"/>
  <c r="A699" i="72" s="1"/>
  <c r="K700" i="72"/>
  <c r="A700" i="72" s="1"/>
  <c r="K701" i="72"/>
  <c r="A701" i="72" s="1"/>
  <c r="K702" i="72"/>
  <c r="A702" i="72" s="1"/>
  <c r="K703" i="72"/>
  <c r="A703" i="72" s="1"/>
  <c r="K704" i="72"/>
  <c r="A704" i="72" s="1"/>
  <c r="K705" i="72"/>
  <c r="A705" i="72" s="1"/>
  <c r="K706" i="72"/>
  <c r="A706" i="72" s="1"/>
  <c r="K707" i="72"/>
  <c r="A707" i="72" s="1"/>
  <c r="K708" i="72"/>
  <c r="A708" i="72" s="1"/>
  <c r="K709" i="72"/>
  <c r="A709" i="72" s="1"/>
  <c r="K710" i="72"/>
  <c r="A710" i="72" s="1"/>
  <c r="K711" i="72"/>
  <c r="A711" i="72" s="1"/>
  <c r="K712" i="72"/>
  <c r="A712" i="72" s="1"/>
  <c r="K713" i="72"/>
  <c r="A713" i="72" s="1"/>
  <c r="K714" i="72"/>
  <c r="A714" i="72" s="1"/>
  <c r="K715" i="72"/>
  <c r="A715" i="72" s="1"/>
  <c r="K716" i="72"/>
  <c r="A716" i="72" s="1"/>
  <c r="K717" i="72"/>
  <c r="A717" i="72" s="1"/>
  <c r="K718" i="72"/>
  <c r="A718" i="72" s="1"/>
  <c r="K719" i="72"/>
  <c r="A719" i="72" s="1"/>
  <c r="K720" i="72"/>
  <c r="A720" i="72" s="1"/>
  <c r="K721" i="72"/>
  <c r="A721" i="72" s="1"/>
  <c r="K722" i="72"/>
  <c r="A722" i="72" s="1"/>
  <c r="K723" i="72"/>
  <c r="A723" i="72" s="1"/>
  <c r="K724" i="72"/>
  <c r="A724" i="72" s="1"/>
  <c r="K725" i="72"/>
  <c r="A725" i="72" s="1"/>
  <c r="K726" i="72"/>
  <c r="A726" i="72" s="1"/>
  <c r="K727" i="72"/>
  <c r="A727" i="72" s="1"/>
  <c r="K728" i="72"/>
  <c r="A728" i="72" s="1"/>
  <c r="K729" i="72"/>
  <c r="A729" i="72" s="1"/>
  <c r="K730" i="72"/>
  <c r="A730" i="72" s="1"/>
  <c r="K731" i="72"/>
  <c r="A731" i="72" s="1"/>
  <c r="K732" i="72"/>
  <c r="A732" i="72" s="1"/>
  <c r="K733" i="72"/>
  <c r="A733" i="72" s="1"/>
  <c r="K734" i="72"/>
  <c r="A734" i="72" s="1"/>
  <c r="K735" i="72"/>
  <c r="A735" i="72" s="1"/>
  <c r="K736" i="72"/>
  <c r="A736" i="72" s="1"/>
  <c r="K737" i="72"/>
  <c r="A737" i="72" s="1"/>
  <c r="K738" i="72"/>
  <c r="A738" i="72" s="1"/>
  <c r="K739" i="72"/>
  <c r="A739" i="72" s="1"/>
  <c r="K740" i="72"/>
  <c r="A740" i="72" s="1"/>
  <c r="K741" i="72"/>
  <c r="A741" i="72" s="1"/>
  <c r="K742" i="72"/>
  <c r="A742" i="72" s="1"/>
  <c r="K743" i="72"/>
  <c r="A743" i="72" s="1"/>
  <c r="K744" i="72"/>
  <c r="A744" i="72" s="1"/>
  <c r="K745" i="72"/>
  <c r="A745" i="72" s="1"/>
  <c r="K746" i="72"/>
  <c r="A746" i="72" s="1"/>
  <c r="K747" i="72"/>
  <c r="A747" i="72" s="1"/>
  <c r="K748" i="72"/>
  <c r="A748" i="72" s="1"/>
  <c r="K749" i="72"/>
  <c r="A749" i="72" s="1"/>
  <c r="K750" i="72"/>
  <c r="A750" i="72" s="1"/>
  <c r="K751" i="72"/>
  <c r="A751" i="72" s="1"/>
  <c r="K752" i="72"/>
  <c r="A752" i="72" s="1"/>
  <c r="K753" i="72"/>
  <c r="A753" i="72" s="1"/>
  <c r="K754" i="72"/>
  <c r="A754" i="72" s="1"/>
  <c r="K755" i="72"/>
  <c r="A755" i="72" s="1"/>
  <c r="K756" i="72"/>
  <c r="A756" i="72" s="1"/>
  <c r="K757" i="72"/>
  <c r="A757" i="72" s="1"/>
  <c r="K758" i="72"/>
  <c r="A758" i="72" s="1"/>
  <c r="K759" i="72"/>
  <c r="A759" i="72" s="1"/>
  <c r="K760" i="72"/>
  <c r="A760" i="72" s="1"/>
  <c r="K761" i="72"/>
  <c r="A761" i="72" s="1"/>
  <c r="K762" i="72"/>
  <c r="A762" i="72" s="1"/>
  <c r="K763" i="72"/>
  <c r="A763" i="72" s="1"/>
  <c r="K764" i="72"/>
  <c r="A764" i="72" s="1"/>
  <c r="K765" i="72"/>
  <c r="A765" i="72" s="1"/>
  <c r="K766" i="72"/>
  <c r="A766" i="72" s="1"/>
  <c r="K767" i="72"/>
  <c r="A767" i="72" s="1"/>
  <c r="K768" i="72"/>
  <c r="A768" i="72" s="1"/>
  <c r="K769" i="72"/>
  <c r="A769" i="72" s="1"/>
  <c r="K770" i="72"/>
  <c r="A770" i="72" s="1"/>
  <c r="K771" i="72"/>
  <c r="A771" i="72" s="1"/>
  <c r="K772" i="72"/>
  <c r="A772" i="72" s="1"/>
  <c r="K773" i="72"/>
  <c r="A773" i="72" s="1"/>
  <c r="K774" i="72"/>
  <c r="A774" i="72" s="1"/>
  <c r="K775" i="72"/>
  <c r="A775" i="72" s="1"/>
  <c r="K776" i="72"/>
  <c r="A776" i="72" s="1"/>
  <c r="K777" i="72"/>
  <c r="A777" i="72" s="1"/>
  <c r="K778" i="72"/>
  <c r="A778" i="72" s="1"/>
  <c r="K779" i="72"/>
  <c r="A779" i="72" s="1"/>
  <c r="K780" i="72"/>
  <c r="A780" i="72" s="1"/>
  <c r="K781" i="72"/>
  <c r="A781" i="72" s="1"/>
  <c r="K782" i="72"/>
  <c r="A782" i="72" s="1"/>
  <c r="K783" i="72"/>
  <c r="A783" i="72" s="1"/>
  <c r="K784" i="72"/>
  <c r="A784" i="72" s="1"/>
  <c r="K785" i="72"/>
  <c r="A785" i="72" s="1"/>
  <c r="K786" i="72"/>
  <c r="A786" i="72" s="1"/>
  <c r="K787" i="72"/>
  <c r="A787" i="72" s="1"/>
  <c r="K788" i="72"/>
  <c r="A788" i="72" s="1"/>
  <c r="K789" i="72"/>
  <c r="A789" i="72" s="1"/>
  <c r="K790" i="72"/>
  <c r="A790" i="72" s="1"/>
  <c r="K791" i="72"/>
  <c r="A791" i="72" s="1"/>
  <c r="K792" i="72"/>
  <c r="A792" i="72" s="1"/>
  <c r="K793" i="72"/>
  <c r="A793" i="72" s="1"/>
  <c r="K794" i="72"/>
  <c r="A794" i="72" s="1"/>
  <c r="K795" i="72"/>
  <c r="A795" i="72" s="1"/>
  <c r="K796" i="72"/>
  <c r="A796" i="72" s="1"/>
  <c r="K797" i="72"/>
  <c r="A797" i="72" s="1"/>
  <c r="K798" i="72"/>
  <c r="A798" i="72" s="1"/>
  <c r="K799" i="72"/>
  <c r="A799" i="72" s="1"/>
  <c r="K800" i="72"/>
  <c r="A800" i="72" s="1"/>
  <c r="K801" i="72"/>
  <c r="A801" i="72" s="1"/>
  <c r="K802" i="72"/>
  <c r="A802" i="72" s="1"/>
  <c r="K803" i="72"/>
  <c r="A803" i="72" s="1"/>
  <c r="K804" i="72"/>
  <c r="A804" i="72" s="1"/>
  <c r="K805" i="72"/>
  <c r="A805" i="72" s="1"/>
  <c r="K806" i="72"/>
  <c r="A806" i="72" s="1"/>
  <c r="K807" i="72"/>
  <c r="A807" i="72" s="1"/>
  <c r="K808" i="72"/>
  <c r="A808" i="72" s="1"/>
  <c r="K809" i="72"/>
  <c r="A809" i="72" s="1"/>
  <c r="K810" i="72"/>
  <c r="A810" i="72" s="1"/>
  <c r="K811" i="72"/>
  <c r="A811" i="72" s="1"/>
  <c r="K812" i="72"/>
  <c r="A812" i="72" s="1"/>
  <c r="K813" i="72"/>
  <c r="A813" i="72" s="1"/>
  <c r="K814" i="72"/>
  <c r="A814" i="72" s="1"/>
  <c r="K815" i="72"/>
  <c r="A815" i="72" s="1"/>
  <c r="K816" i="72"/>
  <c r="A816" i="72" s="1"/>
  <c r="K817" i="72"/>
  <c r="A817" i="72" s="1"/>
  <c r="K818" i="72"/>
  <c r="A818" i="72" s="1"/>
  <c r="K819" i="72"/>
  <c r="A819" i="72" s="1"/>
  <c r="K820" i="72"/>
  <c r="A820" i="72" s="1"/>
  <c r="K821" i="72"/>
  <c r="A821" i="72" s="1"/>
  <c r="K822" i="72"/>
  <c r="A822" i="72" s="1"/>
  <c r="K823" i="72"/>
  <c r="A823" i="72" s="1"/>
  <c r="K824" i="72"/>
  <c r="A824" i="72" s="1"/>
  <c r="K825" i="72"/>
  <c r="A825" i="72" s="1"/>
  <c r="K826" i="72"/>
  <c r="A826" i="72" s="1"/>
  <c r="K827" i="72"/>
  <c r="A827" i="72" s="1"/>
  <c r="K828" i="72"/>
  <c r="A828" i="72" s="1"/>
  <c r="K829" i="72"/>
  <c r="A829" i="72" s="1"/>
  <c r="K830" i="72"/>
  <c r="A830" i="72" s="1"/>
  <c r="K831" i="72"/>
  <c r="A831" i="72" s="1"/>
  <c r="K832" i="72"/>
  <c r="A832" i="72" s="1"/>
  <c r="K833" i="72"/>
  <c r="A833" i="72" s="1"/>
  <c r="K834" i="72"/>
  <c r="A834" i="72" s="1"/>
  <c r="K835" i="72"/>
  <c r="A835" i="72" s="1"/>
  <c r="K836" i="72"/>
  <c r="A836" i="72" s="1"/>
  <c r="K837" i="72"/>
  <c r="A837" i="72" s="1"/>
  <c r="K838" i="72"/>
  <c r="A838" i="72" s="1"/>
  <c r="K839" i="72"/>
  <c r="A839" i="72" s="1"/>
  <c r="K840" i="72"/>
  <c r="A840" i="72" s="1"/>
  <c r="K841" i="72"/>
  <c r="A841" i="72" s="1"/>
  <c r="K842" i="72"/>
  <c r="A842" i="72" s="1"/>
  <c r="K843" i="72"/>
  <c r="A843" i="72" s="1"/>
  <c r="K844" i="72"/>
  <c r="A844" i="72" s="1"/>
  <c r="K845" i="72"/>
  <c r="A845" i="72" s="1"/>
  <c r="K846" i="72"/>
  <c r="A846" i="72" s="1"/>
  <c r="K847" i="72"/>
  <c r="A847" i="72" s="1"/>
  <c r="K848" i="72"/>
  <c r="A848" i="72" s="1"/>
  <c r="K849" i="72"/>
  <c r="A849" i="72" s="1"/>
  <c r="K850" i="72"/>
  <c r="A850" i="72" s="1"/>
  <c r="K851" i="72"/>
  <c r="A851" i="72" s="1"/>
  <c r="K852" i="72"/>
  <c r="A852" i="72" s="1"/>
  <c r="K853" i="72"/>
  <c r="A853" i="72" s="1"/>
  <c r="K854" i="72"/>
  <c r="A854" i="72" s="1"/>
  <c r="K855" i="72"/>
  <c r="A855" i="72" s="1"/>
  <c r="K856" i="72"/>
  <c r="A856" i="72" s="1"/>
  <c r="K857" i="72"/>
  <c r="A857" i="72" s="1"/>
  <c r="K858" i="72"/>
  <c r="A858" i="72" s="1"/>
  <c r="K859" i="72"/>
  <c r="A859" i="72" s="1"/>
  <c r="K860" i="72"/>
  <c r="A860" i="72" s="1"/>
  <c r="K861" i="72"/>
  <c r="A861" i="72" s="1"/>
  <c r="K862" i="72"/>
  <c r="A862" i="72" s="1"/>
  <c r="K863" i="72"/>
  <c r="A863" i="72" s="1"/>
  <c r="K864" i="72"/>
  <c r="A864" i="72" s="1"/>
  <c r="K865" i="72"/>
  <c r="A865" i="72" s="1"/>
  <c r="K866" i="72"/>
  <c r="A866" i="72" s="1"/>
  <c r="K867" i="72"/>
  <c r="A867" i="72" s="1"/>
  <c r="K868" i="72"/>
  <c r="A868" i="72" s="1"/>
  <c r="K869" i="72"/>
  <c r="A869" i="72" s="1"/>
  <c r="K870" i="72"/>
  <c r="A870" i="72" s="1"/>
  <c r="K871" i="72"/>
  <c r="A871" i="72" s="1"/>
  <c r="K872" i="72"/>
  <c r="A872" i="72" s="1"/>
  <c r="K873" i="72"/>
  <c r="A873" i="72" s="1"/>
  <c r="K874" i="72"/>
  <c r="A874" i="72" s="1"/>
  <c r="K875" i="72"/>
  <c r="A875" i="72" s="1"/>
  <c r="K876" i="72"/>
  <c r="A876" i="72" s="1"/>
  <c r="K877" i="72"/>
  <c r="A877" i="72" s="1"/>
  <c r="K878" i="72"/>
  <c r="A878" i="72" s="1"/>
  <c r="A7" i="1"/>
  <c r="A8" i="1"/>
  <c r="A9" i="1"/>
  <c r="A10" i="1"/>
  <c r="A148" i="1"/>
  <c r="A149" i="1"/>
  <c r="A150" i="1"/>
  <c r="A151" i="1"/>
  <c r="A152" i="1"/>
  <c r="A153" i="1"/>
  <c r="A154" i="1"/>
  <c r="A155" i="1"/>
  <c r="A156" i="1"/>
  <c r="A157" i="1"/>
  <c r="A158" i="1"/>
  <c r="A78" i="1"/>
  <c r="P78" i="1" s="1"/>
  <c r="A79" i="1"/>
  <c r="A63" i="1"/>
  <c r="A64" i="1"/>
  <c r="A65" i="1"/>
  <c r="A66" i="1"/>
  <c r="A67" i="1"/>
  <c r="A80" i="1"/>
  <c r="A81" i="1"/>
  <c r="A82" i="1"/>
  <c r="A83" i="1"/>
  <c r="A84" i="1"/>
  <c r="A85" i="1"/>
  <c r="A86" i="1"/>
  <c r="A87" i="1"/>
  <c r="A88" i="1"/>
  <c r="A89" i="1"/>
  <c r="S89" i="1" s="1"/>
  <c r="A159" i="1"/>
  <c r="A90" i="1"/>
  <c r="A91" i="1"/>
  <c r="A92" i="1"/>
  <c r="A93" i="1"/>
  <c r="A160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1" i="1"/>
  <c r="A12" i="1"/>
  <c r="A13" i="1"/>
  <c r="A14" i="1"/>
  <c r="A68" i="1"/>
  <c r="A69" i="1"/>
  <c r="A70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161" i="1"/>
  <c r="A162" i="1"/>
  <c r="A29" i="1"/>
  <c r="A163" i="1"/>
  <c r="A164" i="1"/>
  <c r="A30" i="1"/>
  <c r="P30" i="1" s="1"/>
  <c r="A71" i="1"/>
  <c r="A72" i="1"/>
  <c r="A73" i="1"/>
  <c r="A74" i="1"/>
  <c r="A75" i="1"/>
  <c r="A76" i="1"/>
  <c r="A77" i="1"/>
  <c r="A122" i="1"/>
  <c r="A31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32" i="1"/>
  <c r="A33" i="1"/>
  <c r="A34" i="1"/>
  <c r="A123" i="1"/>
  <c r="A124" i="1"/>
  <c r="A125" i="1"/>
  <c r="A126" i="1"/>
  <c r="A127" i="1"/>
  <c r="A128" i="1"/>
  <c r="A35" i="1"/>
  <c r="A129" i="1"/>
  <c r="A130" i="1"/>
  <c r="A36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90" i="1"/>
  <c r="A191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R61" i="1" s="1"/>
  <c r="T61" i="1" s="1"/>
  <c r="A62" i="1"/>
  <c r="O7" i="1"/>
  <c r="O8" i="1"/>
  <c r="O9" i="1"/>
  <c r="O10" i="1"/>
  <c r="O148" i="1"/>
  <c r="O149" i="1"/>
  <c r="O150" i="1"/>
  <c r="O151" i="1"/>
  <c r="O152" i="1"/>
  <c r="O153" i="1"/>
  <c r="O154" i="1"/>
  <c r="O155" i="1"/>
  <c r="O156" i="1"/>
  <c r="O157" i="1"/>
  <c r="O158" i="1"/>
  <c r="O78" i="1"/>
  <c r="O79" i="1"/>
  <c r="O63" i="1"/>
  <c r="O64" i="1"/>
  <c r="O65" i="1"/>
  <c r="O66" i="1"/>
  <c r="O67" i="1"/>
  <c r="O80" i="1"/>
  <c r="O81" i="1"/>
  <c r="O82" i="1"/>
  <c r="O83" i="1"/>
  <c r="O84" i="1"/>
  <c r="O85" i="1"/>
  <c r="O86" i="1"/>
  <c r="O87" i="1"/>
  <c r="O88" i="1"/>
  <c r="O89" i="1"/>
  <c r="O159" i="1"/>
  <c r="O90" i="1"/>
  <c r="O91" i="1"/>
  <c r="O92" i="1"/>
  <c r="O93" i="1"/>
  <c r="O160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1" i="1"/>
  <c r="O12" i="1"/>
  <c r="O13" i="1"/>
  <c r="O14" i="1"/>
  <c r="O68" i="1"/>
  <c r="O69" i="1"/>
  <c r="O70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161" i="1"/>
  <c r="O162" i="1"/>
  <c r="O29" i="1"/>
  <c r="O163" i="1"/>
  <c r="O164" i="1"/>
  <c r="O30" i="1"/>
  <c r="O71" i="1"/>
  <c r="O72" i="1"/>
  <c r="O73" i="1"/>
  <c r="O74" i="1"/>
  <c r="O75" i="1"/>
  <c r="O76" i="1"/>
  <c r="O77" i="1"/>
  <c r="O122" i="1"/>
  <c r="O31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32" i="1"/>
  <c r="O33" i="1"/>
  <c r="O34" i="1"/>
  <c r="O123" i="1"/>
  <c r="O124" i="1"/>
  <c r="O125" i="1"/>
  <c r="O126" i="1"/>
  <c r="O127" i="1"/>
  <c r="O128" i="1"/>
  <c r="O35" i="1"/>
  <c r="O129" i="1"/>
  <c r="O130" i="1"/>
  <c r="O36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90" i="1"/>
  <c r="O191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P165" i="1"/>
  <c r="Q165" i="1"/>
  <c r="Q61" i="1"/>
  <c r="R165" i="1"/>
  <c r="T165" i="1" s="1"/>
  <c r="S78" i="1"/>
  <c r="S165" i="1"/>
  <c r="E3" i="31"/>
  <c r="E4" i="31"/>
  <c r="E5" i="31"/>
  <c r="E6" i="31"/>
  <c r="E7" i="31"/>
  <c r="E8" i="31"/>
  <c r="E9" i="31"/>
  <c r="E10" i="31"/>
  <c r="E11" i="31"/>
  <c r="E12" i="31"/>
  <c r="E13" i="31"/>
  <c r="E14" i="31"/>
  <c r="E15" i="31"/>
  <c r="E16" i="31"/>
  <c r="E17" i="31"/>
  <c r="E18" i="31"/>
  <c r="E19" i="31"/>
  <c r="E20" i="31"/>
  <c r="E21" i="31"/>
  <c r="E22" i="31"/>
  <c r="E23" i="31"/>
  <c r="E24" i="31"/>
  <c r="E25" i="31"/>
  <c r="E26" i="31"/>
  <c r="E27" i="31"/>
  <c r="E28" i="31"/>
  <c r="E29" i="31"/>
  <c r="E30" i="31"/>
  <c r="E31" i="31"/>
  <c r="E32" i="31"/>
  <c r="E33" i="31"/>
  <c r="E34" i="31"/>
  <c r="E35" i="31"/>
  <c r="E36" i="31"/>
  <c r="E37" i="31"/>
  <c r="E38" i="31"/>
  <c r="E39" i="31"/>
  <c r="E40" i="31"/>
  <c r="E41" i="31"/>
  <c r="E42" i="31"/>
  <c r="E43" i="31"/>
  <c r="E44" i="31"/>
  <c r="E45" i="31"/>
  <c r="E46" i="31"/>
  <c r="E47" i="31"/>
  <c r="E48" i="31"/>
  <c r="E49" i="31"/>
  <c r="E50" i="31"/>
  <c r="E51" i="31"/>
  <c r="E52" i="31"/>
  <c r="E53" i="31"/>
  <c r="E54" i="31"/>
  <c r="E55" i="31"/>
  <c r="E56" i="31"/>
  <c r="E57" i="31"/>
  <c r="E58" i="31"/>
  <c r="E59" i="31"/>
  <c r="E60" i="31"/>
  <c r="E2" i="31"/>
  <c r="A147" i="1"/>
  <c r="O147" i="1"/>
  <c r="P61" i="1" l="1"/>
  <c r="S61" i="1"/>
  <c r="R30" i="1"/>
  <c r="T30" i="1" s="1"/>
  <c r="Q30" i="1"/>
  <c r="S30" i="1"/>
  <c r="Q89" i="1"/>
  <c r="Q78" i="1"/>
  <c r="R89" i="1"/>
  <c r="T89" i="1" s="1"/>
  <c r="R78" i="1"/>
  <c r="T78" i="1" s="1"/>
  <c r="P89" i="1"/>
  <c r="A45" i="31"/>
  <c r="A40" i="31"/>
  <c r="A3" i="31"/>
  <c r="A46" i="31"/>
  <c r="A41" i="31"/>
  <c r="A4" i="31"/>
  <c r="A47" i="31"/>
  <c r="A42" i="31"/>
  <c r="A5" i="31"/>
  <c r="A48" i="31"/>
  <c r="A43" i="31"/>
  <c r="A6" i="31"/>
  <c r="A49" i="31"/>
  <c r="A7" i="31"/>
  <c r="A50" i="31"/>
  <c r="A8" i="31"/>
  <c r="A51" i="31"/>
  <c r="A9" i="31"/>
  <c r="A52" i="31"/>
  <c r="A10" i="31"/>
  <c r="A53" i="31"/>
  <c r="A11" i="31"/>
  <c r="A54" i="31"/>
  <c r="A12" i="31"/>
  <c r="A55" i="31"/>
  <c r="A13" i="31"/>
  <c r="A56" i="31"/>
  <c r="A14" i="31"/>
  <c r="A57" i="31"/>
  <c r="A15" i="31"/>
  <c r="A58" i="31"/>
  <c r="A16" i="31"/>
  <c r="A17" i="31"/>
  <c r="A18" i="31"/>
  <c r="A19" i="31"/>
  <c r="A20" i="31"/>
  <c r="A21" i="31"/>
  <c r="A22" i="31"/>
  <c r="A23" i="31"/>
  <c r="A24" i="31"/>
  <c r="A25" i="31"/>
  <c r="A26" i="31"/>
  <c r="A27" i="31"/>
  <c r="A28" i="31"/>
  <c r="A29" i="31"/>
  <c r="A59" i="31"/>
  <c r="A30" i="31"/>
  <c r="A31" i="31"/>
  <c r="A32" i="31"/>
  <c r="A33" i="31"/>
  <c r="A60" i="31"/>
  <c r="A44" i="31"/>
  <c r="A34" i="31"/>
  <c r="A35" i="31"/>
  <c r="A36" i="31"/>
  <c r="A37" i="31"/>
  <c r="A38" i="31"/>
  <c r="A39" i="31"/>
  <c r="A2" i="31"/>
  <c r="K3" i="72" l="1"/>
  <c r="A3" i="72" s="1"/>
  <c r="A1" i="15"/>
  <c r="P7" i="1" l="1"/>
  <c r="P8" i="1"/>
  <c r="P152" i="1"/>
  <c r="P81" i="1"/>
  <c r="P95" i="1"/>
  <c r="P103" i="1"/>
  <c r="P111" i="1"/>
  <c r="P119" i="1"/>
  <c r="P69" i="1"/>
  <c r="P21" i="1"/>
  <c r="P161" i="1"/>
  <c r="P73" i="1"/>
  <c r="P173" i="1"/>
  <c r="P181" i="1"/>
  <c r="P189" i="1"/>
  <c r="P127" i="1"/>
  <c r="P133" i="1"/>
  <c r="P141" i="1"/>
  <c r="P37" i="1"/>
  <c r="P45" i="1"/>
  <c r="P52" i="1"/>
  <c r="P60" i="1"/>
  <c r="Q148" i="1"/>
  <c r="Q156" i="1"/>
  <c r="Q65" i="1"/>
  <c r="Q85" i="1"/>
  <c r="Q92" i="1"/>
  <c r="Q99" i="1"/>
  <c r="Q107" i="1"/>
  <c r="Q115" i="1"/>
  <c r="Q12" i="1"/>
  <c r="Q17" i="1"/>
  <c r="Q25" i="1"/>
  <c r="Q164" i="1"/>
  <c r="Q77" i="1"/>
  <c r="Q169" i="1"/>
  <c r="Q177" i="1"/>
  <c r="Q185" i="1"/>
  <c r="Q123" i="1"/>
  <c r="Q130" i="1"/>
  <c r="Q137" i="1"/>
  <c r="Q145" i="1"/>
  <c r="Q41" i="1"/>
  <c r="Q48" i="1"/>
  <c r="Q56" i="1"/>
  <c r="R8" i="1"/>
  <c r="T8" i="1" s="1"/>
  <c r="R152" i="1"/>
  <c r="T152" i="1" s="1"/>
  <c r="R81" i="1"/>
  <c r="T81" i="1" s="1"/>
  <c r="R95" i="1"/>
  <c r="T95" i="1" s="1"/>
  <c r="R103" i="1"/>
  <c r="T103" i="1" s="1"/>
  <c r="R111" i="1"/>
  <c r="T111" i="1" s="1"/>
  <c r="R119" i="1"/>
  <c r="T119" i="1" s="1"/>
  <c r="R69" i="1"/>
  <c r="T69" i="1" s="1"/>
  <c r="R21" i="1"/>
  <c r="T21" i="1" s="1"/>
  <c r="R161" i="1"/>
  <c r="T161" i="1" s="1"/>
  <c r="R73" i="1"/>
  <c r="T73" i="1" s="1"/>
  <c r="R173" i="1"/>
  <c r="T173" i="1" s="1"/>
  <c r="R181" i="1"/>
  <c r="T181" i="1" s="1"/>
  <c r="R189" i="1"/>
  <c r="T189" i="1" s="1"/>
  <c r="R127" i="1"/>
  <c r="T127" i="1" s="1"/>
  <c r="R133" i="1"/>
  <c r="T133" i="1" s="1"/>
  <c r="R141" i="1"/>
  <c r="T141" i="1" s="1"/>
  <c r="R37" i="1"/>
  <c r="T37" i="1" s="1"/>
  <c r="R45" i="1"/>
  <c r="T45" i="1" s="1"/>
  <c r="R52" i="1"/>
  <c r="T52" i="1" s="1"/>
  <c r="R60" i="1"/>
  <c r="T60" i="1" s="1"/>
  <c r="S148" i="1"/>
  <c r="S156" i="1"/>
  <c r="S65" i="1"/>
  <c r="S85" i="1"/>
  <c r="S92" i="1"/>
  <c r="S99" i="1"/>
  <c r="S107" i="1"/>
  <c r="S115" i="1"/>
  <c r="S12" i="1"/>
  <c r="P9" i="1"/>
  <c r="P153" i="1"/>
  <c r="P79" i="1"/>
  <c r="P82" i="1"/>
  <c r="P159" i="1"/>
  <c r="P96" i="1"/>
  <c r="P104" i="1"/>
  <c r="P112" i="1"/>
  <c r="P120" i="1"/>
  <c r="P70" i="1"/>
  <c r="P22" i="1"/>
  <c r="P162" i="1"/>
  <c r="P74" i="1"/>
  <c r="P166" i="1"/>
  <c r="P174" i="1"/>
  <c r="P182" i="1"/>
  <c r="P32" i="1"/>
  <c r="P128" i="1"/>
  <c r="P134" i="1"/>
  <c r="P142" i="1"/>
  <c r="P38" i="1"/>
  <c r="P46" i="1"/>
  <c r="P53" i="1"/>
  <c r="P10" i="1"/>
  <c r="P154" i="1"/>
  <c r="P63" i="1"/>
  <c r="P83" i="1"/>
  <c r="P90" i="1"/>
  <c r="P97" i="1"/>
  <c r="P105" i="1"/>
  <c r="P113" i="1"/>
  <c r="P121" i="1"/>
  <c r="P15" i="1"/>
  <c r="P23" i="1"/>
  <c r="P29" i="1"/>
  <c r="P75" i="1"/>
  <c r="P167" i="1"/>
  <c r="P175" i="1"/>
  <c r="P183" i="1"/>
  <c r="P33" i="1"/>
  <c r="P35" i="1"/>
  <c r="P135" i="1"/>
  <c r="P143" i="1"/>
  <c r="P39" i="1"/>
  <c r="P47" i="1"/>
  <c r="P54" i="1"/>
  <c r="P155" i="1"/>
  <c r="P64" i="1"/>
  <c r="P84" i="1"/>
  <c r="P91" i="1"/>
  <c r="P98" i="1"/>
  <c r="P106" i="1"/>
  <c r="P114" i="1"/>
  <c r="P11" i="1"/>
  <c r="P16" i="1"/>
  <c r="P24" i="1"/>
  <c r="P163" i="1"/>
  <c r="P76" i="1"/>
  <c r="P168" i="1"/>
  <c r="P176" i="1"/>
  <c r="P184" i="1"/>
  <c r="P34" i="1"/>
  <c r="P129" i="1"/>
  <c r="P136" i="1"/>
  <c r="P144" i="1"/>
  <c r="P40" i="1"/>
  <c r="P148" i="1"/>
  <c r="P156" i="1"/>
  <c r="P65" i="1"/>
  <c r="P85" i="1"/>
  <c r="P92" i="1"/>
  <c r="P99" i="1"/>
  <c r="P107" i="1"/>
  <c r="P115" i="1"/>
  <c r="P12" i="1"/>
  <c r="P17" i="1"/>
  <c r="P25" i="1"/>
  <c r="P164" i="1"/>
  <c r="P77" i="1"/>
  <c r="P169" i="1"/>
  <c r="P177" i="1"/>
  <c r="P185" i="1"/>
  <c r="P123" i="1"/>
  <c r="P130" i="1"/>
  <c r="P137" i="1"/>
  <c r="P145" i="1"/>
  <c r="P41" i="1"/>
  <c r="P48" i="1"/>
  <c r="P56" i="1"/>
  <c r="Q8" i="1"/>
  <c r="Q152" i="1"/>
  <c r="Q81" i="1"/>
  <c r="Q95" i="1"/>
  <c r="Q103" i="1"/>
  <c r="Q111" i="1"/>
  <c r="Q119" i="1"/>
  <c r="Q69" i="1"/>
  <c r="Q21" i="1"/>
  <c r="Q161" i="1"/>
  <c r="Q73" i="1"/>
  <c r="Q173" i="1"/>
  <c r="Q181" i="1"/>
  <c r="Q189" i="1"/>
  <c r="Q127" i="1"/>
  <c r="Q133" i="1"/>
  <c r="Q141" i="1"/>
  <c r="Q37" i="1"/>
  <c r="Q45" i="1"/>
  <c r="Q52" i="1"/>
  <c r="Q60" i="1"/>
  <c r="R148" i="1"/>
  <c r="T148" i="1" s="1"/>
  <c r="R156" i="1"/>
  <c r="T156" i="1" s="1"/>
  <c r="R65" i="1"/>
  <c r="T65" i="1" s="1"/>
  <c r="R85" i="1"/>
  <c r="T85" i="1" s="1"/>
  <c r="R92" i="1"/>
  <c r="T92" i="1" s="1"/>
  <c r="R99" i="1"/>
  <c r="T99" i="1" s="1"/>
  <c r="R107" i="1"/>
  <c r="T107" i="1" s="1"/>
  <c r="R115" i="1"/>
  <c r="T115" i="1" s="1"/>
  <c r="R12" i="1"/>
  <c r="T12" i="1" s="1"/>
  <c r="R17" i="1"/>
  <c r="T17" i="1" s="1"/>
  <c r="R25" i="1"/>
  <c r="T25" i="1" s="1"/>
  <c r="R164" i="1"/>
  <c r="T164" i="1" s="1"/>
  <c r="R77" i="1"/>
  <c r="T77" i="1" s="1"/>
  <c r="R169" i="1"/>
  <c r="T169" i="1" s="1"/>
  <c r="R177" i="1"/>
  <c r="T177" i="1" s="1"/>
  <c r="R185" i="1"/>
  <c r="T185" i="1" s="1"/>
  <c r="R123" i="1"/>
  <c r="T123" i="1" s="1"/>
  <c r="R130" i="1"/>
  <c r="T130" i="1" s="1"/>
  <c r="R137" i="1"/>
  <c r="T137" i="1" s="1"/>
  <c r="R145" i="1"/>
  <c r="T145" i="1" s="1"/>
  <c r="R41" i="1"/>
  <c r="T41" i="1" s="1"/>
  <c r="R48" i="1"/>
  <c r="T48" i="1" s="1"/>
  <c r="R56" i="1"/>
  <c r="T56" i="1" s="1"/>
  <c r="S8" i="1"/>
  <c r="S152" i="1"/>
  <c r="S81" i="1"/>
  <c r="S95" i="1"/>
  <c r="S103" i="1"/>
  <c r="S111" i="1"/>
  <c r="S119" i="1"/>
  <c r="S69" i="1"/>
  <c r="S21" i="1"/>
  <c r="S161" i="1"/>
  <c r="S73" i="1"/>
  <c r="S173" i="1"/>
  <c r="S181" i="1"/>
  <c r="S189" i="1"/>
  <c r="S127" i="1"/>
  <c r="S133" i="1"/>
  <c r="P149" i="1"/>
  <c r="P157" i="1"/>
  <c r="P66" i="1"/>
  <c r="P86" i="1"/>
  <c r="P93" i="1"/>
  <c r="P100" i="1"/>
  <c r="P108" i="1"/>
  <c r="P116" i="1"/>
  <c r="P13" i="1"/>
  <c r="P18" i="1"/>
  <c r="P26" i="1"/>
  <c r="P122" i="1"/>
  <c r="P170" i="1"/>
  <c r="P178" i="1"/>
  <c r="P186" i="1"/>
  <c r="P124" i="1"/>
  <c r="P36" i="1"/>
  <c r="P138" i="1"/>
  <c r="P146" i="1"/>
  <c r="P42" i="1"/>
  <c r="P49" i="1"/>
  <c r="P57" i="1"/>
  <c r="Q9" i="1"/>
  <c r="Q153" i="1"/>
  <c r="Q79" i="1"/>
  <c r="Q82" i="1"/>
  <c r="Q159" i="1"/>
  <c r="Q96" i="1"/>
  <c r="Q104" i="1"/>
  <c r="Q112" i="1"/>
  <c r="Q120" i="1"/>
  <c r="Q70" i="1"/>
  <c r="Q22" i="1"/>
  <c r="Q162" i="1"/>
  <c r="Q74" i="1"/>
  <c r="Q166" i="1"/>
  <c r="Q174" i="1"/>
  <c r="Q182" i="1"/>
  <c r="Q32" i="1"/>
  <c r="Q128" i="1"/>
  <c r="Q134" i="1"/>
  <c r="Q142" i="1"/>
  <c r="Q38" i="1"/>
  <c r="Q46" i="1"/>
  <c r="Q53" i="1"/>
  <c r="R149" i="1"/>
  <c r="T149" i="1" s="1"/>
  <c r="R157" i="1"/>
  <c r="T157" i="1" s="1"/>
  <c r="R66" i="1"/>
  <c r="T66" i="1" s="1"/>
  <c r="R86" i="1"/>
  <c r="T86" i="1" s="1"/>
  <c r="R93" i="1"/>
  <c r="T93" i="1" s="1"/>
  <c r="R100" i="1"/>
  <c r="T100" i="1" s="1"/>
  <c r="R108" i="1"/>
  <c r="T108" i="1" s="1"/>
  <c r="R116" i="1"/>
  <c r="T116" i="1" s="1"/>
  <c r="R13" i="1"/>
  <c r="T13" i="1" s="1"/>
  <c r="R18" i="1"/>
  <c r="T18" i="1" s="1"/>
  <c r="R26" i="1"/>
  <c r="T26" i="1" s="1"/>
  <c r="R122" i="1"/>
  <c r="T122" i="1" s="1"/>
  <c r="R170" i="1"/>
  <c r="T170" i="1" s="1"/>
  <c r="R178" i="1"/>
  <c r="T178" i="1" s="1"/>
  <c r="R186" i="1"/>
  <c r="T186" i="1" s="1"/>
  <c r="R124" i="1"/>
  <c r="T124" i="1" s="1"/>
  <c r="R36" i="1"/>
  <c r="T36" i="1" s="1"/>
  <c r="R138" i="1"/>
  <c r="T138" i="1" s="1"/>
  <c r="R146" i="1"/>
  <c r="T146" i="1" s="1"/>
  <c r="R42" i="1"/>
  <c r="T42" i="1" s="1"/>
  <c r="R49" i="1"/>
  <c r="T49" i="1" s="1"/>
  <c r="R57" i="1"/>
  <c r="T57" i="1" s="1"/>
  <c r="S9" i="1"/>
  <c r="S153" i="1"/>
  <c r="S79" i="1"/>
  <c r="S82" i="1"/>
  <c r="S159" i="1"/>
  <c r="S96" i="1"/>
  <c r="S104" i="1"/>
  <c r="S112" i="1"/>
  <c r="S120" i="1"/>
  <c r="S70" i="1"/>
  <c r="S22" i="1"/>
  <c r="S162" i="1"/>
  <c r="P150" i="1"/>
  <c r="P158" i="1"/>
  <c r="P67" i="1"/>
  <c r="P87" i="1"/>
  <c r="P160" i="1"/>
  <c r="P101" i="1"/>
  <c r="P109" i="1"/>
  <c r="P117" i="1"/>
  <c r="P14" i="1"/>
  <c r="P19" i="1"/>
  <c r="P27" i="1"/>
  <c r="P71" i="1"/>
  <c r="P171" i="1"/>
  <c r="P179" i="1"/>
  <c r="P187" i="1"/>
  <c r="P125" i="1"/>
  <c r="P131" i="1"/>
  <c r="P139" i="1"/>
  <c r="P190" i="1"/>
  <c r="P43" i="1"/>
  <c r="P50" i="1"/>
  <c r="P58" i="1"/>
  <c r="Q10" i="1"/>
  <c r="P151" i="1"/>
  <c r="P118" i="1"/>
  <c r="P172" i="1"/>
  <c r="P51" i="1"/>
  <c r="Q150" i="1"/>
  <c r="Q64" i="1"/>
  <c r="Q88" i="1"/>
  <c r="Q98" i="1"/>
  <c r="Q110" i="1"/>
  <c r="Q13" i="1"/>
  <c r="Q23" i="1"/>
  <c r="Q71" i="1"/>
  <c r="Q167" i="1"/>
  <c r="Q179" i="1"/>
  <c r="Q34" i="1"/>
  <c r="Q132" i="1"/>
  <c r="Q146" i="1"/>
  <c r="Q47" i="1"/>
  <c r="Q58" i="1"/>
  <c r="R150" i="1"/>
  <c r="T150" i="1" s="1"/>
  <c r="R63" i="1"/>
  <c r="T63" i="1" s="1"/>
  <c r="R88" i="1"/>
  <c r="T88" i="1" s="1"/>
  <c r="R97" i="1"/>
  <c r="T97" i="1" s="1"/>
  <c r="R110" i="1"/>
  <c r="T110" i="1" s="1"/>
  <c r="R11" i="1"/>
  <c r="T11" i="1" s="1"/>
  <c r="R22" i="1"/>
  <c r="T22" i="1" s="1"/>
  <c r="R176" i="1"/>
  <c r="T176" i="1" s="1"/>
  <c r="R32" i="1"/>
  <c r="T32" i="1" s="1"/>
  <c r="R131" i="1"/>
  <c r="T131" i="1" s="1"/>
  <c r="R143" i="1"/>
  <c r="T143" i="1" s="1"/>
  <c r="R44" i="1"/>
  <c r="T44" i="1" s="1"/>
  <c r="R55" i="1"/>
  <c r="T55" i="1" s="1"/>
  <c r="S149" i="1"/>
  <c r="S63" i="1"/>
  <c r="S87" i="1"/>
  <c r="S97" i="1"/>
  <c r="S109" i="1"/>
  <c r="S11" i="1"/>
  <c r="S19" i="1"/>
  <c r="P68" i="1"/>
  <c r="P180" i="1"/>
  <c r="P55" i="1"/>
  <c r="Q151" i="1"/>
  <c r="Q66" i="1"/>
  <c r="Q100" i="1"/>
  <c r="Q113" i="1"/>
  <c r="Q14" i="1"/>
  <c r="Q24" i="1"/>
  <c r="Q72" i="1"/>
  <c r="Q168" i="1"/>
  <c r="Q180" i="1"/>
  <c r="Q124" i="1"/>
  <c r="Q135" i="1"/>
  <c r="Q190" i="1"/>
  <c r="Q59" i="1"/>
  <c r="R151" i="1"/>
  <c r="T151" i="1" s="1"/>
  <c r="R64" i="1"/>
  <c r="T64" i="1" s="1"/>
  <c r="R98" i="1"/>
  <c r="T98" i="1" s="1"/>
  <c r="R112" i="1"/>
  <c r="T112" i="1" s="1"/>
  <c r="R14" i="1"/>
  <c r="T14" i="1" s="1"/>
  <c r="R23" i="1"/>
  <c r="T23" i="1" s="1"/>
  <c r="R71" i="1"/>
  <c r="T71" i="1" s="1"/>
  <c r="R166" i="1"/>
  <c r="T166" i="1" s="1"/>
  <c r="R179" i="1"/>
  <c r="T179" i="1" s="1"/>
  <c r="R33" i="1"/>
  <c r="T33" i="1" s="1"/>
  <c r="R132" i="1"/>
  <c r="T132" i="1" s="1"/>
  <c r="R144" i="1"/>
  <c r="T144" i="1" s="1"/>
  <c r="R46" i="1"/>
  <c r="T46" i="1" s="1"/>
  <c r="R58" i="1"/>
  <c r="T58" i="1" s="1"/>
  <c r="S150" i="1"/>
  <c r="S64" i="1"/>
  <c r="S88" i="1"/>
  <c r="S98" i="1"/>
  <c r="S110" i="1"/>
  <c r="P80" i="1"/>
  <c r="P20" i="1"/>
  <c r="P188" i="1"/>
  <c r="P59" i="1"/>
  <c r="Q154" i="1"/>
  <c r="Q67" i="1"/>
  <c r="Q90" i="1"/>
  <c r="Q101" i="1"/>
  <c r="Q114" i="1"/>
  <c r="Q68" i="1"/>
  <c r="Q26" i="1"/>
  <c r="Q75" i="1"/>
  <c r="Q170" i="1"/>
  <c r="Q183" i="1"/>
  <c r="Q125" i="1"/>
  <c r="Q136" i="1"/>
  <c r="Q191" i="1"/>
  <c r="Q49" i="1"/>
  <c r="R153" i="1"/>
  <c r="T153" i="1" s="1"/>
  <c r="R67" i="1"/>
  <c r="T67" i="1" s="1"/>
  <c r="R159" i="1"/>
  <c r="T159" i="1" s="1"/>
  <c r="R101" i="1"/>
  <c r="T101" i="1" s="1"/>
  <c r="R113" i="1"/>
  <c r="T113" i="1" s="1"/>
  <c r="R68" i="1"/>
  <c r="T68" i="1" s="1"/>
  <c r="R24" i="1"/>
  <c r="T24" i="1" s="1"/>
  <c r="R72" i="1"/>
  <c r="T72" i="1" s="1"/>
  <c r="R167" i="1"/>
  <c r="T167" i="1" s="1"/>
  <c r="R180" i="1"/>
  <c r="T180" i="1" s="1"/>
  <c r="R34" i="1"/>
  <c r="T34" i="1" s="1"/>
  <c r="R134" i="1"/>
  <c r="T134" i="1" s="1"/>
  <c r="R190" i="1"/>
  <c r="T190" i="1" s="1"/>
  <c r="R47" i="1"/>
  <c r="T47" i="1" s="1"/>
  <c r="R59" i="1"/>
  <c r="T59" i="1" s="1"/>
  <c r="S151" i="1"/>
  <c r="S66" i="1"/>
  <c r="S100" i="1"/>
  <c r="S113" i="1"/>
  <c r="S14" i="1"/>
  <c r="S23" i="1"/>
  <c r="S164" i="1"/>
  <c r="S122" i="1"/>
  <c r="S170" i="1"/>
  <c r="S179" i="1"/>
  <c r="S188" i="1"/>
  <c r="S128" i="1"/>
  <c r="S135" i="1"/>
  <c r="S143" i="1"/>
  <c r="S39" i="1"/>
  <c r="S47" i="1"/>
  <c r="S54" i="1"/>
  <c r="S62" i="1"/>
  <c r="R136" i="1"/>
  <c r="T136" i="1" s="1"/>
  <c r="S25" i="1"/>
  <c r="P88" i="1"/>
  <c r="P28" i="1"/>
  <c r="P126" i="1"/>
  <c r="Q155" i="1"/>
  <c r="Q80" i="1"/>
  <c r="Q91" i="1"/>
  <c r="Q102" i="1"/>
  <c r="Q116" i="1"/>
  <c r="Q15" i="1"/>
  <c r="Q27" i="1"/>
  <c r="Q76" i="1"/>
  <c r="Q171" i="1"/>
  <c r="Q184" i="1"/>
  <c r="Q126" i="1"/>
  <c r="Q138" i="1"/>
  <c r="Q39" i="1"/>
  <c r="Q50" i="1"/>
  <c r="Q62" i="1"/>
  <c r="R154" i="1"/>
  <c r="T154" i="1" s="1"/>
  <c r="R80" i="1"/>
  <c r="T80" i="1" s="1"/>
  <c r="R90" i="1"/>
  <c r="T90" i="1" s="1"/>
  <c r="R102" i="1"/>
  <c r="T102" i="1" s="1"/>
  <c r="R114" i="1"/>
  <c r="T114" i="1" s="1"/>
  <c r="R70" i="1"/>
  <c r="T70" i="1" s="1"/>
  <c r="R27" i="1"/>
  <c r="T27" i="1" s="1"/>
  <c r="R74" i="1"/>
  <c r="T74" i="1" s="1"/>
  <c r="R168" i="1"/>
  <c r="T168" i="1" s="1"/>
  <c r="R182" i="1"/>
  <c r="T182" i="1" s="1"/>
  <c r="R125" i="1"/>
  <c r="T125" i="1" s="1"/>
  <c r="R135" i="1"/>
  <c r="T135" i="1" s="1"/>
  <c r="R191" i="1"/>
  <c r="T191" i="1" s="1"/>
  <c r="S154" i="1"/>
  <c r="S67" i="1"/>
  <c r="S90" i="1"/>
  <c r="S101" i="1"/>
  <c r="S114" i="1"/>
  <c r="S68" i="1"/>
  <c r="S24" i="1"/>
  <c r="S171" i="1"/>
  <c r="S180" i="1"/>
  <c r="S32" i="1"/>
  <c r="S35" i="1"/>
  <c r="S136" i="1"/>
  <c r="S144" i="1"/>
  <c r="S40" i="1"/>
  <c r="S55" i="1"/>
  <c r="R62" i="1"/>
  <c r="T62" i="1" s="1"/>
  <c r="S102" i="1"/>
  <c r="S15" i="1"/>
  <c r="S31" i="1"/>
  <c r="S172" i="1"/>
  <c r="S33" i="1"/>
  <c r="S137" i="1"/>
  <c r="P132" i="1"/>
  <c r="P62" i="1"/>
  <c r="Q157" i="1"/>
  <c r="Q83" i="1"/>
  <c r="Q93" i="1"/>
  <c r="Q105" i="1"/>
  <c r="Q117" i="1"/>
  <c r="Q16" i="1"/>
  <c r="Q28" i="1"/>
  <c r="Q122" i="1"/>
  <c r="Q172" i="1"/>
  <c r="Q186" i="1"/>
  <c r="Q35" i="1"/>
  <c r="Q139" i="1"/>
  <c r="Q40" i="1"/>
  <c r="Q51" i="1"/>
  <c r="R7" i="1"/>
  <c r="T7" i="1" s="1"/>
  <c r="R155" i="1"/>
  <c r="T155" i="1" s="1"/>
  <c r="R82" i="1"/>
  <c r="T82" i="1" s="1"/>
  <c r="R91" i="1"/>
  <c r="T91" i="1" s="1"/>
  <c r="R104" i="1"/>
  <c r="T104" i="1" s="1"/>
  <c r="R117" i="1"/>
  <c r="T117" i="1" s="1"/>
  <c r="R15" i="1"/>
  <c r="T15" i="1" s="1"/>
  <c r="R28" i="1"/>
  <c r="T28" i="1" s="1"/>
  <c r="R75" i="1"/>
  <c r="T75" i="1" s="1"/>
  <c r="R171" i="1"/>
  <c r="T171" i="1" s="1"/>
  <c r="R183" i="1"/>
  <c r="T183" i="1" s="1"/>
  <c r="R126" i="1"/>
  <c r="T126" i="1" s="1"/>
  <c r="R38" i="1"/>
  <c r="T38" i="1" s="1"/>
  <c r="R50" i="1"/>
  <c r="T50" i="1" s="1"/>
  <c r="S155" i="1"/>
  <c r="S80" i="1"/>
  <c r="S91" i="1"/>
  <c r="S116" i="1"/>
  <c r="S71" i="1"/>
  <c r="S182" i="1"/>
  <c r="S129" i="1"/>
  <c r="S41" i="1"/>
  <c r="P94" i="1"/>
  <c r="P72" i="1"/>
  <c r="P140" i="1"/>
  <c r="Q7" i="1"/>
  <c r="Q158" i="1"/>
  <c r="Q84" i="1"/>
  <c r="Q160" i="1"/>
  <c r="Q106" i="1"/>
  <c r="Q118" i="1"/>
  <c r="Q18" i="1"/>
  <c r="Q29" i="1"/>
  <c r="Q175" i="1"/>
  <c r="Q187" i="1"/>
  <c r="Q129" i="1"/>
  <c r="Q140" i="1"/>
  <c r="Q42" i="1"/>
  <c r="Q54" i="1"/>
  <c r="R9" i="1"/>
  <c r="T9" i="1" s="1"/>
  <c r="R158" i="1"/>
  <c r="T158" i="1" s="1"/>
  <c r="R83" i="1"/>
  <c r="T83" i="1" s="1"/>
  <c r="R160" i="1"/>
  <c r="T160" i="1" s="1"/>
  <c r="R105" i="1"/>
  <c r="T105" i="1" s="1"/>
  <c r="R118" i="1"/>
  <c r="T118" i="1" s="1"/>
  <c r="R16" i="1"/>
  <c r="T16" i="1" s="1"/>
  <c r="R162" i="1"/>
  <c r="T162" i="1" s="1"/>
  <c r="R76" i="1"/>
  <c r="T76" i="1" s="1"/>
  <c r="R172" i="1"/>
  <c r="T172" i="1" s="1"/>
  <c r="R184" i="1"/>
  <c r="T184" i="1" s="1"/>
  <c r="R128" i="1"/>
  <c r="T128" i="1" s="1"/>
  <c r="R139" i="1"/>
  <c r="T139" i="1" s="1"/>
  <c r="R39" i="1"/>
  <c r="T39" i="1" s="1"/>
  <c r="R51" i="1"/>
  <c r="T51" i="1" s="1"/>
  <c r="S7" i="1"/>
  <c r="S157" i="1"/>
  <c r="S83" i="1"/>
  <c r="S93" i="1"/>
  <c r="S105" i="1"/>
  <c r="S117" i="1"/>
  <c r="P102" i="1"/>
  <c r="P31" i="1"/>
  <c r="P191" i="1"/>
  <c r="Q86" i="1"/>
  <c r="Q94" i="1"/>
  <c r="Q108" i="1"/>
  <c r="Q121" i="1"/>
  <c r="Q19" i="1"/>
  <c r="Q163" i="1"/>
  <c r="Q31" i="1"/>
  <c r="Q176" i="1"/>
  <c r="Q188" i="1"/>
  <c r="Q36" i="1"/>
  <c r="Q143" i="1"/>
  <c r="Q43" i="1"/>
  <c r="Q55" i="1"/>
  <c r="R10" i="1"/>
  <c r="T10" i="1" s="1"/>
  <c r="R84" i="1"/>
  <c r="T84" i="1" s="1"/>
  <c r="R94" i="1"/>
  <c r="T94" i="1" s="1"/>
  <c r="R106" i="1"/>
  <c r="T106" i="1" s="1"/>
  <c r="R120" i="1"/>
  <c r="T120" i="1" s="1"/>
  <c r="R19" i="1"/>
  <c r="T19" i="1" s="1"/>
  <c r="R29" i="1"/>
  <c r="T29" i="1" s="1"/>
  <c r="R174" i="1"/>
  <c r="T174" i="1" s="1"/>
  <c r="R187" i="1"/>
  <c r="T187" i="1" s="1"/>
  <c r="R35" i="1"/>
  <c r="T35" i="1" s="1"/>
  <c r="R140" i="1"/>
  <c r="T140" i="1" s="1"/>
  <c r="R40" i="1"/>
  <c r="T40" i="1" s="1"/>
  <c r="R53" i="1"/>
  <c r="T53" i="1" s="1"/>
  <c r="S10" i="1"/>
  <c r="S158" i="1"/>
  <c r="S84" i="1"/>
  <c r="S160" i="1"/>
  <c r="S106" i="1"/>
  <c r="S118" i="1"/>
  <c r="S17" i="1"/>
  <c r="S27" i="1"/>
  <c r="S74" i="1"/>
  <c r="S166" i="1"/>
  <c r="S175" i="1"/>
  <c r="S184" i="1"/>
  <c r="S123" i="1"/>
  <c r="S36" i="1"/>
  <c r="S139" i="1"/>
  <c r="S190" i="1"/>
  <c r="S43" i="1"/>
  <c r="S50" i="1"/>
  <c r="S58" i="1"/>
  <c r="P110" i="1"/>
  <c r="P44" i="1"/>
  <c r="Q33" i="1"/>
  <c r="R79" i="1"/>
  <c r="T79" i="1" s="1"/>
  <c r="R54" i="1"/>
  <c r="T54" i="1" s="1"/>
  <c r="S121" i="1"/>
  <c r="S163" i="1"/>
  <c r="S168" i="1"/>
  <c r="S186" i="1"/>
  <c r="S132" i="1"/>
  <c r="S191" i="1"/>
  <c r="S49" i="1"/>
  <c r="Q97" i="1"/>
  <c r="Q131" i="1"/>
  <c r="R87" i="1"/>
  <c r="T87" i="1" s="1"/>
  <c r="R31" i="1"/>
  <c r="T31" i="1" s="1"/>
  <c r="S13" i="1"/>
  <c r="S169" i="1"/>
  <c r="S187" i="1"/>
  <c r="S134" i="1"/>
  <c r="S37" i="1"/>
  <c r="S51" i="1"/>
  <c r="S53" i="1"/>
  <c r="R109" i="1"/>
  <c r="T109" i="1" s="1"/>
  <c r="S125" i="1"/>
  <c r="S146" i="1"/>
  <c r="Q109" i="1"/>
  <c r="Q144" i="1"/>
  <c r="S16" i="1"/>
  <c r="S72" i="1"/>
  <c r="S174" i="1"/>
  <c r="S34" i="1"/>
  <c r="S138" i="1"/>
  <c r="S38" i="1"/>
  <c r="S52" i="1"/>
  <c r="Q11" i="1"/>
  <c r="Q44" i="1"/>
  <c r="R96" i="1"/>
  <c r="T96" i="1" s="1"/>
  <c r="R175" i="1"/>
  <c r="T175" i="1" s="1"/>
  <c r="S18" i="1"/>
  <c r="S75" i="1"/>
  <c r="S176" i="1"/>
  <c r="S124" i="1"/>
  <c r="S140" i="1"/>
  <c r="S42" i="1"/>
  <c r="Q20" i="1"/>
  <c r="Q57" i="1"/>
  <c r="R188" i="1"/>
  <c r="T188" i="1" s="1"/>
  <c r="S86" i="1"/>
  <c r="S20" i="1"/>
  <c r="S76" i="1"/>
  <c r="S141" i="1"/>
  <c r="S44" i="1"/>
  <c r="S131" i="1"/>
  <c r="Q149" i="1"/>
  <c r="S177" i="1"/>
  <c r="S56" i="1"/>
  <c r="S60" i="1"/>
  <c r="R121" i="1"/>
  <c r="T121" i="1" s="1"/>
  <c r="R129" i="1"/>
  <c r="T129" i="1" s="1"/>
  <c r="S26" i="1"/>
  <c r="S77" i="1"/>
  <c r="S178" i="1"/>
  <c r="S126" i="1"/>
  <c r="S142" i="1"/>
  <c r="S45" i="1"/>
  <c r="S57" i="1"/>
  <c r="Q63" i="1"/>
  <c r="R20" i="1"/>
  <c r="T20" i="1" s="1"/>
  <c r="R142" i="1"/>
  <c r="T142" i="1" s="1"/>
  <c r="S94" i="1"/>
  <c r="S28" i="1"/>
  <c r="S183" i="1"/>
  <c r="S130" i="1"/>
  <c r="S145" i="1"/>
  <c r="S46" i="1"/>
  <c r="S59" i="1"/>
  <c r="Q87" i="1"/>
  <c r="Q178" i="1"/>
  <c r="R163" i="1"/>
  <c r="T163" i="1" s="1"/>
  <c r="R43" i="1"/>
  <c r="T43" i="1" s="1"/>
  <c r="S108" i="1"/>
  <c r="S29" i="1"/>
  <c r="S167" i="1"/>
  <c r="S185" i="1"/>
  <c r="S48" i="1"/>
  <c r="P147" i="1"/>
  <c r="Q147" i="1"/>
  <c r="R147" i="1"/>
  <c r="T147" i="1" s="1"/>
  <c r="S147" i="1"/>
  <c r="D4" i="1"/>
</calcChain>
</file>

<file path=xl/sharedStrings.xml><?xml version="1.0" encoding="utf-8"?>
<sst xmlns="http://schemas.openxmlformats.org/spreadsheetml/2006/main" count="8553" uniqueCount="462">
  <si>
    <t>Centro</t>
  </si>
  <si>
    <t>Denomin.</t>
  </si>
  <si>
    <t>Almacén</t>
  </si>
  <si>
    <t>Cl.mov.</t>
  </si>
  <si>
    <t>Proveedor</t>
  </si>
  <si>
    <t>Usuario Almacen</t>
  </si>
  <si>
    <t>Solicitante</t>
  </si>
  <si>
    <t>Comprador</t>
  </si>
  <si>
    <t>Pedido</t>
  </si>
  <si>
    <t>Doc.mat.</t>
  </si>
  <si>
    <t>Referencia</t>
  </si>
  <si>
    <t>Cantidad</t>
  </si>
  <si>
    <t>Evaluación proveedor</t>
  </si>
  <si>
    <t>Fec. Entrega</t>
  </si>
  <si>
    <t>Codigo</t>
  </si>
  <si>
    <t>Imputación</t>
  </si>
  <si>
    <t>Concatenar</t>
  </si>
  <si>
    <t>Fecha Ini.</t>
  </si>
  <si>
    <t>Fecha Fin.</t>
  </si>
  <si>
    <t>Almacen</t>
  </si>
  <si>
    <t>UM</t>
  </si>
  <si>
    <t>Material</t>
  </si>
  <si>
    <t>Concatena</t>
  </si>
  <si>
    <t xml:space="preserve">Solicit.    </t>
  </si>
  <si>
    <t xml:space="preserve">Proveedor          </t>
  </si>
  <si>
    <t>Fe.entrega</t>
  </si>
  <si>
    <t>STOCK DE ALMACEN</t>
  </si>
  <si>
    <t>Agricola del Chira Planta</t>
  </si>
  <si>
    <t>UND</t>
  </si>
  <si>
    <t>Montelima</t>
  </si>
  <si>
    <t>Entrega Tarde</t>
  </si>
  <si>
    <t>Posición</t>
  </si>
  <si>
    <t>Posicion</t>
  </si>
  <si>
    <t>Fe.contable</t>
  </si>
  <si>
    <t>Doc.compr.</t>
  </si>
  <si>
    <t>Usuario Comprador</t>
  </si>
  <si>
    <t/>
  </si>
  <si>
    <t>SOCIEDADES</t>
  </si>
  <si>
    <t xml:space="preserve">            </t>
  </si>
  <si>
    <t>0001</t>
  </si>
  <si>
    <t>ABARONR</t>
  </si>
  <si>
    <t>Sucroalcolera del Chira Planta</t>
  </si>
  <si>
    <t xml:space="preserve">    </t>
  </si>
  <si>
    <t>Plan.Mant.Su</t>
  </si>
  <si>
    <t>Alm.</t>
  </si>
  <si>
    <t>GAL</t>
  </si>
  <si>
    <t>Plan. Mant.C</t>
  </si>
  <si>
    <t xml:space="preserve">Plan. Mant. </t>
  </si>
  <si>
    <t>ALMACÉN GENE</t>
  </si>
  <si>
    <t>FVALLADARESC</t>
  </si>
  <si>
    <t>JCHAPARROB</t>
  </si>
  <si>
    <t>JCHEROPA</t>
  </si>
  <si>
    <t>La Huaca</t>
  </si>
  <si>
    <t>Nro Almacen</t>
  </si>
  <si>
    <t>Nom Almacen</t>
  </si>
  <si>
    <t>Ce.</t>
  </si>
  <si>
    <t>Denom-almacén</t>
  </si>
  <si>
    <t>Bioenergía del Chira Planta</t>
  </si>
  <si>
    <t>Alm Insumos</t>
  </si>
  <si>
    <t>San Vicente</t>
  </si>
  <si>
    <t>Alm PT Montelima</t>
  </si>
  <si>
    <t>Alm. Huaca</t>
  </si>
  <si>
    <t>Biosalc Montelim</t>
  </si>
  <si>
    <t>TK 1304</t>
  </si>
  <si>
    <t>Parada fábrica</t>
  </si>
  <si>
    <t>Biosalc La Huaca</t>
  </si>
  <si>
    <t>TK 1305</t>
  </si>
  <si>
    <t>Biosalc Sn Vicen</t>
  </si>
  <si>
    <t>TK 1309</t>
  </si>
  <si>
    <t>Almacen Lobo</t>
  </si>
  <si>
    <t>Azucar</t>
  </si>
  <si>
    <t>Grif Mov Fren 1</t>
  </si>
  <si>
    <t>Almacén TK 1306</t>
  </si>
  <si>
    <t>Parada Fábrica</t>
  </si>
  <si>
    <t>Alm. Mtto. Prev.</t>
  </si>
  <si>
    <t>Alcohol 75%</t>
  </si>
  <si>
    <t>Ferti. Montelima</t>
  </si>
  <si>
    <t>Oficinas Piura</t>
  </si>
  <si>
    <t>Ferti. R4</t>
  </si>
  <si>
    <t>Almacén PT</t>
  </si>
  <si>
    <t>Ferti. R5</t>
  </si>
  <si>
    <t>Alm prod propios</t>
  </si>
  <si>
    <t>Ferti. Hualtaco</t>
  </si>
  <si>
    <t>Producto Observ.</t>
  </si>
  <si>
    <t>Alm frente 01</t>
  </si>
  <si>
    <t>Alm frente 02</t>
  </si>
  <si>
    <t>Alm. San Jose</t>
  </si>
  <si>
    <t>Ferti. Huaca</t>
  </si>
  <si>
    <t>Ferti. Lobo</t>
  </si>
  <si>
    <t>Ferti. SVicent01</t>
  </si>
  <si>
    <t>Ferti. SVicent02</t>
  </si>
  <si>
    <t>Ferti. SVicent03</t>
  </si>
  <si>
    <t>FERTI LOBO 2</t>
  </si>
  <si>
    <t>FERTI LOBO 3</t>
  </si>
  <si>
    <t>Grif Mov Fren 2</t>
  </si>
  <si>
    <t>Puerto Salaverry</t>
  </si>
  <si>
    <t>Insumos venc. ML</t>
  </si>
  <si>
    <t>Almacén maquila</t>
  </si>
  <si>
    <t>Insumos venc. LB</t>
  </si>
  <si>
    <t>Insumos venc. SV</t>
  </si>
  <si>
    <t>Venta ML</t>
  </si>
  <si>
    <t>Disp. Venta ML</t>
  </si>
  <si>
    <t>Venta LB</t>
  </si>
  <si>
    <t>Venta SV</t>
  </si>
  <si>
    <t>Almacén Lima</t>
  </si>
  <si>
    <t>Producto Observ</t>
  </si>
  <si>
    <t>Maquilador 2</t>
  </si>
  <si>
    <t>id</t>
  </si>
  <si>
    <t xml:space="preserve">LVILLARF    </t>
  </si>
  <si>
    <t>EMIJAHUANCAG</t>
  </si>
  <si>
    <t>IRAMOSA</t>
  </si>
  <si>
    <t xml:space="preserve">M  </t>
  </si>
  <si>
    <t xml:space="preserve">KG </t>
  </si>
  <si>
    <t>Pl Sucroalco</t>
  </si>
  <si>
    <t>Plan.mtto tr</t>
  </si>
  <si>
    <t>Plan.Mant.Bi</t>
  </si>
  <si>
    <t>Implement ag</t>
  </si>
  <si>
    <t xml:space="preserve">SNIZAMAM    </t>
  </si>
  <si>
    <t xml:space="preserve">ACAMPOSR    </t>
  </si>
  <si>
    <t xml:space="preserve">JCOBENASS   </t>
  </si>
  <si>
    <t>CENTRO DE COSTO</t>
  </si>
  <si>
    <t xml:space="preserve">JG </t>
  </si>
  <si>
    <t xml:space="preserve">NMARTINEZS  </t>
  </si>
  <si>
    <t>Mtto Mecanic</t>
  </si>
  <si>
    <t xml:space="preserve">CVEGAG      </t>
  </si>
  <si>
    <t xml:space="preserve">creyesy     </t>
  </si>
  <si>
    <t>ROL</t>
  </si>
  <si>
    <t xml:space="preserve">P. VITE     </t>
  </si>
  <si>
    <t xml:space="preserve"> Cantidad</t>
  </si>
  <si>
    <t>CJA</t>
  </si>
  <si>
    <t xml:space="preserve">OXIGENO X M3.                           </t>
  </si>
  <si>
    <t xml:space="preserve">M3 </t>
  </si>
  <si>
    <t xml:space="preserve">JALBUJARC   </t>
  </si>
  <si>
    <t>id2</t>
  </si>
  <si>
    <t>centro</t>
  </si>
  <si>
    <t>descrip</t>
  </si>
  <si>
    <t>AAGUILARMO</t>
  </si>
  <si>
    <t xml:space="preserve">AGUA D/MESA 20L BIDON SPRING            </t>
  </si>
  <si>
    <t>ESLINGA POLIESTER 3" X 5MT 4.2TN 2 CAPAS</t>
  </si>
  <si>
    <t xml:space="preserve">ASANDOVAL   </t>
  </si>
  <si>
    <t>GLN</t>
  </si>
  <si>
    <t xml:space="preserve">MANGUERA PRENSADA SAE 100R1 x 1.60M     </t>
  </si>
  <si>
    <t xml:space="preserve">STRETCH FILM 18" x 15 MIC               </t>
  </si>
  <si>
    <t xml:space="preserve">LLAVE FRANCESA 12 STANLEY               </t>
  </si>
  <si>
    <t xml:space="preserve">TUBO CONDUIT FLEXIBLE DE 1/2" FORRO PV  </t>
  </si>
  <si>
    <t>EG07-00000108</t>
  </si>
  <si>
    <t xml:space="preserve">CINTA AISLANTE SUPER 33                 </t>
  </si>
  <si>
    <t>FCO</t>
  </si>
  <si>
    <t xml:space="preserve">SOLDADURA NAZCA DUR 1000HT 3.25 1/8     </t>
  </si>
  <si>
    <t>EG07-00000021</t>
  </si>
  <si>
    <t xml:space="preserve">Lija de fierro # 180                    </t>
  </si>
  <si>
    <t>EG07-00000116</t>
  </si>
  <si>
    <t xml:space="preserve">CHALECO T/REPORTERO DRILL NRJ           </t>
  </si>
  <si>
    <t>F001-00002629</t>
  </si>
  <si>
    <t xml:space="preserve">INNERLINER SEALER 175 gr / 210 ml C/BR  </t>
  </si>
  <si>
    <t xml:space="preserve">T004-0000248 </t>
  </si>
  <si>
    <t xml:space="preserve">PASTA DE MONTAJE REMAXX DE 5KG          </t>
  </si>
  <si>
    <t>JCALDERONCHU</t>
  </si>
  <si>
    <t>Mtto Electri</t>
  </si>
  <si>
    <t>Mtto Eléctri</t>
  </si>
  <si>
    <t xml:space="preserve">ccarrillor  </t>
  </si>
  <si>
    <t>Mtto Mecánic</t>
  </si>
  <si>
    <t xml:space="preserve">AVASQUEZ    </t>
  </si>
  <si>
    <t xml:space="preserve">AVASQUEZM   </t>
  </si>
  <si>
    <t xml:space="preserve">JVENCESD </t>
  </si>
  <si>
    <t>ALACHIRAP</t>
  </si>
  <si>
    <t xml:space="preserve">INTERRUPTOR CAJA MOLD 3X2000A           </t>
  </si>
  <si>
    <t xml:space="preserve">EG01-000047  </t>
  </si>
  <si>
    <t xml:space="preserve">SIMATIC S7-1200, E/S DIGITAL SM 1223    </t>
  </si>
  <si>
    <t xml:space="preserve">EG01-000046  </t>
  </si>
  <si>
    <t xml:space="preserve">NITROGENO GAS EN BALON                  </t>
  </si>
  <si>
    <t xml:space="preserve">473-0004834  </t>
  </si>
  <si>
    <t xml:space="preserve">JVIVASS  </t>
  </si>
  <si>
    <t xml:space="preserve">FILTRO DE AIRE Cod. C47.00.096          </t>
  </si>
  <si>
    <t xml:space="preserve">0001-001305  </t>
  </si>
  <si>
    <t xml:space="preserve">ANILLO DESGASTE 39 (125,1X115X12) CF8M  </t>
  </si>
  <si>
    <t xml:space="preserve">0001-001306  </t>
  </si>
  <si>
    <t xml:space="preserve">ANILLO DESGASTE 1 (80X70,106X7,5) CF8M  </t>
  </si>
  <si>
    <t>ANILLO DESGASTE 35 (100X90,106X7,5) CL30</t>
  </si>
  <si>
    <t>ANILLO DESGASTE 38 (120X110,114X9,5)CF8M</t>
  </si>
  <si>
    <t>ANILLO DESGASTE 47(195X180,168X16,5)CF8M</t>
  </si>
  <si>
    <t xml:space="preserve">ANILLO DESGASTE 23 (300,1X270X20) CA40  </t>
  </si>
  <si>
    <t xml:space="preserve">BOCINA DESGASTE MEGA A60 Cod. 2215396   </t>
  </si>
  <si>
    <t xml:space="preserve">0001-001307  </t>
  </si>
  <si>
    <t xml:space="preserve">EJE MEGA A60 Cod. 2245496               </t>
  </si>
  <si>
    <t xml:space="preserve">RADIO TRANSMISOR PORTATIL IC-F1100D     </t>
  </si>
  <si>
    <t xml:space="preserve">0001-000771  </t>
  </si>
  <si>
    <t xml:space="preserve">FLOPEZV  </t>
  </si>
  <si>
    <t>O-RING 2-361 (5.33 X 151.77 X 162.43 MM)</t>
  </si>
  <si>
    <t xml:space="preserve">0002-006683  </t>
  </si>
  <si>
    <t xml:space="preserve">KIT COMPLETO ACOPLAMIENTO OMEGA E4      </t>
  </si>
  <si>
    <t xml:space="preserve">T001-8618    </t>
  </si>
  <si>
    <t>DMERCADOR</t>
  </si>
  <si>
    <t xml:space="preserve">ELASTOMERO OMEGA E20                    </t>
  </si>
  <si>
    <t xml:space="preserve">T001-8606    </t>
  </si>
  <si>
    <t xml:space="preserve">T001-8617    </t>
  </si>
  <si>
    <t xml:space="preserve">FILTRO DE COMBUSTIBLE 10UM FBO 60356    </t>
  </si>
  <si>
    <t xml:space="preserve">T001-8612    </t>
  </si>
  <si>
    <t xml:space="preserve">T001-8611    </t>
  </si>
  <si>
    <t xml:space="preserve">VALVULA MARIPOSA HP 3" C/CARBONO-TEFLON </t>
  </si>
  <si>
    <t>EG07-00000126</t>
  </si>
  <si>
    <t xml:space="preserve">VALVULA DE BOLA DOBLE UNIVERSAL R/H 3"  </t>
  </si>
  <si>
    <t>EG07-00000125</t>
  </si>
  <si>
    <t xml:space="preserve">GRASA GRADO ALIMENTICIO HD2             </t>
  </si>
  <si>
    <t>T001-00001863</t>
  </si>
  <si>
    <t xml:space="preserve">INTERFLON FIN SUPER  300 ml             </t>
  </si>
  <si>
    <t xml:space="preserve">PASTA PARA CORTE DE HIDROCARBUROS       </t>
  </si>
  <si>
    <t>T003-00005485</t>
  </si>
  <si>
    <t xml:space="preserve">BOQUILLA FULLJET H-15                   </t>
  </si>
  <si>
    <t xml:space="preserve">001-008658   </t>
  </si>
  <si>
    <t xml:space="preserve">BOQUILLA 3/4" HHSJ SS 120 210           </t>
  </si>
  <si>
    <t xml:space="preserve">001-008659   </t>
  </si>
  <si>
    <t xml:space="preserve">PITON CHORRO / NIEBLA DE 1.1/2"         </t>
  </si>
  <si>
    <t>T001-00008041</t>
  </si>
  <si>
    <t xml:space="preserve">SOFT STARTER SSW900 D0255T5E4           </t>
  </si>
  <si>
    <t xml:space="preserve">T001-14320   </t>
  </si>
  <si>
    <t xml:space="preserve">901-000453   </t>
  </si>
  <si>
    <t xml:space="preserve">SOLDADURA CASTEC 3055 Ø 5/32" SAGER     </t>
  </si>
  <si>
    <t xml:space="preserve">0001-011531  </t>
  </si>
  <si>
    <t xml:space="preserve">ESLINGA 1TN 1.5MTS                      </t>
  </si>
  <si>
    <t xml:space="preserve">020-0002296  </t>
  </si>
  <si>
    <t xml:space="preserve">ACETILENO POR KG                        </t>
  </si>
  <si>
    <t xml:space="preserve">901-000454   </t>
  </si>
  <si>
    <t>KIT REPARO SELLO CDPN Ø 45mm TC/TC/TC/CB</t>
  </si>
  <si>
    <t xml:space="preserve">001-0029548  </t>
  </si>
  <si>
    <t>KIT REPARO SELLO CDPN Ø 60mm TC/TC/TC/CB</t>
  </si>
  <si>
    <t xml:space="preserve">SELLO MEC MULTI CSSN Ø 45mm CB/TC       </t>
  </si>
  <si>
    <t xml:space="preserve">KIT REPARO SELLO CSSN Ø 60MM CB/TC      </t>
  </si>
  <si>
    <t xml:space="preserve">TARJETA POTENCIA MODELO CPS64.00        </t>
  </si>
  <si>
    <t xml:space="preserve">T001-14300   </t>
  </si>
  <si>
    <t xml:space="preserve">Pinza Amperimétrica Fluke 336           </t>
  </si>
  <si>
    <t xml:space="preserve">EG01-000051  </t>
  </si>
  <si>
    <t xml:space="preserve">TERMINAL  PIN 16 AWG PUNTA MOLDEABLE    </t>
  </si>
  <si>
    <t>T001-00005976</t>
  </si>
  <si>
    <t xml:space="preserve">FUSIBLE UR 250A NH gL/gG J320375C       </t>
  </si>
  <si>
    <t>T001-00005974</t>
  </si>
  <si>
    <t xml:space="preserve">Terminal tipo ojo p/ cable de 25 MM2    </t>
  </si>
  <si>
    <t xml:space="preserve">TERMINAL TIPO OJO P/ CABLE DE 16 MM2    </t>
  </si>
  <si>
    <t>CONECTOR RECTO HERMET LIQUID TIGHT 1"1/2</t>
  </si>
  <si>
    <t>TUBERIA COND. FLEX. GALV. C/FORRO PVC 2"</t>
  </si>
  <si>
    <t xml:space="preserve">LIMPIA CONTACTOS ELECTRONICOS EN SPRAY  </t>
  </si>
  <si>
    <t>T001-00005970</t>
  </si>
  <si>
    <t>T001-00005973</t>
  </si>
  <si>
    <t>CONECTOR RECTO 2" HERMETICO LIQUID TIGHT</t>
  </si>
  <si>
    <t>T001-00005975</t>
  </si>
  <si>
    <t xml:space="preserve">REFLECTOR LED 200 W 220V                </t>
  </si>
  <si>
    <t>T001-00005971</t>
  </si>
  <si>
    <t xml:space="preserve">CUBIERTA ASILANTE 25 KV MVLC-18         </t>
  </si>
  <si>
    <t>T001-00005969</t>
  </si>
  <si>
    <t xml:space="preserve">CABLE VULCANIZADO 2X16 NMT              </t>
  </si>
  <si>
    <t>T001-00005972</t>
  </si>
  <si>
    <t xml:space="preserve">Terminal tipo ojo p/ cable de 35 MM2    </t>
  </si>
  <si>
    <t xml:space="preserve">CONECTOR TIPO CUÑA AMPACT 95/95 MM2     </t>
  </si>
  <si>
    <t xml:space="preserve">CUCHILLAS INOX DE DIGESTOR TECNAL       </t>
  </si>
  <si>
    <t xml:space="preserve">002-0004973  </t>
  </si>
  <si>
    <t xml:space="preserve">TUERCA S50 x 8 Cod. 3i-5208             </t>
  </si>
  <si>
    <t xml:space="preserve">002-0004976  </t>
  </si>
  <si>
    <t xml:space="preserve">Anillo de amarre de bocinas 3i-7347     </t>
  </si>
  <si>
    <t xml:space="preserve">002-0004953  </t>
  </si>
  <si>
    <t xml:space="preserve">SOGA DE ASBESTO GRAFITADA 5/8           </t>
  </si>
  <si>
    <t xml:space="preserve">T001-8627    </t>
  </si>
  <si>
    <t xml:space="preserve">Densímetro para batería                 </t>
  </si>
  <si>
    <t xml:space="preserve">T001-8616    </t>
  </si>
  <si>
    <t>PISTOLA NEUMATICA D IMPACTO 1" 107037750</t>
  </si>
  <si>
    <t xml:space="preserve">T001-8614    </t>
  </si>
  <si>
    <t xml:space="preserve">PERNO SOCKET M 42x130 DE AJUSTE BRIDA   </t>
  </si>
  <si>
    <t xml:space="preserve">002-0004991  </t>
  </si>
  <si>
    <t xml:space="preserve">ADAPTADOR M BOSS 5/8" X M JIC 3/4"      </t>
  </si>
  <si>
    <t xml:space="preserve">004-0061810  </t>
  </si>
  <si>
    <t xml:space="preserve">ADAPTADOR M BOSS 1 X M JIC 1            </t>
  </si>
  <si>
    <t xml:space="preserve">PORTA RODAJE TROZADOR CE35534 CH570     </t>
  </si>
  <si>
    <t xml:space="preserve">T009-3105    </t>
  </si>
  <si>
    <t xml:space="preserve">ORING CAJB CH570 - N153493 -JD18        </t>
  </si>
  <si>
    <t xml:space="preserve">ACIDO TRICLOROÁCETICO x 500 GR          </t>
  </si>
  <si>
    <t xml:space="preserve">003-0468434  </t>
  </si>
  <si>
    <t xml:space="preserve">GRAMPAS PARA CABLE 1/2" FORJADAS ACERO  </t>
  </si>
  <si>
    <t xml:space="preserve">020-0002291  </t>
  </si>
  <si>
    <t xml:space="preserve">SELLO MECANICO 13529 TOYO DL20          </t>
  </si>
  <si>
    <t xml:space="preserve">RETEN LABIAL 02503 TOYO DL20            </t>
  </si>
  <si>
    <t xml:space="preserve">O-RING 13863 DL20 REF 29-4              </t>
  </si>
  <si>
    <t xml:space="preserve">BOCINA DE EJE 13460 TOYO DL20           </t>
  </si>
  <si>
    <t xml:space="preserve">KIT O-RING SELLADO 14046 TOYO DL20      </t>
  </si>
  <si>
    <t xml:space="preserve">ANILLO DEFLECTOR 4TA MASA Cod. 3i-7150  </t>
  </si>
  <si>
    <t xml:space="preserve">002-0004988  </t>
  </si>
  <si>
    <t xml:space="preserve">GUARDA MASA BAGACERA 3i-5583            </t>
  </si>
  <si>
    <t xml:space="preserve">002-0004972  </t>
  </si>
  <si>
    <t xml:space="preserve">ENSAMBLE MOTORO AIRE COD 46340-290-EPR  </t>
  </si>
  <si>
    <t xml:space="preserve">001-008660   </t>
  </si>
  <si>
    <t xml:space="preserve">JEBE P/ SELLO RETRACTIL SHINY S-833     </t>
  </si>
  <si>
    <t xml:space="preserve">RETEN DE GRASA (275775 N)               </t>
  </si>
  <si>
    <t>EG07-00000049</t>
  </si>
  <si>
    <t xml:space="preserve">CABLE ACELERADOR MANO 87347361          </t>
  </si>
  <si>
    <t>EG07-00000048</t>
  </si>
  <si>
    <t xml:space="preserve">KIT BOMBIM AUXILIAR 9960040             </t>
  </si>
  <si>
    <t>EG07-00000047</t>
  </si>
  <si>
    <t xml:space="preserve">5191454 Horquilla - Calavera 7010TM     </t>
  </si>
  <si>
    <t xml:space="preserve">87526781 ABRAZADERA 7010 TM             </t>
  </si>
  <si>
    <t xml:space="preserve">CABLE DE MANDO HIDRAULICO TM 82030042   </t>
  </si>
  <si>
    <t>EG07-00000046</t>
  </si>
  <si>
    <t xml:space="preserve">REGULADOR DE VOLTAJE T7040 87640108     </t>
  </si>
  <si>
    <t xml:space="preserve">AGUA D/MESA 20L BIDON SAN PEDRO         </t>
  </si>
  <si>
    <t xml:space="preserve">0007-004514  </t>
  </si>
  <si>
    <t xml:space="preserve">Terminal tipo pin moldeado 16 awg       </t>
  </si>
  <si>
    <t xml:space="preserve">0001-000310  </t>
  </si>
  <si>
    <t xml:space="preserve">RIEL UNISTRUST DE 2" X 1" X 3MT         </t>
  </si>
  <si>
    <t xml:space="preserve">0001-000309  </t>
  </si>
  <si>
    <t>T001-00005736</t>
  </si>
  <si>
    <t xml:space="preserve">RODAMIENTO CB01419254 - 21313EAE4       </t>
  </si>
  <si>
    <t xml:space="preserve">T006-0010313 </t>
  </si>
  <si>
    <t xml:space="preserve">RODAMIENTO JD9512 NJ-211-EC             </t>
  </si>
  <si>
    <t xml:space="preserve">RODAJE PIÑON DOBLE DE CAJA 32210        </t>
  </si>
  <si>
    <t xml:space="preserve">RODAJE PARA POLEA ALZADORA 6203 2RS C3  </t>
  </si>
  <si>
    <t xml:space="preserve">OBTURADOR TSN 522 L                     </t>
  </si>
  <si>
    <t xml:space="preserve">T006-0010314 </t>
  </si>
  <si>
    <t xml:space="preserve">CHUMACERA SKF SNL 517 TG                </t>
  </si>
  <si>
    <t xml:space="preserve">CABLE ACELEROMETRO x 1.5MT CMAK 105-K   </t>
  </si>
  <si>
    <t xml:space="preserve">013-0061379  </t>
  </si>
  <si>
    <t xml:space="preserve">LIMA ROTATIVA MT60484 12.7x25x6 SF5M    </t>
  </si>
  <si>
    <t xml:space="preserve">012-0072410  </t>
  </si>
  <si>
    <t xml:space="preserve">MAQUINA DE SOLDAR LHN 280I PLUS         </t>
  </si>
  <si>
    <t xml:space="preserve">015-0028174  </t>
  </si>
  <si>
    <t xml:space="preserve">AMOLADORA 7" MODELO GWS 24180           </t>
  </si>
  <si>
    <t xml:space="preserve">015-0028172  </t>
  </si>
  <si>
    <t>Turbineta / Esmeril Recto Cuello largo 5</t>
  </si>
  <si>
    <t>SOLDADURA NZC PLUS 6011 3.25 1/18 CELLOC</t>
  </si>
  <si>
    <t xml:space="preserve">015-0028173  </t>
  </si>
  <si>
    <t xml:space="preserve">015-0028166  </t>
  </si>
  <si>
    <t xml:space="preserve">RESINA EPOXICA DE ALTA RESISTENCIA      </t>
  </si>
  <si>
    <t xml:space="preserve">0001-0000910 </t>
  </si>
  <si>
    <t>TERMINAL UÑA HEMBRA 14AWG SIN FORRO (AL)</t>
  </si>
  <si>
    <t>TERMINAL UÑA HEMBRA 14AWG CON FORRO (AL)</t>
  </si>
  <si>
    <t xml:space="preserve">TERMINAL UÑA MACHO 14AWG CON FORRO (AL) </t>
  </si>
  <si>
    <t xml:space="preserve">SOLDADURA AC INOX C-304 AW 3/32"        </t>
  </si>
  <si>
    <t xml:space="preserve">015-0028167  </t>
  </si>
  <si>
    <t xml:space="preserve">BOQUILLA CORTE P/ACETILINO ANME #02 AGA </t>
  </si>
  <si>
    <t xml:space="preserve">015-0028165  </t>
  </si>
  <si>
    <t xml:space="preserve">TRAPO INDUSTRIAL                        </t>
  </si>
  <si>
    <t>T001-00005735</t>
  </si>
  <si>
    <t xml:space="preserve">JABON LIQUIDO                           </t>
  </si>
  <si>
    <t xml:space="preserve">PAPEL TOALLA JUMBO SUMAC 1UND X 130MT   </t>
  </si>
  <si>
    <t xml:space="preserve">ANILLO DESGASTE 15 (190,1X170X12) CF8M  </t>
  </si>
  <si>
    <t xml:space="preserve">0001-000403  </t>
  </si>
  <si>
    <t>BOCINA DESGASTE INI I50 AISI 304 AV18795</t>
  </si>
  <si>
    <t xml:space="preserve">ANILLO DESGASTE 2 (90,1X80X8) CL30      </t>
  </si>
  <si>
    <t xml:space="preserve">ANILLO DESGASTE 35 (100,1X90X8) CF8M    </t>
  </si>
  <si>
    <t xml:space="preserve">ANILLO DESGASTE 36 (105X95X10) CL30     </t>
  </si>
  <si>
    <t xml:space="preserve">LIQUIDO DE FRENO FRENOSA DOT3           </t>
  </si>
  <si>
    <t>EG07-00000068</t>
  </si>
  <si>
    <t>BOCINA DESGASTE INI I40R AISI316 AV04333</t>
  </si>
  <si>
    <t xml:space="preserve">0001-000402  </t>
  </si>
  <si>
    <t>BOCINA DESGASTE INI I40 AISI 316 AV04108</t>
  </si>
  <si>
    <t xml:space="preserve">CHUMACERA DE 42.63MM                    </t>
  </si>
  <si>
    <t>EG07-00000067</t>
  </si>
  <si>
    <t xml:space="preserve">0001-000400  </t>
  </si>
  <si>
    <t xml:space="preserve">0001-000404  </t>
  </si>
  <si>
    <t xml:space="preserve">CJ EJE ITAP 4 AISI 304 AV03953          </t>
  </si>
  <si>
    <t xml:space="preserve">0001-000399  </t>
  </si>
  <si>
    <t xml:space="preserve">CJ EJE ITAP 40330/2 AISI 316 AV00797    </t>
  </si>
  <si>
    <t>ANILLO SUJECIO BOCINA 4TA M Cod. 3i-7414</t>
  </si>
  <si>
    <t xml:space="preserve">0001-000397  </t>
  </si>
  <si>
    <t xml:space="preserve">BOCINA DESGASTE INI I30 AIS 316 AV04109 </t>
  </si>
  <si>
    <t xml:space="preserve">0001-000398  </t>
  </si>
  <si>
    <t xml:space="preserve">JEBE LIMPIADOR DIFUSOR 400x1800x24mm    </t>
  </si>
  <si>
    <t xml:space="preserve">001-008918   </t>
  </si>
  <si>
    <t xml:space="preserve">JEBE LATERAL 350MM X 1/2" - EC104       </t>
  </si>
  <si>
    <t xml:space="preserve">001-008921   </t>
  </si>
  <si>
    <t xml:space="preserve">JEBE LATERAL 200mm X 3/8" 55-60 SHORE A </t>
  </si>
  <si>
    <t xml:space="preserve">JEBE LATERAL 400mm X 3/8" 55-60 SHORE A </t>
  </si>
  <si>
    <t>JEBE NEOPRENE C/TELA NYLON 750x100x12 mm</t>
  </si>
  <si>
    <t>CEP55942683</t>
  </si>
  <si>
    <t xml:space="preserve">RETEN 1 5/8 X 2 3/8 X 5/16              </t>
  </si>
  <si>
    <t xml:space="preserve">001-008920   </t>
  </si>
  <si>
    <t xml:space="preserve">901-000460   </t>
  </si>
  <si>
    <t xml:space="preserve">901-000459   </t>
  </si>
  <si>
    <t xml:space="preserve">SOLDADURA NAZCA PRO 7018 4.00 5/32      </t>
  </si>
  <si>
    <t xml:space="preserve">015-0028171  </t>
  </si>
  <si>
    <t>SOLDADURA NZC PLUS 6011 4.00 5/32 CELLOC</t>
  </si>
  <si>
    <t xml:space="preserve">SOLDADURA NAZCA NOX 316L 2.50 3/32      </t>
  </si>
  <si>
    <t xml:space="preserve">SOLDADURA NZC NIQUEL 3.25 1/8 CITOFONTE </t>
  </si>
  <si>
    <t xml:space="preserve">COMBA TRAMONTINA 4 LIBRAS               </t>
  </si>
  <si>
    <t xml:space="preserve">0001-0000275 </t>
  </si>
  <si>
    <t xml:space="preserve">CS400907   </t>
  </si>
  <si>
    <t xml:space="preserve">LLAVE MIXTA 9/16"                       </t>
  </si>
  <si>
    <t>T001-00005734</t>
  </si>
  <si>
    <t xml:space="preserve">RECOGEDOR DE BASURA PLASTICO GRIS       </t>
  </si>
  <si>
    <t xml:space="preserve">REPUESTOS DE TRAPEADOR DKASA            </t>
  </si>
  <si>
    <t xml:space="preserve">DISCO DE DESBASTE 4.1/2"*1/4"*7/8"      </t>
  </si>
  <si>
    <t xml:space="preserve">0004-0004229 </t>
  </si>
  <si>
    <t xml:space="preserve">DISCO CORTE INOX 4.1/2" x 1/16" x 7/8"  </t>
  </si>
  <si>
    <t xml:space="preserve">PINTURA EPOXICA AZUL RAL 5015           </t>
  </si>
  <si>
    <t xml:space="preserve">0004-0004223 </t>
  </si>
  <si>
    <t xml:space="preserve">PASTILLA TRIANGULO P/ CHISPERO 3/4"     </t>
  </si>
  <si>
    <t xml:space="preserve">0004-0004222 </t>
  </si>
  <si>
    <t xml:space="preserve">0004-0004221 </t>
  </si>
  <si>
    <t xml:space="preserve">CS401836   </t>
  </si>
  <si>
    <t xml:space="preserve">ESCUADRA 12"                            </t>
  </si>
  <si>
    <t xml:space="preserve">BORNE DE BATERIA POSITIVO APLOMADO      </t>
  </si>
  <si>
    <t xml:space="preserve">0004-0004228 </t>
  </si>
  <si>
    <t xml:space="preserve">BORNE DE BATERIA NEGATIVO APLOMADO      </t>
  </si>
  <si>
    <t xml:space="preserve">CINTILLOS DE 4.8x300 MM BOLSA x 100 UND </t>
  </si>
  <si>
    <t>BOL</t>
  </si>
  <si>
    <t xml:space="preserve">0004-0004227 </t>
  </si>
  <si>
    <t xml:space="preserve">PINTURA BASE ZINCROMATO                 </t>
  </si>
  <si>
    <t xml:space="preserve">CF20250040 </t>
  </si>
  <si>
    <t xml:space="preserve">LIJA PARA FIERRO N° 180                 </t>
  </si>
  <si>
    <t xml:space="preserve">RASTRILLO 16 DIENTES TRAMONTINA         </t>
  </si>
  <si>
    <t xml:space="preserve">0004-0004225 </t>
  </si>
  <si>
    <t xml:space="preserve">ESCALERA ALUMINIO TIPO TIJERA 10 PASOS  </t>
  </si>
  <si>
    <t xml:space="preserve">0004-0004224 </t>
  </si>
  <si>
    <t xml:space="preserve">M&amp;W REPRESENTACIONES SCRL         </t>
  </si>
  <si>
    <t xml:space="preserve">MEKK SOLUCIONES INDUSTRIALES SAC  </t>
  </si>
  <si>
    <t xml:space="preserve">RENSA VENTAS Y SERVICIOS SRL      </t>
  </si>
  <si>
    <t xml:space="preserve">MIGUEL ANGEL LIZAMA ZARATE        </t>
  </si>
  <si>
    <t xml:space="preserve">OLYMPUS INDUSTRIAS SRL            </t>
  </si>
  <si>
    <t xml:space="preserve">DZURITA     </t>
  </si>
  <si>
    <t xml:space="preserve">LINDE PERU SRL                    </t>
  </si>
  <si>
    <t xml:space="preserve">OXYMAN COMERCIAL SAC              </t>
  </si>
  <si>
    <t xml:space="preserve">SEDISA SAC                        </t>
  </si>
  <si>
    <t xml:space="preserve">DYSMAR EIRL                       </t>
  </si>
  <si>
    <t xml:space="preserve">dgameros    </t>
  </si>
  <si>
    <t xml:space="preserve">COMPANIA KAYSER SAC               </t>
  </si>
  <si>
    <t xml:space="preserve">DCHERON     </t>
  </si>
  <si>
    <t xml:space="preserve">NEGOCIOS WALMARC EIRL             </t>
  </si>
  <si>
    <t xml:space="preserve">STENICA STORE EIRL                </t>
  </si>
  <si>
    <t xml:space="preserve">CASEB HNOS SAC                    </t>
  </si>
  <si>
    <t xml:space="preserve">MERCK PERUANA SA                  </t>
  </si>
  <si>
    <t xml:space="preserve">WEG PERU SA                       </t>
  </si>
  <si>
    <t xml:space="preserve">VENTAS Y SERVICIOS ESPECIALES     </t>
  </si>
  <si>
    <t xml:space="preserve">SUDAMERIS PERU SAC                </t>
  </si>
  <si>
    <t xml:space="preserve">FRUTOS DEL TALLAN SCRL            </t>
  </si>
  <si>
    <t xml:space="preserve">PROCABLES SA                      </t>
  </si>
  <si>
    <t xml:space="preserve">MEQUIM SA                         </t>
  </si>
  <si>
    <t xml:space="preserve">AGRICOLA DEL CHIRA SA             </t>
  </si>
  <si>
    <t xml:space="preserve">CONTIX SA                         </t>
  </si>
  <si>
    <t xml:space="preserve">FACTORIA LIBERTAD SCRL            </t>
  </si>
  <si>
    <t xml:space="preserve">SPRAYING SYSTEMS PERU SRL         </t>
  </si>
  <si>
    <t xml:space="preserve">PRODUCTOS CAUCHO S.R.L.           </t>
  </si>
  <si>
    <t xml:space="preserve">SGarciaP    </t>
  </si>
  <si>
    <t xml:space="preserve">CORPORACION PRIMAX SA             </t>
  </si>
  <si>
    <t xml:space="preserve">INVERSIONES 3MB SRL               </t>
  </si>
  <si>
    <t xml:space="preserve">SAGER SA SUCURSAL PERU            </t>
  </si>
  <si>
    <t xml:space="preserve">ORGANIZACIONES BALENO SRLTDA      </t>
  </si>
  <si>
    <t xml:space="preserve">OPTIMIZACION CONFIABILIDAD Y      </t>
  </si>
  <si>
    <t xml:space="preserve">HEVVY PUMPS PERU SAC              </t>
  </si>
  <si>
    <t xml:space="preserve">MARIO AGUSTIN ESPINOZA GOMEZ      </t>
  </si>
  <si>
    <t xml:space="preserve">RUEDAMAX EIRL                     </t>
  </si>
  <si>
    <t xml:space="preserve">METAL MECANICA NPJ EIRL           </t>
  </si>
  <si>
    <t>SUMINISTROS Y DISTRIBUIDORA ANDINA</t>
  </si>
  <si>
    <t xml:space="preserve">CCARRILLO   </t>
  </si>
  <si>
    <t xml:space="preserve">DATSUL S.R.L.                     </t>
  </si>
  <si>
    <t xml:space="preserve">DINGACH     </t>
  </si>
  <si>
    <t xml:space="preserve">GPS GRV EIRL                      </t>
  </si>
  <si>
    <t xml:space="preserve">DP CONSULTING SAC                 </t>
  </si>
  <si>
    <t xml:space="preserve">JEAN ANDREE LIZAMA ARICA          </t>
  </si>
  <si>
    <t xml:space="preserve">JULIO FRANCISCO VEGAS CORONADO    </t>
  </si>
  <si>
    <t xml:space="preserve">P.VITE      </t>
  </si>
  <si>
    <t xml:space="preserve">IPESA SAC                         </t>
  </si>
  <si>
    <t xml:space="preserve">FORMULARIOS PIURA S.A.C           </t>
  </si>
  <si>
    <t xml:space="preserve">CP190038   </t>
  </si>
  <si>
    <t xml:space="preserve">CS290120   </t>
  </si>
  <si>
    <t xml:space="preserve">CS34015030 </t>
  </si>
  <si>
    <t>Ingreso del 04.02 al 08.03.2023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</si>
</sst>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99"/>
        <bgColor theme="9"/>
      </patternFill>
    </fill>
    <fill>
      <patternFill patternType="solid">
        <fgColor rgb="FFFFFFCC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/>
      <top/>
      <bottom style="double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2" borderId="1" xfId="0" applyFont="1" applyFill="1" applyBorder="1"/>
    <xf numFmtId="49" fontId="2" fillId="0" borderId="1" xfId="0" quotePrefix="1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14" fontId="2" fillId="0" borderId="1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14" fontId="0" fillId="0" borderId="0" xfId="0" applyNumberFormat="1" applyAlignment="1">
      <alignment horizontal="left"/>
    </xf>
    <xf numFmtId="0" fontId="2" fillId="0" borderId="3" xfId="0" applyFont="1" applyBorder="1"/>
    <xf numFmtId="0" fontId="2" fillId="0" borderId="3" xfId="0" applyFont="1" applyBorder="1" applyAlignment="1">
      <alignment horizontal="left"/>
    </xf>
    <xf numFmtId="0" fontId="0" fillId="3" borderId="2" xfId="0" applyFont="1" applyFill="1" applyBorder="1"/>
    <xf numFmtId="0" fontId="0" fillId="3" borderId="2" xfId="0" applyFont="1" applyFill="1" applyBorder="1" applyAlignment="1">
      <alignment horizontal="left"/>
    </xf>
    <xf numFmtId="0" fontId="3" fillId="5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vertical="center"/>
    </xf>
    <xf numFmtId="14" fontId="0" fillId="0" borderId="0" xfId="0" applyNumberFormat="1"/>
    <xf numFmtId="0" fontId="0" fillId="6" borderId="0" xfId="0" applyFill="1"/>
    <xf numFmtId="0" fontId="2" fillId="0" borderId="0" xfId="0" applyFont="1"/>
    <xf numFmtId="0" fontId="0" fillId="3" borderId="4" xfId="0" applyFont="1" applyFill="1" applyBorder="1"/>
    <xf numFmtId="0" fontId="2" fillId="0" borderId="5" xfId="0" applyFont="1" applyBorder="1"/>
    <xf numFmtId="0" fontId="2" fillId="0" borderId="6" xfId="0" applyFont="1" applyBorder="1"/>
    <xf numFmtId="0" fontId="2" fillId="0" borderId="6" xfId="0" applyFont="1" applyBorder="1" applyAlignment="1">
      <alignment horizontal="left"/>
    </xf>
    <xf numFmtId="0" fontId="0" fillId="0" borderId="7" xfId="0" applyBorder="1"/>
  </cellXfs>
  <cellStyles count="1">
    <cellStyle name="Normal" xfId="0" builtinId="0"/>
  </cellStyles>
  <dxfs count="43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19" formatCode="dd/mm/yyyy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fill>
        <patternFill patternType="solid">
          <bgColor rgb="FFFFFF99"/>
        </patternFill>
      </fill>
    </dxf>
    <dxf>
      <alignment horizontal="left" readingOrder="0"/>
    </dxf>
    <dxf>
      <alignment horizontal="center" readingOrder="0"/>
    </dxf>
    <dxf>
      <alignment horizontal="general" readingOrder="0"/>
    </dxf>
    <dxf>
      <alignment horizontal="left" readingOrder="0"/>
    </dxf>
    <dxf>
      <alignment horizontal="center" readingOrder="0"/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0</xdr:row>
          <xdr:rowOff>19050</xdr:rowOff>
        </xdr:from>
        <xdr:to>
          <xdr:col>0</xdr:col>
          <xdr:colOff>1822450</xdr:colOff>
          <xdr:row>1</xdr:row>
          <xdr:rowOff>158750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19050</xdr:rowOff>
        </xdr:from>
        <xdr:to>
          <xdr:col>2</xdr:col>
          <xdr:colOff>381000</xdr:colOff>
          <xdr:row>1</xdr:row>
          <xdr:rowOff>158750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146050</xdr:colOff>
          <xdr:row>1</xdr:row>
          <xdr:rowOff>0</xdr:rowOff>
        </xdr:from>
        <xdr:to>
          <xdr:col>4</xdr:col>
          <xdr:colOff>1746250</xdr:colOff>
          <xdr:row>4</xdr:row>
          <xdr:rowOff>19050</xdr:rowOff>
        </xdr:to>
        <xdr:sp macro="" textlink="">
          <xdr:nvSpPr>
            <xdr:cNvPr id="1026" name="Actualiza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1860550</xdr:colOff>
          <xdr:row>0</xdr:row>
          <xdr:rowOff>165100</xdr:rowOff>
        </xdr:from>
        <xdr:to>
          <xdr:col>5</xdr:col>
          <xdr:colOff>546100</xdr:colOff>
          <xdr:row>4</xdr:row>
          <xdr:rowOff>12700</xdr:rowOff>
        </xdr:to>
        <xdr:sp macro="" textlink="">
          <xdr:nvSpPr>
            <xdr:cNvPr id="1027" name="Limpia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ileen Sofia Lachira Prado" refreshedDate="44993.800925810188" missingItemsLimit="0" createdVersion="6" refreshedVersion="7" minRefreshableVersion="3" recordCount="185" xr:uid="{00000000-000A-0000-FFFF-FFFF00000000}">
  <cacheSource type="worksheet">
    <worksheetSource name="Ingresos"/>
  </cacheSource>
  <cacheFields count="20">
    <cacheField name="Concatenar" numFmtId="0">
      <sharedItems/>
    </cacheField>
    <cacheField name="Centro" numFmtId="0">
      <sharedItems count="3">
        <s v="Agricola del Chira Planta"/>
        <s v="Bioenergía del Chira Planta"/>
        <s v="Sucroalcolera del Chira Planta"/>
      </sharedItems>
    </cacheField>
    <cacheField name="Almacén" numFmtId="0">
      <sharedItems/>
    </cacheField>
    <cacheField name="Codigo" numFmtId="0">
      <sharedItems containsMixedTypes="1" containsNumber="1" containsInteger="1" minValue="709179" maxValue="70113613" count="153">
        <n v="70023194"/>
        <n v="70063140"/>
        <n v="70045866"/>
        <n v="824835"/>
        <n v="894475"/>
        <n v="836296"/>
        <n v="70061899"/>
        <n v="879925"/>
        <n v="829121"/>
        <n v="847099"/>
        <n v="70112244"/>
        <n v="70113145"/>
        <n v="806149"/>
        <n v="823148"/>
        <n v="880929"/>
        <n v="880970"/>
        <n v="880971"/>
        <n v="880976"/>
        <n v="880979"/>
        <n v="839498"/>
        <n v="70113613"/>
        <n v="718015"/>
        <n v="721669"/>
        <n v="777305"/>
        <n v="70069183"/>
        <n v="787785"/>
        <n v="70046835"/>
        <n v="70084356"/>
        <n v="70084359"/>
        <n v="70084360"/>
        <n v="70084363"/>
        <n v="70084367"/>
        <n v="70100900"/>
        <s v="CS400907   "/>
        <n v="70043991"/>
        <n v="70069187"/>
        <n v="709179"/>
        <n v="806591"/>
        <n v="866025"/>
        <n v="886062"/>
        <n v="776850"/>
        <s v="CS401836   "/>
        <n v="788247"/>
        <n v="788249"/>
        <n v="808835"/>
        <n v="736439"/>
        <n v="70064012"/>
        <s v="CF20250040 "/>
        <n v="733186"/>
        <n v="766049"/>
        <n v="811217"/>
        <n v="70019402"/>
        <n v="868245"/>
        <n v="70018803"/>
        <n v="809718"/>
        <n v="736148"/>
        <n v="70024795"/>
        <n v="70038101"/>
        <n v="841443"/>
        <n v="801459"/>
        <n v="70106622"/>
        <n v="70106624"/>
        <n v="865869"/>
        <n v="70036719"/>
        <n v="70068404"/>
        <n v="70039345"/>
        <n v="866353"/>
        <n v="821619"/>
        <n v="70040046"/>
        <n v="70070567"/>
        <n v="824529"/>
        <n v="70111491"/>
        <n v="882698"/>
        <n v="744011"/>
        <n v="70101756"/>
        <n v="862994"/>
        <n v="851482"/>
        <n v="873674"/>
        <n v="865749"/>
        <n v="865760"/>
        <n v="899370"/>
        <n v="70019176"/>
        <n v="811119"/>
        <n v="709198"/>
        <n v="715272"/>
        <n v="860091"/>
        <n v="752729"/>
        <n v="798919"/>
        <n v="814788"/>
        <n v="828243"/>
        <n v="70062788"/>
        <n v="735893"/>
        <n v="833106"/>
        <n v="723754"/>
        <n v="70015495"/>
        <n v="70046281"/>
        <n v="746375"/>
        <n v="798917"/>
        <n v="70047981"/>
        <n v="70100392"/>
        <n v="805227"/>
        <n v="805229"/>
        <n v="805274"/>
        <n v="805382"/>
        <n v="807291"/>
        <n v="842520"/>
        <n v="884797"/>
        <n v="840649"/>
        <n v="840681"/>
        <n v="867875"/>
        <n v="840720"/>
        <n v="893870"/>
        <n v="871742"/>
        <n v="70022246"/>
        <n v="70022247"/>
        <n v="70025355"/>
        <s v="CEP55942683"/>
        <n v="829084"/>
        <n v="722278"/>
        <n v="869012"/>
        <n v="884795"/>
        <n v="70032264"/>
        <n v="70032271"/>
        <n v="70032272"/>
        <n v="70032277"/>
        <n v="70032285"/>
        <n v="70024167"/>
        <n v="70024179"/>
        <n v="722283"/>
        <n v="722284"/>
        <n v="867867"/>
        <n v="878996"/>
        <n v="70087184"/>
        <n v="70062793"/>
        <n v="750393"/>
        <n v="839395"/>
        <n v="851911"/>
        <n v="70110202"/>
        <n v="70112941"/>
        <n v="814041"/>
        <n v="814917"/>
        <n v="847424"/>
        <n v="876628"/>
        <n v="70055857"/>
        <n v="821158"/>
        <n v="70051918"/>
        <n v="70084371"/>
        <n v="70009568"/>
        <n v="70043835"/>
        <n v="70043836"/>
        <n v="70043837"/>
        <n v="773993"/>
        <n v="807801"/>
      </sharedItems>
    </cacheField>
    <cacheField name="Denomin." numFmtId="0">
      <sharedItems count="153">
        <s v="INNERLINER SEALER 175 gr / 210 ml C/BR  "/>
        <s v="PASTA DE MONTAJE REMAXX DE 5KG          "/>
        <s v="INTERRUPTOR CAJA MOLD 3X2000A           "/>
        <s v="SIMATIC S7-1200, E/S DIGITAL SM 1223    "/>
        <s v="CUCHILLAS INOX DE DIGESTOR TECNAL       "/>
        <s v="TUERCA S50 x 8 Cod. 3i-5208             "/>
        <s v="Anillo de amarre de bocinas 3i-7347     "/>
        <s v="PERNO SOCKET M 42x130 DE AJUSTE BRIDA   "/>
        <s v="ADAPTADOR M BOSS 5/8&quot; X M JIC 3/4&quot;      "/>
        <s v="ADAPTADOR M BOSS 1 X M JIC 1            "/>
        <s v="PORTA RODAJE TROZADOR CE35534 CH570     "/>
        <s v="ORING CAJB CH570 - N153493 -JD18        "/>
        <s v="ACIDO TRICLOROÁCETICO x 500 GR          "/>
        <s v="GRAMPAS PARA CABLE 1/2&quot; FORJADAS ACERO  "/>
        <s v="SELLO MECANICO 13529 TOYO DL20          "/>
        <s v="RETEN LABIAL 02503 TOYO DL20            "/>
        <s v="O-RING 13863 DL20 REF 29-4              "/>
        <s v="BOCINA DE EJE 13460 TOYO DL20           "/>
        <s v="KIT O-RING SELLADO 14046 TOYO DL20      "/>
        <s v="ENSAMBLE MOTORO AIRE COD 46340-290-EPR  "/>
        <s v="JEBE P/ SELLO RETRACTIL SHINY S-833     "/>
        <s v="AGUA D/MESA 20L BIDON SPRING            "/>
        <s v="TRAPO INDUSTRIAL                        "/>
        <s v="JABON LIQUIDO                           "/>
        <s v="PAPEL TOALLA JUMBO SUMAC 1UND X 130MT   "/>
        <s v="LIQUIDO DE FRENO FRENOSA DOT3           "/>
        <s v="CHUMACERA DE 42.63MM                    "/>
        <s v="SOLDADURA NAZCA PRO 7018 4.00 5/32      "/>
        <s v="SOLDADURA NZC PLUS 6011 4.00 5/32 CELLOC"/>
        <s v="SOLDADURA NZC PLUS 6011 3.25 1/18 CELLOC"/>
        <s v="SOLDADURA NAZCA NOX 316L 2.50 3/32      "/>
        <s v="SOLDADURA NZC NIQUEL 3.25 1/8 CITOFONTE "/>
        <s v="COMBA TRAMONTINA 4 LIBRAS               "/>
        <s v="LLAVE MIXTA 9/16&quot;                       "/>
        <s v="RECOGEDOR DE BASURA PLASTICO GRIS       "/>
        <s v="REPUESTOS DE TRAPEADOR DKASA            "/>
        <s v="DISCO DE DESBASTE 4.1/2&quot;*1/4&quot;*7/8&quot;      "/>
        <s v="DISCO CORTE INOX 4.1/2&quot; x 1/16&quot; x 7/8&quot;  "/>
        <s v="PINTURA EPOXICA AZUL RAL 5015           "/>
        <s v="PASTILLA TRIANGULO P/ CHISPERO 3/4&quot;     "/>
        <s v="LLAVE FRANCESA 12 STANLEY               "/>
        <s v="ESCUADRA 12&quot;                            "/>
        <s v="BORNE DE BATERIA POSITIVO APLOMADO      "/>
        <s v="BORNE DE BATERIA NEGATIVO APLOMADO      "/>
        <s v="CINTILLOS DE 4.8x300 MM BOLSA x 100 UND "/>
        <s v="Lija de fierro # 180                    "/>
        <s v="PINTURA BASE ZINCROMATO                 "/>
        <s v="LIJA PARA FIERRO N° 180                 "/>
        <s v="RASTRILLO 16 DIENTES TRAMONTINA         "/>
        <s v="ESCALERA ALUMINIO TIPO TIJERA 10 PASOS  "/>
        <s v="KIT COMPLETO ACOPLAMIENTO OMEGA E4      "/>
        <s v="ELASTOMERO OMEGA E20                    "/>
        <s v="MANGUERA PRENSADA SAE 100R1 x 1.60M     "/>
        <s v="FILTRO DE COMBUSTIBLE 10UM FBO 60356    "/>
        <s v="SOGA DE ASBESTO GRAFITADA 5/8           "/>
        <s v="Densímetro para batería                 "/>
        <s v="PISTOLA NEUMATICA D IMPACTO 1&quot; 107037750"/>
        <s v="RETEN DE GRASA (275775 N)               "/>
        <s v="CABLE ACELERADOR MANO 87347361          "/>
        <s v="KIT BOMBIM AUXILIAR 9960040             "/>
        <s v="5191454 Horquilla - Calavera 7010TM     "/>
        <s v="87526781 ABRAZADERA 7010 TM             "/>
        <s v="CABLE DE MANDO HIDRAULICO TM 82030042   "/>
        <s v="REGULADOR DE VOLTAJE T7040 87640108     "/>
        <s v="RADIO TRANSMISOR PORTATIL IC-F1100D     "/>
        <s v="O-RING 2-361 (5.33 X 151.77 X 162.43 MM)"/>
        <s v="VALVULA MARIPOSA HP 3&quot; C/CARBONO-TEFLON "/>
        <s v="VALVULA DE BOLA DOBLE UNIVERSAL R/H 3&quot;  "/>
        <s v="GRASA GRADO ALIMENTICIO HD2             "/>
        <s v="INTERFLON FIN SUPER  300 ml             "/>
        <s v="PASTA PARA CORTE DE HIDROCARBUROS       "/>
        <s v="BOQUILLA FULLJET H-15                   "/>
        <s v="BOQUILLA 3/4&quot; HHSJ SS 120 210           "/>
        <s v="PITON CHORRO / NIEBLA DE 1.1/2&quot;         "/>
        <s v="SOFT STARTER SSW900 D0255T5E4           "/>
        <s v="SOLDADURA CASTEC 3055 Ø 5/32&quot; SAGER     "/>
        <s v="ESLINGA 1TN 1.5MTS                      "/>
        <s v="ESLINGA POLIESTER 3&quot; X 5MT 4.2TN 2 CAPAS"/>
        <s v="KIT REPARO SELLO CDPN Ø 45mm TC/TC/TC/CB"/>
        <s v="KIT REPARO SELLO CDPN Ø 60mm TC/TC/TC/CB"/>
        <s v="SELLO MEC MULTI CSSN Ø 45mm CB/TC       "/>
        <s v="KIT REPARO SELLO CSSN Ø 60MM CB/TC      "/>
        <s v="TARJETA POTENCIA MODELO CPS64.00        "/>
        <s v="Pinza Amperimétrica Fluke 336           "/>
        <s v="TERMINAL  PIN 16 AWG PUNTA MOLDEABLE    "/>
        <s v="FUSIBLE UR 250A NH gL/gG J320375C       "/>
        <s v="CINTA AISLANTE SUPER 33                 "/>
        <s v="Terminal tipo ojo p/ cable de 25 MM2    "/>
        <s v="TERMINAL TIPO OJO P/ CABLE DE 16 MM2    "/>
        <s v="CONECTOR RECTO HERMET LIQUID TIGHT 1&quot;1/2"/>
        <s v="TUBERIA COND. FLEX. GALV. C/FORRO PVC 2&quot;"/>
        <s v="LIMPIA CONTACTOS ELECTRONICOS EN SPRAY  "/>
        <s v="CONECTOR RECTO 2&quot; HERMETICO LIQUID TIGHT"/>
        <s v="TUBO CONDUIT FLEXIBLE DE 1/2&quot; FORRO PV  "/>
        <s v="REFLECTOR LED 200 W 220V                "/>
        <s v="CUBIERTA ASILANTE 25 KV MVLC-18         "/>
        <s v="CABLE VULCANIZADO 2X16 NMT              "/>
        <s v="Terminal tipo ojo p/ cable de 35 MM2    "/>
        <s v="CONECTOR TIPO CUÑA AMPACT 95/95 MM2     "/>
        <s v="AGUA D/MESA 20L BIDON SAN PEDRO         "/>
        <s v="ANILLO DESGASTE 15 (190,1X170X12) CF8M  "/>
        <s v="BOCINA DESGASTE INI I50 AISI 304 AV18795"/>
        <s v="ANILLO DESGASTE 2 (90,1X80X8) CL30      "/>
        <s v="ANILLO DESGASTE 35 (100,1X90X8) CF8M    "/>
        <s v="ANILLO DESGASTE 36 (105X95X10) CL30     "/>
        <s v="BOCINA DESGASTE INI I40R AISI316 AV04333"/>
        <s v="BOCINA DESGASTE INI I40 AISI 316 AV04108"/>
        <s v="CJ EJE ITAP 4 AISI 304 AV03953          "/>
        <s v="CJ EJE ITAP 40330/2 AISI 316 AV00797    "/>
        <s v="ANILLO SUJECIO BOCINA 4TA M Cod. 3i-7414"/>
        <s v="BOCINA DESGASTE INI I30 AIS 316 AV04109 "/>
        <s v="JEBE LIMPIADOR DIFUSOR 400x1800x24mm    "/>
        <s v="JEBE LATERAL 350MM X 1/2&quot; - EC104       "/>
        <s v="JEBE LATERAL 200mm X 3/8&quot; 55-60 SHORE A "/>
        <s v="JEBE LATERAL 400mm X 3/8&quot; 55-60 SHORE A "/>
        <s v="JEBE NEOPRENE C/TELA NYLON 750x100x12 mm"/>
        <s v="RETEN 1 5/8 X 2 3/8 X 5/16              "/>
        <s v="CHALECO T/REPORTERO DRILL NRJ           "/>
        <s v="NITROGENO GAS EN BALON                  "/>
        <s v="FILTRO DE AIRE Cod. C47.00.096          "/>
        <s v="ANILLO DESGASTE 39 (125,1X115X12) CF8M  "/>
        <s v="ANILLO DESGASTE 1 (80X70,106X7,5) CF8M  "/>
        <s v="ANILLO DESGASTE 35 (100X90,106X7,5) CL30"/>
        <s v="ANILLO DESGASTE 38 (120X110,114X9,5)CF8M"/>
        <s v="ANILLO DESGASTE 47(195X180,168X16,5)CF8M"/>
        <s v="ANILLO DESGASTE 23 (300,1X270X20) CA40  "/>
        <s v="BOCINA DESGASTE MEGA A60 Cod. 2215396   "/>
        <s v="EJE MEGA A60 Cod. 2245496               "/>
        <s v="OXIGENO X M3.                           "/>
        <s v="ACETILENO POR KG                        "/>
        <s v="ANILLO DEFLECTOR 4TA MASA Cod. 3i-7150  "/>
        <s v="GUARDA MASA BAGACERA 3i-5583            "/>
        <s v="Terminal tipo pin moldeado 16 awg       "/>
        <s v="RIEL UNISTRUST DE 2&quot; X 1&quot; X 3MT         "/>
        <s v="STRETCH FILM 18&quot; x 15 MIC               "/>
        <s v="RODAMIENTO CB01419254 - 21313EAE4       "/>
        <s v="RODAMIENTO JD9512 NJ-211-EC             "/>
        <s v="RODAJE PIÑON DOBLE DE CAJA 32210        "/>
        <s v="RODAJE PARA POLEA ALZADORA 6203 2RS C3  "/>
        <s v="OBTURADOR TSN 522 L                     "/>
        <s v="CHUMACERA SKF SNL 517 TG                "/>
        <s v="CABLE ACELEROMETRO x 1.5MT CMAK 105-K   "/>
        <s v="LIMA ROTATIVA MT60484 12.7x25x6 SF5M    "/>
        <s v="MAQUINA DE SOLDAR LHN 280I PLUS         "/>
        <s v="AMOLADORA 7&quot; MODELO GWS 24180           "/>
        <s v="Turbineta / Esmeril Recto Cuello largo 5"/>
        <s v="SOLDADURA NAZCA DUR 1000HT 3.25 1/8     "/>
        <s v="RESINA EPOXICA DE ALTA RESISTENCIA      "/>
        <s v="TERMINAL UÑA HEMBRA 14AWG SIN FORRO (AL)"/>
        <s v="TERMINAL UÑA HEMBRA 14AWG CON FORRO (AL)"/>
        <s v="TERMINAL UÑA MACHO 14AWG CON FORRO (AL) "/>
        <s v="SOLDADURA AC INOX C-304 AW 3/32&quot;        "/>
        <s v="BOQUILLA CORTE P/ACETILINO ANME #02 AGA "/>
      </sharedItems>
    </cacheField>
    <cacheField name="Cantidad" numFmtId="0">
      <sharedItems containsSemiMixedTypes="0" containsString="0" containsNumber="1" containsInteger="1" minValue="-220" maxValue="400" count="39">
        <n v="3"/>
        <n v="1"/>
        <n v="2"/>
        <n v="18"/>
        <n v="5"/>
        <n v="12"/>
        <n v="9"/>
        <n v="110"/>
        <n v="400"/>
        <n v="16"/>
        <n v="36"/>
        <n v="350"/>
        <n v="300"/>
        <n v="60"/>
        <n v="4"/>
        <n v="15"/>
        <n v="200"/>
        <n v="201"/>
        <n v="6"/>
        <n v="34"/>
        <n v="7"/>
        <n v="10"/>
        <n v="22"/>
        <n v="48"/>
        <n v="8"/>
        <n v="11"/>
        <n v="225"/>
        <n v="66"/>
        <n v="19"/>
        <n v="20"/>
        <n v="25"/>
        <n v="40"/>
        <n v="14"/>
        <n v="260"/>
        <n v="220"/>
        <n v="-220"/>
        <n v="144"/>
        <n v="70"/>
        <n v="100"/>
      </sharedItems>
    </cacheField>
    <cacheField name="UM" numFmtId="0">
      <sharedItems count="11">
        <s v="UND"/>
        <s v="JG "/>
        <s v="KG "/>
        <s v="GLN"/>
        <s v="BOL"/>
        <s v="GAL"/>
        <s v="FCO"/>
        <s v="CJA"/>
        <s v="M  "/>
        <s v="M3 "/>
        <s v="ROL"/>
      </sharedItems>
    </cacheField>
    <cacheField name="Cl.mov." numFmtId="0">
      <sharedItems containsSemiMixedTypes="0" containsString="0" containsNumber="1" containsInteger="1" minValue="101" maxValue="102"/>
    </cacheField>
    <cacheField name="Posición" numFmtId="0">
      <sharedItems containsSemiMixedTypes="0" containsString="0" containsNumber="1" containsInteger="1" minValue="10" maxValue="1690"/>
    </cacheField>
    <cacheField name="Pedido" numFmtId="0">
      <sharedItems containsSemiMixedTypes="0" containsString="0" containsNumber="1" containsInteger="1" minValue="4511402103" maxValue="5500024093" count="100">
        <n v="4511450196"/>
        <n v="4511451624"/>
        <n v="4511450980"/>
        <n v="4511450724"/>
        <n v="4511443845"/>
        <n v="4511445332"/>
        <n v="4511445560"/>
        <n v="4511451150"/>
        <n v="4511451694"/>
        <n v="4511449573"/>
        <n v="4511452613"/>
        <n v="4511443456"/>
        <n v="4511443457"/>
        <n v="4511453735"/>
        <n v="5500022180"/>
        <n v="5500022435"/>
        <n v="4511445369"/>
        <n v="4511444238"/>
        <n v="4511455812"/>
        <n v="4511452531"/>
        <n v="5500022436"/>
        <n v="4511456426"/>
        <n v="4511453208"/>
        <n v="4511453005"/>
        <n v="4511453003"/>
        <n v="4511449929"/>
        <n v="4511453612"/>
        <n v="4511446078"/>
        <n v="4511448855"/>
        <n v="4511448911"/>
        <n v="4511448912"/>
        <n v="4511448883"/>
        <n v="4511446588"/>
        <n v="4511445856"/>
        <n v="4511453661"/>
        <n v="4511449166"/>
        <n v="4511447045"/>
        <n v="4511449558"/>
        <n v="4511443242"/>
        <n v="4511444415"/>
        <n v="4511440339"/>
        <n v="4511452724"/>
        <n v="4511449466"/>
        <n v="4511453703"/>
        <n v="4511453700"/>
        <n v="4511453257"/>
        <n v="4511450578"/>
        <n v="4511444068"/>
        <n v="4511443458"/>
        <n v="4511449944"/>
        <n v="4511402103"/>
        <n v="4511453076"/>
        <n v="4511452694"/>
        <n v="4511453220"/>
        <n v="4511431526"/>
        <n v="4511452645"/>
        <n v="4511452995"/>
        <n v="4511453094"/>
        <n v="4511453109"/>
        <n v="4511453097"/>
        <n v="4511452987"/>
        <n v="4511453105"/>
        <n v="4511453188"/>
        <n v="4511452985"/>
        <n v="5500024093"/>
        <n v="4511447267"/>
        <n v="4511449170"/>
        <n v="4511449866"/>
        <n v="4511451029"/>
        <n v="4511448595"/>
        <n v="4511444507"/>
        <n v="4511445281"/>
        <n v="4511449924"/>
        <n v="4511443949"/>
        <n v="4511453702"/>
        <n v="4511454194"/>
        <n v="4511416314"/>
        <n v="4511449945"/>
        <n v="4511449897"/>
        <n v="4511447189"/>
        <n v="5500022126"/>
        <n v="4511444102"/>
        <n v="4511450608"/>
        <n v="4511454650"/>
        <n v="4511454187"/>
        <n v="4511451200"/>
        <n v="4511448169"/>
        <n v="4511453633"/>
        <n v="4511454062"/>
        <n v="4511451251"/>
        <n v="4511449748"/>
        <n v="4511455751"/>
        <n v="4511455813"/>
        <n v="4511455815"/>
        <n v="4511453644"/>
        <n v="4511454100"/>
        <n v="4511453238"/>
        <n v="4511453581"/>
        <n v="4511454653"/>
        <n v="5500022125"/>
      </sharedItems>
    </cacheField>
    <cacheField name="Fe.contable" numFmtId="14">
      <sharedItems containsSemiMixedTypes="0" containsNonDate="0" containsDate="1" containsString="0" minDate="2023-03-04T00:00:00" maxDate="2023-03-09T00:00:00"/>
    </cacheField>
    <cacheField name="Referencia" numFmtId="0">
      <sharedItems count="100">
        <s v="T004-0000248 "/>
        <s v="EG01-000047  "/>
        <s v="EG01-000046  "/>
        <s v="002-0004973  "/>
        <s v="002-0004976  "/>
        <s v="002-0004953  "/>
        <s v="002-0004991  "/>
        <s v="004-0061810  "/>
        <s v="T009-3105    "/>
        <s v="003-0468434  "/>
        <s v="020-0002291  "/>
        <s v="EG07-00000021"/>
        <s v="001-008660   "/>
        <s v="EG07-00000108"/>
        <s v="0007-004514  "/>
        <s v="T001-00005735"/>
        <s v="EG07-00000068"/>
        <s v="EG07-00000067"/>
        <s v="015-0028171  "/>
        <s v="0001-0000275 "/>
        <s v="T001-00005734"/>
        <s v="0004-0004229 "/>
        <s v="0004-0004223 "/>
        <s v="0004-0004222 "/>
        <s v="0004-0004221 "/>
        <s v="0004-0004228 "/>
        <s v="0004-0004227 "/>
        <s v="0004-0004225 "/>
        <s v="0004-0004224 "/>
        <s v="T001-8618    "/>
        <s v="T001-8606    "/>
        <s v="T001-8617    "/>
        <s v="T001-8612    "/>
        <s v="T001-8611    "/>
        <s v="T001-8627    "/>
        <s v="T001-8616    "/>
        <s v="T001-8614    "/>
        <s v="EG07-00000049"/>
        <s v="EG07-00000048"/>
        <s v="EG07-00000047"/>
        <s v="EG07-00000046"/>
        <s v="0001-000771  "/>
        <s v="0002-006683  "/>
        <s v="EG07-00000126"/>
        <s v="EG07-00000125"/>
        <s v="T001-00001863"/>
        <s v="T003-00005485"/>
        <s v="001-008658   "/>
        <s v="001-008659   "/>
        <s v="T001-00008041"/>
        <s v="T001-14320   "/>
        <s v="0001-011531  "/>
        <s v="020-0002296  "/>
        <s v="001-0029548  "/>
        <s v="T001-14300   "/>
        <s v="EG01-000051  "/>
        <s v="T001-00005976"/>
        <s v="T001-00005974"/>
        <s v="T001-00005970"/>
        <s v="T001-00005973"/>
        <s v="T001-00005975"/>
        <s v="T001-00005971"/>
        <s v="T001-00005969"/>
        <s v="T001-00005972"/>
        <s v="EG07-00000116"/>
        <s v="0001-000403  "/>
        <s v="0001-000402  "/>
        <s v="0001-000400  "/>
        <s v="0001-000404  "/>
        <s v="0001-000399  "/>
        <s v="0001-000397  "/>
        <s v="0001-000398  "/>
        <s v="001-008918   "/>
        <s v="001-008921   "/>
        <s v="001-008920   "/>
        <s v="F001-00002629"/>
        <s v="473-0004834  "/>
        <s v="0001-001305  "/>
        <s v="0001-001306  "/>
        <s v="0001-001307  "/>
        <s v="901-000453   "/>
        <s v="901-000454   "/>
        <s v="002-0004988  "/>
        <s v="002-0004972  "/>
        <s v="0001-000310  "/>
        <s v="0001-000309  "/>
        <s v="T001-00005736"/>
        <s v="T006-0010313 "/>
        <s v="T006-0010314 "/>
        <s v="013-0061379  "/>
        <s v="012-0072410  "/>
        <s v="015-0028174  "/>
        <s v="015-0028172  "/>
        <s v="015-0028173  "/>
        <s v="015-0028166  "/>
        <s v="0001-0000910 "/>
        <s v="015-0028167  "/>
        <s v="015-0028165  "/>
        <s v="901-000460   "/>
        <s v="901-000459   "/>
      </sharedItems>
    </cacheField>
    <cacheField name="Doc.mat." numFmtId="0">
      <sharedItems containsSemiMixedTypes="0" containsString="0" containsNumber="1" containsInteger="1" minValue="5052581343" maxValue="5052587506"/>
    </cacheField>
    <cacheField name="Usuario Almacen" numFmtId="0">
      <sharedItems/>
    </cacheField>
    <cacheField name="Comprador" numFmtId="0">
      <sharedItems count="5">
        <s v="JCHEROPA"/>
        <s v="AAGUILARMO"/>
        <s v="JCHAPARROB"/>
        <s v="IRAMOSA"/>
        <s v=""/>
      </sharedItems>
    </cacheField>
    <cacheField name="Solicitante" numFmtId="0">
      <sharedItems count="33">
        <s v="Plan.mtto tr"/>
        <s v=""/>
        <s v="Mtto Electri"/>
        <s v="LVILLARF    "/>
        <s v="Plan.Mant.Su"/>
        <s v="Plan. Mant.C"/>
        <s v="EMIJAHUANCAG"/>
        <s v="JCOBENASS   "/>
        <s v="NMARTINEZS  "/>
        <s v="JCALDERONCHU"/>
        <s v="            "/>
        <s v="DCHERON     "/>
        <s v="Implement ag"/>
        <s v="Mtto Mecanic"/>
        <s v="JALBUJARC   "/>
        <s v="ACAMPOSR    "/>
        <s v="CVEGAG      "/>
        <s v="ALMACÉN GENE"/>
        <s v="DZURITA     "/>
        <s v="Plan.Mant.Bi"/>
        <s v="Mtto Mecánic"/>
        <s v="creyesy     "/>
        <s v="P. VITE     "/>
        <s v="P.VITE      "/>
        <s v="DINGACH     "/>
        <s v="Plan. Mant. "/>
        <s v="AVASQUEZ    "/>
        <s v="dgameros    "/>
        <s v="ccarrillor  "/>
        <s v="Mtto Eléctri"/>
        <s v="CCARRILLO   "/>
        <s v="ASANDOVAL   "/>
        <s v="Pl Sucroalco"/>
      </sharedItems>
    </cacheField>
    <cacheField name="Proveedor" numFmtId="0">
      <sharedItems count="37">
        <s v="RUEDAMAX EIRL                     "/>
        <s v=""/>
        <s v="MEKK SOLUCIONES INDUSTRIALES SAC  "/>
        <s v="FACTORIA LIBERTAD SCRL            "/>
        <s v="CONTIX SA                         "/>
        <s v="IPESA SAC                         "/>
        <s v="MERCK PERUANA SA                  "/>
        <s v="PROCABLES SA                      "/>
        <s v="HEVVY PUMPS PERU SAC              "/>
        <s v="SPRAYING SYSTEMS PERU SRL         "/>
        <s v="FORMULARIOS PIURA S.A.C           "/>
        <s v="OLYMPUS INDUSTRIAS SRL            "/>
        <s v="NEGOCIOS WALMARC EIRL             "/>
        <s v="SEDISA SAC                        "/>
        <s v="JULIO FRANCISCO VEGAS CORONADO    "/>
        <s v="M&amp;W REPRESENTACIONES SCRL         "/>
        <s v="DYSMAR EIRL                       "/>
        <s v="STENICA STORE EIRL                "/>
        <s v="GPS GRV EIRL                      "/>
        <s v="METAL MECANICA NPJ EIRL           "/>
        <s v="FRUTOS DEL TALLAN SCRL            "/>
        <s v="SUMINISTROS Y DISTRIBUIDORA ANDINA"/>
        <s v="MEQUIM SA                         "/>
        <s v="COMPANIA KAYSER SAC               "/>
        <s v="SAGER SA SUCURSAL PERU            "/>
        <s v="ORGANIZACIONES BALENO SRLTDA      "/>
        <s v="WEG PERU SA                       "/>
        <s v="RENSA VENTAS Y SERVICIOS SRL      "/>
        <s v="JEAN ANDREE LIZAMA ARICA          "/>
        <s v="CASEB HNOS SAC                    "/>
        <s v="PRODUCTOS CAUCHO S.R.L.           "/>
        <s v="AGRICOLA DEL CHIRA SA             "/>
        <s v="OPTIMIZACION CONFIABILIDAD Y      "/>
        <s v="OXYMAN COMERCIAL SAC              "/>
        <s v="DATSUL S.R.L.                     "/>
        <s v="SUDAMERIS PERU SAC                "/>
        <s v="MARIO AGUSTIN ESPINOZA GOMEZ      "/>
      </sharedItems>
    </cacheField>
    <cacheField name="Fec. Entrega" numFmtId="14">
      <sharedItems containsDate="1" containsMixedTypes="1" minDate="2021-09-14T00:00:00" maxDate="2023-04-21T00:00:00"/>
    </cacheField>
    <cacheField name="Imputación" numFmtId="0">
      <sharedItems count="3">
        <s v="STOCK DE ALMACEN"/>
        <s v=""/>
        <s v="CENTRO DE COSTO"/>
      </sharedItems>
    </cacheField>
    <cacheField name="Evaluación proveedor" numFmtId="0">
      <sharedItems count="2">
        <s v=""/>
        <s v="Entrega Tard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5">
  <r>
    <s v="Agricola del Chira PlantaMontelima70023194451145019610"/>
    <x v="0"/>
    <s v="Montelima"/>
    <x v="0"/>
    <x v="0"/>
    <x v="0"/>
    <x v="0"/>
    <n v="101"/>
    <n v="10"/>
    <x v="0"/>
    <d v="2023-03-04T00:00:00"/>
    <x v="0"/>
    <n v="5052581363"/>
    <s v="ALACHIRAP"/>
    <x v="0"/>
    <x v="0"/>
    <x v="0"/>
    <d v="2023-03-10T00:00:00"/>
    <x v="0"/>
    <x v="0"/>
  </r>
  <r>
    <s v="Agricola del Chira PlantaMontelima70063140451145019620"/>
    <x v="0"/>
    <s v="Montelima"/>
    <x v="1"/>
    <x v="1"/>
    <x v="0"/>
    <x v="0"/>
    <n v="101"/>
    <n v="20"/>
    <x v="0"/>
    <d v="2023-03-04T00:00:00"/>
    <x v="0"/>
    <n v="5052581363"/>
    <s v="ALACHIRAP"/>
    <x v="0"/>
    <x v="0"/>
    <x v="0"/>
    <d v="2023-03-10T00:00:00"/>
    <x v="0"/>
    <x v="0"/>
  </r>
  <r>
    <s v="Bioenergía del Chira PlantaMontelima70045866451145162410"/>
    <x v="1"/>
    <s v="Montelima"/>
    <x v="2"/>
    <x v="2"/>
    <x v="1"/>
    <x v="0"/>
    <n v="101"/>
    <n v="10"/>
    <x v="1"/>
    <d v="2023-03-04T00:00:00"/>
    <x v="1"/>
    <n v="5052582926"/>
    <s v="ALACHIRAP"/>
    <x v="1"/>
    <x v="1"/>
    <x v="1"/>
    <s v=""/>
    <x v="1"/>
    <x v="0"/>
  </r>
  <r>
    <s v="Sucroalcolera del Chira PlantaMontelima824835451145098040"/>
    <x v="2"/>
    <s v="Montelima"/>
    <x v="3"/>
    <x v="3"/>
    <x v="1"/>
    <x v="0"/>
    <n v="101"/>
    <n v="40"/>
    <x v="2"/>
    <d v="2023-03-04T00:00:00"/>
    <x v="2"/>
    <n v="5052583020"/>
    <s v="ALACHIRAP"/>
    <x v="1"/>
    <x v="2"/>
    <x v="2"/>
    <d v="2023-03-10T00:00:00"/>
    <x v="0"/>
    <x v="0"/>
  </r>
  <r>
    <s v="Sucroalcolera del Chira PlantaMontelima894475451145072430"/>
    <x v="2"/>
    <s v="Montelima"/>
    <x v="4"/>
    <x v="4"/>
    <x v="0"/>
    <x v="1"/>
    <n v="101"/>
    <n v="30"/>
    <x v="3"/>
    <d v="2023-03-06T00:00:00"/>
    <x v="3"/>
    <n v="5052584974"/>
    <s v="ALACHIRAP"/>
    <x v="0"/>
    <x v="3"/>
    <x v="3"/>
    <d v="2023-03-20T00:00:00"/>
    <x v="0"/>
    <x v="0"/>
  </r>
  <r>
    <s v="Sucroalcolera del Chira PlantaMontelima894475451145072410"/>
    <x v="2"/>
    <s v="Montelima"/>
    <x v="4"/>
    <x v="4"/>
    <x v="0"/>
    <x v="1"/>
    <n v="101"/>
    <n v="10"/>
    <x v="3"/>
    <d v="2023-03-06T00:00:00"/>
    <x v="3"/>
    <n v="5052584974"/>
    <s v="ALACHIRAP"/>
    <x v="0"/>
    <x v="3"/>
    <x v="3"/>
    <d v="2023-03-20T00:00:00"/>
    <x v="0"/>
    <x v="0"/>
  </r>
  <r>
    <s v="Sucroalcolera del Chira PlantaMontelima836296451144384510"/>
    <x v="2"/>
    <s v="Montelima"/>
    <x v="5"/>
    <x v="5"/>
    <x v="2"/>
    <x v="0"/>
    <n v="101"/>
    <n v="10"/>
    <x v="4"/>
    <d v="2023-03-06T00:00:00"/>
    <x v="4"/>
    <n v="5052584975"/>
    <s v="ALACHIRAP"/>
    <x v="2"/>
    <x v="4"/>
    <x v="3"/>
    <d v="2023-03-17T00:00:00"/>
    <x v="0"/>
    <x v="0"/>
  </r>
  <r>
    <s v="Sucroalcolera del Chira PlantaMontelima70061899451144533210"/>
    <x v="2"/>
    <s v="Montelima"/>
    <x v="6"/>
    <x v="6"/>
    <x v="2"/>
    <x v="0"/>
    <n v="101"/>
    <n v="10"/>
    <x v="5"/>
    <d v="2023-03-06T00:00:00"/>
    <x v="5"/>
    <n v="5052584977"/>
    <s v="ALACHIRAP"/>
    <x v="3"/>
    <x v="3"/>
    <x v="3"/>
    <d v="2023-03-12T00:00:00"/>
    <x v="0"/>
    <x v="0"/>
  </r>
  <r>
    <s v="Sucroalcolera del Chira PlantaMontelima879925451144556020"/>
    <x v="2"/>
    <s v="Montelima"/>
    <x v="7"/>
    <x v="7"/>
    <x v="3"/>
    <x v="0"/>
    <n v="101"/>
    <n v="20"/>
    <x v="6"/>
    <d v="2023-03-06T00:00:00"/>
    <x v="6"/>
    <n v="5052585050"/>
    <s v="ALACHIRAP"/>
    <x v="0"/>
    <x v="3"/>
    <x v="3"/>
    <d v="2023-02-17T00:00:00"/>
    <x v="0"/>
    <x v="1"/>
  </r>
  <r>
    <s v="Agricola del Chira PlantaMontelima829121451145115020"/>
    <x v="0"/>
    <s v="Montelima"/>
    <x v="8"/>
    <x v="8"/>
    <x v="4"/>
    <x v="0"/>
    <n v="101"/>
    <n v="20"/>
    <x v="7"/>
    <d v="2023-03-06T00:00:00"/>
    <x v="7"/>
    <n v="5052585090"/>
    <s v="ALACHIRAP"/>
    <x v="2"/>
    <x v="5"/>
    <x v="4"/>
    <d v="2023-03-17T00:00:00"/>
    <x v="0"/>
    <x v="0"/>
  </r>
  <r>
    <s v="Agricola del Chira PlantaMontelima847099451145115010"/>
    <x v="0"/>
    <s v="Montelima"/>
    <x v="9"/>
    <x v="9"/>
    <x v="1"/>
    <x v="0"/>
    <n v="101"/>
    <n v="10"/>
    <x v="7"/>
    <d v="2023-03-06T00:00:00"/>
    <x v="7"/>
    <n v="5052585090"/>
    <s v="ALACHIRAP"/>
    <x v="2"/>
    <x v="5"/>
    <x v="4"/>
    <d v="2023-03-17T00:00:00"/>
    <x v="0"/>
    <x v="0"/>
  </r>
  <r>
    <s v="Agricola del Chira PlantaMontelima70112244451145169410"/>
    <x v="0"/>
    <s v="Montelima"/>
    <x v="10"/>
    <x v="10"/>
    <x v="2"/>
    <x v="0"/>
    <n v="101"/>
    <n v="10"/>
    <x v="8"/>
    <d v="2023-03-07T00:00:00"/>
    <x v="8"/>
    <n v="5052585096"/>
    <s v="ALACHIRAP"/>
    <x v="2"/>
    <x v="5"/>
    <x v="5"/>
    <d v="2023-03-10T00:00:00"/>
    <x v="0"/>
    <x v="0"/>
  </r>
  <r>
    <s v="Agricola del Chira PlantaMontelima70113145451145169420"/>
    <x v="0"/>
    <s v="Montelima"/>
    <x v="11"/>
    <x v="11"/>
    <x v="5"/>
    <x v="0"/>
    <n v="101"/>
    <n v="20"/>
    <x v="8"/>
    <d v="2023-03-07T00:00:00"/>
    <x v="8"/>
    <n v="5052585096"/>
    <s v="ALACHIRAP"/>
    <x v="2"/>
    <x v="6"/>
    <x v="5"/>
    <d v="2023-03-10T00:00:00"/>
    <x v="0"/>
    <x v="0"/>
  </r>
  <r>
    <s v="Sucroalcolera del Chira PlantaMontelima806149451144957310"/>
    <x v="2"/>
    <s v="Montelima"/>
    <x v="12"/>
    <x v="12"/>
    <x v="1"/>
    <x v="0"/>
    <n v="101"/>
    <n v="10"/>
    <x v="9"/>
    <d v="2023-03-06T00:00:00"/>
    <x v="9"/>
    <n v="5052585200"/>
    <s v="ALACHIRAP"/>
    <x v="2"/>
    <x v="7"/>
    <x v="6"/>
    <d v="2023-03-03T00:00:00"/>
    <x v="0"/>
    <x v="1"/>
  </r>
  <r>
    <s v="Sucroalcolera del Chira PlantaMontelima823148451145261320"/>
    <x v="2"/>
    <s v="Montelima"/>
    <x v="13"/>
    <x v="13"/>
    <x v="5"/>
    <x v="0"/>
    <n v="101"/>
    <n v="20"/>
    <x v="10"/>
    <d v="2023-03-06T00:00:00"/>
    <x v="10"/>
    <n v="5052585273"/>
    <s v="ALACHIRAP"/>
    <x v="0"/>
    <x v="8"/>
    <x v="7"/>
    <d v="2023-03-10T00:00:00"/>
    <x v="0"/>
    <x v="0"/>
  </r>
  <r>
    <s v="Sucroalcolera del Chira PlantaMontelima823148451145261310"/>
    <x v="2"/>
    <s v="Montelima"/>
    <x v="13"/>
    <x v="13"/>
    <x v="5"/>
    <x v="0"/>
    <n v="101"/>
    <n v="10"/>
    <x v="10"/>
    <d v="2023-03-06T00:00:00"/>
    <x v="10"/>
    <n v="5052585273"/>
    <s v="ALACHIRAP"/>
    <x v="0"/>
    <x v="3"/>
    <x v="7"/>
    <d v="2023-03-10T00:00:00"/>
    <x v="0"/>
    <x v="0"/>
  </r>
  <r>
    <s v="Sucroalcolera del Chira PlantaMontelima880929451144345630"/>
    <x v="2"/>
    <s v="Montelima"/>
    <x v="14"/>
    <x v="14"/>
    <x v="1"/>
    <x v="0"/>
    <n v="101"/>
    <n v="30"/>
    <x v="11"/>
    <d v="2023-03-06T00:00:00"/>
    <x v="11"/>
    <n v="5052585276"/>
    <s v="ALACHIRAP"/>
    <x v="0"/>
    <x v="3"/>
    <x v="8"/>
    <d v="2023-03-01T00:00:00"/>
    <x v="0"/>
    <x v="1"/>
  </r>
  <r>
    <s v="Sucroalcolera del Chira PlantaMontelima880970451144345620"/>
    <x v="2"/>
    <s v="Montelima"/>
    <x v="15"/>
    <x v="15"/>
    <x v="1"/>
    <x v="0"/>
    <n v="101"/>
    <n v="20"/>
    <x v="11"/>
    <d v="2023-03-06T00:00:00"/>
    <x v="11"/>
    <n v="5052585276"/>
    <s v="ALACHIRAP"/>
    <x v="0"/>
    <x v="3"/>
    <x v="8"/>
    <d v="2023-03-01T00:00:00"/>
    <x v="0"/>
    <x v="1"/>
  </r>
  <r>
    <s v="Sucroalcolera del Chira PlantaMontelima880971451144345660"/>
    <x v="2"/>
    <s v="Montelima"/>
    <x v="16"/>
    <x v="16"/>
    <x v="1"/>
    <x v="0"/>
    <n v="101"/>
    <n v="60"/>
    <x v="11"/>
    <d v="2023-03-06T00:00:00"/>
    <x v="11"/>
    <n v="5052585276"/>
    <s v="ALACHIRAP"/>
    <x v="0"/>
    <x v="3"/>
    <x v="8"/>
    <d v="2023-03-01T00:00:00"/>
    <x v="0"/>
    <x v="1"/>
  </r>
  <r>
    <s v="Sucroalcolera del Chira PlantaMontelima880976451144345650"/>
    <x v="2"/>
    <s v="Montelima"/>
    <x v="17"/>
    <x v="17"/>
    <x v="1"/>
    <x v="0"/>
    <n v="101"/>
    <n v="50"/>
    <x v="11"/>
    <d v="2023-03-06T00:00:00"/>
    <x v="11"/>
    <n v="5052585276"/>
    <s v="ALACHIRAP"/>
    <x v="0"/>
    <x v="4"/>
    <x v="8"/>
    <d v="2023-03-01T00:00:00"/>
    <x v="0"/>
    <x v="1"/>
  </r>
  <r>
    <s v="Sucroalcolera del Chira PlantaMontelima880979451144345610"/>
    <x v="2"/>
    <s v="Montelima"/>
    <x v="18"/>
    <x v="18"/>
    <x v="1"/>
    <x v="0"/>
    <n v="101"/>
    <n v="10"/>
    <x v="11"/>
    <d v="2023-03-06T00:00:00"/>
    <x v="11"/>
    <n v="5052585276"/>
    <s v="ALACHIRAP"/>
    <x v="0"/>
    <x v="3"/>
    <x v="8"/>
    <d v="2023-03-01T00:00:00"/>
    <x v="0"/>
    <x v="1"/>
  </r>
  <r>
    <s v="Sucroalcolera del Chira PlantaMontelima880979451144345640"/>
    <x v="2"/>
    <s v="Montelima"/>
    <x v="18"/>
    <x v="18"/>
    <x v="1"/>
    <x v="0"/>
    <n v="101"/>
    <n v="40"/>
    <x v="11"/>
    <d v="2023-03-06T00:00:00"/>
    <x v="11"/>
    <n v="5052585276"/>
    <s v="ALACHIRAP"/>
    <x v="0"/>
    <x v="4"/>
    <x v="8"/>
    <d v="2023-03-01T00:00:00"/>
    <x v="0"/>
    <x v="1"/>
  </r>
  <r>
    <s v="Sucroalcolera del Chira PlantaMontelima839498451144345710"/>
    <x v="2"/>
    <s v="Montelima"/>
    <x v="19"/>
    <x v="19"/>
    <x v="1"/>
    <x v="0"/>
    <n v="101"/>
    <n v="10"/>
    <x v="12"/>
    <d v="2023-03-06T00:00:00"/>
    <x v="12"/>
    <n v="5052585301"/>
    <s v="ALACHIRAP"/>
    <x v="0"/>
    <x v="3"/>
    <x v="9"/>
    <d v="2023-03-01T00:00:00"/>
    <x v="0"/>
    <x v="1"/>
  </r>
  <r>
    <s v="Sucroalcolera del Chira PlantaMontelima70113613451145373510"/>
    <x v="2"/>
    <s v="Montelima"/>
    <x v="20"/>
    <x v="20"/>
    <x v="6"/>
    <x v="0"/>
    <n v="101"/>
    <n v="10"/>
    <x v="13"/>
    <d v="2023-03-07T00:00:00"/>
    <x v="13"/>
    <n v="5052585644"/>
    <s v="ALACHIRAP"/>
    <x v="3"/>
    <x v="9"/>
    <x v="10"/>
    <d v="2023-03-31T00:00:00"/>
    <x v="2"/>
    <x v="0"/>
  </r>
  <r>
    <s v="Agricola del Chira PlantaMontelima718015550002218010"/>
    <x v="0"/>
    <s v="Montelima"/>
    <x v="21"/>
    <x v="21"/>
    <x v="7"/>
    <x v="0"/>
    <n v="101"/>
    <n v="10"/>
    <x v="14"/>
    <d v="2023-03-08T00:00:00"/>
    <x v="14"/>
    <n v="5052586795"/>
    <s v="ALACHIRAP"/>
    <x v="4"/>
    <x v="1"/>
    <x v="1"/>
    <s v=""/>
    <x v="1"/>
    <x v="0"/>
  </r>
  <r>
    <s v="Agricola del Chira PlantaMontelima72166955000224351400"/>
    <x v="0"/>
    <s v="Montelima"/>
    <x v="22"/>
    <x v="22"/>
    <x v="8"/>
    <x v="2"/>
    <n v="101"/>
    <n v="1400"/>
    <x v="15"/>
    <d v="2023-03-08T00:00:00"/>
    <x v="15"/>
    <n v="5052586946"/>
    <s v="ALACHIRAP"/>
    <x v="4"/>
    <x v="10"/>
    <x v="11"/>
    <d v="2022-04-13T00:00:00"/>
    <x v="0"/>
    <x v="1"/>
  </r>
  <r>
    <s v="Agricola del Chira PlantaMontelima77730555000224351360"/>
    <x v="0"/>
    <s v="Montelima"/>
    <x v="23"/>
    <x v="23"/>
    <x v="9"/>
    <x v="3"/>
    <n v="101"/>
    <n v="1360"/>
    <x v="15"/>
    <d v="2023-03-08T00:00:00"/>
    <x v="15"/>
    <n v="5052586946"/>
    <s v="ALACHIRAP"/>
    <x v="4"/>
    <x v="10"/>
    <x v="11"/>
    <d v="2022-08-10T00:00:00"/>
    <x v="0"/>
    <x v="1"/>
  </r>
  <r>
    <s v="Agricola del Chira PlantaMontelima7006918355000224351690"/>
    <x v="0"/>
    <s v="Montelima"/>
    <x v="24"/>
    <x v="24"/>
    <x v="10"/>
    <x v="0"/>
    <n v="101"/>
    <n v="1690"/>
    <x v="15"/>
    <d v="2023-03-08T00:00:00"/>
    <x v="15"/>
    <n v="5052586946"/>
    <s v="ALACHIRAP"/>
    <x v="4"/>
    <x v="10"/>
    <x v="11"/>
    <d v="2022-04-13T00:00:00"/>
    <x v="0"/>
    <x v="1"/>
  </r>
  <r>
    <s v="Agricola del Chira PlantaMontelima787785451144536910"/>
    <x v="0"/>
    <s v="Montelima"/>
    <x v="25"/>
    <x v="25"/>
    <x v="5"/>
    <x v="0"/>
    <n v="101"/>
    <n v="10"/>
    <x v="16"/>
    <d v="2023-03-08T00:00:00"/>
    <x v="16"/>
    <n v="5052587130"/>
    <s v="ALACHIRAP"/>
    <x v="0"/>
    <x v="11"/>
    <x v="12"/>
    <d v="2023-02-20T00:00:00"/>
    <x v="0"/>
    <x v="1"/>
  </r>
  <r>
    <s v="Agricola del Chira PlantaMontelima70046835451144423810"/>
    <x v="0"/>
    <s v="Montelima"/>
    <x v="26"/>
    <x v="26"/>
    <x v="2"/>
    <x v="0"/>
    <n v="101"/>
    <n v="10"/>
    <x v="17"/>
    <d v="2023-03-08T00:00:00"/>
    <x v="17"/>
    <n v="5052587133"/>
    <s v="ALACHIRAP"/>
    <x v="2"/>
    <x v="12"/>
    <x v="12"/>
    <d v="2023-03-10T00:00:00"/>
    <x v="0"/>
    <x v="0"/>
  </r>
  <r>
    <s v="Sucroalcolera del Chira PlantaMontelima70084356451145581250"/>
    <x v="2"/>
    <s v="Montelima"/>
    <x v="27"/>
    <x v="27"/>
    <x v="11"/>
    <x v="2"/>
    <n v="101"/>
    <n v="50"/>
    <x v="18"/>
    <d v="2023-03-08T00:00:00"/>
    <x v="18"/>
    <n v="5052587159"/>
    <s v="ALACHIRAP"/>
    <x v="3"/>
    <x v="13"/>
    <x v="13"/>
    <d v="2023-03-20T00:00:00"/>
    <x v="0"/>
    <x v="0"/>
  </r>
  <r>
    <s v="Sucroalcolera del Chira PlantaMontelima70084359451145581280"/>
    <x v="2"/>
    <s v="Montelima"/>
    <x v="28"/>
    <x v="28"/>
    <x v="12"/>
    <x v="2"/>
    <n v="101"/>
    <n v="80"/>
    <x v="18"/>
    <d v="2023-03-08T00:00:00"/>
    <x v="18"/>
    <n v="5052587159"/>
    <s v="ALACHIRAP"/>
    <x v="3"/>
    <x v="13"/>
    <x v="13"/>
    <d v="2023-03-20T00:00:00"/>
    <x v="0"/>
    <x v="0"/>
  </r>
  <r>
    <s v="Sucroalcolera del Chira PlantaMontelima70084360451145581270"/>
    <x v="2"/>
    <s v="Montelima"/>
    <x v="29"/>
    <x v="29"/>
    <x v="12"/>
    <x v="2"/>
    <n v="101"/>
    <n v="70"/>
    <x v="18"/>
    <d v="2023-03-08T00:00:00"/>
    <x v="18"/>
    <n v="5052587159"/>
    <s v="ALACHIRAP"/>
    <x v="3"/>
    <x v="13"/>
    <x v="13"/>
    <d v="2023-03-20T00:00:00"/>
    <x v="0"/>
    <x v="0"/>
  </r>
  <r>
    <s v="Sucroalcolera del Chira PlantaMontelima70084363451145581240"/>
    <x v="2"/>
    <s v="Montelima"/>
    <x v="30"/>
    <x v="30"/>
    <x v="13"/>
    <x v="2"/>
    <n v="101"/>
    <n v="40"/>
    <x v="18"/>
    <d v="2023-03-08T00:00:00"/>
    <x v="18"/>
    <n v="5052587159"/>
    <s v="ALACHIRAP"/>
    <x v="3"/>
    <x v="13"/>
    <x v="13"/>
    <d v="2023-03-20T00:00:00"/>
    <x v="0"/>
    <x v="0"/>
  </r>
  <r>
    <s v="Sucroalcolera del Chira PlantaMontelima70084367451145581210"/>
    <x v="2"/>
    <s v="Montelima"/>
    <x v="31"/>
    <x v="31"/>
    <x v="14"/>
    <x v="2"/>
    <n v="101"/>
    <n v="10"/>
    <x v="18"/>
    <d v="2023-03-08T00:00:00"/>
    <x v="18"/>
    <n v="5052587159"/>
    <s v="ALACHIRAP"/>
    <x v="3"/>
    <x v="14"/>
    <x v="13"/>
    <d v="2023-03-20T00:00:00"/>
    <x v="0"/>
    <x v="0"/>
  </r>
  <r>
    <s v="Agricola del Chira PlantaMontelima70100900451145253120"/>
    <x v="0"/>
    <s v="Montelima"/>
    <x v="32"/>
    <x v="32"/>
    <x v="14"/>
    <x v="0"/>
    <n v="101"/>
    <n v="20"/>
    <x v="19"/>
    <d v="2023-03-08T00:00:00"/>
    <x v="19"/>
    <n v="5052587192"/>
    <s v="ALACHIRAP"/>
    <x v="3"/>
    <x v="6"/>
    <x v="14"/>
    <d v="2023-03-10T00:00:00"/>
    <x v="0"/>
    <x v="0"/>
  </r>
  <r>
    <s v="Agricola del Chira PlantaMontelimaCS400907   451145253110"/>
    <x v="0"/>
    <s v="Montelima"/>
    <x v="33"/>
    <x v="33"/>
    <x v="2"/>
    <x v="0"/>
    <n v="101"/>
    <n v="10"/>
    <x v="19"/>
    <d v="2023-03-08T00:00:00"/>
    <x v="19"/>
    <n v="5052587192"/>
    <s v="ALACHIRAP"/>
    <x v="3"/>
    <x v="15"/>
    <x v="14"/>
    <d v="2023-03-10T00:00:00"/>
    <x v="0"/>
    <x v="0"/>
  </r>
  <r>
    <s v="Sucroalcolera del Chira PlantaMontelima7773055500022436400"/>
    <x v="2"/>
    <s v="Montelima"/>
    <x v="23"/>
    <x v="23"/>
    <x v="15"/>
    <x v="3"/>
    <n v="101"/>
    <n v="400"/>
    <x v="20"/>
    <d v="2023-03-08T00:00:00"/>
    <x v="20"/>
    <n v="5052587348"/>
    <s v="ALACHIRAP"/>
    <x v="4"/>
    <x v="10"/>
    <x v="11"/>
    <d v="2022-05-06T00:00:00"/>
    <x v="0"/>
    <x v="1"/>
  </r>
  <r>
    <s v="Sucroalcolera del Chira PlantaMontelima700439915500022436580"/>
    <x v="2"/>
    <s v="Montelima"/>
    <x v="34"/>
    <x v="34"/>
    <x v="0"/>
    <x v="0"/>
    <n v="101"/>
    <n v="580"/>
    <x v="20"/>
    <d v="2023-03-08T00:00:00"/>
    <x v="20"/>
    <n v="5052587348"/>
    <s v="ALACHIRAP"/>
    <x v="4"/>
    <x v="10"/>
    <x v="11"/>
    <d v="2022-04-07T00:00:00"/>
    <x v="0"/>
    <x v="1"/>
  </r>
  <r>
    <s v="Sucroalcolera del Chira PlantaMontelima700691835500022436560"/>
    <x v="2"/>
    <s v="Montelima"/>
    <x v="24"/>
    <x v="24"/>
    <x v="5"/>
    <x v="0"/>
    <n v="101"/>
    <n v="560"/>
    <x v="20"/>
    <d v="2023-03-08T00:00:00"/>
    <x v="20"/>
    <n v="5052587348"/>
    <s v="ALACHIRAP"/>
    <x v="4"/>
    <x v="10"/>
    <x v="11"/>
    <d v="2022-03-22T00:00:00"/>
    <x v="0"/>
    <x v="1"/>
  </r>
  <r>
    <s v="Sucroalcolera del Chira PlantaMontelima700691875500022436410"/>
    <x v="2"/>
    <s v="Montelima"/>
    <x v="35"/>
    <x v="35"/>
    <x v="0"/>
    <x v="0"/>
    <n v="101"/>
    <n v="410"/>
    <x v="20"/>
    <d v="2023-03-08T00:00:00"/>
    <x v="20"/>
    <n v="5052587348"/>
    <s v="ALACHIRAP"/>
    <x v="4"/>
    <x v="10"/>
    <x v="11"/>
    <d v="2022-10-24T00:00:00"/>
    <x v="0"/>
    <x v="1"/>
  </r>
  <r>
    <s v="Sucroalcolera del Chira PlantaMontelima709179451145642630"/>
    <x v="2"/>
    <s v="Montelima"/>
    <x v="36"/>
    <x v="36"/>
    <x v="16"/>
    <x v="0"/>
    <n v="101"/>
    <n v="30"/>
    <x v="21"/>
    <d v="2023-03-08T00:00:00"/>
    <x v="21"/>
    <n v="5052587461"/>
    <s v="ALACHIRAP"/>
    <x v="3"/>
    <x v="13"/>
    <x v="15"/>
    <d v="2023-03-20T00:00:00"/>
    <x v="0"/>
    <x v="0"/>
  </r>
  <r>
    <s v="Sucroalcolera del Chira PlantaMontelima806591451145642640"/>
    <x v="2"/>
    <s v="Montelima"/>
    <x v="37"/>
    <x v="37"/>
    <x v="12"/>
    <x v="0"/>
    <n v="101"/>
    <n v="40"/>
    <x v="21"/>
    <d v="2023-03-08T00:00:00"/>
    <x v="21"/>
    <n v="5052587461"/>
    <s v="ALACHIRAP"/>
    <x v="3"/>
    <x v="13"/>
    <x v="15"/>
    <d v="2023-03-20T00:00:00"/>
    <x v="0"/>
    <x v="0"/>
  </r>
  <r>
    <s v="Sucroalcolera del Chira PlantaMontelima866025451145642610"/>
    <x v="2"/>
    <s v="Montelima"/>
    <x v="38"/>
    <x v="38"/>
    <x v="4"/>
    <x v="0"/>
    <n v="101"/>
    <n v="10"/>
    <x v="21"/>
    <d v="2023-03-08T00:00:00"/>
    <x v="21"/>
    <n v="5052587461"/>
    <s v="ALACHIRAP"/>
    <x v="3"/>
    <x v="4"/>
    <x v="15"/>
    <d v="2023-03-20T00:00:00"/>
    <x v="0"/>
    <x v="0"/>
  </r>
  <r>
    <s v="Sucroalcolera del Chira PlantaMontelima806591451145320810"/>
    <x v="2"/>
    <s v="Montelima"/>
    <x v="37"/>
    <x v="37"/>
    <x v="17"/>
    <x v="0"/>
    <n v="101"/>
    <n v="10"/>
    <x v="22"/>
    <d v="2023-03-08T00:00:00"/>
    <x v="22"/>
    <n v="5052587463"/>
    <s v="ALACHIRAP"/>
    <x v="3"/>
    <x v="16"/>
    <x v="15"/>
    <d v="2023-03-10T00:00:00"/>
    <x v="0"/>
    <x v="0"/>
  </r>
  <r>
    <s v="Agricola del Chira PlantaMontelima886062451145300510"/>
    <x v="0"/>
    <s v="Montelima"/>
    <x v="39"/>
    <x v="39"/>
    <x v="2"/>
    <x v="0"/>
    <n v="101"/>
    <n v="10"/>
    <x v="23"/>
    <d v="2023-03-08T00:00:00"/>
    <x v="23"/>
    <n v="5052587464"/>
    <s v="ALACHIRAP"/>
    <x v="3"/>
    <x v="5"/>
    <x v="15"/>
    <d v="2023-03-09T00:00:00"/>
    <x v="0"/>
    <x v="0"/>
  </r>
  <r>
    <s v="Sucroalcolera del Chira PlantaMontelima776850451145300320"/>
    <x v="2"/>
    <s v="Montelima"/>
    <x v="40"/>
    <x v="40"/>
    <x v="2"/>
    <x v="0"/>
    <n v="101"/>
    <n v="20"/>
    <x v="24"/>
    <d v="2023-03-08T00:00:00"/>
    <x v="24"/>
    <n v="5052587465"/>
    <s v="ALACHIRAP"/>
    <x v="3"/>
    <x v="4"/>
    <x v="15"/>
    <d v="2023-03-10T00:00:00"/>
    <x v="0"/>
    <x v="0"/>
  </r>
  <r>
    <s v="Sucroalcolera del Chira PlantaMontelimaCS401836   451145300310"/>
    <x v="2"/>
    <s v="Montelima"/>
    <x v="41"/>
    <x v="41"/>
    <x v="1"/>
    <x v="0"/>
    <n v="101"/>
    <n v="10"/>
    <x v="24"/>
    <d v="2023-03-08T00:00:00"/>
    <x v="24"/>
    <n v="5052587465"/>
    <s v="ALACHIRAP"/>
    <x v="3"/>
    <x v="4"/>
    <x v="15"/>
    <d v="2023-03-10T00:00:00"/>
    <x v="0"/>
    <x v="0"/>
  </r>
  <r>
    <s v="Agricola del Chira PlantaMontelima788247451144992940"/>
    <x v="0"/>
    <s v="Montelima"/>
    <x v="42"/>
    <x v="42"/>
    <x v="0"/>
    <x v="0"/>
    <n v="101"/>
    <n v="40"/>
    <x v="25"/>
    <d v="2023-03-08T00:00:00"/>
    <x v="25"/>
    <n v="5052587466"/>
    <s v="ALACHIRAP"/>
    <x v="1"/>
    <x v="5"/>
    <x v="15"/>
    <d v="2023-03-10T00:00:00"/>
    <x v="0"/>
    <x v="0"/>
  </r>
  <r>
    <s v="Agricola del Chira PlantaMontelima788249451144992950"/>
    <x v="0"/>
    <s v="Montelima"/>
    <x v="43"/>
    <x v="43"/>
    <x v="0"/>
    <x v="0"/>
    <n v="101"/>
    <n v="50"/>
    <x v="25"/>
    <d v="2023-03-08T00:00:00"/>
    <x v="25"/>
    <n v="5052587466"/>
    <s v="ALACHIRAP"/>
    <x v="1"/>
    <x v="5"/>
    <x v="15"/>
    <d v="2023-03-10T00:00:00"/>
    <x v="0"/>
    <x v="0"/>
  </r>
  <r>
    <s v="Agricola del Chira PlantaMontelima808835451144992920"/>
    <x v="0"/>
    <s v="Montelima"/>
    <x v="44"/>
    <x v="44"/>
    <x v="18"/>
    <x v="4"/>
    <n v="101"/>
    <n v="20"/>
    <x v="25"/>
    <d v="2023-03-08T00:00:00"/>
    <x v="25"/>
    <n v="5052587466"/>
    <s v="ALACHIRAP"/>
    <x v="1"/>
    <x v="17"/>
    <x v="15"/>
    <d v="2023-03-10T00:00:00"/>
    <x v="0"/>
    <x v="0"/>
  </r>
  <r>
    <s v="Sucroalcolera del Chira PlantaMontelima736439451145361230"/>
    <x v="2"/>
    <s v="Montelima"/>
    <x v="45"/>
    <x v="45"/>
    <x v="14"/>
    <x v="0"/>
    <n v="101"/>
    <n v="30"/>
    <x v="26"/>
    <d v="2023-03-08T00:00:00"/>
    <x v="26"/>
    <n v="5052587468"/>
    <s v="ALACHIRAP"/>
    <x v="3"/>
    <x v="13"/>
    <x v="15"/>
    <d v="2023-03-10T00:00:00"/>
    <x v="0"/>
    <x v="0"/>
  </r>
  <r>
    <s v="Sucroalcolera del Chira PlantaMontelima70064012451145361220"/>
    <x v="2"/>
    <s v="Montelima"/>
    <x v="46"/>
    <x v="46"/>
    <x v="1"/>
    <x v="5"/>
    <n v="101"/>
    <n v="20"/>
    <x v="26"/>
    <d v="2023-03-08T00:00:00"/>
    <x v="26"/>
    <n v="5052587468"/>
    <s v="ALACHIRAP"/>
    <x v="3"/>
    <x v="13"/>
    <x v="15"/>
    <d v="2023-03-10T00:00:00"/>
    <x v="0"/>
    <x v="0"/>
  </r>
  <r>
    <s v="Sucroalcolera del Chira PlantaMontelimaCF20250040 451145361210"/>
    <x v="2"/>
    <s v="Montelima"/>
    <x v="47"/>
    <x v="47"/>
    <x v="19"/>
    <x v="0"/>
    <n v="101"/>
    <n v="10"/>
    <x v="26"/>
    <d v="2023-03-08T00:00:00"/>
    <x v="26"/>
    <n v="5052587468"/>
    <s v="ALACHIRAP"/>
    <x v="3"/>
    <x v="16"/>
    <x v="15"/>
    <d v="2023-03-10T00:00:00"/>
    <x v="0"/>
    <x v="0"/>
  </r>
  <r>
    <s v="Agricola del Chira PlantaMontelima733186451144607820"/>
    <x v="0"/>
    <s v="Montelima"/>
    <x v="48"/>
    <x v="48"/>
    <x v="15"/>
    <x v="0"/>
    <n v="101"/>
    <n v="20"/>
    <x v="27"/>
    <d v="2023-03-08T00:00:00"/>
    <x v="27"/>
    <n v="5052587501"/>
    <s v="ALACHIRAP"/>
    <x v="3"/>
    <x v="18"/>
    <x v="15"/>
    <d v="2023-03-10T00:00:00"/>
    <x v="2"/>
    <x v="0"/>
  </r>
  <r>
    <s v="Sucroalcolera del Chira PlantaMontelima766049451144885510"/>
    <x v="2"/>
    <s v="Montelima"/>
    <x v="49"/>
    <x v="49"/>
    <x v="1"/>
    <x v="0"/>
    <n v="101"/>
    <n v="10"/>
    <x v="28"/>
    <d v="2023-03-08T00:00:00"/>
    <x v="28"/>
    <n v="5052587506"/>
    <s v="ALACHIRAP"/>
    <x v="3"/>
    <x v="3"/>
    <x v="15"/>
    <d v="2023-03-10T00:00:00"/>
    <x v="0"/>
    <x v="0"/>
  </r>
  <r>
    <s v="Sucroalcolera del Chira PlantaMontelima811217451144891160"/>
    <x v="2"/>
    <s v="Montelima"/>
    <x v="50"/>
    <x v="50"/>
    <x v="2"/>
    <x v="0"/>
    <n v="101"/>
    <n v="60"/>
    <x v="29"/>
    <d v="2023-03-06T00:00:00"/>
    <x v="29"/>
    <n v="5052584012"/>
    <s v="DMERCADOR"/>
    <x v="0"/>
    <x v="8"/>
    <x v="16"/>
    <d v="2023-02-24T00:00:00"/>
    <x v="0"/>
    <x v="1"/>
  </r>
  <r>
    <s v="Bioenergía del Chira PlantaMontelima70019402451144891210"/>
    <x v="1"/>
    <s v="Montelima"/>
    <x v="51"/>
    <x v="51"/>
    <x v="0"/>
    <x v="0"/>
    <n v="101"/>
    <n v="10"/>
    <x v="30"/>
    <d v="2023-03-06T00:00:00"/>
    <x v="30"/>
    <n v="5052584013"/>
    <s v="DMERCADOR"/>
    <x v="0"/>
    <x v="1"/>
    <x v="1"/>
    <s v=""/>
    <x v="1"/>
    <x v="0"/>
  </r>
  <r>
    <s v="Bioenergía del Chira PlantaMontelima868245451144888310"/>
    <x v="1"/>
    <s v="Montelima"/>
    <x v="52"/>
    <x v="52"/>
    <x v="20"/>
    <x v="0"/>
    <n v="101"/>
    <n v="10"/>
    <x v="31"/>
    <d v="2023-03-06T00:00:00"/>
    <x v="31"/>
    <n v="5052584016"/>
    <s v="DMERCADOR"/>
    <x v="1"/>
    <x v="19"/>
    <x v="16"/>
    <d v="2023-03-01T00:00:00"/>
    <x v="0"/>
    <x v="1"/>
  </r>
  <r>
    <s v="Agricola del Chira PlantaMontelima70018803451144658860"/>
    <x v="0"/>
    <s v="Montelima"/>
    <x v="53"/>
    <x v="53"/>
    <x v="1"/>
    <x v="0"/>
    <n v="101"/>
    <n v="60"/>
    <x v="32"/>
    <d v="2023-03-06T00:00:00"/>
    <x v="32"/>
    <n v="5052584019"/>
    <s v="DMERCADOR"/>
    <x v="2"/>
    <x v="5"/>
    <x v="16"/>
    <d v="2023-02-20T00:00:00"/>
    <x v="0"/>
    <x v="1"/>
  </r>
  <r>
    <s v="Sucroalcolera del Chira PlantaMontelima811217451144585640"/>
    <x v="2"/>
    <s v="Montelima"/>
    <x v="50"/>
    <x v="50"/>
    <x v="1"/>
    <x v="0"/>
    <n v="101"/>
    <n v="40"/>
    <x v="33"/>
    <d v="2023-03-06T00:00:00"/>
    <x v="33"/>
    <n v="5052584073"/>
    <s v="DMERCADOR"/>
    <x v="2"/>
    <x v="3"/>
    <x v="16"/>
    <d v="2023-03-10T00:00:00"/>
    <x v="0"/>
    <x v="0"/>
  </r>
  <r>
    <s v="Bioenergía del Chira PlantaMontelima809718451145366110"/>
    <x v="1"/>
    <s v="Montelima"/>
    <x v="54"/>
    <x v="54"/>
    <x v="1"/>
    <x v="0"/>
    <n v="101"/>
    <n v="10"/>
    <x v="34"/>
    <d v="2023-03-06T00:00:00"/>
    <x v="34"/>
    <n v="5052584996"/>
    <s v="DMERCADOR"/>
    <x v="3"/>
    <x v="20"/>
    <x v="16"/>
    <d v="2023-03-15T00:00:00"/>
    <x v="0"/>
    <x v="0"/>
  </r>
  <r>
    <s v="Agricola del Chira PlantaMontelima736148451144916610"/>
    <x v="0"/>
    <s v="Montelima"/>
    <x v="55"/>
    <x v="55"/>
    <x v="2"/>
    <x v="0"/>
    <n v="101"/>
    <n v="10"/>
    <x v="35"/>
    <d v="2023-03-06T00:00:00"/>
    <x v="35"/>
    <n v="5052584999"/>
    <s v="DMERCADOR"/>
    <x v="2"/>
    <x v="6"/>
    <x v="16"/>
    <d v="2023-03-03T00:00:00"/>
    <x v="0"/>
    <x v="1"/>
  </r>
  <r>
    <s v="Agricola del Chira PlantaMontelima70024795451144704510"/>
    <x v="0"/>
    <s v="Montelima"/>
    <x v="56"/>
    <x v="56"/>
    <x v="1"/>
    <x v="0"/>
    <n v="101"/>
    <n v="10"/>
    <x v="36"/>
    <d v="2023-03-06T00:00:00"/>
    <x v="36"/>
    <n v="5052585020"/>
    <s v="DMERCADOR"/>
    <x v="3"/>
    <x v="21"/>
    <x v="16"/>
    <d v="2023-03-10T00:00:00"/>
    <x v="0"/>
    <x v="0"/>
  </r>
  <r>
    <s v="Agricola del Chira PlantaMontelima70038101451144955810"/>
    <x v="0"/>
    <s v="Montelima"/>
    <x v="57"/>
    <x v="57"/>
    <x v="2"/>
    <x v="0"/>
    <n v="101"/>
    <n v="10"/>
    <x v="37"/>
    <d v="2023-03-07T00:00:00"/>
    <x v="37"/>
    <n v="5052585673"/>
    <s v="DMERCADOR"/>
    <x v="3"/>
    <x v="0"/>
    <x v="17"/>
    <d v="2023-03-10T00:00:00"/>
    <x v="0"/>
    <x v="0"/>
  </r>
  <r>
    <s v="Agricola del Chira PlantaMontelima841443451144324220"/>
    <x v="0"/>
    <s v="Montelima"/>
    <x v="58"/>
    <x v="58"/>
    <x v="1"/>
    <x v="0"/>
    <n v="101"/>
    <n v="20"/>
    <x v="38"/>
    <d v="2023-03-07T00:00:00"/>
    <x v="38"/>
    <n v="5052585675"/>
    <s v="DMERCADOR"/>
    <x v="2"/>
    <x v="5"/>
    <x v="17"/>
    <d v="2023-02-24T00:00:00"/>
    <x v="0"/>
    <x v="1"/>
  </r>
  <r>
    <s v="Agricola del Chira PlantaMontelima801459451144441510"/>
    <x v="0"/>
    <s v="Montelima"/>
    <x v="59"/>
    <x v="59"/>
    <x v="1"/>
    <x v="0"/>
    <n v="101"/>
    <n v="10"/>
    <x v="39"/>
    <d v="2023-03-07T00:00:00"/>
    <x v="39"/>
    <n v="5052585677"/>
    <s v="DMERCADOR"/>
    <x v="0"/>
    <x v="5"/>
    <x v="17"/>
    <d v="2023-03-01T00:00:00"/>
    <x v="0"/>
    <x v="1"/>
  </r>
  <r>
    <s v="Agricola del Chira PlantaMontelima70106622451144441520"/>
    <x v="0"/>
    <s v="Montelima"/>
    <x v="60"/>
    <x v="60"/>
    <x v="1"/>
    <x v="0"/>
    <n v="101"/>
    <n v="20"/>
    <x v="39"/>
    <d v="2023-03-07T00:00:00"/>
    <x v="39"/>
    <n v="5052585677"/>
    <s v="DMERCADOR"/>
    <x v="0"/>
    <x v="22"/>
    <x v="17"/>
    <d v="2023-03-01T00:00:00"/>
    <x v="0"/>
    <x v="1"/>
  </r>
  <r>
    <s v="Agricola del Chira PlantaMontelima70106624451144441530"/>
    <x v="0"/>
    <s v="Montelima"/>
    <x v="61"/>
    <x v="61"/>
    <x v="1"/>
    <x v="0"/>
    <n v="101"/>
    <n v="30"/>
    <x v="39"/>
    <d v="2023-03-07T00:00:00"/>
    <x v="39"/>
    <n v="5052585677"/>
    <s v="DMERCADOR"/>
    <x v="0"/>
    <x v="23"/>
    <x v="17"/>
    <d v="2023-03-01T00:00:00"/>
    <x v="0"/>
    <x v="1"/>
  </r>
  <r>
    <s v="Agricola del Chira PlantaMontelima865869451144033930"/>
    <x v="0"/>
    <s v="Montelima"/>
    <x v="62"/>
    <x v="62"/>
    <x v="1"/>
    <x v="0"/>
    <n v="101"/>
    <n v="30"/>
    <x v="40"/>
    <d v="2023-03-07T00:00:00"/>
    <x v="40"/>
    <n v="5052585679"/>
    <s v="DMERCADOR"/>
    <x v="2"/>
    <x v="5"/>
    <x v="17"/>
    <d v="2023-03-08T00:00:00"/>
    <x v="0"/>
    <x v="0"/>
  </r>
  <r>
    <s v="Agricola del Chira PlantaMontelima70036719451144033910"/>
    <x v="0"/>
    <s v="Montelima"/>
    <x v="63"/>
    <x v="63"/>
    <x v="1"/>
    <x v="0"/>
    <n v="101"/>
    <n v="10"/>
    <x v="40"/>
    <d v="2023-03-07T00:00:00"/>
    <x v="40"/>
    <n v="5052585679"/>
    <s v="DMERCADOR"/>
    <x v="2"/>
    <x v="5"/>
    <x v="17"/>
    <d v="2023-03-08T00:00:00"/>
    <x v="0"/>
    <x v="0"/>
  </r>
  <r>
    <s v="Sucroalcolera del Chira PlantaMontelima70068404451145272410"/>
    <x v="2"/>
    <s v="Montelima"/>
    <x v="64"/>
    <x v="64"/>
    <x v="2"/>
    <x v="0"/>
    <n v="101"/>
    <n v="10"/>
    <x v="41"/>
    <d v="2023-03-06T00:00:00"/>
    <x v="41"/>
    <n v="5052583601"/>
    <s v="FLOPEZV  "/>
    <x v="1"/>
    <x v="24"/>
    <x v="18"/>
    <d v="2023-03-10T00:00:00"/>
    <x v="2"/>
    <x v="0"/>
  </r>
  <r>
    <s v="Agricola del Chira PlantaMontelima70039345451144946610"/>
    <x v="0"/>
    <s v="Montelima"/>
    <x v="65"/>
    <x v="65"/>
    <x v="21"/>
    <x v="0"/>
    <n v="101"/>
    <n v="10"/>
    <x v="42"/>
    <d v="2023-03-06T00:00:00"/>
    <x v="42"/>
    <n v="5052584011"/>
    <s v="FLOPEZV  "/>
    <x v="3"/>
    <x v="0"/>
    <x v="19"/>
    <d v="2023-03-10T00:00:00"/>
    <x v="0"/>
    <x v="0"/>
  </r>
  <r>
    <s v="Sucroalcolera del Chira PlantaMontelima866353451145370310"/>
    <x v="2"/>
    <s v="Montelima"/>
    <x v="66"/>
    <x v="66"/>
    <x v="1"/>
    <x v="0"/>
    <n v="101"/>
    <n v="10"/>
    <x v="43"/>
    <d v="2023-03-06T00:00:00"/>
    <x v="43"/>
    <n v="5052584203"/>
    <s v="FLOPEZV  "/>
    <x v="2"/>
    <x v="13"/>
    <x v="20"/>
    <d v="2023-03-10T00:00:00"/>
    <x v="0"/>
    <x v="0"/>
  </r>
  <r>
    <s v="Agricola del Chira PlantaMontelima821619451145370010"/>
    <x v="0"/>
    <s v="Montelima"/>
    <x v="67"/>
    <x v="67"/>
    <x v="14"/>
    <x v="0"/>
    <n v="101"/>
    <n v="10"/>
    <x v="44"/>
    <d v="2023-03-06T00:00:00"/>
    <x v="44"/>
    <n v="5052584204"/>
    <s v="FLOPEZV  "/>
    <x v="2"/>
    <x v="25"/>
    <x v="20"/>
    <d v="2023-03-10T00:00:00"/>
    <x v="0"/>
    <x v="0"/>
  </r>
  <r>
    <s v="Sucroalcolera del Chira PlantaMontelima70040046451145325720"/>
    <x v="2"/>
    <s v="Montelima"/>
    <x v="68"/>
    <x v="68"/>
    <x v="2"/>
    <x v="6"/>
    <n v="101"/>
    <n v="20"/>
    <x v="45"/>
    <d v="2023-03-06T00:00:00"/>
    <x v="45"/>
    <n v="5052584789"/>
    <s v="FLOPEZV  "/>
    <x v="0"/>
    <x v="4"/>
    <x v="21"/>
    <d v="2023-02-21T00:00:00"/>
    <x v="0"/>
    <x v="1"/>
  </r>
  <r>
    <s v="Sucroalcolera del Chira PlantaMontelima70070567451145325710"/>
    <x v="2"/>
    <s v="Montelima"/>
    <x v="69"/>
    <x v="69"/>
    <x v="2"/>
    <x v="0"/>
    <n v="101"/>
    <n v="10"/>
    <x v="45"/>
    <d v="2023-03-06T00:00:00"/>
    <x v="45"/>
    <n v="5052584789"/>
    <s v="FLOPEZV  "/>
    <x v="0"/>
    <x v="16"/>
    <x v="21"/>
    <d v="2023-03-01T00:00:00"/>
    <x v="0"/>
    <x v="1"/>
  </r>
  <r>
    <s v="Agricola del Chira PlantaMontelima824529451145057810"/>
    <x v="0"/>
    <s v="Montelima"/>
    <x v="70"/>
    <x v="70"/>
    <x v="1"/>
    <x v="0"/>
    <n v="101"/>
    <n v="10"/>
    <x v="46"/>
    <d v="2023-03-06T00:00:00"/>
    <x v="46"/>
    <n v="5052584820"/>
    <s v="FLOPEZV  "/>
    <x v="3"/>
    <x v="17"/>
    <x v="22"/>
    <d v="2023-03-03T00:00:00"/>
    <x v="0"/>
    <x v="1"/>
  </r>
  <r>
    <s v="Bioenergía del Chira PlantaMontelima70111491451144406810"/>
    <x v="1"/>
    <s v="Montelima"/>
    <x v="71"/>
    <x v="71"/>
    <x v="1"/>
    <x v="0"/>
    <n v="101"/>
    <n v="10"/>
    <x v="47"/>
    <d v="2023-03-06T00:00:00"/>
    <x v="47"/>
    <n v="5052584821"/>
    <s v="FLOPEZV  "/>
    <x v="2"/>
    <x v="26"/>
    <x v="9"/>
    <d v="2023-03-08T00:00:00"/>
    <x v="0"/>
    <x v="0"/>
  </r>
  <r>
    <s v="Bioenergía del Chira PlantaMontelima882698451144345820"/>
    <x v="1"/>
    <s v="Montelima"/>
    <x v="72"/>
    <x v="72"/>
    <x v="14"/>
    <x v="0"/>
    <n v="101"/>
    <n v="20"/>
    <x v="48"/>
    <d v="2023-03-06T00:00:00"/>
    <x v="48"/>
    <n v="5052584822"/>
    <s v="FLOPEZV  "/>
    <x v="0"/>
    <x v="19"/>
    <x v="9"/>
    <d v="2023-03-01T00:00:00"/>
    <x v="0"/>
    <x v="1"/>
  </r>
  <r>
    <s v="Bioenergía del Chira PlantaMontelima882698451144345810"/>
    <x v="1"/>
    <s v="Montelima"/>
    <x v="72"/>
    <x v="72"/>
    <x v="22"/>
    <x v="0"/>
    <n v="101"/>
    <n v="10"/>
    <x v="48"/>
    <d v="2023-03-06T00:00:00"/>
    <x v="48"/>
    <n v="5052584822"/>
    <s v="FLOPEZV  "/>
    <x v="0"/>
    <x v="19"/>
    <x v="9"/>
    <d v="2023-03-01T00:00:00"/>
    <x v="0"/>
    <x v="1"/>
  </r>
  <r>
    <s v="Sucroalcolera del Chira PlantaMontelima744011451144994410"/>
    <x v="2"/>
    <s v="Montelima"/>
    <x v="73"/>
    <x v="73"/>
    <x v="14"/>
    <x v="0"/>
    <n v="101"/>
    <n v="10"/>
    <x v="49"/>
    <d v="2023-03-06T00:00:00"/>
    <x v="49"/>
    <n v="5052584823"/>
    <s v="FLOPEZV  "/>
    <x v="2"/>
    <x v="27"/>
    <x v="23"/>
    <d v="2023-03-03T00:00:00"/>
    <x v="0"/>
    <x v="1"/>
  </r>
  <r>
    <s v="Agricola del Chira PlantaMontelima70101756451140210310"/>
    <x v="0"/>
    <s v="Montelima"/>
    <x v="74"/>
    <x v="74"/>
    <x v="1"/>
    <x v="0"/>
    <n v="101"/>
    <n v="10"/>
    <x v="50"/>
    <d v="2023-03-06T00:00:00"/>
    <x v="50"/>
    <n v="5052584824"/>
    <s v="FLOPEZV  "/>
    <x v="2"/>
    <x v="1"/>
    <x v="1"/>
    <s v=""/>
    <x v="1"/>
    <x v="0"/>
  </r>
  <r>
    <s v="Sucroalcolera del Chira PlantaMontelima862994451145307610"/>
    <x v="2"/>
    <s v="Montelima"/>
    <x v="75"/>
    <x v="75"/>
    <x v="0"/>
    <x v="7"/>
    <n v="101"/>
    <n v="10"/>
    <x v="51"/>
    <d v="2023-03-06T00:00:00"/>
    <x v="51"/>
    <n v="5052584826"/>
    <s v="FLOPEZV  "/>
    <x v="3"/>
    <x v="13"/>
    <x v="24"/>
    <d v="2023-03-11T00:00:00"/>
    <x v="0"/>
    <x v="0"/>
  </r>
  <r>
    <s v="Sucroalcolera del Chira PlantaMontelima862994451145307620"/>
    <x v="2"/>
    <s v="Montelima"/>
    <x v="75"/>
    <x v="75"/>
    <x v="1"/>
    <x v="7"/>
    <n v="101"/>
    <n v="20"/>
    <x v="51"/>
    <d v="2023-03-06T00:00:00"/>
    <x v="51"/>
    <n v="5052584826"/>
    <s v="FLOPEZV  "/>
    <x v="3"/>
    <x v="13"/>
    <x v="24"/>
    <d v="2023-03-11T00:00:00"/>
    <x v="0"/>
    <x v="0"/>
  </r>
  <r>
    <s v="Agricola del Chira PlantaMontelima851482451145269420"/>
    <x v="0"/>
    <s v="Montelima"/>
    <x v="76"/>
    <x v="76"/>
    <x v="1"/>
    <x v="0"/>
    <n v="101"/>
    <n v="20"/>
    <x v="52"/>
    <d v="2023-03-06T00:00:00"/>
    <x v="52"/>
    <n v="5052584827"/>
    <s v="FLOPEZV  "/>
    <x v="2"/>
    <x v="6"/>
    <x v="7"/>
    <d v="2023-03-15T00:00:00"/>
    <x v="0"/>
    <x v="0"/>
  </r>
  <r>
    <s v="Agricola del Chira PlantaMontelima873674451145269410"/>
    <x v="0"/>
    <s v="Montelima"/>
    <x v="77"/>
    <x v="77"/>
    <x v="1"/>
    <x v="0"/>
    <n v="101"/>
    <n v="10"/>
    <x v="52"/>
    <d v="2023-03-06T00:00:00"/>
    <x v="52"/>
    <n v="5052584827"/>
    <s v="FLOPEZV  "/>
    <x v="2"/>
    <x v="6"/>
    <x v="7"/>
    <d v="2023-03-15T00:00:00"/>
    <x v="0"/>
    <x v="0"/>
  </r>
  <r>
    <s v="Sucroalcolera del Chira PlantaMontelima865749451145322010"/>
    <x v="2"/>
    <s v="Montelima"/>
    <x v="78"/>
    <x v="78"/>
    <x v="1"/>
    <x v="0"/>
    <n v="101"/>
    <n v="10"/>
    <x v="53"/>
    <d v="2023-03-06T00:00:00"/>
    <x v="53"/>
    <n v="5052584829"/>
    <s v="FLOPEZV  "/>
    <x v="2"/>
    <x v="13"/>
    <x v="25"/>
    <d v="2023-03-15T00:00:00"/>
    <x v="0"/>
    <x v="0"/>
  </r>
  <r>
    <s v="Sucroalcolera del Chira PlantaMontelima865760451145322020"/>
    <x v="2"/>
    <s v="Montelima"/>
    <x v="79"/>
    <x v="79"/>
    <x v="1"/>
    <x v="0"/>
    <n v="101"/>
    <n v="20"/>
    <x v="53"/>
    <d v="2023-03-06T00:00:00"/>
    <x v="53"/>
    <n v="5052584829"/>
    <s v="FLOPEZV  "/>
    <x v="2"/>
    <x v="13"/>
    <x v="25"/>
    <d v="2023-03-15T00:00:00"/>
    <x v="0"/>
    <x v="0"/>
  </r>
  <r>
    <s v="Sucroalcolera del Chira PlantaMontelima899370451145322030"/>
    <x v="2"/>
    <s v="Montelima"/>
    <x v="80"/>
    <x v="80"/>
    <x v="1"/>
    <x v="0"/>
    <n v="101"/>
    <n v="30"/>
    <x v="53"/>
    <d v="2023-03-06T00:00:00"/>
    <x v="53"/>
    <n v="5052584829"/>
    <s v="FLOPEZV  "/>
    <x v="2"/>
    <x v="13"/>
    <x v="25"/>
    <d v="2023-03-15T00:00:00"/>
    <x v="0"/>
    <x v="0"/>
  </r>
  <r>
    <s v="Sucroalcolera del Chira PlantaMontelima70019176451145322040"/>
    <x v="2"/>
    <s v="Montelima"/>
    <x v="81"/>
    <x v="81"/>
    <x v="1"/>
    <x v="0"/>
    <n v="101"/>
    <n v="40"/>
    <x v="53"/>
    <d v="2023-03-06T00:00:00"/>
    <x v="53"/>
    <n v="5052584829"/>
    <s v="FLOPEZV  "/>
    <x v="2"/>
    <x v="13"/>
    <x v="25"/>
    <d v="2023-03-15T00:00:00"/>
    <x v="0"/>
    <x v="0"/>
  </r>
  <r>
    <s v="Sucroalcolera del Chira PlantaMontelima811119451143152630"/>
    <x v="2"/>
    <s v="Montelima"/>
    <x v="82"/>
    <x v="82"/>
    <x v="1"/>
    <x v="0"/>
    <n v="101"/>
    <n v="30"/>
    <x v="54"/>
    <d v="2023-03-06T00:00:00"/>
    <x v="54"/>
    <n v="5052584852"/>
    <s v="FLOPEZV  "/>
    <x v="2"/>
    <x v="4"/>
    <x v="26"/>
    <d v="2023-02-24T00:00:00"/>
    <x v="0"/>
    <x v="1"/>
  </r>
  <r>
    <s v="Bioenergía del Chira PlantaMontelima709198451145264510"/>
    <x v="1"/>
    <s v="Montelima"/>
    <x v="83"/>
    <x v="83"/>
    <x v="1"/>
    <x v="0"/>
    <n v="101"/>
    <n v="10"/>
    <x v="55"/>
    <d v="2023-03-07T00:00:00"/>
    <x v="55"/>
    <n v="5052584854"/>
    <s v="FLOPEZV  "/>
    <x v="2"/>
    <x v="28"/>
    <x v="2"/>
    <d v="2023-03-15T00:00:00"/>
    <x v="0"/>
    <x v="0"/>
  </r>
  <r>
    <s v="Bioenergía del Chira PlantaMontelima7152724511452995120"/>
    <x v="1"/>
    <s v="Montelima"/>
    <x v="84"/>
    <x v="84"/>
    <x v="16"/>
    <x v="0"/>
    <n v="101"/>
    <n v="120"/>
    <x v="56"/>
    <d v="2023-03-06T00:00:00"/>
    <x v="56"/>
    <n v="5052584871"/>
    <s v="FLOPEZV  "/>
    <x v="1"/>
    <x v="19"/>
    <x v="27"/>
    <d v="2023-02-10T00:00:00"/>
    <x v="0"/>
    <x v="1"/>
  </r>
  <r>
    <s v="Bioenergía del Chira PlantaMontelima8600914511452995150"/>
    <x v="1"/>
    <s v="Montelima"/>
    <x v="85"/>
    <x v="85"/>
    <x v="15"/>
    <x v="0"/>
    <n v="101"/>
    <n v="150"/>
    <x v="56"/>
    <d v="2023-03-06T00:00:00"/>
    <x v="56"/>
    <n v="5052584871"/>
    <s v="FLOPEZV  "/>
    <x v="1"/>
    <x v="19"/>
    <x v="27"/>
    <d v="2023-02-11T00:00:00"/>
    <x v="0"/>
    <x v="1"/>
  </r>
  <r>
    <s v="Bioenergía del Chira PlantaMontelima752729451145309460"/>
    <x v="1"/>
    <s v="Montelima"/>
    <x v="86"/>
    <x v="86"/>
    <x v="22"/>
    <x v="0"/>
    <n v="101"/>
    <n v="60"/>
    <x v="57"/>
    <d v="2023-03-06T00:00:00"/>
    <x v="57"/>
    <n v="5052584874"/>
    <s v="FLOPEZV  "/>
    <x v="1"/>
    <x v="29"/>
    <x v="27"/>
    <d v="2023-03-17T00:00:00"/>
    <x v="0"/>
    <x v="0"/>
  </r>
  <r>
    <s v="Bioenergía del Chira PlantaMontelima798919451145309450"/>
    <x v="1"/>
    <s v="Montelima"/>
    <x v="87"/>
    <x v="87"/>
    <x v="9"/>
    <x v="0"/>
    <n v="101"/>
    <n v="50"/>
    <x v="57"/>
    <d v="2023-03-06T00:00:00"/>
    <x v="57"/>
    <n v="5052584874"/>
    <s v="FLOPEZV  "/>
    <x v="1"/>
    <x v="29"/>
    <x v="27"/>
    <d v="2023-03-17T00:00:00"/>
    <x v="0"/>
    <x v="0"/>
  </r>
  <r>
    <s v="Bioenergía del Chira PlantaMontelima814788451145309440"/>
    <x v="1"/>
    <s v="Montelima"/>
    <x v="88"/>
    <x v="88"/>
    <x v="23"/>
    <x v="0"/>
    <n v="101"/>
    <n v="40"/>
    <x v="57"/>
    <d v="2023-03-06T00:00:00"/>
    <x v="57"/>
    <n v="5052584874"/>
    <s v="FLOPEZV  "/>
    <x v="1"/>
    <x v="16"/>
    <x v="27"/>
    <d v="2023-03-17T00:00:00"/>
    <x v="0"/>
    <x v="0"/>
  </r>
  <r>
    <s v="Bioenergía del Chira PlantaMontelima828243451145309420"/>
    <x v="1"/>
    <s v="Montelima"/>
    <x v="89"/>
    <x v="89"/>
    <x v="24"/>
    <x v="0"/>
    <n v="101"/>
    <n v="20"/>
    <x v="57"/>
    <d v="2023-03-06T00:00:00"/>
    <x v="57"/>
    <n v="5052584874"/>
    <s v="FLOPEZV  "/>
    <x v="1"/>
    <x v="16"/>
    <x v="27"/>
    <d v="2023-03-17T00:00:00"/>
    <x v="0"/>
    <x v="0"/>
  </r>
  <r>
    <s v="Bioenergía del Chira PlantaMontelima70062788451145309430"/>
    <x v="1"/>
    <s v="Montelima"/>
    <x v="90"/>
    <x v="90"/>
    <x v="1"/>
    <x v="0"/>
    <n v="101"/>
    <n v="30"/>
    <x v="57"/>
    <d v="2023-03-06T00:00:00"/>
    <x v="57"/>
    <n v="5052584874"/>
    <s v="FLOPEZV  "/>
    <x v="1"/>
    <x v="1"/>
    <x v="1"/>
    <s v=""/>
    <x v="1"/>
    <x v="0"/>
  </r>
  <r>
    <s v="Bioenergía del Chira PlantaMontelima735893451145310910"/>
    <x v="1"/>
    <s v="Montelima"/>
    <x v="91"/>
    <x v="91"/>
    <x v="20"/>
    <x v="6"/>
    <n v="101"/>
    <n v="10"/>
    <x v="58"/>
    <d v="2023-03-06T00:00:00"/>
    <x v="58"/>
    <n v="5052584875"/>
    <s v="FLOPEZV  "/>
    <x v="3"/>
    <x v="20"/>
    <x v="27"/>
    <d v="2023-03-10T00:00:00"/>
    <x v="0"/>
    <x v="0"/>
  </r>
  <r>
    <s v="Sucroalcolera del Chira PlantaMontelima828243451145309720"/>
    <x v="2"/>
    <s v="Montelima"/>
    <x v="89"/>
    <x v="89"/>
    <x v="21"/>
    <x v="0"/>
    <n v="101"/>
    <n v="20"/>
    <x v="59"/>
    <d v="2023-03-06T00:00:00"/>
    <x v="59"/>
    <n v="5052584876"/>
    <s v="FLOPEZV  "/>
    <x v="1"/>
    <x v="2"/>
    <x v="27"/>
    <d v="2023-03-17T00:00:00"/>
    <x v="0"/>
    <x v="0"/>
  </r>
  <r>
    <s v="Sucroalcolera del Chira PlantaMontelima833106451145309730"/>
    <x v="2"/>
    <s v="Montelima"/>
    <x v="92"/>
    <x v="92"/>
    <x v="0"/>
    <x v="0"/>
    <n v="101"/>
    <n v="30"/>
    <x v="59"/>
    <d v="2023-03-06T00:00:00"/>
    <x v="59"/>
    <n v="5052584876"/>
    <s v="FLOPEZV  "/>
    <x v="1"/>
    <x v="2"/>
    <x v="27"/>
    <d v="2023-03-17T00:00:00"/>
    <x v="0"/>
    <x v="0"/>
  </r>
  <r>
    <s v="Sucroalcolera del Chira PlantaMontelima833106451145309710"/>
    <x v="2"/>
    <s v="Montelima"/>
    <x v="92"/>
    <x v="92"/>
    <x v="14"/>
    <x v="0"/>
    <n v="101"/>
    <n v="10"/>
    <x v="59"/>
    <d v="2023-03-06T00:00:00"/>
    <x v="59"/>
    <n v="5052584876"/>
    <s v="FLOPEZV  "/>
    <x v="1"/>
    <x v="2"/>
    <x v="27"/>
    <d v="2023-03-17T00:00:00"/>
    <x v="0"/>
    <x v="0"/>
  </r>
  <r>
    <s v="Sucroalcolera del Chira PlantaMontelima723754451145298710"/>
    <x v="2"/>
    <s v="Montelima"/>
    <x v="93"/>
    <x v="93"/>
    <x v="21"/>
    <x v="8"/>
    <n v="101"/>
    <n v="10"/>
    <x v="60"/>
    <d v="2023-03-06T00:00:00"/>
    <x v="60"/>
    <n v="5052584878"/>
    <s v="FLOPEZV  "/>
    <x v="1"/>
    <x v="13"/>
    <x v="27"/>
    <d v="2023-03-01T00:00:00"/>
    <x v="0"/>
    <x v="1"/>
  </r>
  <r>
    <s v="Sucroalcolera del Chira PlantaMontelima700154954511452987140"/>
    <x v="2"/>
    <s v="Montelima"/>
    <x v="94"/>
    <x v="94"/>
    <x v="0"/>
    <x v="0"/>
    <n v="101"/>
    <n v="140"/>
    <x v="60"/>
    <d v="2023-03-06T00:00:00"/>
    <x v="60"/>
    <n v="5052584878"/>
    <s v="FLOPEZV  "/>
    <x v="1"/>
    <x v="1"/>
    <x v="1"/>
    <s v=""/>
    <x v="1"/>
    <x v="0"/>
  </r>
  <r>
    <s v="Sucroalcolera del Chira PlantaMontelima735893451145310510"/>
    <x v="2"/>
    <s v="Montelima"/>
    <x v="91"/>
    <x v="91"/>
    <x v="25"/>
    <x v="6"/>
    <n v="101"/>
    <n v="10"/>
    <x v="61"/>
    <d v="2023-03-06T00:00:00"/>
    <x v="61"/>
    <n v="5052584879"/>
    <s v="FLOPEZV  "/>
    <x v="3"/>
    <x v="13"/>
    <x v="27"/>
    <d v="2023-03-10T00:00:00"/>
    <x v="0"/>
    <x v="0"/>
  </r>
  <r>
    <s v="Agricola del Chira PlantaMontelima70046281451145318810"/>
    <x v="0"/>
    <s v="Montelima"/>
    <x v="95"/>
    <x v="95"/>
    <x v="26"/>
    <x v="0"/>
    <n v="101"/>
    <n v="10"/>
    <x v="62"/>
    <d v="2023-03-06T00:00:00"/>
    <x v="62"/>
    <n v="5052584940"/>
    <s v="FLOPEZV  "/>
    <x v="1"/>
    <x v="30"/>
    <x v="27"/>
    <d v="2023-03-28T00:00:00"/>
    <x v="0"/>
    <x v="0"/>
  </r>
  <r>
    <s v="Agricola del Chira PlantaMontelima70046281451145318830"/>
    <x v="0"/>
    <s v="Montelima"/>
    <x v="95"/>
    <x v="95"/>
    <x v="16"/>
    <x v="0"/>
    <n v="101"/>
    <n v="30"/>
    <x v="62"/>
    <d v="2023-03-06T00:00:00"/>
    <x v="62"/>
    <n v="5052584940"/>
    <s v="FLOPEZV  "/>
    <x v="1"/>
    <x v="1"/>
    <x v="1"/>
    <s v=""/>
    <x v="1"/>
    <x v="0"/>
  </r>
  <r>
    <s v="Agricola del Chira PlantaMontelima70046281451145318820"/>
    <x v="0"/>
    <s v="Montelima"/>
    <x v="95"/>
    <x v="95"/>
    <x v="27"/>
    <x v="0"/>
    <n v="101"/>
    <n v="20"/>
    <x v="62"/>
    <d v="2023-03-06T00:00:00"/>
    <x v="62"/>
    <n v="5052584940"/>
    <s v="FLOPEZV  "/>
    <x v="1"/>
    <x v="16"/>
    <x v="27"/>
    <d v="2023-03-28T00:00:00"/>
    <x v="0"/>
    <x v="0"/>
  </r>
  <r>
    <s v="Agricola del Chira PlantaMontelima746375451145298540"/>
    <x v="0"/>
    <s v="Montelima"/>
    <x v="96"/>
    <x v="96"/>
    <x v="28"/>
    <x v="8"/>
    <n v="101"/>
    <n v="40"/>
    <x v="63"/>
    <d v="2023-03-06T00:00:00"/>
    <x v="63"/>
    <n v="5052584962"/>
    <s v="FLOPEZV  "/>
    <x v="1"/>
    <x v="5"/>
    <x v="27"/>
    <d v="2023-03-17T00:00:00"/>
    <x v="0"/>
    <x v="0"/>
  </r>
  <r>
    <s v="Agricola del Chira PlantaMontelima798917451145298550"/>
    <x v="0"/>
    <s v="Montelima"/>
    <x v="97"/>
    <x v="97"/>
    <x v="1"/>
    <x v="0"/>
    <n v="101"/>
    <n v="50"/>
    <x v="63"/>
    <d v="2023-03-06T00:00:00"/>
    <x v="63"/>
    <n v="5052584962"/>
    <s v="FLOPEZV  "/>
    <x v="1"/>
    <x v="1"/>
    <x v="1"/>
    <s v=""/>
    <x v="1"/>
    <x v="0"/>
  </r>
  <r>
    <s v="Agricola del Chira PlantaMontelima798917451145298560"/>
    <x v="0"/>
    <s v="Montelima"/>
    <x v="97"/>
    <x v="97"/>
    <x v="1"/>
    <x v="0"/>
    <n v="101"/>
    <n v="60"/>
    <x v="63"/>
    <d v="2023-03-06T00:00:00"/>
    <x v="63"/>
    <n v="5052584962"/>
    <s v="FLOPEZV  "/>
    <x v="1"/>
    <x v="1"/>
    <x v="1"/>
    <s v=""/>
    <x v="1"/>
    <x v="0"/>
  </r>
  <r>
    <s v="Agricola del Chira PlantaMontelima70047981451145298590"/>
    <x v="0"/>
    <s v="Montelima"/>
    <x v="98"/>
    <x v="98"/>
    <x v="21"/>
    <x v="0"/>
    <n v="101"/>
    <n v="90"/>
    <x v="63"/>
    <d v="2023-03-06T00:00:00"/>
    <x v="63"/>
    <n v="5052584962"/>
    <s v="FLOPEZV  "/>
    <x v="1"/>
    <x v="1"/>
    <x v="1"/>
    <s v=""/>
    <x v="1"/>
    <x v="0"/>
  </r>
  <r>
    <s v="Agricola del Chira PlantaMontelima70047981451145298580"/>
    <x v="0"/>
    <s v="Montelima"/>
    <x v="98"/>
    <x v="98"/>
    <x v="29"/>
    <x v="0"/>
    <n v="101"/>
    <n v="80"/>
    <x v="63"/>
    <d v="2023-03-06T00:00:00"/>
    <x v="63"/>
    <n v="5052584962"/>
    <s v="FLOPEZV  "/>
    <x v="1"/>
    <x v="1"/>
    <x v="1"/>
    <s v=""/>
    <x v="1"/>
    <x v="0"/>
  </r>
  <r>
    <s v="Agricola del Chira PlantaMontelima70100392550002409310"/>
    <x v="0"/>
    <s v="Montelima"/>
    <x v="99"/>
    <x v="99"/>
    <x v="12"/>
    <x v="0"/>
    <n v="101"/>
    <n v="10"/>
    <x v="64"/>
    <d v="2023-03-06T00:00:00"/>
    <x v="64"/>
    <n v="5052586738"/>
    <s v="FLOPEZV  "/>
    <x v="4"/>
    <x v="10"/>
    <x v="28"/>
    <d v="2022-10-26T00:00:00"/>
    <x v="0"/>
    <x v="1"/>
  </r>
  <r>
    <s v="Sucroalcolera del Chira PlantaParada fábrica805227451144726750"/>
    <x v="2"/>
    <s v="Parada fábrica"/>
    <x v="100"/>
    <x v="100"/>
    <x v="24"/>
    <x v="0"/>
    <n v="101"/>
    <n v="50"/>
    <x v="65"/>
    <d v="2023-03-08T00:00:00"/>
    <x v="65"/>
    <n v="5052587128"/>
    <s v="FLOPEZV  "/>
    <x v="3"/>
    <x v="3"/>
    <x v="29"/>
    <d v="2023-03-10T00:00:00"/>
    <x v="0"/>
    <x v="0"/>
  </r>
  <r>
    <s v="Sucroalcolera del Chira PlantaParada fábrica805229451144726740"/>
    <x v="2"/>
    <s v="Parada fábrica"/>
    <x v="101"/>
    <x v="101"/>
    <x v="4"/>
    <x v="0"/>
    <n v="101"/>
    <n v="40"/>
    <x v="65"/>
    <d v="2023-03-08T00:00:00"/>
    <x v="65"/>
    <n v="5052587128"/>
    <s v="FLOPEZV  "/>
    <x v="3"/>
    <x v="3"/>
    <x v="29"/>
    <d v="2023-03-10T00:00:00"/>
    <x v="0"/>
    <x v="0"/>
  </r>
  <r>
    <s v="Sucroalcolera del Chira PlantaParada fábrica805274451144726730"/>
    <x v="2"/>
    <s v="Parada fábrica"/>
    <x v="102"/>
    <x v="102"/>
    <x v="2"/>
    <x v="0"/>
    <n v="101"/>
    <n v="30"/>
    <x v="65"/>
    <d v="2023-03-08T00:00:00"/>
    <x v="65"/>
    <n v="5052587128"/>
    <s v="FLOPEZV  "/>
    <x v="3"/>
    <x v="3"/>
    <x v="29"/>
    <d v="2023-03-10T00:00:00"/>
    <x v="0"/>
    <x v="0"/>
  </r>
  <r>
    <s v="Sucroalcolera del Chira PlantaParada fábrica805382451144726720"/>
    <x v="2"/>
    <s v="Parada fábrica"/>
    <x v="103"/>
    <x v="103"/>
    <x v="1"/>
    <x v="0"/>
    <n v="101"/>
    <n v="20"/>
    <x v="65"/>
    <d v="2023-03-08T00:00:00"/>
    <x v="65"/>
    <n v="5052587128"/>
    <s v="FLOPEZV  "/>
    <x v="3"/>
    <x v="3"/>
    <x v="29"/>
    <d v="2023-03-10T00:00:00"/>
    <x v="0"/>
    <x v="0"/>
  </r>
  <r>
    <s v="Sucroalcolera del Chira PlantaParada fábrica805382451144726710"/>
    <x v="2"/>
    <s v="Parada fábrica"/>
    <x v="103"/>
    <x v="103"/>
    <x v="1"/>
    <x v="0"/>
    <n v="101"/>
    <n v="10"/>
    <x v="65"/>
    <d v="2023-03-08T00:00:00"/>
    <x v="65"/>
    <n v="5052587128"/>
    <s v="FLOPEZV  "/>
    <x v="3"/>
    <x v="3"/>
    <x v="29"/>
    <d v="2023-03-10T00:00:00"/>
    <x v="0"/>
    <x v="0"/>
  </r>
  <r>
    <s v="Sucroalcolera del Chira PlantaParada fábrica807291451144726760"/>
    <x v="2"/>
    <s v="Parada fábrica"/>
    <x v="104"/>
    <x v="104"/>
    <x v="1"/>
    <x v="0"/>
    <n v="101"/>
    <n v="60"/>
    <x v="65"/>
    <d v="2023-03-08T00:00:00"/>
    <x v="65"/>
    <n v="5052587128"/>
    <s v="FLOPEZV  "/>
    <x v="3"/>
    <x v="3"/>
    <x v="29"/>
    <d v="2023-03-10T00:00:00"/>
    <x v="0"/>
    <x v="0"/>
  </r>
  <r>
    <s v="Sucroalcolera del Chira PlantaMontelima842520451144917040"/>
    <x v="2"/>
    <s v="Montelima"/>
    <x v="105"/>
    <x v="105"/>
    <x v="1"/>
    <x v="0"/>
    <n v="101"/>
    <n v="40"/>
    <x v="66"/>
    <d v="2023-03-08T00:00:00"/>
    <x v="66"/>
    <n v="5052587132"/>
    <s v="FLOPEZV  "/>
    <x v="0"/>
    <x v="3"/>
    <x v="29"/>
    <d v="2023-04-20T00:00:00"/>
    <x v="0"/>
    <x v="0"/>
  </r>
  <r>
    <s v="Sucroalcolera del Chira PlantaMontelima884797451144917020"/>
    <x v="2"/>
    <s v="Montelima"/>
    <x v="106"/>
    <x v="106"/>
    <x v="1"/>
    <x v="0"/>
    <n v="101"/>
    <n v="20"/>
    <x v="66"/>
    <d v="2023-03-08T00:00:00"/>
    <x v="66"/>
    <n v="5052587132"/>
    <s v="FLOPEZV  "/>
    <x v="0"/>
    <x v="3"/>
    <x v="29"/>
    <d v="2023-04-20T00:00:00"/>
    <x v="0"/>
    <x v="0"/>
  </r>
  <r>
    <s v="Sucroalcolera del Chira PlantaMontelima842520451144986610"/>
    <x v="2"/>
    <s v="Montelima"/>
    <x v="105"/>
    <x v="105"/>
    <x v="1"/>
    <x v="0"/>
    <n v="101"/>
    <n v="10"/>
    <x v="67"/>
    <d v="2023-03-08T00:00:00"/>
    <x v="67"/>
    <n v="5052587134"/>
    <s v="FLOPEZV  "/>
    <x v="2"/>
    <x v="3"/>
    <x v="29"/>
    <d v="2023-03-10T00:00:00"/>
    <x v="0"/>
    <x v="0"/>
  </r>
  <r>
    <s v="Sucroalcolera del Chira PlantaMontelima884797451144986620"/>
    <x v="2"/>
    <s v="Montelima"/>
    <x v="106"/>
    <x v="106"/>
    <x v="1"/>
    <x v="0"/>
    <n v="101"/>
    <n v="20"/>
    <x v="67"/>
    <d v="2023-03-08T00:00:00"/>
    <x v="67"/>
    <n v="5052587134"/>
    <s v="FLOPEZV  "/>
    <x v="2"/>
    <x v="3"/>
    <x v="29"/>
    <d v="2023-03-10T00:00:00"/>
    <x v="0"/>
    <x v="0"/>
  </r>
  <r>
    <s v="Sucroalcolera del Chira PlantaMontelima805229451145102910"/>
    <x v="2"/>
    <s v="Montelima"/>
    <x v="101"/>
    <x v="101"/>
    <x v="2"/>
    <x v="0"/>
    <n v="101"/>
    <n v="10"/>
    <x v="68"/>
    <d v="2023-03-08T00:00:00"/>
    <x v="68"/>
    <n v="5052587137"/>
    <s v="FLOPEZV  "/>
    <x v="3"/>
    <x v="13"/>
    <x v="29"/>
    <d v="2023-03-24T00:00:00"/>
    <x v="0"/>
    <x v="0"/>
  </r>
  <r>
    <s v="Sucroalcolera del Chira PlantaMontelima840649451144859530"/>
    <x v="2"/>
    <s v="Montelima"/>
    <x v="107"/>
    <x v="107"/>
    <x v="0"/>
    <x v="0"/>
    <n v="101"/>
    <n v="30"/>
    <x v="69"/>
    <d v="2023-03-08T00:00:00"/>
    <x v="69"/>
    <n v="5052587138"/>
    <s v="FLOPEZV  "/>
    <x v="0"/>
    <x v="3"/>
    <x v="29"/>
    <d v="2023-03-30T00:00:00"/>
    <x v="0"/>
    <x v="0"/>
  </r>
  <r>
    <s v="Sucroalcolera del Chira PlantaMontelima840681451144859510"/>
    <x v="2"/>
    <s v="Montelima"/>
    <x v="108"/>
    <x v="108"/>
    <x v="2"/>
    <x v="0"/>
    <n v="101"/>
    <n v="10"/>
    <x v="69"/>
    <d v="2023-03-08T00:00:00"/>
    <x v="69"/>
    <n v="5052587138"/>
    <s v="FLOPEZV  "/>
    <x v="0"/>
    <x v="3"/>
    <x v="29"/>
    <d v="2023-03-30T00:00:00"/>
    <x v="0"/>
    <x v="0"/>
  </r>
  <r>
    <s v="Sucroalcolera del Chira PlantaMontelima867875451144450710"/>
    <x v="2"/>
    <s v="Montelima"/>
    <x v="109"/>
    <x v="109"/>
    <x v="14"/>
    <x v="0"/>
    <n v="101"/>
    <n v="10"/>
    <x v="70"/>
    <d v="2023-03-08T00:00:00"/>
    <x v="70"/>
    <n v="5052587139"/>
    <s v="FLOPEZV  "/>
    <x v="0"/>
    <x v="3"/>
    <x v="29"/>
    <d v="2023-02-24T00:00:00"/>
    <x v="0"/>
    <x v="1"/>
  </r>
  <r>
    <s v="Sucroalcolera del Chira PlantaMontelima840720451144528120"/>
    <x v="2"/>
    <s v="Montelima"/>
    <x v="110"/>
    <x v="110"/>
    <x v="1"/>
    <x v="0"/>
    <n v="101"/>
    <n v="20"/>
    <x v="71"/>
    <d v="2023-03-08T00:00:00"/>
    <x v="71"/>
    <n v="5052587150"/>
    <s v="FLOPEZV  "/>
    <x v="2"/>
    <x v="3"/>
    <x v="29"/>
    <d v="2023-03-08T00:00:00"/>
    <x v="0"/>
    <x v="0"/>
  </r>
  <r>
    <s v="Sucroalcolera del Chira PlantaMontelima867875451144528110"/>
    <x v="2"/>
    <s v="Montelima"/>
    <x v="109"/>
    <x v="109"/>
    <x v="2"/>
    <x v="0"/>
    <n v="101"/>
    <n v="10"/>
    <x v="71"/>
    <d v="2023-03-08T00:00:00"/>
    <x v="71"/>
    <n v="5052587150"/>
    <s v="FLOPEZV  "/>
    <x v="2"/>
    <x v="3"/>
    <x v="29"/>
    <d v="2023-03-08T00:00:00"/>
    <x v="0"/>
    <x v="0"/>
  </r>
  <r>
    <s v="Sucroalcolera del Chira PlantaMontelima893870451144992410"/>
    <x v="2"/>
    <s v="Montelima"/>
    <x v="111"/>
    <x v="111"/>
    <x v="1"/>
    <x v="0"/>
    <n v="101"/>
    <n v="10"/>
    <x v="72"/>
    <d v="2023-03-08T00:00:00"/>
    <x v="72"/>
    <n v="5052587152"/>
    <s v="FLOPEZV  "/>
    <x v="2"/>
    <x v="3"/>
    <x v="30"/>
    <d v="2023-03-06T00:00:00"/>
    <x v="0"/>
    <x v="1"/>
  </r>
  <r>
    <s v="Sucroalcolera del Chira PlantaMontelima8717424511443949110"/>
    <x v="2"/>
    <s v="Montelima"/>
    <x v="112"/>
    <x v="112"/>
    <x v="21"/>
    <x v="0"/>
    <n v="101"/>
    <n v="110"/>
    <x v="73"/>
    <d v="2023-03-08T00:00:00"/>
    <x v="73"/>
    <n v="5052587153"/>
    <s v="FLOPEZV  "/>
    <x v="0"/>
    <x v="3"/>
    <x v="30"/>
    <d v="2023-03-01T00:00:00"/>
    <x v="0"/>
    <x v="1"/>
  </r>
  <r>
    <s v="Sucroalcolera del Chira PlantaMontelima8938704511443949100"/>
    <x v="2"/>
    <s v="Montelima"/>
    <x v="111"/>
    <x v="111"/>
    <x v="14"/>
    <x v="0"/>
    <n v="101"/>
    <n v="100"/>
    <x v="73"/>
    <d v="2023-03-08T00:00:00"/>
    <x v="73"/>
    <n v="5052587153"/>
    <s v="FLOPEZV  "/>
    <x v="0"/>
    <x v="3"/>
    <x v="30"/>
    <d v="2023-03-01T00:00:00"/>
    <x v="0"/>
    <x v="1"/>
  </r>
  <r>
    <s v="Sucroalcolera del Chira PlantaMontelima70022246451144394920"/>
    <x v="2"/>
    <s v="Montelima"/>
    <x v="113"/>
    <x v="113"/>
    <x v="30"/>
    <x v="8"/>
    <n v="101"/>
    <n v="20"/>
    <x v="73"/>
    <d v="2023-03-08T00:00:00"/>
    <x v="73"/>
    <n v="5052587153"/>
    <s v="FLOPEZV  "/>
    <x v="0"/>
    <x v="3"/>
    <x v="30"/>
    <d v="2023-03-01T00:00:00"/>
    <x v="0"/>
    <x v="1"/>
  </r>
  <r>
    <s v="Sucroalcolera del Chira PlantaMontelima70022247451144394980"/>
    <x v="2"/>
    <s v="Montelima"/>
    <x v="114"/>
    <x v="114"/>
    <x v="31"/>
    <x v="8"/>
    <n v="101"/>
    <n v="80"/>
    <x v="73"/>
    <d v="2023-03-08T00:00:00"/>
    <x v="73"/>
    <n v="5052587153"/>
    <s v="FLOPEZV  "/>
    <x v="0"/>
    <x v="3"/>
    <x v="30"/>
    <d v="2023-03-01T00:00:00"/>
    <x v="0"/>
    <x v="1"/>
  </r>
  <r>
    <s v="Sucroalcolera del Chira PlantaMontelima70025355451144394960"/>
    <x v="2"/>
    <s v="Montelima"/>
    <x v="115"/>
    <x v="115"/>
    <x v="32"/>
    <x v="0"/>
    <n v="101"/>
    <n v="60"/>
    <x v="73"/>
    <d v="2023-03-08T00:00:00"/>
    <x v="73"/>
    <n v="5052587153"/>
    <s v="FLOPEZV  "/>
    <x v="0"/>
    <x v="3"/>
    <x v="30"/>
    <d v="2023-03-01T00:00:00"/>
    <x v="0"/>
    <x v="1"/>
  </r>
  <r>
    <s v="Sucroalcolera del Chira PlantaMontelimaCEP55942683451145370210"/>
    <x v="2"/>
    <s v="Montelima"/>
    <x v="116"/>
    <x v="116"/>
    <x v="2"/>
    <x v="0"/>
    <n v="101"/>
    <n v="10"/>
    <x v="74"/>
    <d v="2023-03-08T00:00:00"/>
    <x v="74"/>
    <n v="5052587155"/>
    <s v="FLOPEZV  "/>
    <x v="3"/>
    <x v="13"/>
    <x v="30"/>
    <d v="2023-03-15T00:00:00"/>
    <x v="0"/>
    <x v="0"/>
  </r>
  <r>
    <s v="Sucroalcolera del Chira PlantaMontelimaCEP55942683451145370220"/>
    <x v="2"/>
    <s v="Montelima"/>
    <x v="116"/>
    <x v="116"/>
    <x v="1"/>
    <x v="0"/>
    <n v="101"/>
    <n v="20"/>
    <x v="74"/>
    <d v="2023-03-08T00:00:00"/>
    <x v="74"/>
    <n v="5052587155"/>
    <s v="FLOPEZV  "/>
    <x v="3"/>
    <x v="13"/>
    <x v="30"/>
    <d v="2023-03-15T00:00:00"/>
    <x v="0"/>
    <x v="0"/>
  </r>
  <r>
    <s v="Sucroalcolera del Chira PlantaMontelima829084451145419410"/>
    <x v="2"/>
    <s v="Montelima"/>
    <x v="117"/>
    <x v="117"/>
    <x v="15"/>
    <x v="0"/>
    <n v="101"/>
    <n v="10"/>
    <x v="75"/>
    <d v="2023-03-04T00:00:00"/>
    <x v="75"/>
    <n v="5052581343"/>
    <s v="JVENCESD "/>
    <x v="2"/>
    <x v="31"/>
    <x v="31"/>
    <d v="2023-03-31T00:00:00"/>
    <x v="0"/>
    <x v="0"/>
  </r>
  <r>
    <s v="Agricola del Chira PlantaMontelima722278451141631410"/>
    <x v="0"/>
    <s v="Montelima"/>
    <x v="118"/>
    <x v="118"/>
    <x v="21"/>
    <x v="9"/>
    <n v="101"/>
    <n v="10"/>
    <x v="76"/>
    <d v="2023-03-06T00:00:00"/>
    <x v="76"/>
    <n v="5052583258"/>
    <s v="JVIVASS  "/>
    <x v="2"/>
    <x v="1"/>
    <x v="1"/>
    <s v=""/>
    <x v="1"/>
    <x v="0"/>
  </r>
  <r>
    <s v="Sucroalcolera del Chira PlantaMontelima869012451144994510"/>
    <x v="2"/>
    <s v="Montelima"/>
    <x v="119"/>
    <x v="119"/>
    <x v="1"/>
    <x v="0"/>
    <n v="101"/>
    <n v="10"/>
    <x v="77"/>
    <d v="2023-03-06T00:00:00"/>
    <x v="77"/>
    <n v="5052583297"/>
    <s v="JVIVASS  "/>
    <x v="2"/>
    <x v="3"/>
    <x v="32"/>
    <d v="2023-03-03T00:00:00"/>
    <x v="0"/>
    <x v="1"/>
  </r>
  <r>
    <s v="Sucroalcolera del Chira PlantaMontelima869012451144994520"/>
    <x v="2"/>
    <s v="Montelima"/>
    <x v="119"/>
    <x v="119"/>
    <x v="1"/>
    <x v="0"/>
    <n v="101"/>
    <n v="20"/>
    <x v="77"/>
    <d v="2023-03-06T00:00:00"/>
    <x v="77"/>
    <n v="5052583297"/>
    <s v="JVIVASS  "/>
    <x v="2"/>
    <x v="16"/>
    <x v="32"/>
    <d v="2023-03-03T00:00:00"/>
    <x v="0"/>
    <x v="1"/>
  </r>
  <r>
    <s v="Sucroalcolera del Chira PlantaMontelima884795451144989780"/>
    <x v="2"/>
    <s v="Montelima"/>
    <x v="120"/>
    <x v="120"/>
    <x v="1"/>
    <x v="0"/>
    <n v="101"/>
    <n v="80"/>
    <x v="78"/>
    <d v="2023-03-06T00:00:00"/>
    <x v="78"/>
    <n v="5052583311"/>
    <s v="JVIVASS  "/>
    <x v="0"/>
    <x v="3"/>
    <x v="32"/>
    <d v="2023-03-10T00:00:00"/>
    <x v="0"/>
    <x v="0"/>
  </r>
  <r>
    <s v="Sucroalcolera del Chira PlantaMontelima70032264451144989770"/>
    <x v="2"/>
    <s v="Montelima"/>
    <x v="121"/>
    <x v="121"/>
    <x v="2"/>
    <x v="0"/>
    <n v="101"/>
    <n v="70"/>
    <x v="78"/>
    <d v="2023-03-06T00:00:00"/>
    <x v="78"/>
    <n v="5052583311"/>
    <s v="JVIVASS  "/>
    <x v="0"/>
    <x v="1"/>
    <x v="1"/>
    <s v=""/>
    <x v="1"/>
    <x v="0"/>
  </r>
  <r>
    <s v="Sucroalcolera del Chira PlantaMontelima70032271451144989760"/>
    <x v="2"/>
    <s v="Montelima"/>
    <x v="122"/>
    <x v="122"/>
    <x v="1"/>
    <x v="0"/>
    <n v="101"/>
    <n v="60"/>
    <x v="78"/>
    <d v="2023-03-06T00:00:00"/>
    <x v="78"/>
    <n v="5052583311"/>
    <s v="JVIVASS  "/>
    <x v="0"/>
    <x v="1"/>
    <x v="1"/>
    <s v=""/>
    <x v="1"/>
    <x v="0"/>
  </r>
  <r>
    <s v="Sucroalcolera del Chira PlantaMontelima70032272451144989750"/>
    <x v="2"/>
    <s v="Montelima"/>
    <x v="123"/>
    <x v="123"/>
    <x v="1"/>
    <x v="0"/>
    <n v="101"/>
    <n v="50"/>
    <x v="78"/>
    <d v="2023-03-06T00:00:00"/>
    <x v="78"/>
    <n v="5052583311"/>
    <s v="JVIVASS  "/>
    <x v="0"/>
    <x v="1"/>
    <x v="1"/>
    <s v=""/>
    <x v="1"/>
    <x v="0"/>
  </r>
  <r>
    <s v="Sucroalcolera del Chira PlantaMontelima70032277451144989720"/>
    <x v="2"/>
    <s v="Montelima"/>
    <x v="124"/>
    <x v="124"/>
    <x v="4"/>
    <x v="0"/>
    <n v="101"/>
    <n v="20"/>
    <x v="78"/>
    <d v="2023-03-06T00:00:00"/>
    <x v="78"/>
    <n v="5052583311"/>
    <s v="JVIVASS  "/>
    <x v="0"/>
    <x v="1"/>
    <x v="1"/>
    <s v=""/>
    <x v="1"/>
    <x v="0"/>
  </r>
  <r>
    <s v="Sucroalcolera del Chira PlantaMontelima70032285451144989710"/>
    <x v="2"/>
    <s v="Montelima"/>
    <x v="125"/>
    <x v="125"/>
    <x v="14"/>
    <x v="0"/>
    <n v="101"/>
    <n v="10"/>
    <x v="78"/>
    <d v="2023-03-06T00:00:00"/>
    <x v="78"/>
    <n v="5052583311"/>
    <s v="JVIVASS  "/>
    <x v="0"/>
    <x v="1"/>
    <x v="1"/>
    <s v=""/>
    <x v="1"/>
    <x v="0"/>
  </r>
  <r>
    <s v="Sucroalcolera del Chira PlantaMontelima700241674511447189120"/>
    <x v="2"/>
    <s v="Montelima"/>
    <x v="126"/>
    <x v="126"/>
    <x v="2"/>
    <x v="0"/>
    <n v="101"/>
    <n v="120"/>
    <x v="79"/>
    <d v="2023-03-06T00:00:00"/>
    <x v="79"/>
    <n v="5052583418"/>
    <s v="JVIVASS  "/>
    <x v="0"/>
    <x v="16"/>
    <x v="32"/>
    <d v="2023-03-01T00:00:00"/>
    <x v="0"/>
    <x v="1"/>
  </r>
  <r>
    <s v="Sucroalcolera del Chira PlantaMontelima700241794511447189110"/>
    <x v="2"/>
    <s v="Montelima"/>
    <x v="127"/>
    <x v="127"/>
    <x v="2"/>
    <x v="0"/>
    <n v="101"/>
    <n v="110"/>
    <x v="79"/>
    <d v="2023-03-06T00:00:00"/>
    <x v="79"/>
    <n v="5052583418"/>
    <s v="JVIVASS  "/>
    <x v="0"/>
    <x v="16"/>
    <x v="32"/>
    <d v="2023-03-01T00:00:00"/>
    <x v="0"/>
    <x v="1"/>
  </r>
  <r>
    <s v="Sucroalcolera del Chira PlantaMontelima722283550002212680"/>
    <x v="2"/>
    <s v="Montelima"/>
    <x v="128"/>
    <x v="128"/>
    <x v="33"/>
    <x v="9"/>
    <n v="101"/>
    <n v="80"/>
    <x v="80"/>
    <d v="2023-03-06T00:00:00"/>
    <x v="80"/>
    <n v="5052584825"/>
    <s v="JVIVASS  "/>
    <x v="4"/>
    <x v="10"/>
    <x v="33"/>
    <d v="2022-03-31T00:00:00"/>
    <x v="0"/>
    <x v="1"/>
  </r>
  <r>
    <s v="Sucroalcolera del Chira PlantaMontelima722284550002212660"/>
    <x v="2"/>
    <s v="Montelima"/>
    <x v="129"/>
    <x v="129"/>
    <x v="34"/>
    <x v="2"/>
    <n v="101"/>
    <n v="60"/>
    <x v="80"/>
    <d v="2023-03-06T00:00:00"/>
    <x v="81"/>
    <n v="5052584828"/>
    <s v="JVIVASS  "/>
    <x v="4"/>
    <x v="10"/>
    <x v="33"/>
    <d v="2021-09-14T00:00:00"/>
    <x v="0"/>
    <x v="1"/>
  </r>
  <r>
    <s v="Sucroalcolera del Chira PlantaMontelima867867451144410220"/>
    <x v="2"/>
    <s v="Montelima"/>
    <x v="130"/>
    <x v="130"/>
    <x v="2"/>
    <x v="0"/>
    <n v="101"/>
    <n v="20"/>
    <x v="81"/>
    <d v="2023-03-06T00:00:00"/>
    <x v="82"/>
    <n v="5052585280"/>
    <s v="JVIVASS  "/>
    <x v="2"/>
    <x v="4"/>
    <x v="3"/>
    <d v="2023-02-17T00:00:00"/>
    <x v="0"/>
    <x v="1"/>
  </r>
  <r>
    <s v="Sucroalcolera del Chira PlantaMontelima878996451145060810"/>
    <x v="2"/>
    <s v="Montelima"/>
    <x v="131"/>
    <x v="131"/>
    <x v="1"/>
    <x v="0"/>
    <n v="101"/>
    <n v="10"/>
    <x v="82"/>
    <d v="2023-03-06T00:00:00"/>
    <x v="83"/>
    <n v="5052585282"/>
    <s v="JVIVASS  "/>
    <x v="2"/>
    <x v="13"/>
    <x v="3"/>
    <d v="2023-02-27T00:00:00"/>
    <x v="0"/>
    <x v="1"/>
  </r>
  <r>
    <s v="Sucroalcolera del Chira PlantaMontelima722284550002212660"/>
    <x v="2"/>
    <s v="Montelima"/>
    <x v="129"/>
    <x v="129"/>
    <x v="35"/>
    <x v="2"/>
    <n v="102"/>
    <n v="60"/>
    <x v="80"/>
    <d v="2023-03-06T00:00:00"/>
    <x v="81"/>
    <n v="5052585333"/>
    <s v="JVIVASS  "/>
    <x v="4"/>
    <x v="10"/>
    <x v="33"/>
    <d v="2021-09-14T00:00:00"/>
    <x v="0"/>
    <x v="1"/>
  </r>
  <r>
    <s v="Sucroalcolera del Chira PlantaMontelima722284451145465010"/>
    <x v="2"/>
    <s v="Montelima"/>
    <x v="129"/>
    <x v="129"/>
    <x v="34"/>
    <x v="2"/>
    <n v="101"/>
    <n v="10"/>
    <x v="83"/>
    <d v="2023-03-06T00:00:00"/>
    <x v="81"/>
    <n v="5052585426"/>
    <s v="JVIVASS  "/>
    <x v="0"/>
    <x v="13"/>
    <x v="33"/>
    <d v="2023-02-27T00:00:00"/>
    <x v="0"/>
    <x v="1"/>
  </r>
  <r>
    <s v="Sucroalcolera del Chira PlantaMontelima70087184451145418710"/>
    <x v="2"/>
    <s v="Montelima"/>
    <x v="132"/>
    <x v="132"/>
    <x v="16"/>
    <x v="0"/>
    <n v="101"/>
    <n v="10"/>
    <x v="84"/>
    <d v="2023-03-08T00:00:00"/>
    <x v="84"/>
    <n v="5052586798"/>
    <s v="JVIVASS  "/>
    <x v="3"/>
    <x v="1"/>
    <x v="1"/>
    <s v=""/>
    <x v="1"/>
    <x v="0"/>
  </r>
  <r>
    <s v="Bioenergía del Chira PlantaMontelima70062793451145120010"/>
    <x v="1"/>
    <s v="Montelima"/>
    <x v="133"/>
    <x v="133"/>
    <x v="2"/>
    <x v="0"/>
    <n v="101"/>
    <n v="10"/>
    <x v="85"/>
    <d v="2023-03-08T00:00:00"/>
    <x v="85"/>
    <n v="5052586799"/>
    <s v="JVIVASS  "/>
    <x v="3"/>
    <x v="16"/>
    <x v="34"/>
    <d v="2023-03-31T00:00:00"/>
    <x v="0"/>
    <x v="0"/>
  </r>
  <r>
    <s v="Bioenergía del Chira PlantaMontelima70062793451145120020"/>
    <x v="1"/>
    <s v="Montelima"/>
    <x v="133"/>
    <x v="133"/>
    <x v="1"/>
    <x v="0"/>
    <n v="101"/>
    <n v="20"/>
    <x v="85"/>
    <d v="2023-03-08T00:00:00"/>
    <x v="85"/>
    <n v="5052586799"/>
    <s v="JVIVASS  "/>
    <x v="3"/>
    <x v="29"/>
    <x v="34"/>
    <d v="2023-03-09T00:00:00"/>
    <x v="0"/>
    <x v="0"/>
  </r>
  <r>
    <s v="Sucroalcolera del Chira PlantaMontelima750393451144816910"/>
    <x v="2"/>
    <s v="Montelima"/>
    <x v="134"/>
    <x v="134"/>
    <x v="24"/>
    <x v="10"/>
    <n v="101"/>
    <n v="10"/>
    <x v="86"/>
    <d v="2023-03-08T00:00:00"/>
    <x v="86"/>
    <n v="5052586839"/>
    <s v="JVIVASS  "/>
    <x v="3"/>
    <x v="32"/>
    <x v="11"/>
    <d v="2023-03-03T00:00:00"/>
    <x v="0"/>
    <x v="1"/>
  </r>
  <r>
    <s v="Agricola del Chira PlantaMontelima839395451145363320"/>
    <x v="0"/>
    <s v="Montelima"/>
    <x v="135"/>
    <x v="135"/>
    <x v="1"/>
    <x v="0"/>
    <n v="101"/>
    <n v="20"/>
    <x v="87"/>
    <d v="2023-03-08T00:00:00"/>
    <x v="87"/>
    <n v="5052586888"/>
    <s v="JVIVASS  "/>
    <x v="3"/>
    <x v="5"/>
    <x v="35"/>
    <d v="2023-03-15T00:00:00"/>
    <x v="0"/>
    <x v="0"/>
  </r>
  <r>
    <s v="Agricola del Chira PlantaMontelima851911451145363310"/>
    <x v="0"/>
    <s v="Montelima"/>
    <x v="136"/>
    <x v="136"/>
    <x v="1"/>
    <x v="0"/>
    <n v="101"/>
    <n v="10"/>
    <x v="87"/>
    <d v="2023-03-08T00:00:00"/>
    <x v="87"/>
    <n v="5052586888"/>
    <s v="JVIVASS  "/>
    <x v="3"/>
    <x v="5"/>
    <x v="35"/>
    <d v="2023-03-15T00:00:00"/>
    <x v="0"/>
    <x v="0"/>
  </r>
  <r>
    <s v="Agricola del Chira PlantaMontelima70110202451145363340"/>
    <x v="0"/>
    <s v="Montelima"/>
    <x v="137"/>
    <x v="137"/>
    <x v="0"/>
    <x v="0"/>
    <n v="101"/>
    <n v="40"/>
    <x v="87"/>
    <d v="2023-03-08T00:00:00"/>
    <x v="87"/>
    <n v="5052586888"/>
    <s v="JVIVASS  "/>
    <x v="3"/>
    <x v="12"/>
    <x v="35"/>
    <d v="2023-03-15T00:00:00"/>
    <x v="0"/>
    <x v="0"/>
  </r>
  <r>
    <s v="Agricola del Chira PlantaMontelima70112941451145363330"/>
    <x v="0"/>
    <s v="Montelima"/>
    <x v="138"/>
    <x v="138"/>
    <x v="2"/>
    <x v="0"/>
    <n v="101"/>
    <n v="30"/>
    <x v="87"/>
    <d v="2023-03-08T00:00:00"/>
    <x v="87"/>
    <n v="5052586888"/>
    <s v="JVIVASS  "/>
    <x v="3"/>
    <x v="12"/>
    <x v="35"/>
    <d v="2023-03-15T00:00:00"/>
    <x v="0"/>
    <x v="0"/>
  </r>
  <r>
    <s v="Bioenergía del Chira PlantaMontelima814041451145406240"/>
    <x v="1"/>
    <s v="Montelima"/>
    <x v="139"/>
    <x v="139"/>
    <x v="2"/>
    <x v="0"/>
    <n v="101"/>
    <n v="40"/>
    <x v="88"/>
    <d v="2023-03-08T00:00:00"/>
    <x v="88"/>
    <n v="5052586889"/>
    <s v="JVIVASS  "/>
    <x v="3"/>
    <x v="20"/>
    <x v="35"/>
    <d v="2023-03-15T00:00:00"/>
    <x v="0"/>
    <x v="0"/>
  </r>
  <r>
    <s v="Bioenergía del Chira PlantaMontelima814041451145406230"/>
    <x v="1"/>
    <s v="Montelima"/>
    <x v="139"/>
    <x v="139"/>
    <x v="2"/>
    <x v="0"/>
    <n v="101"/>
    <n v="30"/>
    <x v="88"/>
    <d v="2023-03-08T00:00:00"/>
    <x v="88"/>
    <n v="5052586889"/>
    <s v="JVIVASS  "/>
    <x v="3"/>
    <x v="20"/>
    <x v="35"/>
    <d v="2023-03-15T00:00:00"/>
    <x v="0"/>
    <x v="0"/>
  </r>
  <r>
    <s v="Bioenergía del Chira PlantaMontelima814917451145406220"/>
    <x v="1"/>
    <s v="Montelima"/>
    <x v="140"/>
    <x v="140"/>
    <x v="1"/>
    <x v="0"/>
    <n v="101"/>
    <n v="20"/>
    <x v="88"/>
    <d v="2023-03-08T00:00:00"/>
    <x v="88"/>
    <n v="5052586889"/>
    <s v="JVIVASS  "/>
    <x v="3"/>
    <x v="20"/>
    <x v="35"/>
    <d v="2023-03-15T00:00:00"/>
    <x v="0"/>
    <x v="0"/>
  </r>
  <r>
    <s v="Bioenergía del Chira PlantaMontelima814917451145406210"/>
    <x v="1"/>
    <s v="Montelima"/>
    <x v="140"/>
    <x v="140"/>
    <x v="2"/>
    <x v="0"/>
    <n v="101"/>
    <n v="10"/>
    <x v="88"/>
    <d v="2023-03-08T00:00:00"/>
    <x v="88"/>
    <n v="5052586889"/>
    <s v="JVIVASS  "/>
    <x v="3"/>
    <x v="20"/>
    <x v="35"/>
    <d v="2023-03-15T00:00:00"/>
    <x v="0"/>
    <x v="0"/>
  </r>
  <r>
    <s v="Sucroalcolera del Chira PlantaMontelima847424451145125110"/>
    <x v="2"/>
    <s v="Montelima"/>
    <x v="141"/>
    <x v="141"/>
    <x v="1"/>
    <x v="0"/>
    <n v="101"/>
    <n v="10"/>
    <x v="89"/>
    <d v="2023-03-08T00:00:00"/>
    <x v="89"/>
    <n v="5052586922"/>
    <s v="JVIVASS  "/>
    <x v="3"/>
    <x v="3"/>
    <x v="13"/>
    <d v="2023-03-09T00:00:00"/>
    <x v="0"/>
    <x v="0"/>
  </r>
  <r>
    <s v="Agricola del Chira PlantaMontelima876628451144974810"/>
    <x v="0"/>
    <s v="Montelima"/>
    <x v="142"/>
    <x v="142"/>
    <x v="14"/>
    <x v="0"/>
    <n v="101"/>
    <n v="10"/>
    <x v="90"/>
    <d v="2023-03-08T00:00:00"/>
    <x v="90"/>
    <n v="5052586923"/>
    <s v="JVIVASS  "/>
    <x v="3"/>
    <x v="5"/>
    <x v="13"/>
    <d v="2023-03-10T00:00:00"/>
    <x v="0"/>
    <x v="0"/>
  </r>
  <r>
    <s v="Sucroalcolera del Chira PlantaMontelima70055857451145575110"/>
    <x v="2"/>
    <s v="Montelima"/>
    <x v="143"/>
    <x v="143"/>
    <x v="1"/>
    <x v="0"/>
    <n v="101"/>
    <n v="10"/>
    <x v="91"/>
    <d v="2023-03-08T00:00:00"/>
    <x v="91"/>
    <n v="5052586924"/>
    <s v="JVIVASS  "/>
    <x v="2"/>
    <x v="1"/>
    <x v="1"/>
    <s v=""/>
    <x v="1"/>
    <x v="0"/>
  </r>
  <r>
    <s v="Sucroalcolera del Chira PlantaMontelima821158451145581320"/>
    <x v="2"/>
    <s v="Montelima"/>
    <x v="144"/>
    <x v="144"/>
    <x v="1"/>
    <x v="0"/>
    <n v="101"/>
    <n v="20"/>
    <x v="92"/>
    <d v="2023-03-08T00:00:00"/>
    <x v="92"/>
    <n v="5052586925"/>
    <s v="JVIVASS  "/>
    <x v="3"/>
    <x v="4"/>
    <x v="13"/>
    <d v="2023-03-15T00:00:00"/>
    <x v="0"/>
    <x v="0"/>
  </r>
  <r>
    <s v="Sucroalcolera del Chira PlantaMontelima70051918451145581310"/>
    <x v="2"/>
    <s v="Montelima"/>
    <x v="145"/>
    <x v="145"/>
    <x v="1"/>
    <x v="0"/>
    <n v="101"/>
    <n v="10"/>
    <x v="92"/>
    <d v="2023-03-08T00:00:00"/>
    <x v="92"/>
    <n v="5052586925"/>
    <s v="JVIVASS  "/>
    <x v="3"/>
    <x v="4"/>
    <x v="13"/>
    <d v="2023-03-30T00:00:00"/>
    <x v="0"/>
    <x v="0"/>
  </r>
  <r>
    <s v="Bioenergía del Chira PlantaMontelima70084360451145581510"/>
    <x v="1"/>
    <s v="Montelima"/>
    <x v="29"/>
    <x v="29"/>
    <x v="16"/>
    <x v="2"/>
    <n v="101"/>
    <n v="10"/>
    <x v="93"/>
    <d v="2023-03-08T00:00:00"/>
    <x v="93"/>
    <n v="5052586927"/>
    <s v="JVIVASS  "/>
    <x v="3"/>
    <x v="20"/>
    <x v="13"/>
    <d v="2023-03-15T00:00:00"/>
    <x v="0"/>
    <x v="0"/>
  </r>
  <r>
    <s v="Sucroalcolera del Chira PlantaMontelima70084371451145364410"/>
    <x v="2"/>
    <s v="Montelima"/>
    <x v="146"/>
    <x v="146"/>
    <x v="4"/>
    <x v="2"/>
    <n v="101"/>
    <n v="10"/>
    <x v="94"/>
    <d v="2023-03-08T00:00:00"/>
    <x v="94"/>
    <n v="5052586928"/>
    <s v="JVIVASS  "/>
    <x v="3"/>
    <x v="13"/>
    <x v="13"/>
    <d v="2023-03-20T00:00:00"/>
    <x v="0"/>
    <x v="0"/>
  </r>
  <r>
    <s v="Agricola del Chira PlantaMontelima70009568451145410010"/>
    <x v="0"/>
    <s v="Montelima"/>
    <x v="147"/>
    <x v="147"/>
    <x v="4"/>
    <x v="0"/>
    <n v="101"/>
    <n v="10"/>
    <x v="95"/>
    <d v="2023-03-08T00:00:00"/>
    <x v="95"/>
    <n v="5052586940"/>
    <s v="JVIVASS  "/>
    <x v="1"/>
    <x v="5"/>
    <x v="36"/>
    <d v="2023-03-17T00:00:00"/>
    <x v="0"/>
    <x v="0"/>
  </r>
  <r>
    <s v="Agricola del Chira PlantaMontelima70043835451145410020"/>
    <x v="0"/>
    <s v="Montelima"/>
    <x v="148"/>
    <x v="148"/>
    <x v="29"/>
    <x v="0"/>
    <n v="101"/>
    <n v="20"/>
    <x v="95"/>
    <d v="2023-03-08T00:00:00"/>
    <x v="95"/>
    <n v="5052586940"/>
    <s v="JVIVASS  "/>
    <x v="1"/>
    <x v="6"/>
    <x v="36"/>
    <d v="2023-03-17T00:00:00"/>
    <x v="0"/>
    <x v="0"/>
  </r>
  <r>
    <s v="Agricola del Chira PlantaMontelima70043836451145410030"/>
    <x v="0"/>
    <s v="Montelima"/>
    <x v="149"/>
    <x v="149"/>
    <x v="29"/>
    <x v="0"/>
    <n v="101"/>
    <n v="30"/>
    <x v="95"/>
    <d v="2023-03-08T00:00:00"/>
    <x v="95"/>
    <n v="5052586940"/>
    <s v="JVIVASS  "/>
    <x v="1"/>
    <x v="6"/>
    <x v="36"/>
    <d v="2023-03-17T00:00:00"/>
    <x v="0"/>
    <x v="0"/>
  </r>
  <r>
    <s v="Agricola del Chira PlantaMontelima70043837451145410040"/>
    <x v="0"/>
    <s v="Montelima"/>
    <x v="150"/>
    <x v="150"/>
    <x v="29"/>
    <x v="0"/>
    <n v="101"/>
    <n v="40"/>
    <x v="95"/>
    <d v="2023-03-08T00:00:00"/>
    <x v="95"/>
    <n v="5052586940"/>
    <s v="JVIVASS  "/>
    <x v="1"/>
    <x v="6"/>
    <x v="36"/>
    <d v="2023-03-17T00:00:00"/>
    <x v="0"/>
    <x v="0"/>
  </r>
  <r>
    <s v="Sucroalcolera del Chira PlantaMontelima773993451145323820"/>
    <x v="2"/>
    <s v="Montelima"/>
    <x v="151"/>
    <x v="151"/>
    <x v="36"/>
    <x v="2"/>
    <n v="101"/>
    <n v="20"/>
    <x v="96"/>
    <d v="2023-03-08T00:00:00"/>
    <x v="96"/>
    <n v="5052586941"/>
    <s v="JVIVASS  "/>
    <x v="3"/>
    <x v="16"/>
    <x v="13"/>
    <d v="2023-03-10T00:00:00"/>
    <x v="0"/>
    <x v="0"/>
  </r>
  <r>
    <s v="Sucroalcolera del Chira PlantaMontelima807801451145358110"/>
    <x v="2"/>
    <s v="Montelima"/>
    <x v="152"/>
    <x v="152"/>
    <x v="25"/>
    <x v="0"/>
    <n v="101"/>
    <n v="10"/>
    <x v="97"/>
    <d v="2023-03-08T00:00:00"/>
    <x v="97"/>
    <n v="5052586943"/>
    <s v="JVIVASS  "/>
    <x v="3"/>
    <x v="16"/>
    <x v="13"/>
    <d v="2023-03-10T00:00:00"/>
    <x v="0"/>
    <x v="0"/>
  </r>
  <r>
    <s v="Agricola del Chira PlantaMontelima722284451145465310"/>
    <x v="0"/>
    <s v="Montelima"/>
    <x v="129"/>
    <x v="129"/>
    <x v="37"/>
    <x v="2"/>
    <n v="101"/>
    <n v="10"/>
    <x v="98"/>
    <d v="2023-03-08T00:00:00"/>
    <x v="98"/>
    <n v="5052587157"/>
    <s v="JVIVASS  "/>
    <x v="0"/>
    <x v="5"/>
    <x v="33"/>
    <d v="2023-03-28T00:00:00"/>
    <x v="0"/>
    <x v="0"/>
  </r>
  <r>
    <s v="Agricola del Chira PlantaMontelima722283550002212590"/>
    <x v="0"/>
    <s v="Montelima"/>
    <x v="128"/>
    <x v="128"/>
    <x v="38"/>
    <x v="9"/>
    <n v="101"/>
    <n v="90"/>
    <x v="99"/>
    <d v="2023-03-08T00:00:00"/>
    <x v="99"/>
    <n v="5052587158"/>
    <s v="JVIVASS  "/>
    <x v="4"/>
    <x v="10"/>
    <x v="33"/>
    <d v="2022-05-27T00:00:00"/>
    <x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_Dinamica_Resumen_Ingresos" cacheId="14" applyNumberFormats="0" applyBorderFormats="0" applyFontFormats="0" applyPatternFormats="0" applyAlignmentFormats="0" applyWidthHeightFormats="1" dataCaption="Valores" updatedVersion="7" minRefreshableVersion="3" rowGrandTotals="0" colGrandTotals="0" itemPrintTitles="1" createdVersion="6" indent="0" compact="0" compactData="0" multipleFieldFilters="0">
  <location ref="A3:L177" firstHeaderRow="1" firstDataRow="1" firstDataCol="11"/>
  <pivotFields count="20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53">
        <item x="36"/>
        <item x="83"/>
        <item x="84"/>
        <item x="21"/>
        <item x="22"/>
        <item x="118"/>
        <item x="128"/>
        <item x="129"/>
        <item x="93"/>
        <item x="48"/>
        <item x="91"/>
        <item x="55"/>
        <item x="45"/>
        <item x="73"/>
        <item x="96"/>
        <item x="134"/>
        <item x="86"/>
        <item x="49"/>
        <item x="151"/>
        <item x="40"/>
        <item x="23"/>
        <item x="25"/>
        <item x="42"/>
        <item x="43"/>
        <item x="97"/>
        <item x="87"/>
        <item x="59"/>
        <item x="100"/>
        <item x="101"/>
        <item x="102"/>
        <item x="103"/>
        <item x="12"/>
        <item x="37"/>
        <item x="104"/>
        <item x="152"/>
        <item x="44"/>
        <item x="54"/>
        <item x="82"/>
        <item x="50"/>
        <item x="139"/>
        <item x="88"/>
        <item x="140"/>
        <item x="144"/>
        <item x="67"/>
        <item x="13"/>
        <item x="70"/>
        <item x="3"/>
        <item x="89"/>
        <item x="117"/>
        <item x="8"/>
        <item x="92"/>
        <item x="5"/>
        <item x="135"/>
        <item x="19"/>
        <item x="107"/>
        <item x="108"/>
        <item x="110"/>
        <item x="58"/>
        <item x="105"/>
        <item x="9"/>
        <item x="141"/>
        <item x="76"/>
        <item x="136"/>
        <item x="85"/>
        <item x="75"/>
        <item x="78"/>
        <item x="79"/>
        <item x="62"/>
        <item x="38"/>
        <item x="66"/>
        <item x="130"/>
        <item x="109"/>
        <item x="52"/>
        <item x="119"/>
        <item x="112"/>
        <item x="77"/>
        <item x="142"/>
        <item x="131"/>
        <item x="7"/>
        <item x="14"/>
        <item x="15"/>
        <item x="16"/>
        <item x="17"/>
        <item x="18"/>
        <item x="72"/>
        <item x="120"/>
        <item x="106"/>
        <item x="39"/>
        <item x="111"/>
        <item x="4"/>
        <item x="80"/>
        <item x="147"/>
        <item x="94"/>
        <item x="53"/>
        <item x="81"/>
        <item x="51"/>
        <item x="113"/>
        <item x="114"/>
        <item x="0"/>
        <item x="126"/>
        <item x="127"/>
        <item x="56"/>
        <item x="115"/>
        <item x="121"/>
        <item x="122"/>
        <item x="123"/>
        <item x="124"/>
        <item x="125"/>
        <item x="63"/>
        <item x="57"/>
        <item x="65"/>
        <item x="68"/>
        <item x="148"/>
        <item x="149"/>
        <item x="150"/>
        <item x="34"/>
        <item x="2"/>
        <item x="95"/>
        <item x="26"/>
        <item x="98"/>
        <item x="145"/>
        <item x="143"/>
        <item x="6"/>
        <item x="90"/>
        <item x="133"/>
        <item x="1"/>
        <item x="46"/>
        <item x="64"/>
        <item x="24"/>
        <item x="35"/>
        <item x="69"/>
        <item x="27"/>
        <item x="28"/>
        <item x="29"/>
        <item x="30"/>
        <item x="31"/>
        <item x="146"/>
        <item x="132"/>
        <item x="99"/>
        <item x="32"/>
        <item x="74"/>
        <item x="60"/>
        <item x="61"/>
        <item x="137"/>
        <item x="71"/>
        <item x="10"/>
        <item x="138"/>
        <item x="11"/>
        <item x="20"/>
        <item x="116"/>
        <item x="47"/>
        <item x="33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3">
        <item x="128"/>
        <item x="21"/>
        <item x="77"/>
        <item x="45"/>
        <item x="0"/>
        <item x="1"/>
        <item x="134"/>
        <item x="117"/>
        <item x="52"/>
        <item x="40"/>
        <item x="93"/>
        <item x="86"/>
        <item x="146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1"/>
        <item x="42"/>
        <item x="43"/>
        <item x="44"/>
        <item x="46"/>
        <item x="47"/>
        <item x="48"/>
        <item x="49"/>
        <item x="50"/>
        <item x="51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8"/>
        <item x="79"/>
        <item x="80"/>
        <item x="81"/>
        <item x="82"/>
        <item x="83"/>
        <item x="84"/>
        <item x="85"/>
        <item x="87"/>
        <item x="88"/>
        <item x="89"/>
        <item x="90"/>
        <item x="91"/>
        <item x="92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8"/>
        <item x="119"/>
        <item x="120"/>
        <item x="121"/>
        <item x="122"/>
        <item x="123"/>
        <item x="124"/>
        <item x="125"/>
        <item x="126"/>
        <item x="127"/>
        <item x="129"/>
        <item x="130"/>
        <item x="131"/>
        <item x="132"/>
        <item x="133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7"/>
        <item x="148"/>
        <item x="149"/>
        <item x="150"/>
        <item x="151"/>
        <item x="15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39">
        <item x="14"/>
        <item x="1"/>
        <item x="2"/>
        <item x="0"/>
        <item x="5"/>
        <item x="18"/>
        <item x="24"/>
        <item x="4"/>
        <item x="29"/>
        <item x="9"/>
        <item x="21"/>
        <item x="13"/>
        <item x="31"/>
        <item x="20"/>
        <item x="30"/>
        <item x="25"/>
        <item x="15"/>
        <item x="22"/>
        <item x="6"/>
        <item x="38"/>
        <item x="3"/>
        <item x="37"/>
        <item x="19"/>
        <item x="8"/>
        <item x="7"/>
        <item x="10"/>
        <item x="11"/>
        <item x="12"/>
        <item x="16"/>
        <item x="17"/>
        <item x="23"/>
        <item x="26"/>
        <item x="27"/>
        <item x="28"/>
        <item x="32"/>
        <item x="33"/>
        <item x="34"/>
        <item x="35"/>
        <item x="3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">
        <item x="0"/>
        <item x="5"/>
        <item x="2"/>
        <item x="8"/>
        <item x="1"/>
        <item x="10"/>
        <item x="7"/>
        <item x="9"/>
        <item x="3"/>
        <item x="6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0">
        <item x="14"/>
        <item x="79"/>
        <item x="31"/>
        <item x="0"/>
        <item x="77"/>
        <item x="78"/>
        <item x="75"/>
        <item x="9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6"/>
        <item x="80"/>
        <item x="81"/>
        <item x="82"/>
        <item x="83"/>
        <item x="84"/>
        <item x="85"/>
        <item x="86"/>
        <item x="87"/>
        <item x="88"/>
        <item x="89"/>
        <item x="91"/>
        <item x="92"/>
        <item x="93"/>
        <item x="94"/>
        <item x="95"/>
        <item x="96"/>
        <item x="97"/>
        <item x="98"/>
        <item x="9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0">
        <item x="11"/>
        <item x="64"/>
        <item x="0"/>
        <item x="75"/>
        <item x="13"/>
        <item x="1"/>
        <item x="2"/>
        <item x="3"/>
        <item x="4"/>
        <item x="5"/>
        <item x="6"/>
        <item x="7"/>
        <item x="8"/>
        <item x="9"/>
        <item x="10"/>
        <item x="12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5"/>
        <item x="66"/>
        <item x="67"/>
        <item x="68"/>
        <item x="69"/>
        <item x="70"/>
        <item x="71"/>
        <item x="72"/>
        <item x="73"/>
        <item x="74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4"/>
        <item x="2"/>
        <item x="3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">
        <item x="1"/>
        <item x="25"/>
        <item x="15"/>
        <item x="4"/>
        <item x="32"/>
        <item x="10"/>
        <item x="0"/>
        <item x="5"/>
        <item x="6"/>
        <item x="12"/>
        <item x="19"/>
        <item x="3"/>
        <item x="21"/>
        <item x="8"/>
        <item x="17"/>
        <item x="13"/>
        <item x="16"/>
        <item x="22"/>
        <item x="7"/>
        <item x="31"/>
        <item x="28"/>
        <item x="2"/>
        <item x="9"/>
        <item x="26"/>
        <item x="20"/>
        <item x="29"/>
        <item x="11"/>
        <item x="14"/>
        <item x="18"/>
        <item x="23"/>
        <item x="24"/>
        <item x="27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7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1">
    <field x="1"/>
    <field x="3"/>
    <field x="4"/>
    <field x="6"/>
    <field x="16"/>
    <field x="11"/>
    <field x="15"/>
    <field x="18"/>
    <field x="9"/>
    <field x="19"/>
    <field x="14"/>
  </rowFields>
  <rowItems count="174">
    <i>
      <x/>
      <x v="3"/>
      <x v="1"/>
      <x/>
      <x/>
      <x v="16"/>
      <x/>
      <x/>
      <x/>
      <x/>
      <x/>
    </i>
    <i r="1">
      <x v="4"/>
      <x v="32"/>
      <x v="2"/>
      <x v="11"/>
      <x v="17"/>
      <x v="5"/>
      <x v="1"/>
      <x v="21"/>
      <x v="1"/>
      <x/>
    </i>
    <i r="1">
      <x v="5"/>
      <x v="121"/>
      <x v="7"/>
      <x/>
      <x v="76"/>
      <x/>
      <x/>
      <x v="80"/>
      <x/>
      <x v="1"/>
    </i>
    <i r="1">
      <x v="6"/>
      <x/>
      <x v="7"/>
      <x v="33"/>
      <x v="99"/>
      <x v="5"/>
      <x v="1"/>
      <x v="99"/>
      <x v="1"/>
      <x/>
    </i>
    <i r="1">
      <x v="7"/>
      <x v="131"/>
      <x v="2"/>
      <x v="33"/>
      <x v="98"/>
      <x v="7"/>
      <x v="1"/>
      <x v="98"/>
      <x/>
      <x v="3"/>
    </i>
    <i r="1">
      <x v="9"/>
      <x v="56"/>
      <x/>
      <x v="15"/>
      <x v="29"/>
      <x v="28"/>
      <x v="2"/>
      <x v="33"/>
      <x/>
      <x v="2"/>
    </i>
    <i r="1">
      <x v="11"/>
      <x v="62"/>
      <x/>
      <x v="16"/>
      <x v="37"/>
      <x v="8"/>
      <x v="1"/>
      <x v="40"/>
      <x v="1"/>
      <x v="1"/>
    </i>
    <i r="1">
      <x v="14"/>
      <x v="100"/>
      <x v="3"/>
      <x v="27"/>
      <x v="65"/>
      <x v="7"/>
      <x v="1"/>
      <x v="68"/>
      <x/>
      <x v="4"/>
    </i>
    <i r="1">
      <x v="20"/>
      <x v="33"/>
      <x v="8"/>
      <x v="11"/>
      <x v="17"/>
      <x v="5"/>
      <x v="1"/>
      <x v="21"/>
      <x v="1"/>
      <x/>
    </i>
    <i r="1">
      <x v="21"/>
      <x v="35"/>
      <x/>
      <x v="12"/>
      <x v="18"/>
      <x v="26"/>
      <x v="1"/>
      <x v="22"/>
      <x v="1"/>
      <x v="3"/>
    </i>
    <i r="1">
      <x v="22"/>
      <x v="51"/>
      <x/>
      <x v="15"/>
      <x v="27"/>
      <x v="7"/>
      <x v="1"/>
      <x v="31"/>
      <x/>
      <x v="4"/>
    </i>
    <i r="1">
      <x v="23"/>
      <x v="52"/>
      <x/>
      <x v="15"/>
      <x v="27"/>
      <x v="7"/>
      <x v="1"/>
      <x v="31"/>
      <x/>
      <x v="4"/>
    </i>
    <i r="1">
      <x v="24"/>
      <x v="101"/>
      <x/>
      <x/>
      <x v="65"/>
      <x/>
      <x/>
      <x v="68"/>
      <x/>
      <x v="4"/>
    </i>
    <i r="1">
      <x v="26"/>
      <x v="66"/>
      <x/>
      <x v="17"/>
      <x v="41"/>
      <x v="7"/>
      <x v="1"/>
      <x v="44"/>
      <x v="1"/>
      <x v="3"/>
    </i>
    <i r="1">
      <x v="35"/>
      <x v="53"/>
      <x v="10"/>
      <x v="15"/>
      <x v="27"/>
      <x v="14"/>
      <x v="1"/>
      <x v="31"/>
      <x/>
      <x v="4"/>
    </i>
    <i r="1">
      <x v="43"/>
      <x v="74"/>
      <x/>
      <x v="20"/>
      <x v="46"/>
      <x v="1"/>
      <x v="1"/>
      <x v="49"/>
      <x/>
      <x v="1"/>
    </i>
    <i r="1">
      <x v="45"/>
      <x v="77"/>
      <x/>
      <x v="22"/>
      <x v="48"/>
      <x v="14"/>
      <x v="1"/>
      <x v="51"/>
      <x v="1"/>
      <x v="2"/>
    </i>
    <i r="1">
      <x v="49"/>
      <x v="19"/>
      <x/>
      <x v="4"/>
      <x v="11"/>
      <x v="7"/>
      <x v="1"/>
      <x v="14"/>
      <x/>
      <x v="1"/>
    </i>
    <i r="1">
      <x v="52"/>
      <x v="136"/>
      <x/>
      <x v="35"/>
      <x v="87"/>
      <x v="7"/>
      <x v="1"/>
      <x v="88"/>
      <x/>
      <x v="2"/>
    </i>
    <i r="1">
      <x v="57"/>
      <x v="65"/>
      <x/>
      <x v="17"/>
      <x v="40"/>
      <x v="7"/>
      <x v="1"/>
      <x v="43"/>
      <x v="1"/>
      <x v="1"/>
    </i>
    <i r="1">
      <x v="59"/>
      <x v="20"/>
      <x/>
      <x v="4"/>
      <x v="11"/>
      <x v="7"/>
      <x v="1"/>
      <x v="14"/>
      <x/>
      <x v="1"/>
    </i>
    <i r="1">
      <x v="61"/>
      <x v="83"/>
      <x/>
      <x v="7"/>
      <x v="54"/>
      <x v="8"/>
      <x v="1"/>
      <x v="57"/>
      <x/>
      <x v="1"/>
    </i>
    <i r="1">
      <x v="62"/>
      <x v="137"/>
      <x/>
      <x v="35"/>
      <x v="87"/>
      <x v="7"/>
      <x v="1"/>
      <x v="88"/>
      <x/>
      <x v="2"/>
    </i>
    <i r="1">
      <x v="67"/>
      <x v="69"/>
      <x/>
      <x v="17"/>
      <x v="42"/>
      <x v="7"/>
      <x v="1"/>
      <x v="45"/>
      <x/>
      <x v="1"/>
    </i>
    <i r="1">
      <x v="75"/>
      <x v="2"/>
      <x/>
      <x v="7"/>
      <x v="54"/>
      <x v="8"/>
      <x v="1"/>
      <x v="57"/>
      <x/>
      <x v="1"/>
    </i>
    <i r="1">
      <x v="76"/>
      <x v="143"/>
      <x/>
      <x v="13"/>
      <x v="90"/>
      <x v="7"/>
      <x v="1"/>
      <x v="7"/>
      <x/>
      <x v="2"/>
    </i>
    <i r="1">
      <x v="87"/>
      <x v="49"/>
      <x/>
      <x v="15"/>
      <x v="25"/>
      <x v="7"/>
      <x v="1"/>
      <x v="29"/>
      <x/>
      <x v="2"/>
    </i>
    <i r="1">
      <x v="91"/>
      <x v="147"/>
      <x/>
      <x v="36"/>
      <x v="95"/>
      <x v="7"/>
      <x v="1"/>
      <x v="95"/>
      <x/>
      <x v="4"/>
    </i>
    <i r="1">
      <x v="93"/>
      <x v="60"/>
      <x/>
      <x v="16"/>
      <x v="34"/>
      <x v="7"/>
      <x v="1"/>
      <x v="37"/>
      <x v="1"/>
      <x v="1"/>
    </i>
    <i r="1">
      <x v="98"/>
      <x v="4"/>
      <x/>
      <x v="1"/>
      <x v="2"/>
      <x v="6"/>
      <x v="1"/>
      <x v="3"/>
      <x/>
      <x v="3"/>
    </i>
    <i r="1">
      <x v="101"/>
      <x v="63"/>
      <x/>
      <x v="16"/>
      <x v="38"/>
      <x v="12"/>
      <x v="1"/>
      <x v="41"/>
      <x/>
      <x v="2"/>
    </i>
    <i r="1">
      <x v="108"/>
      <x v="70"/>
      <x/>
      <x v="17"/>
      <x v="42"/>
      <x v="7"/>
      <x v="1"/>
      <x v="45"/>
      <x/>
      <x v="1"/>
    </i>
    <i r="1">
      <x v="109"/>
      <x v="64"/>
      <x/>
      <x v="17"/>
      <x v="39"/>
      <x v="6"/>
      <x v="1"/>
      <x v="42"/>
      <x/>
      <x v="2"/>
    </i>
    <i r="1">
      <x v="110"/>
      <x v="72"/>
      <x/>
      <x v="19"/>
      <x v="44"/>
      <x v="6"/>
      <x v="1"/>
      <x v="47"/>
      <x/>
      <x v="2"/>
    </i>
    <i r="1">
      <x v="112"/>
      <x v="148"/>
      <x/>
      <x v="36"/>
      <x v="95"/>
      <x v="8"/>
      <x v="1"/>
      <x v="95"/>
      <x/>
      <x v="4"/>
    </i>
    <i r="1">
      <x v="113"/>
      <x v="149"/>
      <x/>
      <x v="36"/>
      <x v="95"/>
      <x v="8"/>
      <x v="1"/>
      <x v="95"/>
      <x/>
      <x v="4"/>
    </i>
    <i r="1">
      <x v="114"/>
      <x v="150"/>
      <x/>
      <x v="36"/>
      <x v="95"/>
      <x v="8"/>
      <x v="1"/>
      <x v="95"/>
      <x/>
      <x v="4"/>
    </i>
    <i r="1">
      <x v="117"/>
      <x v="99"/>
      <x/>
      <x/>
      <x v="64"/>
      <x/>
      <x/>
      <x v="67"/>
      <x/>
      <x v="4"/>
    </i>
    <i r="4">
      <x v="27"/>
      <x v="64"/>
      <x v="16"/>
      <x v="1"/>
      <x v="67"/>
      <x/>
      <x v="4"/>
    </i>
    <i r="6">
      <x v="32"/>
      <x v="1"/>
      <x v="67"/>
      <x/>
      <x v="4"/>
    </i>
    <i r="1">
      <x v="118"/>
      <x v="36"/>
      <x/>
      <x v="12"/>
      <x v="19"/>
      <x v="9"/>
      <x v="1"/>
      <x v="23"/>
      <x/>
      <x v="1"/>
    </i>
    <i r="1">
      <x v="119"/>
      <x v="102"/>
      <x/>
      <x/>
      <x v="65"/>
      <x/>
      <x/>
      <x v="68"/>
      <x/>
      <x v="4"/>
    </i>
    <i r="1">
      <x v="125"/>
      <x v="5"/>
      <x/>
      <x v="1"/>
      <x v="2"/>
      <x v="6"/>
      <x v="1"/>
      <x v="3"/>
      <x/>
      <x v="3"/>
    </i>
    <i r="1">
      <x v="128"/>
      <x v="34"/>
      <x/>
      <x v="11"/>
      <x v="17"/>
      <x v="5"/>
      <x v="1"/>
      <x v="21"/>
      <x v="1"/>
      <x/>
    </i>
    <i r="1">
      <x v="138"/>
      <x v="103"/>
      <x/>
      <x v="28"/>
      <x v="1"/>
      <x v="5"/>
      <x v="1"/>
      <x v="69"/>
      <x v="1"/>
      <x/>
    </i>
    <i r="1">
      <x v="139"/>
      <x v="42"/>
      <x/>
      <x v="14"/>
      <x v="21"/>
      <x v="8"/>
      <x v="1"/>
      <x v="25"/>
      <x/>
      <x v="2"/>
    </i>
    <i r="1">
      <x v="140"/>
      <x v="81"/>
      <x/>
      <x/>
      <x v="52"/>
      <x/>
      <x/>
      <x v="55"/>
      <x/>
      <x v="1"/>
    </i>
    <i r="1">
      <x v="141"/>
      <x v="67"/>
      <x/>
      <x v="17"/>
      <x v="41"/>
      <x v="17"/>
      <x v="1"/>
      <x v="44"/>
      <x v="1"/>
      <x v="3"/>
    </i>
    <i r="1">
      <x v="142"/>
      <x v="68"/>
      <x/>
      <x v="17"/>
      <x v="41"/>
      <x v="29"/>
      <x v="1"/>
      <x v="44"/>
      <x v="1"/>
      <x v="3"/>
    </i>
    <i r="1">
      <x v="143"/>
      <x v="138"/>
      <x/>
      <x v="35"/>
      <x v="87"/>
      <x v="9"/>
      <x v="1"/>
      <x v="88"/>
      <x/>
      <x v="2"/>
    </i>
    <i r="1">
      <x v="145"/>
      <x v="21"/>
      <x/>
      <x v="5"/>
      <x v="12"/>
      <x v="7"/>
      <x v="1"/>
      <x v="15"/>
      <x/>
      <x v="1"/>
    </i>
    <i r="1">
      <x v="146"/>
      <x v="139"/>
      <x/>
      <x v="35"/>
      <x v="87"/>
      <x v="9"/>
      <x v="1"/>
      <x v="88"/>
      <x/>
      <x v="2"/>
    </i>
    <i r="1">
      <x v="147"/>
      <x v="22"/>
      <x/>
      <x v="5"/>
      <x v="12"/>
      <x v="8"/>
      <x v="1"/>
      <x v="15"/>
      <x/>
      <x v="1"/>
    </i>
    <i r="1">
      <x v="151"/>
      <x v="43"/>
      <x/>
      <x v="14"/>
      <x v="21"/>
      <x v="2"/>
      <x v="1"/>
      <x v="25"/>
      <x/>
      <x v="2"/>
    </i>
    <i>
      <x v="1"/>
      <x v="1"/>
      <x v="89"/>
      <x/>
      <x v="2"/>
      <x v="57"/>
      <x v="20"/>
      <x v="1"/>
      <x v="60"/>
      <x/>
      <x v="1"/>
    </i>
    <i r="1">
      <x v="2"/>
      <x v="90"/>
      <x/>
      <x v="27"/>
      <x v="58"/>
      <x v="10"/>
      <x v="1"/>
      <x v="61"/>
      <x v="1"/>
      <x v="4"/>
    </i>
    <i r="1">
      <x v="10"/>
      <x v="96"/>
      <x v="9"/>
      <x v="27"/>
      <x v="60"/>
      <x v="24"/>
      <x v="1"/>
      <x v="63"/>
      <x/>
      <x v="2"/>
    </i>
    <i r="1">
      <x v="16"/>
      <x v="11"/>
      <x/>
      <x v="27"/>
      <x v="59"/>
      <x v="25"/>
      <x v="1"/>
      <x v="62"/>
      <x/>
      <x v="4"/>
    </i>
    <i r="1">
      <x v="25"/>
      <x v="92"/>
      <x/>
      <x v="27"/>
      <x v="59"/>
      <x v="25"/>
      <x v="1"/>
      <x v="62"/>
      <x/>
      <x v="4"/>
    </i>
    <i r="1">
      <x v="36"/>
      <x v="61"/>
      <x/>
      <x v="16"/>
      <x v="36"/>
      <x v="24"/>
      <x v="1"/>
      <x v="39"/>
      <x/>
      <x v="2"/>
    </i>
    <i r="1">
      <x v="39"/>
      <x v="140"/>
      <x/>
      <x v="35"/>
      <x v="88"/>
      <x v="24"/>
      <x v="1"/>
      <x v="89"/>
      <x/>
      <x v="2"/>
    </i>
    <i r="1">
      <x v="40"/>
      <x v="93"/>
      <x/>
      <x v="27"/>
      <x v="59"/>
      <x v="16"/>
      <x v="1"/>
      <x v="62"/>
      <x/>
      <x v="4"/>
    </i>
    <i r="1">
      <x v="41"/>
      <x v="141"/>
      <x/>
      <x v="35"/>
      <x v="88"/>
      <x v="24"/>
      <x v="1"/>
      <x v="89"/>
      <x/>
      <x v="2"/>
    </i>
    <i r="1">
      <x v="47"/>
      <x v="94"/>
      <x/>
      <x v="27"/>
      <x v="59"/>
      <x v="16"/>
      <x v="1"/>
      <x v="62"/>
      <x/>
      <x v="4"/>
    </i>
    <i r="1">
      <x v="63"/>
      <x v="91"/>
      <x/>
      <x v="27"/>
      <x v="58"/>
      <x v="10"/>
      <x v="1"/>
      <x v="61"/>
      <x v="1"/>
      <x v="4"/>
    </i>
    <i r="1">
      <x v="72"/>
      <x v="8"/>
      <x/>
      <x v="16"/>
      <x v="33"/>
      <x v="10"/>
      <x v="1"/>
      <x v="2"/>
      <x v="1"/>
      <x v="4"/>
    </i>
    <i r="1">
      <x v="84"/>
      <x v="79"/>
      <x/>
      <x v="9"/>
      <x v="50"/>
      <x v="10"/>
      <x v="1"/>
      <x v="53"/>
      <x v="1"/>
      <x v="3"/>
    </i>
    <i r="1">
      <x v="95"/>
      <x v="59"/>
      <x/>
      <x/>
      <x v="32"/>
      <x/>
      <x/>
      <x v="36"/>
      <x/>
      <x v="3"/>
    </i>
    <i r="1">
      <x v="116"/>
      <x v="13"/>
      <x/>
      <x/>
      <x v="5"/>
      <x/>
      <x/>
      <x v="8"/>
      <x/>
      <x v="4"/>
    </i>
    <i r="1">
      <x v="123"/>
      <x v="95"/>
      <x/>
      <x/>
      <x v="59"/>
      <x/>
      <x/>
      <x v="62"/>
      <x/>
      <x v="4"/>
    </i>
    <i r="1">
      <x v="124"/>
      <x v="135"/>
      <x/>
      <x v="34"/>
      <x v="85"/>
      <x v="16"/>
      <x v="1"/>
      <x v="86"/>
      <x/>
      <x v="2"/>
    </i>
    <i r="6">
      <x v="25"/>
      <x v="1"/>
      <x v="86"/>
      <x/>
      <x v="2"/>
    </i>
    <i r="1">
      <x v="133"/>
      <x v="39"/>
      <x v="2"/>
      <x v="13"/>
      <x v="93"/>
      <x v="24"/>
      <x v="1"/>
      <x v="93"/>
      <x/>
      <x v="2"/>
    </i>
    <i r="1">
      <x v="144"/>
      <x v="78"/>
      <x/>
      <x v="9"/>
      <x v="49"/>
      <x v="23"/>
      <x v="1"/>
      <x v="52"/>
      <x/>
      <x v="1"/>
    </i>
    <i>
      <x v="2"/>
      <x/>
      <x v="46"/>
      <x/>
      <x v="15"/>
      <x v="23"/>
      <x v="15"/>
      <x v="1"/>
      <x v="27"/>
      <x/>
      <x v="2"/>
    </i>
    <i r="1">
      <x v="6"/>
      <x/>
      <x v="7"/>
      <x v="33"/>
      <x v="80"/>
      <x v="5"/>
      <x v="1"/>
      <x v="81"/>
      <x v="1"/>
      <x/>
    </i>
    <i r="1">
      <x v="7"/>
      <x v="131"/>
      <x v="2"/>
      <x v="33"/>
      <x v="81"/>
      <x v="5"/>
      <x v="1"/>
      <x v="81"/>
      <x v="1"/>
      <x/>
    </i>
    <i r="6">
      <x v="15"/>
      <x v="1"/>
      <x v="84"/>
      <x v="1"/>
      <x v="3"/>
    </i>
    <i r="1">
      <x v="8"/>
      <x v="10"/>
      <x v="3"/>
      <x v="27"/>
      <x v="62"/>
      <x v="15"/>
      <x v="1"/>
      <x v="65"/>
      <x v="1"/>
      <x v="4"/>
    </i>
    <i r="1">
      <x v="10"/>
      <x v="96"/>
      <x v="9"/>
      <x v="27"/>
      <x v="63"/>
      <x v="15"/>
      <x v="1"/>
      <x v="66"/>
      <x/>
      <x v="2"/>
    </i>
    <i r="1">
      <x v="12"/>
      <x v="3"/>
      <x/>
      <x v="15"/>
      <x v="28"/>
      <x v="15"/>
      <x v="1"/>
      <x v="32"/>
      <x/>
      <x v="2"/>
    </i>
    <i r="1">
      <x v="13"/>
      <x v="80"/>
      <x/>
      <x v="23"/>
      <x v="51"/>
      <x v="31"/>
      <x v="1"/>
      <x v="54"/>
      <x v="1"/>
      <x v="1"/>
    </i>
    <i r="1">
      <x v="15"/>
      <x v="6"/>
      <x v="5"/>
      <x v="11"/>
      <x v="86"/>
      <x v="4"/>
      <x v="1"/>
      <x v="87"/>
      <x v="1"/>
      <x v="2"/>
    </i>
    <i r="1">
      <x v="17"/>
      <x v="57"/>
      <x/>
      <x v="15"/>
      <x v="30"/>
      <x v="11"/>
      <x v="1"/>
      <x v="34"/>
      <x/>
      <x v="2"/>
    </i>
    <i r="1">
      <x v="18"/>
      <x v="151"/>
      <x v="2"/>
      <x v="13"/>
      <x v="96"/>
      <x v="16"/>
      <x v="1"/>
      <x v="96"/>
      <x/>
      <x v="2"/>
    </i>
    <i r="1">
      <x v="19"/>
      <x v="9"/>
      <x/>
      <x v="15"/>
      <x v="26"/>
      <x v="3"/>
      <x v="1"/>
      <x v="30"/>
      <x/>
      <x v="2"/>
    </i>
    <i r="1">
      <x v="20"/>
      <x v="33"/>
      <x v="8"/>
      <x v="11"/>
      <x v="22"/>
      <x v="5"/>
      <x v="1"/>
      <x v="26"/>
      <x v="1"/>
      <x/>
    </i>
    <i r="1">
      <x v="27"/>
      <x v="104"/>
      <x/>
      <x v="29"/>
      <x v="66"/>
      <x v="11"/>
      <x v="1"/>
      <x v="70"/>
      <x/>
      <x v="2"/>
    </i>
    <i r="1">
      <x v="28"/>
      <x v="105"/>
      <x/>
      <x v="29"/>
      <x v="66"/>
      <x v="11"/>
      <x v="1"/>
      <x v="70"/>
      <x/>
      <x v="2"/>
    </i>
    <i r="5">
      <x v="69"/>
      <x v="15"/>
      <x v="1"/>
      <x v="73"/>
      <x/>
      <x v="2"/>
    </i>
    <i r="1">
      <x v="29"/>
      <x v="106"/>
      <x/>
      <x v="29"/>
      <x v="66"/>
      <x v="11"/>
      <x v="1"/>
      <x v="70"/>
      <x/>
      <x v="2"/>
    </i>
    <i r="1">
      <x v="30"/>
      <x v="107"/>
      <x/>
      <x v="29"/>
      <x v="66"/>
      <x v="11"/>
      <x v="1"/>
      <x v="70"/>
      <x/>
      <x v="2"/>
    </i>
    <i r="1">
      <x v="31"/>
      <x v="23"/>
      <x/>
      <x v="6"/>
      <x v="13"/>
      <x v="18"/>
      <x v="1"/>
      <x v="16"/>
      <x v="1"/>
      <x v="1"/>
    </i>
    <i r="1">
      <x v="32"/>
      <x v="47"/>
      <x/>
      <x v="15"/>
      <x v="23"/>
      <x v="15"/>
      <x v="1"/>
      <x v="27"/>
      <x/>
      <x v="2"/>
    </i>
    <i r="5">
      <x v="24"/>
      <x v="16"/>
      <x v="1"/>
      <x v="28"/>
      <x/>
      <x v="2"/>
    </i>
    <i r="1">
      <x v="33"/>
      <x v="108"/>
      <x/>
      <x v="29"/>
      <x v="66"/>
      <x v="11"/>
      <x v="1"/>
      <x v="70"/>
      <x/>
      <x v="2"/>
    </i>
    <i r="1">
      <x v="34"/>
      <x v="152"/>
      <x/>
      <x v="13"/>
      <x v="97"/>
      <x v="16"/>
      <x v="1"/>
      <x v="97"/>
      <x/>
      <x v="2"/>
    </i>
    <i r="1">
      <x v="37"/>
      <x v="88"/>
      <x/>
      <x v="26"/>
      <x v="56"/>
      <x v="3"/>
      <x v="1"/>
      <x v="59"/>
      <x v="1"/>
      <x v="1"/>
    </i>
    <i r="1">
      <x v="38"/>
      <x v="58"/>
      <x/>
      <x v="16"/>
      <x v="31"/>
      <x v="13"/>
      <x v="1"/>
      <x v="35"/>
      <x v="1"/>
      <x v="3"/>
    </i>
    <i r="5">
      <x v="35"/>
      <x v="11"/>
      <x v="1"/>
      <x v="38"/>
      <x/>
      <x v="1"/>
    </i>
    <i r="1">
      <x v="42"/>
      <x v="145"/>
      <x/>
      <x v="13"/>
      <x v="92"/>
      <x v="3"/>
      <x v="1"/>
      <x v="92"/>
      <x/>
      <x v="2"/>
    </i>
    <i r="1">
      <x v="44"/>
      <x v="24"/>
      <x/>
      <x v="7"/>
      <x v="14"/>
      <x v="11"/>
      <x v="1"/>
      <x v="17"/>
      <x/>
      <x v="3"/>
    </i>
    <i r="6">
      <x v="13"/>
      <x v="1"/>
      <x v="17"/>
      <x/>
      <x v="3"/>
    </i>
    <i r="1">
      <x v="46"/>
      <x v="14"/>
      <x/>
      <x v="2"/>
      <x v="6"/>
      <x v="21"/>
      <x v="1"/>
      <x v="9"/>
      <x/>
      <x v="4"/>
    </i>
    <i r="1">
      <x v="47"/>
      <x v="94"/>
      <x/>
      <x v="27"/>
      <x v="61"/>
      <x v="21"/>
      <x v="1"/>
      <x v="64"/>
      <x/>
      <x v="4"/>
    </i>
    <i r="1">
      <x v="48"/>
      <x v="7"/>
      <x/>
      <x v="31"/>
      <x v="3"/>
      <x v="19"/>
      <x v="1"/>
      <x v="6"/>
      <x/>
      <x v="1"/>
    </i>
    <i r="1">
      <x v="50"/>
      <x v="97"/>
      <x/>
      <x v="27"/>
      <x v="61"/>
      <x v="21"/>
      <x v="1"/>
      <x v="64"/>
      <x/>
      <x v="4"/>
    </i>
    <i r="1">
      <x v="51"/>
      <x v="16"/>
      <x/>
      <x v="3"/>
      <x v="8"/>
      <x v="3"/>
      <x v="1"/>
      <x v="11"/>
      <x/>
      <x v="1"/>
    </i>
    <i r="1">
      <x v="53"/>
      <x v="30"/>
      <x/>
      <x v="9"/>
      <x v="15"/>
      <x v="11"/>
      <x v="1"/>
      <x v="19"/>
      <x v="1"/>
      <x v="3"/>
    </i>
    <i r="1">
      <x v="54"/>
      <x v="111"/>
      <x/>
      <x v="29"/>
      <x v="70"/>
      <x v="11"/>
      <x v="1"/>
      <x v="74"/>
      <x/>
      <x v="3"/>
    </i>
    <i r="1">
      <x v="55"/>
      <x v="112"/>
      <x/>
      <x v="29"/>
      <x v="70"/>
      <x v="11"/>
      <x v="1"/>
      <x v="74"/>
      <x/>
      <x v="3"/>
    </i>
    <i r="1">
      <x v="56"/>
      <x v="114"/>
      <x/>
      <x v="29"/>
      <x v="72"/>
      <x v="11"/>
      <x v="1"/>
      <x v="76"/>
      <x/>
      <x v="1"/>
    </i>
    <i r="1">
      <x v="58"/>
      <x v="109"/>
      <x/>
      <x v="29"/>
      <x v="67"/>
      <x v="11"/>
      <x v="1"/>
      <x v="71"/>
      <x/>
      <x v="3"/>
    </i>
    <i r="5">
      <x v="68"/>
      <x v="11"/>
      <x v="1"/>
      <x v="72"/>
      <x/>
      <x v="1"/>
    </i>
    <i r="1">
      <x v="60"/>
      <x v="142"/>
      <x/>
      <x v="13"/>
      <x v="89"/>
      <x v="11"/>
      <x v="1"/>
      <x v="90"/>
      <x/>
      <x v="2"/>
    </i>
    <i r="1">
      <x v="64"/>
      <x v="82"/>
      <x v="6"/>
      <x v="24"/>
      <x v="53"/>
      <x v="15"/>
      <x v="1"/>
      <x v="56"/>
      <x/>
      <x v="2"/>
    </i>
    <i r="1">
      <x v="65"/>
      <x v="84"/>
      <x/>
      <x v="25"/>
      <x v="55"/>
      <x v="15"/>
      <x v="1"/>
      <x v="58"/>
      <x/>
      <x v="1"/>
    </i>
    <i r="1">
      <x v="66"/>
      <x v="85"/>
      <x/>
      <x v="25"/>
      <x v="55"/>
      <x v="15"/>
      <x v="1"/>
      <x v="58"/>
      <x/>
      <x v="1"/>
    </i>
    <i r="1">
      <x v="68"/>
      <x v="48"/>
      <x/>
      <x v="15"/>
      <x v="23"/>
      <x v="3"/>
      <x v="1"/>
      <x v="27"/>
      <x/>
      <x v="2"/>
    </i>
    <i r="1">
      <x v="69"/>
      <x v="73"/>
      <x/>
      <x v="20"/>
      <x v="45"/>
      <x v="15"/>
      <x v="1"/>
      <x v="48"/>
      <x/>
      <x v="1"/>
    </i>
    <i r="1">
      <x v="70"/>
      <x v="132"/>
      <x/>
      <x v="3"/>
      <x v="82"/>
      <x v="3"/>
      <x v="1"/>
      <x v="82"/>
      <x v="1"/>
      <x v="1"/>
    </i>
    <i r="1">
      <x v="71"/>
      <x v="113"/>
      <x/>
      <x v="29"/>
      <x v="71"/>
      <x v="11"/>
      <x v="1"/>
      <x v="75"/>
      <x v="1"/>
      <x v="3"/>
    </i>
    <i r="5">
      <x v="72"/>
      <x v="11"/>
      <x v="1"/>
      <x v="76"/>
      <x/>
      <x v="1"/>
    </i>
    <i r="1">
      <x v="73"/>
      <x v="122"/>
      <x/>
      <x v="32"/>
      <x v="77"/>
      <x v="11"/>
      <x v="1"/>
      <x v="4"/>
      <x v="1"/>
      <x v="1"/>
    </i>
    <i r="6">
      <x v="16"/>
      <x v="1"/>
      <x v="4"/>
      <x v="1"/>
      <x v="1"/>
    </i>
    <i r="1">
      <x v="74"/>
      <x v="116"/>
      <x/>
      <x v="30"/>
      <x v="74"/>
      <x v="11"/>
      <x v="1"/>
      <x v="78"/>
      <x v="1"/>
      <x v="3"/>
    </i>
    <i r="1">
      <x v="77"/>
      <x v="133"/>
      <x/>
      <x v="3"/>
      <x v="83"/>
      <x v="15"/>
      <x v="1"/>
      <x v="83"/>
      <x v="1"/>
      <x v="1"/>
    </i>
    <i r="1">
      <x v="78"/>
      <x v="18"/>
      <x/>
      <x v="3"/>
      <x v="10"/>
      <x v="11"/>
      <x v="1"/>
      <x v="13"/>
      <x v="1"/>
      <x v="3"/>
    </i>
    <i r="1">
      <x v="79"/>
      <x v="25"/>
      <x/>
      <x v="8"/>
      <x/>
      <x v="11"/>
      <x v="1"/>
      <x v="18"/>
      <x v="1"/>
      <x v="3"/>
    </i>
    <i r="1">
      <x v="80"/>
      <x v="26"/>
      <x/>
      <x v="8"/>
      <x/>
      <x v="11"/>
      <x v="1"/>
      <x v="18"/>
      <x v="1"/>
      <x v="3"/>
    </i>
    <i r="1">
      <x v="81"/>
      <x v="27"/>
      <x/>
      <x v="8"/>
      <x/>
      <x v="11"/>
      <x v="1"/>
      <x v="18"/>
      <x v="1"/>
      <x v="3"/>
    </i>
    <i r="1">
      <x v="82"/>
      <x v="28"/>
      <x/>
      <x v="8"/>
      <x/>
      <x v="3"/>
      <x v="1"/>
      <x v="18"/>
      <x v="1"/>
      <x v="3"/>
    </i>
    <i r="1">
      <x v="83"/>
      <x v="29"/>
      <x/>
      <x v="8"/>
      <x/>
      <x v="3"/>
      <x v="1"/>
      <x v="18"/>
      <x v="1"/>
      <x v="3"/>
    </i>
    <i r="6">
      <x v="11"/>
      <x v="1"/>
      <x v="18"/>
      <x v="1"/>
      <x v="3"/>
    </i>
    <i r="1">
      <x v="85"/>
      <x v="123"/>
      <x/>
      <x v="32"/>
      <x v="78"/>
      <x v="11"/>
      <x v="1"/>
      <x v="5"/>
      <x/>
      <x v="3"/>
    </i>
    <i r="1">
      <x v="86"/>
      <x v="110"/>
      <x/>
      <x v="29"/>
      <x v="67"/>
      <x v="11"/>
      <x v="1"/>
      <x v="71"/>
      <x/>
      <x v="3"/>
    </i>
    <i r="5">
      <x v="68"/>
      <x v="11"/>
      <x v="1"/>
      <x v="72"/>
      <x/>
      <x v="1"/>
    </i>
    <i r="1">
      <x v="88"/>
      <x v="115"/>
      <x/>
      <x v="30"/>
      <x v="73"/>
      <x v="11"/>
      <x v="1"/>
      <x v="77"/>
      <x v="1"/>
      <x v="1"/>
    </i>
    <i r="5">
      <x v="74"/>
      <x v="11"/>
      <x v="1"/>
      <x v="78"/>
      <x v="1"/>
      <x v="3"/>
    </i>
    <i r="1">
      <x v="89"/>
      <x v="15"/>
      <x v="4"/>
      <x v="3"/>
      <x v="7"/>
      <x v="11"/>
      <x v="1"/>
      <x v="10"/>
      <x/>
      <x v="3"/>
    </i>
    <i r="1">
      <x v="90"/>
      <x v="86"/>
      <x/>
      <x v="25"/>
      <x v="55"/>
      <x v="15"/>
      <x v="1"/>
      <x v="58"/>
      <x/>
      <x v="1"/>
    </i>
    <i r="1">
      <x v="92"/>
      <x v="98"/>
      <x/>
      <x/>
      <x v="62"/>
      <x/>
      <x/>
      <x v="65"/>
      <x/>
      <x v="4"/>
    </i>
    <i r="1">
      <x v="94"/>
      <x v="87"/>
      <x/>
      <x v="25"/>
      <x v="55"/>
      <x v="15"/>
      <x v="1"/>
      <x v="58"/>
      <x/>
      <x v="1"/>
    </i>
    <i r="1">
      <x v="96"/>
      <x v="117"/>
      <x v="3"/>
      <x v="30"/>
      <x v="74"/>
      <x v="11"/>
      <x v="1"/>
      <x v="78"/>
      <x v="1"/>
      <x v="3"/>
    </i>
    <i r="1">
      <x v="97"/>
      <x v="118"/>
      <x v="3"/>
      <x v="30"/>
      <x v="74"/>
      <x v="11"/>
      <x v="1"/>
      <x v="78"/>
      <x v="1"/>
      <x v="3"/>
    </i>
    <i r="1">
      <x v="99"/>
      <x v="129"/>
      <x/>
      <x v="32"/>
      <x v="79"/>
      <x v="16"/>
      <x v="1"/>
      <x v="1"/>
      <x v="1"/>
      <x v="3"/>
    </i>
    <i r="1">
      <x v="100"/>
      <x v="130"/>
      <x/>
      <x v="32"/>
      <x v="79"/>
      <x v="16"/>
      <x v="1"/>
      <x v="1"/>
      <x v="1"/>
      <x v="3"/>
    </i>
    <i r="1">
      <x v="102"/>
      <x v="119"/>
      <x/>
      <x v="30"/>
      <x v="74"/>
      <x v="11"/>
      <x v="1"/>
      <x v="78"/>
      <x v="1"/>
      <x v="3"/>
    </i>
    <i r="1">
      <x v="103"/>
      <x v="124"/>
      <x/>
      <x/>
      <x v="78"/>
      <x/>
      <x/>
      <x v="5"/>
      <x/>
      <x v="3"/>
    </i>
    <i r="1">
      <x v="104"/>
      <x v="125"/>
      <x/>
      <x/>
      <x v="78"/>
      <x/>
      <x/>
      <x v="5"/>
      <x/>
      <x v="3"/>
    </i>
    <i r="1">
      <x v="105"/>
      <x v="126"/>
      <x/>
      <x/>
      <x v="78"/>
      <x/>
      <x/>
      <x v="5"/>
      <x/>
      <x v="3"/>
    </i>
    <i r="1">
      <x v="106"/>
      <x v="127"/>
      <x/>
      <x/>
      <x v="78"/>
      <x/>
      <x/>
      <x v="5"/>
      <x/>
      <x v="3"/>
    </i>
    <i r="1">
      <x v="107"/>
      <x v="128"/>
      <x/>
      <x/>
      <x v="78"/>
      <x/>
      <x/>
      <x v="5"/>
      <x/>
      <x v="3"/>
    </i>
    <i r="1">
      <x v="111"/>
      <x v="75"/>
      <x v="9"/>
      <x v="21"/>
      <x v="47"/>
      <x v="3"/>
      <x v="1"/>
      <x v="50"/>
      <x v="1"/>
      <x v="3"/>
    </i>
    <i r="1">
      <x v="115"/>
      <x v="44"/>
      <x/>
      <x v="11"/>
      <x v="22"/>
      <x v="5"/>
      <x v="1"/>
      <x v="26"/>
      <x v="1"/>
      <x/>
    </i>
    <i r="1">
      <x v="120"/>
      <x v="146"/>
      <x/>
      <x v="13"/>
      <x v="92"/>
      <x v="3"/>
      <x v="1"/>
      <x v="92"/>
      <x/>
      <x v="2"/>
    </i>
    <i r="1">
      <x v="121"/>
      <x v="144"/>
      <x/>
      <x/>
      <x v="91"/>
      <x/>
      <x/>
      <x v="91"/>
      <x/>
      <x v="1"/>
    </i>
    <i r="1">
      <x v="122"/>
      <x v="17"/>
      <x/>
      <x v="3"/>
      <x v="9"/>
      <x v="11"/>
      <x v="1"/>
      <x v="12"/>
      <x/>
      <x v="2"/>
    </i>
    <i r="1">
      <x v="126"/>
      <x v="54"/>
      <x v="1"/>
      <x v="15"/>
      <x v="28"/>
      <x v="15"/>
      <x v="1"/>
      <x v="32"/>
      <x/>
      <x v="2"/>
    </i>
    <i r="1">
      <x v="127"/>
      <x v="71"/>
      <x/>
      <x v="18"/>
      <x v="43"/>
      <x v="30"/>
      <x v="2"/>
      <x v="46"/>
      <x/>
      <x v="4"/>
    </i>
    <i r="1">
      <x v="128"/>
      <x v="34"/>
      <x/>
      <x v="11"/>
      <x v="22"/>
      <x v="5"/>
      <x v="1"/>
      <x v="26"/>
      <x v="1"/>
      <x/>
    </i>
    <i r="1">
      <x v="129"/>
      <x v="45"/>
      <x/>
      <x v="11"/>
      <x v="22"/>
      <x v="5"/>
      <x v="1"/>
      <x v="26"/>
      <x v="1"/>
      <x/>
    </i>
    <i r="1">
      <x v="130"/>
      <x v="76"/>
      <x/>
      <x v="21"/>
      <x v="47"/>
      <x v="16"/>
      <x v="1"/>
      <x v="50"/>
      <x v="1"/>
      <x v="3"/>
    </i>
    <i r="1">
      <x v="131"/>
      <x v="37"/>
      <x v="2"/>
      <x v="13"/>
      <x v="20"/>
      <x v="15"/>
      <x v="1"/>
      <x v="24"/>
      <x/>
      <x v="2"/>
    </i>
    <i r="1">
      <x v="132"/>
      <x v="38"/>
      <x v="2"/>
      <x v="13"/>
      <x v="20"/>
      <x v="15"/>
      <x v="1"/>
      <x v="24"/>
      <x/>
      <x v="2"/>
    </i>
    <i r="1">
      <x v="133"/>
      <x v="39"/>
      <x v="2"/>
      <x v="13"/>
      <x v="20"/>
      <x v="15"/>
      <x v="1"/>
      <x v="24"/>
      <x/>
      <x v="2"/>
    </i>
    <i r="1">
      <x v="134"/>
      <x v="40"/>
      <x v="2"/>
      <x v="13"/>
      <x v="20"/>
      <x v="15"/>
      <x v="1"/>
      <x v="24"/>
      <x/>
      <x v="2"/>
    </i>
    <i r="1">
      <x v="135"/>
      <x v="41"/>
      <x v="2"/>
      <x v="13"/>
      <x v="20"/>
      <x v="27"/>
      <x v="1"/>
      <x v="24"/>
      <x/>
      <x v="2"/>
    </i>
    <i r="1">
      <x v="136"/>
      <x v="12"/>
      <x v="2"/>
      <x v="13"/>
      <x v="94"/>
      <x v="15"/>
      <x v="1"/>
      <x v="94"/>
      <x/>
      <x v="2"/>
    </i>
    <i r="1">
      <x v="137"/>
      <x v="134"/>
      <x/>
      <x/>
      <x v="84"/>
      <x/>
      <x/>
      <x v="85"/>
      <x/>
      <x v="2"/>
    </i>
    <i r="1">
      <x v="148"/>
      <x v="31"/>
      <x/>
      <x v="10"/>
      <x v="4"/>
      <x v="22"/>
      <x v="2"/>
      <x v="20"/>
      <x/>
      <x v="2"/>
    </i>
    <i r="1">
      <x v="149"/>
      <x v="120"/>
      <x/>
      <x v="30"/>
      <x v="75"/>
      <x v="15"/>
      <x v="1"/>
      <x v="79"/>
      <x/>
      <x v="2"/>
    </i>
    <i r="1">
      <x v="150"/>
      <x v="55"/>
      <x/>
      <x v="15"/>
      <x v="28"/>
      <x v="16"/>
      <x v="1"/>
      <x v="32"/>
      <x/>
      <x v="2"/>
    </i>
    <i r="1">
      <x v="152"/>
      <x v="50"/>
      <x/>
      <x v="15"/>
      <x v="26"/>
      <x v="3"/>
      <x v="1"/>
      <x v="30"/>
      <x/>
      <x v="2"/>
    </i>
  </rowItems>
  <colItems count="1">
    <i/>
  </colItems>
  <dataFields count="1">
    <dataField name=" Cantidad" fld="5" baseField="0" baseItem="0"/>
  </dataFields>
  <formats count="17">
    <format dxfId="42">
      <pivotArea field="1" type="button" dataOnly="0" labelOnly="1" outline="0" axis="axisRow" fieldPosition="0"/>
    </format>
    <format dxfId="41">
      <pivotArea field="4" type="button" dataOnly="0" labelOnly="1" outline="0" axis="axisRow" fieldPosition="2"/>
    </format>
    <format dxfId="40">
      <pivotArea field="3" type="button" dataOnly="0" labelOnly="1" outline="0" axis="axisRow" fieldPosition="1"/>
    </format>
    <format dxfId="39">
      <pivotArea field="5" type="button" dataOnly="0" labelOnly="1" outline="0"/>
    </format>
    <format dxfId="38">
      <pivotArea field="6" type="button" dataOnly="0" labelOnly="1" outline="0" axis="axisRow" fieldPosition="3"/>
    </format>
    <format dxfId="37">
      <pivotArea field="16" type="button" dataOnly="0" labelOnly="1" outline="0" axis="axisRow" fieldPosition="4"/>
    </format>
    <format dxfId="36">
      <pivotArea field="11" type="button" dataOnly="0" labelOnly="1" outline="0" axis="axisRow" fieldPosition="5"/>
    </format>
    <format dxfId="35">
      <pivotArea field="15" type="button" dataOnly="0" labelOnly="1" outline="0" axis="axisRow" fieldPosition="6"/>
    </format>
    <format dxfId="34">
      <pivotArea field="18" type="button" dataOnly="0" labelOnly="1" outline="0" axis="axisRow" fieldPosition="7"/>
    </format>
    <format dxfId="33">
      <pivotArea field="9" type="button" dataOnly="0" labelOnly="1" outline="0" axis="axisRow" fieldPosition="8"/>
    </format>
    <format dxfId="32">
      <pivotArea field="19" type="button" dataOnly="0" labelOnly="1" outline="0" axis="axisRow" fieldPosition="9"/>
    </format>
    <format dxfId="31">
      <pivotArea field="9" type="button" dataOnly="0" labelOnly="1" outline="0" axis="axisRow" fieldPosition="8"/>
    </format>
    <format dxfId="30">
      <pivotArea field="9" type="button" dataOnly="0" labelOnly="1" outline="0" axis="axisRow" fieldPosition="8"/>
    </format>
    <format dxfId="29">
      <pivotArea field="9" type="button" dataOnly="0" labelOnly="1" outline="0" axis="axisRow" fieldPosition="8"/>
    </format>
    <format dxfId="28">
      <pivotArea field="9" type="button" dataOnly="0" labelOnly="1" outline="0" axis="axisRow" fieldPosition="8"/>
    </format>
    <format dxfId="27">
      <pivotArea field="9" type="button" dataOnly="0" labelOnly="1" outline="0" axis="axisRow" fieldPosition="8"/>
    </format>
    <format dxfId="26">
      <pivotArea field="14" type="button" dataOnly="0" labelOnly="1" outline="0" axis="axisRow" fieldPosition="10"/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gresos" displayName="Ingresos" ref="A6:T191" totalsRowShown="0">
  <autoFilter ref="A6:T191" xr:uid="{00000000-000C-0000-FFFF-FFFF00000000}"/>
  <tableColumns count="20">
    <tableColumn id="10" xr3:uid="{00000000-0010-0000-0000-00000A000000}" name="Concatenar" dataDxfId="25">
      <calculatedColumnFormula>Ingresos[[#This Row],[Centro]]&amp;Ingresos[[#This Row],[Almacén]]&amp;Ingresos[[#This Row],[Codigo]]&amp;Ingresos[[#This Row],[Pedido]]&amp;Ingresos[[#This Row],[Posición]]</calculatedColumnFormula>
    </tableColumn>
    <tableColumn id="1" xr3:uid="{00000000-0010-0000-0000-000001000000}" name="Centro"/>
    <tableColumn id="2" xr3:uid="{00000000-0010-0000-0000-000002000000}" name="Almacén"/>
    <tableColumn id="20" xr3:uid="{00000000-0010-0000-0000-000014000000}" name="Codigo" dataDxfId="24"/>
    <tableColumn id="3" xr3:uid="{00000000-0010-0000-0000-000003000000}" name="Denomin."/>
    <tableColumn id="4" xr3:uid="{00000000-0010-0000-0000-000004000000}" name="Cantidad" dataDxfId="23"/>
    <tableColumn id="5" xr3:uid="{00000000-0010-0000-0000-000005000000}" name="UM"/>
    <tableColumn id="6" xr3:uid="{00000000-0010-0000-0000-000006000000}" name="Cl.mov." dataDxfId="22"/>
    <tableColumn id="14" xr3:uid="{00000000-0010-0000-0000-00000E000000}" name="Posición" dataDxfId="21"/>
    <tableColumn id="7" xr3:uid="{00000000-0010-0000-0000-000007000000}" name="Pedido" dataDxfId="20"/>
    <tableColumn id="8" xr3:uid="{00000000-0010-0000-0000-000008000000}" name="Fe.contable" dataDxfId="19"/>
    <tableColumn id="11" xr3:uid="{00000000-0010-0000-0000-00000B000000}" name="Referencia"/>
    <tableColumn id="12" xr3:uid="{00000000-0010-0000-0000-00000C000000}" name="Doc.mat." dataDxfId="18"/>
    <tableColumn id="13" xr3:uid="{00000000-0010-0000-0000-00000D000000}" name="Usuario Almacen"/>
    <tableColumn id="16" xr3:uid="{00000000-0010-0000-0000-000010000000}" name="Comprador" dataDxfId="17">
      <calculatedColumnFormula>IFERROR(VLOOKUP(Ingresos[[#This Row],[Pedido]],Compradores[],2,FALSE),"")</calculatedColumnFormula>
    </tableColumn>
    <tableColumn id="15" xr3:uid="{00000000-0010-0000-0000-00000F000000}" name="Solicitante" dataDxfId="16">
      <calculatedColumnFormula>IFERROR(VLOOKUP(Ingresos[[#This Row],[Concatenar]],Detalle_OC[],2,FALSE),"")</calculatedColumnFormula>
    </tableColumn>
    <tableColumn id="17" xr3:uid="{00000000-0010-0000-0000-000011000000}" name="Proveedor" dataDxfId="15">
      <calculatedColumnFormula>IFERROR(VLOOKUP(Ingresos[[#This Row],[Concatenar]],Detalle_OC[],3,FALSE),"")</calculatedColumnFormula>
    </tableColumn>
    <tableColumn id="18" xr3:uid="{00000000-0010-0000-0000-000012000000}" name="Fec. Entrega" dataDxfId="14">
      <calculatedColumnFormula>IFERROR(VLOOKUP(Ingresos[[#This Row],[Concatenar]],Detalle_OC[],4,FALSE),"")</calculatedColumnFormula>
    </tableColumn>
    <tableColumn id="9" xr3:uid="{00000000-0010-0000-0000-000009000000}" name="Imputación" dataDxfId="13">
      <calculatedColumnFormula>IFERROR(VLOOKUP(Ingresos[[#This Row],[Concatenar]],Detalle_OC[],5,FALSE),"")</calculatedColumnFormula>
    </tableColumn>
    <tableColumn id="19" xr3:uid="{00000000-0010-0000-0000-000013000000}" name="Evaluación proveedor" dataDxfId="12">
      <calculatedColumnFormula>IF(Ingresos[[#This Row],[Fec. Entrega]]&gt;=Ingresos[[#This Row],[Fe.contable]],"",IF(Ingresos[[#This Row],[Fe.contable]]&gt;Ingresos[[#This Row],[Fec. Entrega]],"Entrega Tarde"))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B95C43C4-FC11-40F6-8637-263FF18651BF}" name="Detalle_OC" displayName="Detalle_OC" ref="A2:K878" totalsRowShown="0">
  <autoFilter ref="A2:K878" xr:uid="{00000000-0009-0000-0100-000007000000}">
    <filterColumn colId="5">
      <filters>
        <filter val="Sucroalcolera del Chira Planta"/>
      </filters>
    </filterColumn>
    <filterColumn colId="9">
      <filters>
        <filter val="2"/>
      </filters>
    </filterColumn>
  </autoFilter>
  <sortState xmlns:xlrd2="http://schemas.microsoft.com/office/spreadsheetml/2017/richdata2" ref="A3:J3">
    <sortCondition ref="J2:J3"/>
  </sortState>
  <tableColumns count="11">
    <tableColumn id="1" xr3:uid="{B95E5AE9-5534-435F-A2FA-0EEDEFC027CF}" name="Concatena" dataDxfId="11">
      <calculatedColumnFormula>Detalle_OC[[#This Row],[Centro]]&amp;Detalle_OC[[#This Row],[Nom Almacen]]&amp;Detalle_OC[[#This Row],[Material]]&amp;Detalle_OC[[#This Row],[Pedido]]&amp;Detalle_OC[[#This Row],[Posicion]]</calculatedColumnFormula>
    </tableColumn>
    <tableColumn id="2" xr3:uid="{AE24A89F-7B47-4057-8A51-3869EAE6876E}" name="Solicit.    "/>
    <tableColumn id="3" xr3:uid="{75705BD8-13C8-45AC-B706-84C6D3FD6C66}" name="Proveedor          "/>
    <tableColumn id="4" xr3:uid="{E7731353-EB4B-429A-A952-CA84729267EA}" name="Fe.entrega" dataDxfId="10"/>
    <tableColumn id="5" xr3:uid="{43F945B3-7247-470A-9484-0AB7849EF44C}" name="Imputación"/>
    <tableColumn id="6" xr3:uid="{F65BCD24-C7A6-4437-99F9-E2D8BB854970}" name="Centro"/>
    <tableColumn id="8" xr3:uid="{57797FD1-D633-4240-877D-2F47A77378DE}" name="Material"/>
    <tableColumn id="9" xr3:uid="{A695AB2F-4D04-46C5-8757-20E6A418FC43}" name="Pedido"/>
    <tableColumn id="10" xr3:uid="{AA4CD74D-1D4B-462F-8193-F4150C7C4D52}" name="Posicion"/>
    <tableColumn id="7" xr3:uid="{CDFF2A91-EC9B-4D79-8C81-CDF5697229D7}" name="Nro Almacen" dataDxfId="9"/>
    <tableColumn id="11" xr3:uid="{82AA2B29-650C-48B4-AA9D-E801B95DEFE5}" name="Nom Almacen" dataDxfId="8">
      <calculatedColumnFormula>IFERROR(VLOOKUP(Detalle_OC[[#This Row],[Centro]]&amp;Detalle_OC[[#This Row],[Nro Almacen]],Almacen!A:D,4,FALSE),"")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Compradores" displayName="Compradores" ref="B4:C292" totalsRowShown="0">
  <autoFilter ref="B4:C292" xr:uid="{00000000-0009-0000-0100-000002000000}"/>
  <tableColumns count="2">
    <tableColumn id="1" xr3:uid="{00000000-0010-0000-0200-000001000000}" name="Doc.compr."/>
    <tableColumn id="2" xr3:uid="{00000000-0010-0000-0200-000002000000}" name="Usuario Comprador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2:L763"/>
  <sheetViews>
    <sheetView showGridLines="0" tabSelected="1" zoomScale="95" zoomScaleNormal="95" workbookViewId="0">
      <selection activeCell="A3" sqref="A3"/>
    </sheetView>
  </sheetViews>
  <sheetFormatPr baseColWidth="10" defaultRowHeight="14.5" x14ac:dyDescent="0.35"/>
  <cols>
    <col min="1" max="1" width="25.81640625" style="19" bestFit="1" customWidth="1"/>
    <col min="2" max="2" width="12.1796875" style="6" bestFit="1" customWidth="1"/>
    <col min="3" max="3" width="44" bestFit="1" customWidth="1"/>
    <col min="4" max="4" width="12.54296875" customWidth="1"/>
    <col min="5" max="5" width="4.81640625" bestFit="1" customWidth="1"/>
    <col min="7" max="7" width="14.1796875" bestFit="1" customWidth="1"/>
    <col min="8" max="8" width="14.54296875" bestFit="1" customWidth="1"/>
    <col min="9" max="9" width="17" bestFit="1" customWidth="1"/>
    <col min="10" max="10" width="20.7265625" bestFit="1" customWidth="1"/>
    <col min="11" max="11" width="15.7265625" style="5" customWidth="1"/>
    <col min="12" max="12" width="22.54296875" bestFit="1" customWidth="1"/>
  </cols>
  <sheetData>
    <row r="2" spans="1:12" ht="15" thickBot="1" x14ac:dyDescent="0.4">
      <c r="A2" s="21" t="s">
        <v>461</v>
      </c>
    </row>
    <row r="3" spans="1:12" ht="15" thickTop="1" x14ac:dyDescent="0.35">
      <c r="A3" s="20" t="s">
        <v>0</v>
      </c>
      <c r="B3" s="14" t="s">
        <v>14</v>
      </c>
      <c r="C3" s="13" t="s">
        <v>1</v>
      </c>
      <c r="D3" s="13" t="s">
        <v>128</v>
      </c>
      <c r="E3" s="13" t="s">
        <v>20</v>
      </c>
      <c r="F3" s="13" t="s">
        <v>4</v>
      </c>
      <c r="G3" s="13" t="s">
        <v>10</v>
      </c>
      <c r="H3" s="13" t="s">
        <v>6</v>
      </c>
      <c r="I3" s="13" t="s">
        <v>15</v>
      </c>
      <c r="J3" s="13" t="s">
        <v>8</v>
      </c>
      <c r="K3" s="14" t="s">
        <v>12</v>
      </c>
      <c r="L3" s="13" t="s">
        <v>7</v>
      </c>
    </row>
    <row r="4" spans="1:12" x14ac:dyDescent="0.35">
      <c r="A4" s="11" t="s">
        <v>27</v>
      </c>
      <c r="B4" s="12">
        <v>718015</v>
      </c>
      <c r="C4" s="11" t="s">
        <v>137</v>
      </c>
      <c r="D4" s="11">
        <v>110</v>
      </c>
      <c r="E4" s="12" t="s">
        <v>28</v>
      </c>
      <c r="F4" s="11" t="s">
        <v>36</v>
      </c>
      <c r="G4" s="11" t="s">
        <v>301</v>
      </c>
      <c r="H4" s="11" t="s">
        <v>36</v>
      </c>
      <c r="I4" s="11" t="s">
        <v>36</v>
      </c>
      <c r="J4" s="11">
        <v>5500022180</v>
      </c>
      <c r="K4" s="11" t="s">
        <v>36</v>
      </c>
      <c r="L4" s="11"/>
    </row>
    <row r="5" spans="1:12" x14ac:dyDescent="0.35">
      <c r="A5" s="11" t="s">
        <v>27</v>
      </c>
      <c r="B5" s="12">
        <v>721669</v>
      </c>
      <c r="C5" s="11" t="s">
        <v>336</v>
      </c>
      <c r="D5" s="11">
        <v>400</v>
      </c>
      <c r="E5" s="12" t="s">
        <v>112</v>
      </c>
      <c r="F5" s="11" t="s">
        <v>413</v>
      </c>
      <c r="G5" s="11" t="s">
        <v>337</v>
      </c>
      <c r="H5" s="11" t="s">
        <v>38</v>
      </c>
      <c r="I5" s="11" t="s">
        <v>26</v>
      </c>
      <c r="J5" s="11">
        <v>5500022435</v>
      </c>
      <c r="K5" s="11" t="s">
        <v>30</v>
      </c>
      <c r="L5" s="11"/>
    </row>
    <row r="6" spans="1:12" x14ac:dyDescent="0.35">
      <c r="A6" s="11" t="s">
        <v>27</v>
      </c>
      <c r="B6" s="12">
        <v>722278</v>
      </c>
      <c r="C6" s="11" t="s">
        <v>170</v>
      </c>
      <c r="D6" s="11">
        <v>10</v>
      </c>
      <c r="E6" s="12" t="s">
        <v>131</v>
      </c>
      <c r="F6" s="11" t="s">
        <v>36</v>
      </c>
      <c r="G6" s="11" t="s">
        <v>171</v>
      </c>
      <c r="H6" s="11" t="s">
        <v>36</v>
      </c>
      <c r="I6" s="11" t="s">
        <v>36</v>
      </c>
      <c r="J6" s="11">
        <v>4511416314</v>
      </c>
      <c r="K6" s="11" t="s">
        <v>36</v>
      </c>
      <c r="L6" s="11" t="s">
        <v>50</v>
      </c>
    </row>
    <row r="7" spans="1:12" x14ac:dyDescent="0.35">
      <c r="A7" s="11" t="s">
        <v>27</v>
      </c>
      <c r="B7" s="12">
        <v>722283</v>
      </c>
      <c r="C7" s="11" t="s">
        <v>130</v>
      </c>
      <c r="D7" s="11">
        <v>100</v>
      </c>
      <c r="E7" s="12" t="s">
        <v>131</v>
      </c>
      <c r="F7" s="11" t="s">
        <v>416</v>
      </c>
      <c r="G7" s="11" t="s">
        <v>373</v>
      </c>
      <c r="H7" s="11" t="s">
        <v>38</v>
      </c>
      <c r="I7" s="11" t="s">
        <v>26</v>
      </c>
      <c r="J7" s="11">
        <v>5500022125</v>
      </c>
      <c r="K7" s="11" t="s">
        <v>30</v>
      </c>
      <c r="L7" s="11"/>
    </row>
    <row r="8" spans="1:12" x14ac:dyDescent="0.35">
      <c r="A8" s="11" t="s">
        <v>27</v>
      </c>
      <c r="B8" s="12">
        <v>722284</v>
      </c>
      <c r="C8" s="11" t="s">
        <v>221</v>
      </c>
      <c r="D8" s="11">
        <v>70</v>
      </c>
      <c r="E8" s="12" t="s">
        <v>112</v>
      </c>
      <c r="F8" s="11" t="s">
        <v>416</v>
      </c>
      <c r="G8" s="11" t="s">
        <v>372</v>
      </c>
      <c r="H8" s="11" t="s">
        <v>46</v>
      </c>
      <c r="I8" s="11" t="s">
        <v>26</v>
      </c>
      <c r="J8" s="11">
        <v>4511454653</v>
      </c>
      <c r="K8" s="11" t="s">
        <v>36</v>
      </c>
      <c r="L8" s="11" t="s">
        <v>51</v>
      </c>
    </row>
    <row r="9" spans="1:12" x14ac:dyDescent="0.35">
      <c r="A9" s="11" t="s">
        <v>27</v>
      </c>
      <c r="B9" s="12">
        <v>733186</v>
      </c>
      <c r="C9" s="11" t="s">
        <v>405</v>
      </c>
      <c r="D9" s="11">
        <v>15</v>
      </c>
      <c r="E9" s="12" t="s">
        <v>28</v>
      </c>
      <c r="F9" s="11" t="s">
        <v>409</v>
      </c>
      <c r="G9" s="11" t="s">
        <v>406</v>
      </c>
      <c r="H9" s="11" t="s">
        <v>414</v>
      </c>
      <c r="I9" s="11" t="s">
        <v>120</v>
      </c>
      <c r="J9" s="11">
        <v>4511446078</v>
      </c>
      <c r="K9" s="11" t="s">
        <v>36</v>
      </c>
      <c r="L9" s="11" t="s">
        <v>110</v>
      </c>
    </row>
    <row r="10" spans="1:12" x14ac:dyDescent="0.35">
      <c r="A10" s="11" t="s">
        <v>27</v>
      </c>
      <c r="B10" s="12">
        <v>736148</v>
      </c>
      <c r="C10" s="11" t="s">
        <v>261</v>
      </c>
      <c r="D10" s="11">
        <v>2</v>
      </c>
      <c r="E10" s="12" t="s">
        <v>28</v>
      </c>
      <c r="F10" s="11" t="s">
        <v>418</v>
      </c>
      <c r="G10" s="11" t="s">
        <v>262</v>
      </c>
      <c r="H10" s="11" t="s">
        <v>109</v>
      </c>
      <c r="I10" s="11" t="s">
        <v>26</v>
      </c>
      <c r="J10" s="11">
        <v>4511449166</v>
      </c>
      <c r="K10" s="11" t="s">
        <v>30</v>
      </c>
      <c r="L10" s="11" t="s">
        <v>50</v>
      </c>
    </row>
    <row r="11" spans="1:12" x14ac:dyDescent="0.35">
      <c r="A11" s="11" t="s">
        <v>27</v>
      </c>
      <c r="B11" s="12">
        <v>746375</v>
      </c>
      <c r="C11" s="11" t="s">
        <v>249</v>
      </c>
      <c r="D11" s="11">
        <v>19</v>
      </c>
      <c r="E11" s="12" t="s">
        <v>111</v>
      </c>
      <c r="F11" s="11" t="s">
        <v>411</v>
      </c>
      <c r="G11" s="11" t="s">
        <v>250</v>
      </c>
      <c r="H11" s="11" t="s">
        <v>46</v>
      </c>
      <c r="I11" s="11" t="s">
        <v>26</v>
      </c>
      <c r="J11" s="11">
        <v>4511452985</v>
      </c>
      <c r="K11" s="11" t="s">
        <v>36</v>
      </c>
      <c r="L11" s="11" t="s">
        <v>136</v>
      </c>
    </row>
    <row r="12" spans="1:12" x14ac:dyDescent="0.35">
      <c r="A12" s="11" t="s">
        <v>27</v>
      </c>
      <c r="B12" s="12">
        <v>777305</v>
      </c>
      <c r="C12" s="11" t="s">
        <v>338</v>
      </c>
      <c r="D12" s="11">
        <v>16</v>
      </c>
      <c r="E12" s="12" t="s">
        <v>140</v>
      </c>
      <c r="F12" s="11" t="s">
        <v>413</v>
      </c>
      <c r="G12" s="11" t="s">
        <v>337</v>
      </c>
      <c r="H12" s="11" t="s">
        <v>38</v>
      </c>
      <c r="I12" s="11" t="s">
        <v>26</v>
      </c>
      <c r="J12" s="11">
        <v>5500022435</v>
      </c>
      <c r="K12" s="11" t="s">
        <v>30</v>
      </c>
      <c r="L12" s="11"/>
    </row>
    <row r="13" spans="1:12" x14ac:dyDescent="0.35">
      <c r="A13" s="11" t="s">
        <v>27</v>
      </c>
      <c r="B13" s="12">
        <v>787785</v>
      </c>
      <c r="C13" s="11" t="s">
        <v>346</v>
      </c>
      <c r="D13" s="11">
        <v>12</v>
      </c>
      <c r="E13" s="12" t="s">
        <v>28</v>
      </c>
      <c r="F13" s="11" t="s">
        <v>422</v>
      </c>
      <c r="G13" s="11" t="s">
        <v>347</v>
      </c>
      <c r="H13" s="11" t="s">
        <v>421</v>
      </c>
      <c r="I13" s="11" t="s">
        <v>26</v>
      </c>
      <c r="J13" s="11">
        <v>4511445369</v>
      </c>
      <c r="K13" s="11" t="s">
        <v>30</v>
      </c>
      <c r="L13" s="11" t="s">
        <v>51</v>
      </c>
    </row>
    <row r="14" spans="1:12" x14ac:dyDescent="0.35">
      <c r="A14" s="11" t="s">
        <v>27</v>
      </c>
      <c r="B14" s="12">
        <v>788247</v>
      </c>
      <c r="C14" s="11" t="s">
        <v>396</v>
      </c>
      <c r="D14" s="11">
        <v>3</v>
      </c>
      <c r="E14" s="12" t="s">
        <v>28</v>
      </c>
      <c r="F14" s="11" t="s">
        <v>409</v>
      </c>
      <c r="G14" s="11" t="s">
        <v>397</v>
      </c>
      <c r="H14" s="11" t="s">
        <v>46</v>
      </c>
      <c r="I14" s="11" t="s">
        <v>26</v>
      </c>
      <c r="J14" s="11">
        <v>4511449929</v>
      </c>
      <c r="K14" s="11" t="s">
        <v>36</v>
      </c>
      <c r="L14" s="11" t="s">
        <v>136</v>
      </c>
    </row>
    <row r="15" spans="1:12" x14ac:dyDescent="0.35">
      <c r="A15" s="11" t="s">
        <v>27</v>
      </c>
      <c r="B15" s="12">
        <v>788249</v>
      </c>
      <c r="C15" s="11" t="s">
        <v>398</v>
      </c>
      <c r="D15" s="11">
        <v>3</v>
      </c>
      <c r="E15" s="12" t="s">
        <v>28</v>
      </c>
      <c r="F15" s="11" t="s">
        <v>409</v>
      </c>
      <c r="G15" s="11" t="s">
        <v>397</v>
      </c>
      <c r="H15" s="11" t="s">
        <v>46</v>
      </c>
      <c r="I15" s="11" t="s">
        <v>26</v>
      </c>
      <c r="J15" s="11">
        <v>4511449929</v>
      </c>
      <c r="K15" s="11" t="s">
        <v>36</v>
      </c>
      <c r="L15" s="11" t="s">
        <v>136</v>
      </c>
    </row>
    <row r="16" spans="1:12" x14ac:dyDescent="0.35">
      <c r="A16" s="11" t="s">
        <v>27</v>
      </c>
      <c r="B16" s="12">
        <v>798917</v>
      </c>
      <c r="C16" s="11" t="s">
        <v>251</v>
      </c>
      <c r="D16" s="11">
        <v>2</v>
      </c>
      <c r="E16" s="12" t="s">
        <v>28</v>
      </c>
      <c r="F16" s="11" t="s">
        <v>36</v>
      </c>
      <c r="G16" s="11" t="s">
        <v>250</v>
      </c>
      <c r="H16" s="11" t="s">
        <v>36</v>
      </c>
      <c r="I16" s="11" t="s">
        <v>36</v>
      </c>
      <c r="J16" s="11">
        <v>4511452985</v>
      </c>
      <c r="K16" s="11" t="s">
        <v>36</v>
      </c>
      <c r="L16" s="11" t="s">
        <v>136</v>
      </c>
    </row>
    <row r="17" spans="1:12" x14ac:dyDescent="0.35">
      <c r="A17" s="11" t="s">
        <v>27</v>
      </c>
      <c r="B17" s="12">
        <v>801459</v>
      </c>
      <c r="C17" s="11" t="s">
        <v>293</v>
      </c>
      <c r="D17" s="11">
        <v>1</v>
      </c>
      <c r="E17" s="12" t="s">
        <v>28</v>
      </c>
      <c r="F17" s="11" t="s">
        <v>423</v>
      </c>
      <c r="G17" s="11" t="s">
        <v>294</v>
      </c>
      <c r="H17" s="11" t="s">
        <v>46</v>
      </c>
      <c r="I17" s="11" t="s">
        <v>26</v>
      </c>
      <c r="J17" s="11">
        <v>4511444415</v>
      </c>
      <c r="K17" s="11" t="s">
        <v>30</v>
      </c>
      <c r="L17" s="11" t="s">
        <v>51</v>
      </c>
    </row>
    <row r="18" spans="1:12" x14ac:dyDescent="0.35">
      <c r="A18" s="11" t="s">
        <v>27</v>
      </c>
      <c r="B18" s="12">
        <v>808835</v>
      </c>
      <c r="C18" s="11" t="s">
        <v>399</v>
      </c>
      <c r="D18" s="11">
        <v>6</v>
      </c>
      <c r="E18" s="12" t="s">
        <v>400</v>
      </c>
      <c r="F18" s="11" t="s">
        <v>409</v>
      </c>
      <c r="G18" s="11" t="s">
        <v>397</v>
      </c>
      <c r="H18" s="11" t="s">
        <v>48</v>
      </c>
      <c r="I18" s="11" t="s">
        <v>26</v>
      </c>
      <c r="J18" s="11">
        <v>4511449929</v>
      </c>
      <c r="K18" s="11" t="s">
        <v>36</v>
      </c>
      <c r="L18" s="11" t="s">
        <v>136</v>
      </c>
    </row>
    <row r="19" spans="1:12" x14ac:dyDescent="0.35">
      <c r="A19" s="11" t="s">
        <v>27</v>
      </c>
      <c r="B19" s="12">
        <v>821619</v>
      </c>
      <c r="C19" s="11" t="s">
        <v>201</v>
      </c>
      <c r="D19" s="11">
        <v>4</v>
      </c>
      <c r="E19" s="12" t="s">
        <v>28</v>
      </c>
      <c r="F19" s="11" t="s">
        <v>429</v>
      </c>
      <c r="G19" s="11" t="s">
        <v>202</v>
      </c>
      <c r="H19" s="11" t="s">
        <v>47</v>
      </c>
      <c r="I19" s="11" t="s">
        <v>26</v>
      </c>
      <c r="J19" s="11">
        <v>4511453700</v>
      </c>
      <c r="K19" s="11" t="s">
        <v>36</v>
      </c>
      <c r="L19" s="11" t="s">
        <v>50</v>
      </c>
    </row>
    <row r="20" spans="1:12" x14ac:dyDescent="0.35">
      <c r="A20" s="11" t="s">
        <v>27</v>
      </c>
      <c r="B20" s="12">
        <v>824529</v>
      </c>
      <c r="C20" s="11" t="s">
        <v>206</v>
      </c>
      <c r="D20" s="11">
        <v>1</v>
      </c>
      <c r="E20" s="12" t="s">
        <v>28</v>
      </c>
      <c r="F20" s="11" t="s">
        <v>431</v>
      </c>
      <c r="G20" s="11" t="s">
        <v>207</v>
      </c>
      <c r="H20" s="11" t="s">
        <v>48</v>
      </c>
      <c r="I20" s="11" t="s">
        <v>26</v>
      </c>
      <c r="J20" s="11">
        <v>4511450578</v>
      </c>
      <c r="K20" s="11" t="s">
        <v>30</v>
      </c>
      <c r="L20" s="11" t="s">
        <v>110</v>
      </c>
    </row>
    <row r="21" spans="1:12" x14ac:dyDescent="0.35">
      <c r="A21" s="11" t="s">
        <v>27</v>
      </c>
      <c r="B21" s="12">
        <v>829121</v>
      </c>
      <c r="C21" s="11" t="s">
        <v>267</v>
      </c>
      <c r="D21" s="11">
        <v>5</v>
      </c>
      <c r="E21" s="12" t="s">
        <v>28</v>
      </c>
      <c r="F21" s="11" t="s">
        <v>433</v>
      </c>
      <c r="G21" s="11" t="s">
        <v>268</v>
      </c>
      <c r="H21" s="11" t="s">
        <v>46</v>
      </c>
      <c r="I21" s="11" t="s">
        <v>26</v>
      </c>
      <c r="J21" s="11">
        <v>4511451150</v>
      </c>
      <c r="K21" s="11" t="s">
        <v>36</v>
      </c>
      <c r="L21" s="11" t="s">
        <v>50</v>
      </c>
    </row>
    <row r="22" spans="1:12" x14ac:dyDescent="0.35">
      <c r="A22" s="11" t="s">
        <v>27</v>
      </c>
      <c r="B22" s="12">
        <v>839395</v>
      </c>
      <c r="C22" s="11" t="s">
        <v>307</v>
      </c>
      <c r="D22" s="11">
        <v>1</v>
      </c>
      <c r="E22" s="12" t="s">
        <v>28</v>
      </c>
      <c r="F22" s="11" t="s">
        <v>428</v>
      </c>
      <c r="G22" s="11" t="s">
        <v>308</v>
      </c>
      <c r="H22" s="11" t="s">
        <v>46</v>
      </c>
      <c r="I22" s="11" t="s">
        <v>26</v>
      </c>
      <c r="J22" s="11">
        <v>4511453633</v>
      </c>
      <c r="K22" s="11" t="s">
        <v>36</v>
      </c>
      <c r="L22" s="11" t="s">
        <v>110</v>
      </c>
    </row>
    <row r="23" spans="1:12" x14ac:dyDescent="0.35">
      <c r="A23" s="11" t="s">
        <v>27</v>
      </c>
      <c r="B23" s="12">
        <v>841443</v>
      </c>
      <c r="C23" s="11" t="s">
        <v>291</v>
      </c>
      <c r="D23" s="11">
        <v>1</v>
      </c>
      <c r="E23" s="12" t="s">
        <v>28</v>
      </c>
      <c r="F23" s="11" t="s">
        <v>423</v>
      </c>
      <c r="G23" s="11" t="s">
        <v>292</v>
      </c>
      <c r="H23" s="11" t="s">
        <v>46</v>
      </c>
      <c r="I23" s="11" t="s">
        <v>26</v>
      </c>
      <c r="J23" s="11">
        <v>4511443242</v>
      </c>
      <c r="K23" s="11" t="s">
        <v>30</v>
      </c>
      <c r="L23" s="11" t="s">
        <v>50</v>
      </c>
    </row>
    <row r="24" spans="1:12" x14ac:dyDescent="0.35">
      <c r="A24" s="11" t="s">
        <v>27</v>
      </c>
      <c r="B24" s="12">
        <v>847099</v>
      </c>
      <c r="C24" s="11" t="s">
        <v>269</v>
      </c>
      <c r="D24" s="11">
        <v>1</v>
      </c>
      <c r="E24" s="12" t="s">
        <v>28</v>
      </c>
      <c r="F24" s="11" t="s">
        <v>433</v>
      </c>
      <c r="G24" s="11" t="s">
        <v>268</v>
      </c>
      <c r="H24" s="11" t="s">
        <v>46</v>
      </c>
      <c r="I24" s="11" t="s">
        <v>26</v>
      </c>
      <c r="J24" s="11">
        <v>4511451150</v>
      </c>
      <c r="K24" s="11" t="s">
        <v>36</v>
      </c>
      <c r="L24" s="11" t="s">
        <v>50</v>
      </c>
    </row>
    <row r="25" spans="1:12" x14ac:dyDescent="0.35">
      <c r="A25" s="11" t="s">
        <v>27</v>
      </c>
      <c r="B25" s="12">
        <v>851482</v>
      </c>
      <c r="C25" s="11" t="s">
        <v>219</v>
      </c>
      <c r="D25" s="11">
        <v>1</v>
      </c>
      <c r="E25" s="12" t="s">
        <v>28</v>
      </c>
      <c r="F25" s="11" t="s">
        <v>430</v>
      </c>
      <c r="G25" s="11" t="s">
        <v>220</v>
      </c>
      <c r="H25" s="11" t="s">
        <v>109</v>
      </c>
      <c r="I25" s="11" t="s">
        <v>26</v>
      </c>
      <c r="J25" s="11">
        <v>4511452694</v>
      </c>
      <c r="K25" s="11" t="s">
        <v>36</v>
      </c>
      <c r="L25" s="11" t="s">
        <v>50</v>
      </c>
    </row>
    <row r="26" spans="1:12" x14ac:dyDescent="0.35">
      <c r="A26" s="11" t="s">
        <v>27</v>
      </c>
      <c r="B26" s="12">
        <v>851911</v>
      </c>
      <c r="C26" s="11" t="s">
        <v>309</v>
      </c>
      <c r="D26" s="11">
        <v>1</v>
      </c>
      <c r="E26" s="12" t="s">
        <v>28</v>
      </c>
      <c r="F26" s="11" t="s">
        <v>428</v>
      </c>
      <c r="G26" s="11" t="s">
        <v>308</v>
      </c>
      <c r="H26" s="11" t="s">
        <v>46</v>
      </c>
      <c r="I26" s="11" t="s">
        <v>26</v>
      </c>
      <c r="J26" s="11">
        <v>4511453633</v>
      </c>
      <c r="K26" s="11" t="s">
        <v>36</v>
      </c>
      <c r="L26" s="11" t="s">
        <v>110</v>
      </c>
    </row>
    <row r="27" spans="1:12" x14ac:dyDescent="0.35">
      <c r="A27" s="11" t="s">
        <v>27</v>
      </c>
      <c r="B27" s="12">
        <v>865869</v>
      </c>
      <c r="C27" s="11" t="s">
        <v>297</v>
      </c>
      <c r="D27" s="11">
        <v>1</v>
      </c>
      <c r="E27" s="12" t="s">
        <v>28</v>
      </c>
      <c r="F27" s="11" t="s">
        <v>423</v>
      </c>
      <c r="G27" s="11" t="s">
        <v>298</v>
      </c>
      <c r="H27" s="11" t="s">
        <v>46</v>
      </c>
      <c r="I27" s="11" t="s">
        <v>26</v>
      </c>
      <c r="J27" s="11">
        <v>4511440339</v>
      </c>
      <c r="K27" s="11" t="s">
        <v>36</v>
      </c>
      <c r="L27" s="11" t="s">
        <v>50</v>
      </c>
    </row>
    <row r="28" spans="1:12" x14ac:dyDescent="0.35">
      <c r="A28" s="11" t="s">
        <v>27</v>
      </c>
      <c r="B28" s="12">
        <v>873674</v>
      </c>
      <c r="C28" s="11" t="s">
        <v>138</v>
      </c>
      <c r="D28" s="11">
        <v>1</v>
      </c>
      <c r="E28" s="12" t="s">
        <v>28</v>
      </c>
      <c r="F28" s="11" t="s">
        <v>430</v>
      </c>
      <c r="G28" s="11" t="s">
        <v>220</v>
      </c>
      <c r="H28" s="11" t="s">
        <v>109</v>
      </c>
      <c r="I28" s="11" t="s">
        <v>26</v>
      </c>
      <c r="J28" s="11">
        <v>4511452694</v>
      </c>
      <c r="K28" s="11" t="s">
        <v>36</v>
      </c>
      <c r="L28" s="11" t="s">
        <v>50</v>
      </c>
    </row>
    <row r="29" spans="1:12" x14ac:dyDescent="0.35">
      <c r="A29" s="11" t="s">
        <v>27</v>
      </c>
      <c r="B29" s="12">
        <v>876628</v>
      </c>
      <c r="C29" s="11" t="s">
        <v>317</v>
      </c>
      <c r="D29" s="11">
        <v>4</v>
      </c>
      <c r="E29" s="12" t="s">
        <v>28</v>
      </c>
      <c r="F29" s="11" t="s">
        <v>417</v>
      </c>
      <c r="G29" s="11" t="s">
        <v>318</v>
      </c>
      <c r="H29" s="11" t="s">
        <v>46</v>
      </c>
      <c r="I29" s="11" t="s">
        <v>26</v>
      </c>
      <c r="J29" s="11">
        <v>4511449748</v>
      </c>
      <c r="K29" s="11" t="s">
        <v>36</v>
      </c>
      <c r="L29" s="11" t="s">
        <v>110</v>
      </c>
    </row>
    <row r="30" spans="1:12" x14ac:dyDescent="0.35">
      <c r="A30" s="11" t="s">
        <v>27</v>
      </c>
      <c r="B30" s="12">
        <v>886062</v>
      </c>
      <c r="C30" s="11" t="s">
        <v>391</v>
      </c>
      <c r="D30" s="11">
        <v>2</v>
      </c>
      <c r="E30" s="12" t="s">
        <v>28</v>
      </c>
      <c r="F30" s="11" t="s">
        <v>409</v>
      </c>
      <c r="G30" s="11" t="s">
        <v>392</v>
      </c>
      <c r="H30" s="11" t="s">
        <v>46</v>
      </c>
      <c r="I30" s="11" t="s">
        <v>26</v>
      </c>
      <c r="J30" s="11">
        <v>4511453005</v>
      </c>
      <c r="K30" s="11" t="s">
        <v>36</v>
      </c>
      <c r="L30" s="11" t="s">
        <v>110</v>
      </c>
    </row>
    <row r="31" spans="1:12" x14ac:dyDescent="0.35">
      <c r="A31" s="11" t="s">
        <v>27</v>
      </c>
      <c r="B31" s="12">
        <v>70009568</v>
      </c>
      <c r="C31" s="11" t="s">
        <v>327</v>
      </c>
      <c r="D31" s="11">
        <v>5</v>
      </c>
      <c r="E31" s="12" t="s">
        <v>28</v>
      </c>
      <c r="F31" s="11" t="s">
        <v>444</v>
      </c>
      <c r="G31" s="11" t="s">
        <v>328</v>
      </c>
      <c r="H31" s="11" t="s">
        <v>46</v>
      </c>
      <c r="I31" s="11" t="s">
        <v>26</v>
      </c>
      <c r="J31" s="11">
        <v>4511454100</v>
      </c>
      <c r="K31" s="11" t="s">
        <v>36</v>
      </c>
      <c r="L31" s="11" t="s">
        <v>136</v>
      </c>
    </row>
    <row r="32" spans="1:12" x14ac:dyDescent="0.35">
      <c r="A32" s="11" t="s">
        <v>27</v>
      </c>
      <c r="B32" s="12">
        <v>70018803</v>
      </c>
      <c r="C32" s="11" t="s">
        <v>196</v>
      </c>
      <c r="D32" s="11">
        <v>1</v>
      </c>
      <c r="E32" s="12" t="s">
        <v>28</v>
      </c>
      <c r="F32" s="11" t="s">
        <v>418</v>
      </c>
      <c r="G32" s="11" t="s">
        <v>197</v>
      </c>
      <c r="H32" s="11" t="s">
        <v>46</v>
      </c>
      <c r="I32" s="11" t="s">
        <v>26</v>
      </c>
      <c r="J32" s="11">
        <v>4511446588</v>
      </c>
      <c r="K32" s="11" t="s">
        <v>30</v>
      </c>
      <c r="L32" s="11" t="s">
        <v>50</v>
      </c>
    </row>
    <row r="33" spans="1:12" x14ac:dyDescent="0.35">
      <c r="A33" s="11" t="s">
        <v>27</v>
      </c>
      <c r="B33" s="12">
        <v>70023194</v>
      </c>
      <c r="C33" s="11" t="s">
        <v>154</v>
      </c>
      <c r="D33" s="11">
        <v>3</v>
      </c>
      <c r="E33" s="12" t="s">
        <v>28</v>
      </c>
      <c r="F33" s="11" t="s">
        <v>445</v>
      </c>
      <c r="G33" s="11" t="s">
        <v>155</v>
      </c>
      <c r="H33" s="11" t="s">
        <v>114</v>
      </c>
      <c r="I33" s="11" t="s">
        <v>26</v>
      </c>
      <c r="J33" s="11">
        <v>4511450196</v>
      </c>
      <c r="K33" s="11" t="s">
        <v>36</v>
      </c>
      <c r="L33" s="11" t="s">
        <v>51</v>
      </c>
    </row>
    <row r="34" spans="1:12" x14ac:dyDescent="0.35">
      <c r="A34" s="11" t="s">
        <v>27</v>
      </c>
      <c r="B34" s="12">
        <v>70024795</v>
      </c>
      <c r="C34" s="11" t="s">
        <v>263</v>
      </c>
      <c r="D34" s="11">
        <v>1</v>
      </c>
      <c r="E34" s="12" t="s">
        <v>28</v>
      </c>
      <c r="F34" s="11" t="s">
        <v>418</v>
      </c>
      <c r="G34" s="11" t="s">
        <v>264</v>
      </c>
      <c r="H34" s="11" t="s">
        <v>125</v>
      </c>
      <c r="I34" s="11" t="s">
        <v>26</v>
      </c>
      <c r="J34" s="11">
        <v>4511447045</v>
      </c>
      <c r="K34" s="11" t="s">
        <v>36</v>
      </c>
      <c r="L34" s="11" t="s">
        <v>110</v>
      </c>
    </row>
    <row r="35" spans="1:12" x14ac:dyDescent="0.35">
      <c r="A35" s="11" t="s">
        <v>27</v>
      </c>
      <c r="B35" s="12">
        <v>70036719</v>
      </c>
      <c r="C35" s="11" t="s">
        <v>299</v>
      </c>
      <c r="D35" s="11">
        <v>1</v>
      </c>
      <c r="E35" s="12" t="s">
        <v>28</v>
      </c>
      <c r="F35" s="11" t="s">
        <v>423</v>
      </c>
      <c r="G35" s="11" t="s">
        <v>298</v>
      </c>
      <c r="H35" s="11" t="s">
        <v>46</v>
      </c>
      <c r="I35" s="11" t="s">
        <v>26</v>
      </c>
      <c r="J35" s="11">
        <v>4511440339</v>
      </c>
      <c r="K35" s="11" t="s">
        <v>36</v>
      </c>
      <c r="L35" s="11" t="s">
        <v>50</v>
      </c>
    </row>
    <row r="36" spans="1:12" x14ac:dyDescent="0.35">
      <c r="A36" s="11" t="s">
        <v>27</v>
      </c>
      <c r="B36" s="12">
        <v>70038101</v>
      </c>
      <c r="C36" s="11" t="s">
        <v>289</v>
      </c>
      <c r="D36" s="11">
        <v>2</v>
      </c>
      <c r="E36" s="12" t="s">
        <v>28</v>
      </c>
      <c r="F36" s="11" t="s">
        <v>423</v>
      </c>
      <c r="G36" s="11" t="s">
        <v>290</v>
      </c>
      <c r="H36" s="11" t="s">
        <v>114</v>
      </c>
      <c r="I36" s="11" t="s">
        <v>26</v>
      </c>
      <c r="J36" s="11">
        <v>4511449558</v>
      </c>
      <c r="K36" s="11" t="s">
        <v>36</v>
      </c>
      <c r="L36" s="11" t="s">
        <v>110</v>
      </c>
    </row>
    <row r="37" spans="1:12" x14ac:dyDescent="0.35">
      <c r="A37" s="11" t="s">
        <v>27</v>
      </c>
      <c r="B37" s="12">
        <v>70039345</v>
      </c>
      <c r="C37" s="11" t="s">
        <v>188</v>
      </c>
      <c r="D37" s="11">
        <v>10</v>
      </c>
      <c r="E37" s="12" t="s">
        <v>28</v>
      </c>
      <c r="F37" s="11" t="s">
        <v>446</v>
      </c>
      <c r="G37" s="11" t="s">
        <v>189</v>
      </c>
      <c r="H37" s="11" t="s">
        <v>114</v>
      </c>
      <c r="I37" s="11" t="s">
        <v>26</v>
      </c>
      <c r="J37" s="11">
        <v>4511449466</v>
      </c>
      <c r="K37" s="11" t="s">
        <v>36</v>
      </c>
      <c r="L37" s="11" t="s">
        <v>110</v>
      </c>
    </row>
    <row r="38" spans="1:12" x14ac:dyDescent="0.35">
      <c r="A38" s="11" t="s">
        <v>27</v>
      </c>
      <c r="B38" s="12">
        <v>70043835</v>
      </c>
      <c r="C38" s="11" t="s">
        <v>329</v>
      </c>
      <c r="D38" s="11">
        <v>20</v>
      </c>
      <c r="E38" s="12" t="s">
        <v>28</v>
      </c>
      <c r="F38" s="11" t="s">
        <v>444</v>
      </c>
      <c r="G38" s="11" t="s">
        <v>328</v>
      </c>
      <c r="H38" s="11" t="s">
        <v>109</v>
      </c>
      <c r="I38" s="11" t="s">
        <v>26</v>
      </c>
      <c r="J38" s="11">
        <v>4511454100</v>
      </c>
      <c r="K38" s="11" t="s">
        <v>36</v>
      </c>
      <c r="L38" s="11" t="s">
        <v>136</v>
      </c>
    </row>
    <row r="39" spans="1:12" x14ac:dyDescent="0.35">
      <c r="A39" s="11" t="s">
        <v>27</v>
      </c>
      <c r="B39" s="12">
        <v>70043836</v>
      </c>
      <c r="C39" s="11" t="s">
        <v>330</v>
      </c>
      <c r="D39" s="11">
        <v>20</v>
      </c>
      <c r="E39" s="12" t="s">
        <v>28</v>
      </c>
      <c r="F39" s="11" t="s">
        <v>444</v>
      </c>
      <c r="G39" s="11" t="s">
        <v>328</v>
      </c>
      <c r="H39" s="11" t="s">
        <v>109</v>
      </c>
      <c r="I39" s="11" t="s">
        <v>26</v>
      </c>
      <c r="J39" s="11">
        <v>4511454100</v>
      </c>
      <c r="K39" s="11" t="s">
        <v>36</v>
      </c>
      <c r="L39" s="11" t="s">
        <v>136</v>
      </c>
    </row>
    <row r="40" spans="1:12" x14ac:dyDescent="0.35">
      <c r="A40" s="11" t="s">
        <v>27</v>
      </c>
      <c r="B40" s="12">
        <v>70043837</v>
      </c>
      <c r="C40" s="11" t="s">
        <v>331</v>
      </c>
      <c r="D40" s="11">
        <v>20</v>
      </c>
      <c r="E40" s="12" t="s">
        <v>28</v>
      </c>
      <c r="F40" s="11" t="s">
        <v>444</v>
      </c>
      <c r="G40" s="11" t="s">
        <v>328</v>
      </c>
      <c r="H40" s="11" t="s">
        <v>109</v>
      </c>
      <c r="I40" s="11" t="s">
        <v>26</v>
      </c>
      <c r="J40" s="11">
        <v>4511454100</v>
      </c>
      <c r="K40" s="11" t="s">
        <v>36</v>
      </c>
      <c r="L40" s="11" t="s">
        <v>136</v>
      </c>
    </row>
    <row r="41" spans="1:12" x14ac:dyDescent="0.35">
      <c r="A41" s="11" t="s">
        <v>27</v>
      </c>
      <c r="B41" s="12">
        <v>70046281</v>
      </c>
      <c r="C41" s="11" t="s">
        <v>247</v>
      </c>
      <c r="D41" s="11">
        <v>200</v>
      </c>
      <c r="E41" s="12" t="s">
        <v>28</v>
      </c>
      <c r="F41" s="11" t="s">
        <v>36</v>
      </c>
      <c r="G41" s="11" t="s">
        <v>248</v>
      </c>
      <c r="H41" s="11" t="s">
        <v>36</v>
      </c>
      <c r="I41" s="11" t="s">
        <v>36</v>
      </c>
      <c r="J41" s="11">
        <v>4511453188</v>
      </c>
      <c r="K41" s="11" t="s">
        <v>36</v>
      </c>
      <c r="L41" s="11" t="s">
        <v>136</v>
      </c>
    </row>
    <row r="42" spans="1:12" x14ac:dyDescent="0.35">
      <c r="A42" s="11" t="s">
        <v>27</v>
      </c>
      <c r="B42" s="12">
        <v>70046281</v>
      </c>
      <c r="C42" s="11" t="s">
        <v>247</v>
      </c>
      <c r="D42" s="11">
        <v>66</v>
      </c>
      <c r="E42" s="12" t="s">
        <v>28</v>
      </c>
      <c r="F42" s="11" t="s">
        <v>411</v>
      </c>
      <c r="G42" s="11" t="s">
        <v>248</v>
      </c>
      <c r="H42" s="11" t="s">
        <v>124</v>
      </c>
      <c r="I42" s="11" t="s">
        <v>26</v>
      </c>
      <c r="J42" s="11">
        <v>4511453188</v>
      </c>
      <c r="K42" s="11" t="s">
        <v>36</v>
      </c>
      <c r="L42" s="11" t="s">
        <v>136</v>
      </c>
    </row>
    <row r="43" spans="1:12" x14ac:dyDescent="0.35">
      <c r="A43" s="11" t="s">
        <v>27</v>
      </c>
      <c r="B43" s="12">
        <v>70046281</v>
      </c>
      <c r="C43" s="11" t="s">
        <v>247</v>
      </c>
      <c r="D43" s="11">
        <v>225</v>
      </c>
      <c r="E43" s="12" t="s">
        <v>28</v>
      </c>
      <c r="F43" s="11" t="s">
        <v>411</v>
      </c>
      <c r="G43" s="11" t="s">
        <v>248</v>
      </c>
      <c r="H43" s="11" t="s">
        <v>448</v>
      </c>
      <c r="I43" s="11" t="s">
        <v>26</v>
      </c>
      <c r="J43" s="11">
        <v>4511453188</v>
      </c>
      <c r="K43" s="11" t="s">
        <v>36</v>
      </c>
      <c r="L43" s="11" t="s">
        <v>136</v>
      </c>
    </row>
    <row r="44" spans="1:12" x14ac:dyDescent="0.35">
      <c r="A44" s="11" t="s">
        <v>27</v>
      </c>
      <c r="B44" s="12">
        <v>70046835</v>
      </c>
      <c r="C44" s="11" t="s">
        <v>351</v>
      </c>
      <c r="D44" s="11">
        <v>2</v>
      </c>
      <c r="E44" s="12" t="s">
        <v>28</v>
      </c>
      <c r="F44" s="11" t="s">
        <v>422</v>
      </c>
      <c r="G44" s="11" t="s">
        <v>352</v>
      </c>
      <c r="H44" s="11" t="s">
        <v>116</v>
      </c>
      <c r="I44" s="11" t="s">
        <v>26</v>
      </c>
      <c r="J44" s="11">
        <v>4511444238</v>
      </c>
      <c r="K44" s="11" t="s">
        <v>36</v>
      </c>
      <c r="L44" s="11" t="s">
        <v>50</v>
      </c>
    </row>
    <row r="45" spans="1:12" x14ac:dyDescent="0.35">
      <c r="A45" s="11" t="s">
        <v>27</v>
      </c>
      <c r="B45" s="12">
        <v>70047981</v>
      </c>
      <c r="C45" s="11" t="s">
        <v>252</v>
      </c>
      <c r="D45" s="11">
        <v>30</v>
      </c>
      <c r="E45" s="12" t="s">
        <v>28</v>
      </c>
      <c r="F45" s="11" t="s">
        <v>36</v>
      </c>
      <c r="G45" s="11" t="s">
        <v>250</v>
      </c>
      <c r="H45" s="11" t="s">
        <v>36</v>
      </c>
      <c r="I45" s="11" t="s">
        <v>36</v>
      </c>
      <c r="J45" s="11">
        <v>4511452985</v>
      </c>
      <c r="K45" s="11" t="s">
        <v>36</v>
      </c>
      <c r="L45" s="11" t="s">
        <v>136</v>
      </c>
    </row>
    <row r="46" spans="1:12" x14ac:dyDescent="0.35">
      <c r="A46" s="11" t="s">
        <v>27</v>
      </c>
      <c r="B46" s="12">
        <v>70063140</v>
      </c>
      <c r="C46" s="11" t="s">
        <v>156</v>
      </c>
      <c r="D46" s="11">
        <v>3</v>
      </c>
      <c r="E46" s="12" t="s">
        <v>28</v>
      </c>
      <c r="F46" s="11" t="s">
        <v>445</v>
      </c>
      <c r="G46" s="11" t="s">
        <v>155</v>
      </c>
      <c r="H46" s="11" t="s">
        <v>114</v>
      </c>
      <c r="I46" s="11" t="s">
        <v>26</v>
      </c>
      <c r="J46" s="11">
        <v>4511450196</v>
      </c>
      <c r="K46" s="11" t="s">
        <v>36</v>
      </c>
      <c r="L46" s="11" t="s">
        <v>51</v>
      </c>
    </row>
    <row r="47" spans="1:12" x14ac:dyDescent="0.35">
      <c r="A47" s="11" t="s">
        <v>27</v>
      </c>
      <c r="B47" s="12">
        <v>70069183</v>
      </c>
      <c r="C47" s="11" t="s">
        <v>339</v>
      </c>
      <c r="D47" s="11">
        <v>36</v>
      </c>
      <c r="E47" s="12" t="s">
        <v>28</v>
      </c>
      <c r="F47" s="11" t="s">
        <v>413</v>
      </c>
      <c r="G47" s="11" t="s">
        <v>337</v>
      </c>
      <c r="H47" s="11" t="s">
        <v>38</v>
      </c>
      <c r="I47" s="11" t="s">
        <v>26</v>
      </c>
      <c r="J47" s="11">
        <v>5500022435</v>
      </c>
      <c r="K47" s="11" t="s">
        <v>30</v>
      </c>
      <c r="L47" s="11"/>
    </row>
    <row r="48" spans="1:12" x14ac:dyDescent="0.35">
      <c r="A48" s="11" t="s">
        <v>27</v>
      </c>
      <c r="B48" s="12">
        <v>70100392</v>
      </c>
      <c r="C48" s="11" t="s">
        <v>300</v>
      </c>
      <c r="D48" s="11">
        <v>300</v>
      </c>
      <c r="E48" s="12" t="s">
        <v>28</v>
      </c>
      <c r="F48" s="11" t="s">
        <v>453</v>
      </c>
      <c r="G48" s="11" t="s">
        <v>151</v>
      </c>
      <c r="H48" s="11" t="s">
        <v>38</v>
      </c>
      <c r="I48" s="11" t="s">
        <v>26</v>
      </c>
      <c r="J48" s="11">
        <v>5500024093</v>
      </c>
      <c r="K48" s="11" t="s">
        <v>30</v>
      </c>
      <c r="L48" s="11"/>
    </row>
    <row r="49" spans="1:12" x14ac:dyDescent="0.35">
      <c r="A49" s="11" t="s">
        <v>27</v>
      </c>
      <c r="B49" s="12">
        <v>70100900</v>
      </c>
      <c r="C49" s="11" t="s">
        <v>379</v>
      </c>
      <c r="D49" s="11">
        <v>4</v>
      </c>
      <c r="E49" s="12" t="s">
        <v>28</v>
      </c>
      <c r="F49" s="11" t="s">
        <v>454</v>
      </c>
      <c r="G49" s="11" t="s">
        <v>380</v>
      </c>
      <c r="H49" s="11" t="s">
        <v>109</v>
      </c>
      <c r="I49" s="11" t="s">
        <v>26</v>
      </c>
      <c r="J49" s="11">
        <v>4511452531</v>
      </c>
      <c r="K49" s="11" t="s">
        <v>36</v>
      </c>
      <c r="L49" s="11" t="s">
        <v>110</v>
      </c>
    </row>
    <row r="50" spans="1:12" x14ac:dyDescent="0.35">
      <c r="A50" s="11" t="s">
        <v>27</v>
      </c>
      <c r="B50" s="12">
        <v>70101756</v>
      </c>
      <c r="C50" s="11" t="s">
        <v>214</v>
      </c>
      <c r="D50" s="11">
        <v>1</v>
      </c>
      <c r="E50" s="12" t="s">
        <v>28</v>
      </c>
      <c r="F50" s="11" t="s">
        <v>36</v>
      </c>
      <c r="G50" s="11" t="s">
        <v>215</v>
      </c>
      <c r="H50" s="11" t="s">
        <v>36</v>
      </c>
      <c r="I50" s="11" t="s">
        <v>36</v>
      </c>
      <c r="J50" s="11">
        <v>4511402103</v>
      </c>
      <c r="K50" s="11" t="s">
        <v>36</v>
      </c>
      <c r="L50" s="11" t="s">
        <v>50</v>
      </c>
    </row>
    <row r="51" spans="1:12" x14ac:dyDescent="0.35">
      <c r="A51" s="11" t="s">
        <v>27</v>
      </c>
      <c r="B51" s="12">
        <v>70106622</v>
      </c>
      <c r="C51" s="11" t="s">
        <v>295</v>
      </c>
      <c r="D51" s="11">
        <v>1</v>
      </c>
      <c r="E51" s="12" t="s">
        <v>28</v>
      </c>
      <c r="F51" s="11" t="s">
        <v>423</v>
      </c>
      <c r="G51" s="11" t="s">
        <v>294</v>
      </c>
      <c r="H51" s="11" t="s">
        <v>127</v>
      </c>
      <c r="I51" s="11" t="s">
        <v>26</v>
      </c>
      <c r="J51" s="11">
        <v>4511444415</v>
      </c>
      <c r="K51" s="11" t="s">
        <v>30</v>
      </c>
      <c r="L51" s="11" t="s">
        <v>51</v>
      </c>
    </row>
    <row r="52" spans="1:12" x14ac:dyDescent="0.35">
      <c r="A52" s="11" t="s">
        <v>27</v>
      </c>
      <c r="B52" s="12">
        <v>70106624</v>
      </c>
      <c r="C52" s="11" t="s">
        <v>296</v>
      </c>
      <c r="D52" s="11">
        <v>1</v>
      </c>
      <c r="E52" s="12" t="s">
        <v>28</v>
      </c>
      <c r="F52" s="11" t="s">
        <v>423</v>
      </c>
      <c r="G52" s="11" t="s">
        <v>294</v>
      </c>
      <c r="H52" s="11" t="s">
        <v>455</v>
      </c>
      <c r="I52" s="11" t="s">
        <v>26</v>
      </c>
      <c r="J52" s="11">
        <v>4511444415</v>
      </c>
      <c r="K52" s="11" t="s">
        <v>30</v>
      </c>
      <c r="L52" s="11" t="s">
        <v>51</v>
      </c>
    </row>
    <row r="53" spans="1:12" x14ac:dyDescent="0.35">
      <c r="A53" s="11" t="s">
        <v>27</v>
      </c>
      <c r="B53" s="12">
        <v>70110202</v>
      </c>
      <c r="C53" s="11" t="s">
        <v>310</v>
      </c>
      <c r="D53" s="11">
        <v>3</v>
      </c>
      <c r="E53" s="12" t="s">
        <v>28</v>
      </c>
      <c r="F53" s="11" t="s">
        <v>428</v>
      </c>
      <c r="G53" s="11" t="s">
        <v>308</v>
      </c>
      <c r="H53" s="11" t="s">
        <v>116</v>
      </c>
      <c r="I53" s="11" t="s">
        <v>26</v>
      </c>
      <c r="J53" s="11">
        <v>4511453633</v>
      </c>
      <c r="K53" s="11" t="s">
        <v>36</v>
      </c>
      <c r="L53" s="11" t="s">
        <v>110</v>
      </c>
    </row>
    <row r="54" spans="1:12" x14ac:dyDescent="0.35">
      <c r="A54" s="11" t="s">
        <v>27</v>
      </c>
      <c r="B54" s="12">
        <v>70112244</v>
      </c>
      <c r="C54" s="11" t="s">
        <v>270</v>
      </c>
      <c r="D54" s="11">
        <v>2</v>
      </c>
      <c r="E54" s="12" t="s">
        <v>28</v>
      </c>
      <c r="F54" s="11" t="s">
        <v>456</v>
      </c>
      <c r="G54" s="11" t="s">
        <v>271</v>
      </c>
      <c r="H54" s="11" t="s">
        <v>46</v>
      </c>
      <c r="I54" s="11" t="s">
        <v>26</v>
      </c>
      <c r="J54" s="11">
        <v>4511451694</v>
      </c>
      <c r="K54" s="11" t="s">
        <v>36</v>
      </c>
      <c r="L54" s="11" t="s">
        <v>50</v>
      </c>
    </row>
    <row r="55" spans="1:12" x14ac:dyDescent="0.35">
      <c r="A55" s="11" t="s">
        <v>27</v>
      </c>
      <c r="B55" s="12">
        <v>70112941</v>
      </c>
      <c r="C55" s="11" t="s">
        <v>311</v>
      </c>
      <c r="D55" s="11">
        <v>2</v>
      </c>
      <c r="E55" s="12" t="s">
        <v>28</v>
      </c>
      <c r="F55" s="11" t="s">
        <v>428</v>
      </c>
      <c r="G55" s="11" t="s">
        <v>308</v>
      </c>
      <c r="H55" s="11" t="s">
        <v>116</v>
      </c>
      <c r="I55" s="11" t="s">
        <v>26</v>
      </c>
      <c r="J55" s="11">
        <v>4511453633</v>
      </c>
      <c r="K55" s="11" t="s">
        <v>36</v>
      </c>
      <c r="L55" s="11" t="s">
        <v>110</v>
      </c>
    </row>
    <row r="56" spans="1:12" x14ac:dyDescent="0.35">
      <c r="A56" s="11" t="s">
        <v>27</v>
      </c>
      <c r="B56" s="12">
        <v>70113145</v>
      </c>
      <c r="C56" s="11" t="s">
        <v>272</v>
      </c>
      <c r="D56" s="11">
        <v>12</v>
      </c>
      <c r="E56" s="12" t="s">
        <v>28</v>
      </c>
      <c r="F56" s="11" t="s">
        <v>456</v>
      </c>
      <c r="G56" s="11" t="s">
        <v>271</v>
      </c>
      <c r="H56" s="11" t="s">
        <v>109</v>
      </c>
      <c r="I56" s="11" t="s">
        <v>26</v>
      </c>
      <c r="J56" s="11">
        <v>4511451694</v>
      </c>
      <c r="K56" s="11" t="s">
        <v>36</v>
      </c>
      <c r="L56" s="11" t="s">
        <v>50</v>
      </c>
    </row>
    <row r="57" spans="1:12" x14ac:dyDescent="0.35">
      <c r="A57" s="11" t="s">
        <v>27</v>
      </c>
      <c r="B57" s="12" t="s">
        <v>381</v>
      </c>
      <c r="C57" s="11" t="s">
        <v>382</v>
      </c>
      <c r="D57" s="11">
        <v>2</v>
      </c>
      <c r="E57" s="12" t="s">
        <v>28</v>
      </c>
      <c r="F57" s="11" t="s">
        <v>454</v>
      </c>
      <c r="G57" s="11" t="s">
        <v>380</v>
      </c>
      <c r="H57" s="11" t="s">
        <v>118</v>
      </c>
      <c r="I57" s="11" t="s">
        <v>26</v>
      </c>
      <c r="J57" s="11">
        <v>4511452531</v>
      </c>
      <c r="K57" s="11" t="s">
        <v>36</v>
      </c>
      <c r="L57" s="11" t="s">
        <v>110</v>
      </c>
    </row>
    <row r="58" spans="1:12" x14ac:dyDescent="0.35">
      <c r="A58" s="11" t="s">
        <v>57</v>
      </c>
      <c r="B58" s="12">
        <v>709198</v>
      </c>
      <c r="C58" s="11" t="s">
        <v>230</v>
      </c>
      <c r="D58" s="11">
        <v>1</v>
      </c>
      <c r="E58" s="12" t="s">
        <v>28</v>
      </c>
      <c r="F58" s="11" t="s">
        <v>410</v>
      </c>
      <c r="G58" s="11" t="s">
        <v>231</v>
      </c>
      <c r="H58" s="11" t="s">
        <v>160</v>
      </c>
      <c r="I58" s="11" t="s">
        <v>26</v>
      </c>
      <c r="J58" s="11">
        <v>4511452645</v>
      </c>
      <c r="K58" s="11" t="s">
        <v>36</v>
      </c>
      <c r="L58" s="11" t="s">
        <v>50</v>
      </c>
    </row>
    <row r="59" spans="1:12" x14ac:dyDescent="0.35">
      <c r="A59" s="11" t="s">
        <v>57</v>
      </c>
      <c r="B59" s="12">
        <v>715272</v>
      </c>
      <c r="C59" s="11" t="s">
        <v>232</v>
      </c>
      <c r="D59" s="11">
        <v>200</v>
      </c>
      <c r="E59" s="12" t="s">
        <v>28</v>
      </c>
      <c r="F59" s="11" t="s">
        <v>411</v>
      </c>
      <c r="G59" s="11" t="s">
        <v>233</v>
      </c>
      <c r="H59" s="11" t="s">
        <v>115</v>
      </c>
      <c r="I59" s="11" t="s">
        <v>26</v>
      </c>
      <c r="J59" s="11">
        <v>4511452995</v>
      </c>
      <c r="K59" s="11" t="s">
        <v>30</v>
      </c>
      <c r="L59" s="11" t="s">
        <v>136</v>
      </c>
    </row>
    <row r="60" spans="1:12" x14ac:dyDescent="0.35">
      <c r="A60" s="11" t="s">
        <v>57</v>
      </c>
      <c r="B60" s="12">
        <v>735893</v>
      </c>
      <c r="C60" s="11" t="s">
        <v>240</v>
      </c>
      <c r="D60" s="11">
        <v>7</v>
      </c>
      <c r="E60" s="12" t="s">
        <v>147</v>
      </c>
      <c r="F60" s="11" t="s">
        <v>411</v>
      </c>
      <c r="G60" s="11" t="s">
        <v>241</v>
      </c>
      <c r="H60" s="11" t="s">
        <v>161</v>
      </c>
      <c r="I60" s="11" t="s">
        <v>26</v>
      </c>
      <c r="J60" s="11">
        <v>4511453109</v>
      </c>
      <c r="K60" s="11" t="s">
        <v>36</v>
      </c>
      <c r="L60" s="11" t="s">
        <v>110</v>
      </c>
    </row>
    <row r="61" spans="1:12" x14ac:dyDescent="0.35">
      <c r="A61" s="11" t="s">
        <v>57</v>
      </c>
      <c r="B61" s="12">
        <v>752729</v>
      </c>
      <c r="C61" s="11" t="s">
        <v>146</v>
      </c>
      <c r="D61" s="11">
        <v>22</v>
      </c>
      <c r="E61" s="12" t="s">
        <v>28</v>
      </c>
      <c r="F61" s="11" t="s">
        <v>411</v>
      </c>
      <c r="G61" s="11" t="s">
        <v>235</v>
      </c>
      <c r="H61" s="11" t="s">
        <v>159</v>
      </c>
      <c r="I61" s="11" t="s">
        <v>26</v>
      </c>
      <c r="J61" s="11">
        <v>4511453094</v>
      </c>
      <c r="K61" s="11" t="s">
        <v>36</v>
      </c>
      <c r="L61" s="11" t="s">
        <v>136</v>
      </c>
    </row>
    <row r="62" spans="1:12" x14ac:dyDescent="0.35">
      <c r="A62" s="11" t="s">
        <v>57</v>
      </c>
      <c r="B62" s="12">
        <v>798919</v>
      </c>
      <c r="C62" s="11" t="s">
        <v>236</v>
      </c>
      <c r="D62" s="11">
        <v>16</v>
      </c>
      <c r="E62" s="12" t="s">
        <v>28</v>
      </c>
      <c r="F62" s="11" t="s">
        <v>411</v>
      </c>
      <c r="G62" s="11" t="s">
        <v>235</v>
      </c>
      <c r="H62" s="11" t="s">
        <v>159</v>
      </c>
      <c r="I62" s="11" t="s">
        <v>26</v>
      </c>
      <c r="J62" s="11">
        <v>4511453094</v>
      </c>
      <c r="K62" s="11" t="s">
        <v>36</v>
      </c>
      <c r="L62" s="11" t="s">
        <v>136</v>
      </c>
    </row>
    <row r="63" spans="1:12" x14ac:dyDescent="0.35">
      <c r="A63" s="11" t="s">
        <v>57</v>
      </c>
      <c r="B63" s="12">
        <v>809718</v>
      </c>
      <c r="C63" s="11" t="s">
        <v>259</v>
      </c>
      <c r="D63" s="11">
        <v>1</v>
      </c>
      <c r="E63" s="12" t="s">
        <v>28</v>
      </c>
      <c r="F63" s="11" t="s">
        <v>418</v>
      </c>
      <c r="G63" s="11" t="s">
        <v>260</v>
      </c>
      <c r="H63" s="11" t="s">
        <v>161</v>
      </c>
      <c r="I63" s="11" t="s">
        <v>26</v>
      </c>
      <c r="J63" s="11">
        <v>4511453661</v>
      </c>
      <c r="K63" s="11" t="s">
        <v>36</v>
      </c>
      <c r="L63" s="11" t="s">
        <v>110</v>
      </c>
    </row>
    <row r="64" spans="1:12" x14ac:dyDescent="0.35">
      <c r="A64" s="11" t="s">
        <v>57</v>
      </c>
      <c r="B64" s="12">
        <v>814041</v>
      </c>
      <c r="C64" s="11" t="s">
        <v>312</v>
      </c>
      <c r="D64" s="11">
        <v>4</v>
      </c>
      <c r="E64" s="12" t="s">
        <v>28</v>
      </c>
      <c r="F64" s="11" t="s">
        <v>428</v>
      </c>
      <c r="G64" s="11" t="s">
        <v>313</v>
      </c>
      <c r="H64" s="11" t="s">
        <v>161</v>
      </c>
      <c r="I64" s="11" t="s">
        <v>26</v>
      </c>
      <c r="J64" s="11">
        <v>4511454062</v>
      </c>
      <c r="K64" s="11" t="s">
        <v>36</v>
      </c>
      <c r="L64" s="11" t="s">
        <v>110</v>
      </c>
    </row>
    <row r="65" spans="1:12" x14ac:dyDescent="0.35">
      <c r="A65" s="11" t="s">
        <v>57</v>
      </c>
      <c r="B65" s="12">
        <v>814788</v>
      </c>
      <c r="C65" s="11" t="s">
        <v>237</v>
      </c>
      <c r="D65" s="11">
        <v>48</v>
      </c>
      <c r="E65" s="12" t="s">
        <v>28</v>
      </c>
      <c r="F65" s="11" t="s">
        <v>411</v>
      </c>
      <c r="G65" s="11" t="s">
        <v>235</v>
      </c>
      <c r="H65" s="11" t="s">
        <v>124</v>
      </c>
      <c r="I65" s="11" t="s">
        <v>26</v>
      </c>
      <c r="J65" s="11">
        <v>4511453094</v>
      </c>
      <c r="K65" s="11" t="s">
        <v>36</v>
      </c>
      <c r="L65" s="11" t="s">
        <v>136</v>
      </c>
    </row>
    <row r="66" spans="1:12" x14ac:dyDescent="0.35">
      <c r="A66" s="11" t="s">
        <v>57</v>
      </c>
      <c r="B66" s="12">
        <v>814917</v>
      </c>
      <c r="C66" s="11" t="s">
        <v>314</v>
      </c>
      <c r="D66" s="11">
        <v>3</v>
      </c>
      <c r="E66" s="12" t="s">
        <v>28</v>
      </c>
      <c r="F66" s="11" t="s">
        <v>428</v>
      </c>
      <c r="G66" s="11" t="s">
        <v>313</v>
      </c>
      <c r="H66" s="11" t="s">
        <v>161</v>
      </c>
      <c r="I66" s="11" t="s">
        <v>26</v>
      </c>
      <c r="J66" s="11">
        <v>4511454062</v>
      </c>
      <c r="K66" s="11" t="s">
        <v>36</v>
      </c>
      <c r="L66" s="11" t="s">
        <v>110</v>
      </c>
    </row>
    <row r="67" spans="1:12" x14ac:dyDescent="0.35">
      <c r="A67" s="11" t="s">
        <v>57</v>
      </c>
      <c r="B67" s="12">
        <v>828243</v>
      </c>
      <c r="C67" s="11" t="s">
        <v>238</v>
      </c>
      <c r="D67" s="11">
        <v>8</v>
      </c>
      <c r="E67" s="12" t="s">
        <v>28</v>
      </c>
      <c r="F67" s="11" t="s">
        <v>411</v>
      </c>
      <c r="G67" s="11" t="s">
        <v>235</v>
      </c>
      <c r="H67" s="11" t="s">
        <v>124</v>
      </c>
      <c r="I67" s="11" t="s">
        <v>26</v>
      </c>
      <c r="J67" s="11">
        <v>4511453094</v>
      </c>
      <c r="K67" s="11" t="s">
        <v>36</v>
      </c>
      <c r="L67" s="11" t="s">
        <v>136</v>
      </c>
    </row>
    <row r="68" spans="1:12" x14ac:dyDescent="0.35">
      <c r="A68" s="11" t="s">
        <v>57</v>
      </c>
      <c r="B68" s="12">
        <v>860091</v>
      </c>
      <c r="C68" s="11" t="s">
        <v>234</v>
      </c>
      <c r="D68" s="11">
        <v>15</v>
      </c>
      <c r="E68" s="12" t="s">
        <v>28</v>
      </c>
      <c r="F68" s="11" t="s">
        <v>411</v>
      </c>
      <c r="G68" s="11" t="s">
        <v>233</v>
      </c>
      <c r="H68" s="11" t="s">
        <v>115</v>
      </c>
      <c r="I68" s="11" t="s">
        <v>26</v>
      </c>
      <c r="J68" s="11">
        <v>4511452995</v>
      </c>
      <c r="K68" s="11" t="s">
        <v>30</v>
      </c>
      <c r="L68" s="11" t="s">
        <v>136</v>
      </c>
    </row>
    <row r="69" spans="1:12" x14ac:dyDescent="0.35">
      <c r="A69" s="11" t="s">
        <v>57</v>
      </c>
      <c r="B69" s="12">
        <v>868245</v>
      </c>
      <c r="C69" s="11" t="s">
        <v>141</v>
      </c>
      <c r="D69" s="11">
        <v>7</v>
      </c>
      <c r="E69" s="12" t="s">
        <v>28</v>
      </c>
      <c r="F69" s="11" t="s">
        <v>418</v>
      </c>
      <c r="G69" s="11" t="s">
        <v>195</v>
      </c>
      <c r="H69" s="11" t="s">
        <v>115</v>
      </c>
      <c r="I69" s="11" t="s">
        <v>26</v>
      </c>
      <c r="J69" s="11">
        <v>4511448883</v>
      </c>
      <c r="K69" s="11" t="s">
        <v>30</v>
      </c>
      <c r="L69" s="11" t="s">
        <v>136</v>
      </c>
    </row>
    <row r="70" spans="1:12" x14ac:dyDescent="0.35">
      <c r="A70" s="11" t="s">
        <v>57</v>
      </c>
      <c r="B70" s="12">
        <v>882698</v>
      </c>
      <c r="C70" s="11" t="s">
        <v>210</v>
      </c>
      <c r="D70" s="11">
        <v>26</v>
      </c>
      <c r="E70" s="12" t="s">
        <v>28</v>
      </c>
      <c r="F70" s="11" t="s">
        <v>435</v>
      </c>
      <c r="G70" s="11" t="s">
        <v>211</v>
      </c>
      <c r="H70" s="11" t="s">
        <v>115</v>
      </c>
      <c r="I70" s="11" t="s">
        <v>26</v>
      </c>
      <c r="J70" s="11">
        <v>4511443458</v>
      </c>
      <c r="K70" s="11" t="s">
        <v>30</v>
      </c>
      <c r="L70" s="11" t="s">
        <v>51</v>
      </c>
    </row>
    <row r="71" spans="1:12" x14ac:dyDescent="0.35">
      <c r="A71" s="11" t="s">
        <v>57</v>
      </c>
      <c r="B71" s="12">
        <v>70019402</v>
      </c>
      <c r="C71" s="11" t="s">
        <v>193</v>
      </c>
      <c r="D71" s="11">
        <v>3</v>
      </c>
      <c r="E71" s="12" t="s">
        <v>28</v>
      </c>
      <c r="F71" s="11" t="s">
        <v>36</v>
      </c>
      <c r="G71" s="11" t="s">
        <v>194</v>
      </c>
      <c r="H71" s="11" t="s">
        <v>36</v>
      </c>
      <c r="I71" s="11" t="s">
        <v>36</v>
      </c>
      <c r="J71" s="11">
        <v>4511448912</v>
      </c>
      <c r="K71" s="11" t="s">
        <v>36</v>
      </c>
      <c r="L71" s="11" t="s">
        <v>51</v>
      </c>
    </row>
    <row r="72" spans="1:12" x14ac:dyDescent="0.35">
      <c r="A72" s="11" t="s">
        <v>57</v>
      </c>
      <c r="B72" s="12">
        <v>70045866</v>
      </c>
      <c r="C72" s="11" t="s">
        <v>166</v>
      </c>
      <c r="D72" s="11">
        <v>1</v>
      </c>
      <c r="E72" s="12" t="s">
        <v>28</v>
      </c>
      <c r="F72" s="11" t="s">
        <v>36</v>
      </c>
      <c r="G72" s="11" t="s">
        <v>167</v>
      </c>
      <c r="H72" s="11" t="s">
        <v>36</v>
      </c>
      <c r="I72" s="11" t="s">
        <v>36</v>
      </c>
      <c r="J72" s="11">
        <v>4511451624</v>
      </c>
      <c r="K72" s="11" t="s">
        <v>36</v>
      </c>
      <c r="L72" s="11" t="s">
        <v>136</v>
      </c>
    </row>
    <row r="73" spans="1:12" x14ac:dyDescent="0.35">
      <c r="A73" s="11" t="s">
        <v>57</v>
      </c>
      <c r="B73" s="12">
        <v>70062788</v>
      </c>
      <c r="C73" s="11" t="s">
        <v>239</v>
      </c>
      <c r="D73" s="11">
        <v>1</v>
      </c>
      <c r="E73" s="12" t="s">
        <v>28</v>
      </c>
      <c r="F73" s="11" t="s">
        <v>36</v>
      </c>
      <c r="G73" s="11" t="s">
        <v>235</v>
      </c>
      <c r="H73" s="11" t="s">
        <v>36</v>
      </c>
      <c r="I73" s="11" t="s">
        <v>36</v>
      </c>
      <c r="J73" s="11">
        <v>4511453094</v>
      </c>
      <c r="K73" s="11" t="s">
        <v>36</v>
      </c>
      <c r="L73" s="11" t="s">
        <v>136</v>
      </c>
    </row>
    <row r="74" spans="1:12" x14ac:dyDescent="0.35">
      <c r="A74" s="11" t="s">
        <v>57</v>
      </c>
      <c r="B74" s="12">
        <v>70062793</v>
      </c>
      <c r="C74" s="11" t="s">
        <v>304</v>
      </c>
      <c r="D74" s="11">
        <v>2</v>
      </c>
      <c r="E74" s="12" t="s">
        <v>28</v>
      </c>
      <c r="F74" s="11" t="s">
        <v>449</v>
      </c>
      <c r="G74" s="11" t="s">
        <v>305</v>
      </c>
      <c r="H74" s="11" t="s">
        <v>124</v>
      </c>
      <c r="I74" s="11" t="s">
        <v>26</v>
      </c>
      <c r="J74" s="11">
        <v>4511451200</v>
      </c>
      <c r="K74" s="11" t="s">
        <v>36</v>
      </c>
      <c r="L74" s="11" t="s">
        <v>110</v>
      </c>
    </row>
    <row r="75" spans="1:12" x14ac:dyDescent="0.35">
      <c r="A75" s="11" t="s">
        <v>57</v>
      </c>
      <c r="B75" s="12">
        <v>70062793</v>
      </c>
      <c r="C75" s="11" t="s">
        <v>304</v>
      </c>
      <c r="D75" s="11">
        <v>1</v>
      </c>
      <c r="E75" s="12" t="s">
        <v>28</v>
      </c>
      <c r="F75" s="11" t="s">
        <v>449</v>
      </c>
      <c r="G75" s="11" t="s">
        <v>305</v>
      </c>
      <c r="H75" s="11" t="s">
        <v>159</v>
      </c>
      <c r="I75" s="11" t="s">
        <v>26</v>
      </c>
      <c r="J75" s="11">
        <v>4511451200</v>
      </c>
      <c r="K75" s="11" t="s">
        <v>36</v>
      </c>
      <c r="L75" s="11" t="s">
        <v>110</v>
      </c>
    </row>
    <row r="76" spans="1:12" x14ac:dyDescent="0.35">
      <c r="A76" s="11" t="s">
        <v>57</v>
      </c>
      <c r="B76" s="12">
        <v>70084360</v>
      </c>
      <c r="C76" s="11" t="s">
        <v>324</v>
      </c>
      <c r="D76" s="11">
        <v>200</v>
      </c>
      <c r="E76" s="12" t="s">
        <v>112</v>
      </c>
      <c r="F76" s="11" t="s">
        <v>417</v>
      </c>
      <c r="G76" s="11" t="s">
        <v>325</v>
      </c>
      <c r="H76" s="11" t="s">
        <v>161</v>
      </c>
      <c r="I76" s="11" t="s">
        <v>26</v>
      </c>
      <c r="J76" s="11">
        <v>4511455815</v>
      </c>
      <c r="K76" s="11" t="s">
        <v>36</v>
      </c>
      <c r="L76" s="11" t="s">
        <v>110</v>
      </c>
    </row>
    <row r="77" spans="1:12" x14ac:dyDescent="0.35">
      <c r="A77" s="11" t="s">
        <v>57</v>
      </c>
      <c r="B77" s="12">
        <v>70111491</v>
      </c>
      <c r="C77" s="11" t="s">
        <v>208</v>
      </c>
      <c r="D77" s="11">
        <v>1</v>
      </c>
      <c r="E77" s="12" t="s">
        <v>28</v>
      </c>
      <c r="F77" s="11" t="s">
        <v>435</v>
      </c>
      <c r="G77" s="11" t="s">
        <v>209</v>
      </c>
      <c r="H77" s="11" t="s">
        <v>162</v>
      </c>
      <c r="I77" s="11" t="s">
        <v>26</v>
      </c>
      <c r="J77" s="11">
        <v>4511444068</v>
      </c>
      <c r="K77" s="11" t="s">
        <v>36</v>
      </c>
      <c r="L77" s="11" t="s">
        <v>50</v>
      </c>
    </row>
    <row r="78" spans="1:12" x14ac:dyDescent="0.35">
      <c r="A78" s="11" t="s">
        <v>41</v>
      </c>
      <c r="B78" s="12">
        <v>709179</v>
      </c>
      <c r="C78" s="11" t="s">
        <v>386</v>
      </c>
      <c r="D78" s="11">
        <v>200</v>
      </c>
      <c r="E78" s="12" t="s">
        <v>28</v>
      </c>
      <c r="F78" s="11" t="s">
        <v>409</v>
      </c>
      <c r="G78" s="11" t="s">
        <v>387</v>
      </c>
      <c r="H78" s="11" t="s">
        <v>123</v>
      </c>
      <c r="I78" s="11" t="s">
        <v>26</v>
      </c>
      <c r="J78" s="11">
        <v>4511456426</v>
      </c>
      <c r="K78" s="11" t="s">
        <v>36</v>
      </c>
      <c r="L78" s="11" t="s">
        <v>110</v>
      </c>
    </row>
    <row r="79" spans="1:12" x14ac:dyDescent="0.35">
      <c r="A79" s="11" t="s">
        <v>41</v>
      </c>
      <c r="B79" s="12">
        <v>722283</v>
      </c>
      <c r="C79" s="11" t="s">
        <v>130</v>
      </c>
      <c r="D79" s="11">
        <v>260</v>
      </c>
      <c r="E79" s="12" t="s">
        <v>131</v>
      </c>
      <c r="F79" s="11" t="s">
        <v>416</v>
      </c>
      <c r="G79" s="11" t="s">
        <v>216</v>
      </c>
      <c r="H79" s="11" t="s">
        <v>38</v>
      </c>
      <c r="I79" s="11" t="s">
        <v>26</v>
      </c>
      <c r="J79" s="11">
        <v>5500022126</v>
      </c>
      <c r="K79" s="11" t="s">
        <v>30</v>
      </c>
      <c r="L79" s="11"/>
    </row>
    <row r="80" spans="1:12" x14ac:dyDescent="0.35">
      <c r="A80" s="11" t="s">
        <v>41</v>
      </c>
      <c r="B80" s="12">
        <v>722284</v>
      </c>
      <c r="C80" s="11" t="s">
        <v>221</v>
      </c>
      <c r="D80" s="11">
        <v>0</v>
      </c>
      <c r="E80" s="12" t="s">
        <v>112</v>
      </c>
      <c r="F80" s="11" t="s">
        <v>416</v>
      </c>
      <c r="G80" s="11" t="s">
        <v>222</v>
      </c>
      <c r="H80" s="11" t="s">
        <v>38</v>
      </c>
      <c r="I80" s="11" t="s">
        <v>26</v>
      </c>
      <c r="J80" s="11">
        <v>5500022126</v>
      </c>
      <c r="K80" s="11" t="s">
        <v>30</v>
      </c>
      <c r="L80" s="11"/>
    </row>
    <row r="81" spans="1:12" x14ac:dyDescent="0.35">
      <c r="A81" s="11" t="s">
        <v>41</v>
      </c>
      <c r="B81" s="12">
        <v>722284</v>
      </c>
      <c r="C81" s="11" t="s">
        <v>221</v>
      </c>
      <c r="D81" s="11">
        <v>220</v>
      </c>
      <c r="E81" s="12" t="s">
        <v>112</v>
      </c>
      <c r="F81" s="11" t="s">
        <v>416</v>
      </c>
      <c r="G81" s="11" t="s">
        <v>222</v>
      </c>
      <c r="H81" s="11" t="s">
        <v>123</v>
      </c>
      <c r="I81" s="11" t="s">
        <v>26</v>
      </c>
      <c r="J81" s="11">
        <v>4511454650</v>
      </c>
      <c r="K81" s="11" t="s">
        <v>30</v>
      </c>
      <c r="L81" s="11" t="s">
        <v>51</v>
      </c>
    </row>
    <row r="82" spans="1:12" x14ac:dyDescent="0.35">
      <c r="A82" s="11" t="s">
        <v>41</v>
      </c>
      <c r="B82" s="12">
        <v>723754</v>
      </c>
      <c r="C82" s="11" t="s">
        <v>144</v>
      </c>
      <c r="D82" s="11">
        <v>10</v>
      </c>
      <c r="E82" s="12" t="s">
        <v>111</v>
      </c>
      <c r="F82" s="11" t="s">
        <v>411</v>
      </c>
      <c r="G82" s="11" t="s">
        <v>244</v>
      </c>
      <c r="H82" s="11" t="s">
        <v>123</v>
      </c>
      <c r="I82" s="11" t="s">
        <v>26</v>
      </c>
      <c r="J82" s="11">
        <v>4511452987</v>
      </c>
      <c r="K82" s="11" t="s">
        <v>30</v>
      </c>
      <c r="L82" s="11" t="s">
        <v>136</v>
      </c>
    </row>
    <row r="83" spans="1:12" x14ac:dyDescent="0.35">
      <c r="A83" s="11" t="s">
        <v>41</v>
      </c>
      <c r="B83" s="12">
        <v>735893</v>
      </c>
      <c r="C83" s="11" t="s">
        <v>240</v>
      </c>
      <c r="D83" s="11">
        <v>11</v>
      </c>
      <c r="E83" s="12" t="s">
        <v>147</v>
      </c>
      <c r="F83" s="11" t="s">
        <v>411</v>
      </c>
      <c r="G83" s="11" t="s">
        <v>246</v>
      </c>
      <c r="H83" s="11" t="s">
        <v>123</v>
      </c>
      <c r="I83" s="11" t="s">
        <v>26</v>
      </c>
      <c r="J83" s="11">
        <v>4511453105</v>
      </c>
      <c r="K83" s="11" t="s">
        <v>36</v>
      </c>
      <c r="L83" s="11" t="s">
        <v>110</v>
      </c>
    </row>
    <row r="84" spans="1:12" x14ac:dyDescent="0.35">
      <c r="A84" s="11" t="s">
        <v>41</v>
      </c>
      <c r="B84" s="12">
        <v>736439</v>
      </c>
      <c r="C84" s="11" t="s">
        <v>150</v>
      </c>
      <c r="D84" s="11">
        <v>4</v>
      </c>
      <c r="E84" s="12" t="s">
        <v>28</v>
      </c>
      <c r="F84" s="11" t="s">
        <v>409</v>
      </c>
      <c r="G84" s="11" t="s">
        <v>401</v>
      </c>
      <c r="H84" s="11" t="s">
        <v>123</v>
      </c>
      <c r="I84" s="11" t="s">
        <v>26</v>
      </c>
      <c r="J84" s="11">
        <v>4511453612</v>
      </c>
      <c r="K84" s="11" t="s">
        <v>36</v>
      </c>
      <c r="L84" s="11" t="s">
        <v>110</v>
      </c>
    </row>
    <row r="85" spans="1:12" x14ac:dyDescent="0.35">
      <c r="A85" s="11" t="s">
        <v>41</v>
      </c>
      <c r="B85" s="12">
        <v>744011</v>
      </c>
      <c r="C85" s="11" t="s">
        <v>212</v>
      </c>
      <c r="D85" s="11">
        <v>4</v>
      </c>
      <c r="E85" s="12" t="s">
        <v>28</v>
      </c>
      <c r="F85" s="11" t="s">
        <v>420</v>
      </c>
      <c r="G85" s="11" t="s">
        <v>213</v>
      </c>
      <c r="H85" s="11" t="s">
        <v>419</v>
      </c>
      <c r="I85" s="11" t="s">
        <v>26</v>
      </c>
      <c r="J85" s="11">
        <v>4511449944</v>
      </c>
      <c r="K85" s="11" t="s">
        <v>30</v>
      </c>
      <c r="L85" s="11" t="s">
        <v>50</v>
      </c>
    </row>
    <row r="86" spans="1:12" x14ac:dyDescent="0.35">
      <c r="A86" s="11" t="s">
        <v>41</v>
      </c>
      <c r="B86" s="12">
        <v>750393</v>
      </c>
      <c r="C86" s="11" t="s">
        <v>142</v>
      </c>
      <c r="D86" s="11">
        <v>8</v>
      </c>
      <c r="E86" s="12" t="s">
        <v>126</v>
      </c>
      <c r="F86" s="11" t="s">
        <v>413</v>
      </c>
      <c r="G86" s="11" t="s">
        <v>306</v>
      </c>
      <c r="H86" s="11" t="s">
        <v>113</v>
      </c>
      <c r="I86" s="11" t="s">
        <v>26</v>
      </c>
      <c r="J86" s="11">
        <v>4511448169</v>
      </c>
      <c r="K86" s="11" t="s">
        <v>30</v>
      </c>
      <c r="L86" s="11" t="s">
        <v>110</v>
      </c>
    </row>
    <row r="87" spans="1:12" x14ac:dyDescent="0.35">
      <c r="A87" s="11" t="s">
        <v>41</v>
      </c>
      <c r="B87" s="12">
        <v>766049</v>
      </c>
      <c r="C87" s="11" t="s">
        <v>407</v>
      </c>
      <c r="D87" s="11">
        <v>1</v>
      </c>
      <c r="E87" s="12" t="s">
        <v>28</v>
      </c>
      <c r="F87" s="11" t="s">
        <v>409</v>
      </c>
      <c r="G87" s="11" t="s">
        <v>408</v>
      </c>
      <c r="H87" s="11" t="s">
        <v>108</v>
      </c>
      <c r="I87" s="11" t="s">
        <v>26</v>
      </c>
      <c r="J87" s="11">
        <v>4511448855</v>
      </c>
      <c r="K87" s="11" t="s">
        <v>36</v>
      </c>
      <c r="L87" s="11" t="s">
        <v>110</v>
      </c>
    </row>
    <row r="88" spans="1:12" x14ac:dyDescent="0.35">
      <c r="A88" s="11" t="s">
        <v>41</v>
      </c>
      <c r="B88" s="12">
        <v>773993</v>
      </c>
      <c r="C88" s="11" t="s">
        <v>332</v>
      </c>
      <c r="D88" s="11">
        <v>144</v>
      </c>
      <c r="E88" s="12" t="s">
        <v>112</v>
      </c>
      <c r="F88" s="11" t="s">
        <v>417</v>
      </c>
      <c r="G88" s="11" t="s">
        <v>333</v>
      </c>
      <c r="H88" s="11" t="s">
        <v>124</v>
      </c>
      <c r="I88" s="11" t="s">
        <v>26</v>
      </c>
      <c r="J88" s="11">
        <v>4511453238</v>
      </c>
      <c r="K88" s="11" t="s">
        <v>36</v>
      </c>
      <c r="L88" s="11" t="s">
        <v>110</v>
      </c>
    </row>
    <row r="89" spans="1:12" x14ac:dyDescent="0.35">
      <c r="A89" s="11" t="s">
        <v>41</v>
      </c>
      <c r="B89" s="12">
        <v>776850</v>
      </c>
      <c r="C89" s="11" t="s">
        <v>143</v>
      </c>
      <c r="D89" s="11">
        <v>2</v>
      </c>
      <c r="E89" s="12" t="s">
        <v>28</v>
      </c>
      <c r="F89" s="11" t="s">
        <v>409</v>
      </c>
      <c r="G89" s="11" t="s">
        <v>393</v>
      </c>
      <c r="H89" s="11" t="s">
        <v>43</v>
      </c>
      <c r="I89" s="11" t="s">
        <v>26</v>
      </c>
      <c r="J89" s="11">
        <v>4511453003</v>
      </c>
      <c r="K89" s="11" t="s">
        <v>36</v>
      </c>
      <c r="L89" s="11" t="s">
        <v>110</v>
      </c>
    </row>
    <row r="90" spans="1:12" x14ac:dyDescent="0.35">
      <c r="A90" s="11" t="s">
        <v>41</v>
      </c>
      <c r="B90" s="12">
        <v>777305</v>
      </c>
      <c r="C90" s="11" t="s">
        <v>338</v>
      </c>
      <c r="D90" s="11">
        <v>15</v>
      </c>
      <c r="E90" s="12" t="s">
        <v>140</v>
      </c>
      <c r="F90" s="11" t="s">
        <v>413</v>
      </c>
      <c r="G90" s="11" t="s">
        <v>383</v>
      </c>
      <c r="H90" s="11" t="s">
        <v>38</v>
      </c>
      <c r="I90" s="11" t="s">
        <v>26</v>
      </c>
      <c r="J90" s="11">
        <v>5500022436</v>
      </c>
      <c r="K90" s="11" t="s">
        <v>30</v>
      </c>
      <c r="L90" s="11"/>
    </row>
    <row r="91" spans="1:12" x14ac:dyDescent="0.35">
      <c r="A91" s="11" t="s">
        <v>41</v>
      </c>
      <c r="B91" s="12">
        <v>805227</v>
      </c>
      <c r="C91" s="11" t="s">
        <v>340</v>
      </c>
      <c r="D91" s="11">
        <v>8</v>
      </c>
      <c r="E91" s="12" t="s">
        <v>28</v>
      </c>
      <c r="F91" s="11" t="s">
        <v>424</v>
      </c>
      <c r="G91" s="11" t="s">
        <v>341</v>
      </c>
      <c r="H91" s="11" t="s">
        <v>108</v>
      </c>
      <c r="I91" s="11" t="s">
        <v>26</v>
      </c>
      <c r="J91" s="11">
        <v>4511447267</v>
      </c>
      <c r="K91" s="11" t="s">
        <v>36</v>
      </c>
      <c r="L91" s="11" t="s">
        <v>110</v>
      </c>
    </row>
    <row r="92" spans="1:12" x14ac:dyDescent="0.35">
      <c r="A92" s="11" t="s">
        <v>41</v>
      </c>
      <c r="B92" s="12">
        <v>805229</v>
      </c>
      <c r="C92" s="11" t="s">
        <v>342</v>
      </c>
      <c r="D92" s="11">
        <v>5</v>
      </c>
      <c r="E92" s="12" t="s">
        <v>28</v>
      </c>
      <c r="F92" s="11" t="s">
        <v>424</v>
      </c>
      <c r="G92" s="11" t="s">
        <v>341</v>
      </c>
      <c r="H92" s="11" t="s">
        <v>108</v>
      </c>
      <c r="I92" s="11" t="s">
        <v>26</v>
      </c>
      <c r="J92" s="11">
        <v>4511447267</v>
      </c>
      <c r="K92" s="11" t="s">
        <v>36</v>
      </c>
      <c r="L92" s="11" t="s">
        <v>110</v>
      </c>
    </row>
    <row r="93" spans="1:12" x14ac:dyDescent="0.35">
      <c r="A93" s="11" t="s">
        <v>41</v>
      </c>
      <c r="B93" s="12">
        <v>805229</v>
      </c>
      <c r="C93" s="11" t="s">
        <v>342</v>
      </c>
      <c r="D93" s="11">
        <v>2</v>
      </c>
      <c r="E93" s="12" t="s">
        <v>28</v>
      </c>
      <c r="F93" s="11" t="s">
        <v>424</v>
      </c>
      <c r="G93" s="11" t="s">
        <v>354</v>
      </c>
      <c r="H93" s="11" t="s">
        <v>123</v>
      </c>
      <c r="I93" s="11" t="s">
        <v>26</v>
      </c>
      <c r="J93" s="11">
        <v>4511451029</v>
      </c>
      <c r="K93" s="11" t="s">
        <v>36</v>
      </c>
      <c r="L93" s="11" t="s">
        <v>110</v>
      </c>
    </row>
    <row r="94" spans="1:12" x14ac:dyDescent="0.35">
      <c r="A94" s="11" t="s">
        <v>41</v>
      </c>
      <c r="B94" s="12">
        <v>805274</v>
      </c>
      <c r="C94" s="11" t="s">
        <v>343</v>
      </c>
      <c r="D94" s="11">
        <v>2</v>
      </c>
      <c r="E94" s="12" t="s">
        <v>28</v>
      </c>
      <c r="F94" s="11" t="s">
        <v>424</v>
      </c>
      <c r="G94" s="11" t="s">
        <v>341</v>
      </c>
      <c r="H94" s="11" t="s">
        <v>108</v>
      </c>
      <c r="I94" s="11" t="s">
        <v>26</v>
      </c>
      <c r="J94" s="11">
        <v>4511447267</v>
      </c>
      <c r="K94" s="11" t="s">
        <v>36</v>
      </c>
      <c r="L94" s="11" t="s">
        <v>110</v>
      </c>
    </row>
    <row r="95" spans="1:12" x14ac:dyDescent="0.35">
      <c r="A95" s="11" t="s">
        <v>41</v>
      </c>
      <c r="B95" s="12">
        <v>805382</v>
      </c>
      <c r="C95" s="11" t="s">
        <v>344</v>
      </c>
      <c r="D95" s="11">
        <v>2</v>
      </c>
      <c r="E95" s="12" t="s">
        <v>28</v>
      </c>
      <c r="F95" s="11" t="s">
        <v>424</v>
      </c>
      <c r="G95" s="11" t="s">
        <v>341</v>
      </c>
      <c r="H95" s="11" t="s">
        <v>108</v>
      </c>
      <c r="I95" s="11" t="s">
        <v>26</v>
      </c>
      <c r="J95" s="11">
        <v>4511447267</v>
      </c>
      <c r="K95" s="11" t="s">
        <v>36</v>
      </c>
      <c r="L95" s="11" t="s">
        <v>110</v>
      </c>
    </row>
    <row r="96" spans="1:12" x14ac:dyDescent="0.35">
      <c r="A96" s="11" t="s">
        <v>41</v>
      </c>
      <c r="B96" s="12">
        <v>806149</v>
      </c>
      <c r="C96" s="11" t="s">
        <v>273</v>
      </c>
      <c r="D96" s="11">
        <v>1</v>
      </c>
      <c r="E96" s="12" t="s">
        <v>28</v>
      </c>
      <c r="F96" s="11" t="s">
        <v>425</v>
      </c>
      <c r="G96" s="11" t="s">
        <v>274</v>
      </c>
      <c r="H96" s="11" t="s">
        <v>119</v>
      </c>
      <c r="I96" s="11" t="s">
        <v>26</v>
      </c>
      <c r="J96" s="11">
        <v>4511449573</v>
      </c>
      <c r="K96" s="11" t="s">
        <v>30</v>
      </c>
      <c r="L96" s="11" t="s">
        <v>50</v>
      </c>
    </row>
    <row r="97" spans="1:12" x14ac:dyDescent="0.35">
      <c r="A97" s="11" t="s">
        <v>41</v>
      </c>
      <c r="B97" s="12">
        <v>806591</v>
      </c>
      <c r="C97" s="11" t="s">
        <v>388</v>
      </c>
      <c r="D97" s="11">
        <v>300</v>
      </c>
      <c r="E97" s="12" t="s">
        <v>28</v>
      </c>
      <c r="F97" s="11" t="s">
        <v>409</v>
      </c>
      <c r="G97" s="11" t="s">
        <v>387</v>
      </c>
      <c r="H97" s="11" t="s">
        <v>123</v>
      </c>
      <c r="I97" s="11" t="s">
        <v>26</v>
      </c>
      <c r="J97" s="11">
        <v>4511456426</v>
      </c>
      <c r="K97" s="11" t="s">
        <v>36</v>
      </c>
      <c r="L97" s="11" t="s">
        <v>110</v>
      </c>
    </row>
    <row r="98" spans="1:12" x14ac:dyDescent="0.35">
      <c r="A98" s="11" t="s">
        <v>41</v>
      </c>
      <c r="B98" s="12">
        <v>806591</v>
      </c>
      <c r="C98" s="11" t="s">
        <v>388</v>
      </c>
      <c r="D98" s="11">
        <v>201</v>
      </c>
      <c r="E98" s="12" t="s">
        <v>28</v>
      </c>
      <c r="F98" s="11" t="s">
        <v>409</v>
      </c>
      <c r="G98" s="11" t="s">
        <v>390</v>
      </c>
      <c r="H98" s="11" t="s">
        <v>124</v>
      </c>
      <c r="I98" s="11" t="s">
        <v>26</v>
      </c>
      <c r="J98" s="11">
        <v>4511453208</v>
      </c>
      <c r="K98" s="11" t="s">
        <v>36</v>
      </c>
      <c r="L98" s="11" t="s">
        <v>110</v>
      </c>
    </row>
    <row r="99" spans="1:12" x14ac:dyDescent="0.35">
      <c r="A99" s="11" t="s">
        <v>41</v>
      </c>
      <c r="B99" s="12">
        <v>807291</v>
      </c>
      <c r="C99" s="11" t="s">
        <v>345</v>
      </c>
      <c r="D99" s="11">
        <v>1</v>
      </c>
      <c r="E99" s="12" t="s">
        <v>28</v>
      </c>
      <c r="F99" s="11" t="s">
        <v>424</v>
      </c>
      <c r="G99" s="11" t="s">
        <v>341</v>
      </c>
      <c r="H99" s="11" t="s">
        <v>108</v>
      </c>
      <c r="I99" s="11" t="s">
        <v>26</v>
      </c>
      <c r="J99" s="11">
        <v>4511447267</v>
      </c>
      <c r="K99" s="11" t="s">
        <v>36</v>
      </c>
      <c r="L99" s="11" t="s">
        <v>110</v>
      </c>
    </row>
    <row r="100" spans="1:12" x14ac:dyDescent="0.35">
      <c r="A100" s="11" t="s">
        <v>41</v>
      </c>
      <c r="B100" s="12">
        <v>807801</v>
      </c>
      <c r="C100" s="11" t="s">
        <v>334</v>
      </c>
      <c r="D100" s="11">
        <v>11</v>
      </c>
      <c r="E100" s="12" t="s">
        <v>28</v>
      </c>
      <c r="F100" s="11" t="s">
        <v>417</v>
      </c>
      <c r="G100" s="11" t="s">
        <v>335</v>
      </c>
      <c r="H100" s="11" t="s">
        <v>124</v>
      </c>
      <c r="I100" s="11" t="s">
        <v>26</v>
      </c>
      <c r="J100" s="11">
        <v>4511453581</v>
      </c>
      <c r="K100" s="11" t="s">
        <v>36</v>
      </c>
      <c r="L100" s="11" t="s">
        <v>110</v>
      </c>
    </row>
    <row r="101" spans="1:12" x14ac:dyDescent="0.35">
      <c r="A101" s="11" t="s">
        <v>41</v>
      </c>
      <c r="B101" s="12">
        <v>811119</v>
      </c>
      <c r="C101" s="11" t="s">
        <v>228</v>
      </c>
      <c r="D101" s="11">
        <v>1</v>
      </c>
      <c r="E101" s="12" t="s">
        <v>28</v>
      </c>
      <c r="F101" s="11" t="s">
        <v>426</v>
      </c>
      <c r="G101" s="11" t="s">
        <v>229</v>
      </c>
      <c r="H101" s="11" t="s">
        <v>43</v>
      </c>
      <c r="I101" s="11" t="s">
        <v>26</v>
      </c>
      <c r="J101" s="11">
        <v>4511431526</v>
      </c>
      <c r="K101" s="11" t="s">
        <v>30</v>
      </c>
      <c r="L101" s="11" t="s">
        <v>50</v>
      </c>
    </row>
    <row r="102" spans="1:12" x14ac:dyDescent="0.35">
      <c r="A102" s="11" t="s">
        <v>41</v>
      </c>
      <c r="B102" s="12">
        <v>811217</v>
      </c>
      <c r="C102" s="11" t="s">
        <v>190</v>
      </c>
      <c r="D102" s="11">
        <v>2</v>
      </c>
      <c r="E102" s="12" t="s">
        <v>28</v>
      </c>
      <c r="F102" s="11" t="s">
        <v>418</v>
      </c>
      <c r="G102" s="11" t="s">
        <v>191</v>
      </c>
      <c r="H102" s="11" t="s">
        <v>122</v>
      </c>
      <c r="I102" s="11" t="s">
        <v>26</v>
      </c>
      <c r="J102" s="11">
        <v>4511448911</v>
      </c>
      <c r="K102" s="11" t="s">
        <v>30</v>
      </c>
      <c r="L102" s="11" t="s">
        <v>51</v>
      </c>
    </row>
    <row r="103" spans="1:12" x14ac:dyDescent="0.35">
      <c r="A103" s="11" t="s">
        <v>41</v>
      </c>
      <c r="B103" s="12">
        <v>811217</v>
      </c>
      <c r="C103" s="11" t="s">
        <v>190</v>
      </c>
      <c r="D103" s="11">
        <v>1</v>
      </c>
      <c r="E103" s="12" t="s">
        <v>28</v>
      </c>
      <c r="F103" s="11" t="s">
        <v>418</v>
      </c>
      <c r="G103" s="11" t="s">
        <v>198</v>
      </c>
      <c r="H103" s="11" t="s">
        <v>108</v>
      </c>
      <c r="I103" s="11" t="s">
        <v>26</v>
      </c>
      <c r="J103" s="11">
        <v>4511445856</v>
      </c>
      <c r="K103" s="11" t="s">
        <v>36</v>
      </c>
      <c r="L103" s="11" t="s">
        <v>50</v>
      </c>
    </row>
    <row r="104" spans="1:12" x14ac:dyDescent="0.35">
      <c r="A104" s="11" t="s">
        <v>41</v>
      </c>
      <c r="B104" s="12">
        <v>821158</v>
      </c>
      <c r="C104" s="11" t="s">
        <v>321</v>
      </c>
      <c r="D104" s="11">
        <v>1</v>
      </c>
      <c r="E104" s="12" t="s">
        <v>28</v>
      </c>
      <c r="F104" s="11" t="s">
        <v>417</v>
      </c>
      <c r="G104" s="11" t="s">
        <v>322</v>
      </c>
      <c r="H104" s="11" t="s">
        <v>43</v>
      </c>
      <c r="I104" s="11" t="s">
        <v>26</v>
      </c>
      <c r="J104" s="11">
        <v>4511455813</v>
      </c>
      <c r="K104" s="11" t="s">
        <v>36</v>
      </c>
      <c r="L104" s="11" t="s">
        <v>110</v>
      </c>
    </row>
    <row r="105" spans="1:12" x14ac:dyDescent="0.35">
      <c r="A105" s="11" t="s">
        <v>41</v>
      </c>
      <c r="B105" s="12">
        <v>823148</v>
      </c>
      <c r="C105" s="11" t="s">
        <v>275</v>
      </c>
      <c r="D105" s="11">
        <v>12</v>
      </c>
      <c r="E105" s="12" t="s">
        <v>28</v>
      </c>
      <c r="F105" s="11" t="s">
        <v>430</v>
      </c>
      <c r="G105" s="11" t="s">
        <v>276</v>
      </c>
      <c r="H105" s="11" t="s">
        <v>108</v>
      </c>
      <c r="I105" s="11" t="s">
        <v>26</v>
      </c>
      <c r="J105" s="11">
        <v>4511452613</v>
      </c>
      <c r="K105" s="11" t="s">
        <v>36</v>
      </c>
      <c r="L105" s="11" t="s">
        <v>51</v>
      </c>
    </row>
    <row r="106" spans="1:12" x14ac:dyDescent="0.35">
      <c r="A106" s="11" t="s">
        <v>41</v>
      </c>
      <c r="B106" s="12">
        <v>823148</v>
      </c>
      <c r="C106" s="11" t="s">
        <v>275</v>
      </c>
      <c r="D106" s="11">
        <v>12</v>
      </c>
      <c r="E106" s="12" t="s">
        <v>28</v>
      </c>
      <c r="F106" s="11" t="s">
        <v>430</v>
      </c>
      <c r="G106" s="11" t="s">
        <v>276</v>
      </c>
      <c r="H106" s="11" t="s">
        <v>122</v>
      </c>
      <c r="I106" s="11" t="s">
        <v>26</v>
      </c>
      <c r="J106" s="11">
        <v>4511452613</v>
      </c>
      <c r="K106" s="11" t="s">
        <v>36</v>
      </c>
      <c r="L106" s="11" t="s">
        <v>51</v>
      </c>
    </row>
    <row r="107" spans="1:12" x14ac:dyDescent="0.35">
      <c r="A107" s="11" t="s">
        <v>41</v>
      </c>
      <c r="B107" s="12">
        <v>824835</v>
      </c>
      <c r="C107" s="11" t="s">
        <v>168</v>
      </c>
      <c r="D107" s="11">
        <v>1</v>
      </c>
      <c r="E107" s="12" t="s">
        <v>28</v>
      </c>
      <c r="F107" s="11" t="s">
        <v>410</v>
      </c>
      <c r="G107" s="11" t="s">
        <v>169</v>
      </c>
      <c r="H107" s="11" t="s">
        <v>158</v>
      </c>
      <c r="I107" s="11" t="s">
        <v>26</v>
      </c>
      <c r="J107" s="11">
        <v>4511450980</v>
      </c>
      <c r="K107" s="11" t="s">
        <v>36</v>
      </c>
      <c r="L107" s="11" t="s">
        <v>136</v>
      </c>
    </row>
    <row r="108" spans="1:12" x14ac:dyDescent="0.35">
      <c r="A108" s="11" t="s">
        <v>41</v>
      </c>
      <c r="B108" s="12">
        <v>828243</v>
      </c>
      <c r="C108" s="11" t="s">
        <v>238</v>
      </c>
      <c r="D108" s="11">
        <v>10</v>
      </c>
      <c r="E108" s="12" t="s">
        <v>28</v>
      </c>
      <c r="F108" s="11" t="s">
        <v>411</v>
      </c>
      <c r="G108" s="11" t="s">
        <v>242</v>
      </c>
      <c r="H108" s="11" t="s">
        <v>158</v>
      </c>
      <c r="I108" s="11" t="s">
        <v>26</v>
      </c>
      <c r="J108" s="11">
        <v>4511453097</v>
      </c>
      <c r="K108" s="11" t="s">
        <v>36</v>
      </c>
      <c r="L108" s="11" t="s">
        <v>136</v>
      </c>
    </row>
    <row r="109" spans="1:12" x14ac:dyDescent="0.35">
      <c r="A109" s="11" t="s">
        <v>41</v>
      </c>
      <c r="B109" s="12">
        <v>829084</v>
      </c>
      <c r="C109" s="11" t="s">
        <v>152</v>
      </c>
      <c r="D109" s="11">
        <v>15</v>
      </c>
      <c r="E109" s="12" t="s">
        <v>28</v>
      </c>
      <c r="F109" s="11" t="s">
        <v>432</v>
      </c>
      <c r="G109" s="11" t="s">
        <v>153</v>
      </c>
      <c r="H109" s="11" t="s">
        <v>139</v>
      </c>
      <c r="I109" s="11" t="s">
        <v>26</v>
      </c>
      <c r="J109" s="11">
        <v>4511454194</v>
      </c>
      <c r="K109" s="11" t="s">
        <v>36</v>
      </c>
      <c r="L109" s="11" t="s">
        <v>50</v>
      </c>
    </row>
    <row r="110" spans="1:12" x14ac:dyDescent="0.35">
      <c r="A110" s="11" t="s">
        <v>41</v>
      </c>
      <c r="B110" s="12">
        <v>833106</v>
      </c>
      <c r="C110" s="11" t="s">
        <v>243</v>
      </c>
      <c r="D110" s="11">
        <v>7</v>
      </c>
      <c r="E110" s="12" t="s">
        <v>28</v>
      </c>
      <c r="F110" s="11" t="s">
        <v>411</v>
      </c>
      <c r="G110" s="11" t="s">
        <v>242</v>
      </c>
      <c r="H110" s="11" t="s">
        <v>158</v>
      </c>
      <c r="I110" s="11" t="s">
        <v>26</v>
      </c>
      <c r="J110" s="11">
        <v>4511453097</v>
      </c>
      <c r="K110" s="11" t="s">
        <v>36</v>
      </c>
      <c r="L110" s="11" t="s">
        <v>136</v>
      </c>
    </row>
    <row r="111" spans="1:12" x14ac:dyDescent="0.35">
      <c r="A111" s="11" t="s">
        <v>41</v>
      </c>
      <c r="B111" s="12">
        <v>836296</v>
      </c>
      <c r="C111" s="11" t="s">
        <v>255</v>
      </c>
      <c r="D111" s="11">
        <v>2</v>
      </c>
      <c r="E111" s="12" t="s">
        <v>28</v>
      </c>
      <c r="F111" s="11" t="s">
        <v>434</v>
      </c>
      <c r="G111" s="11" t="s">
        <v>256</v>
      </c>
      <c r="H111" s="11" t="s">
        <v>43</v>
      </c>
      <c r="I111" s="11" t="s">
        <v>26</v>
      </c>
      <c r="J111" s="11">
        <v>4511443845</v>
      </c>
      <c r="K111" s="11" t="s">
        <v>36</v>
      </c>
      <c r="L111" s="11" t="s">
        <v>50</v>
      </c>
    </row>
    <row r="112" spans="1:12" x14ac:dyDescent="0.35">
      <c r="A112" s="11" t="s">
        <v>41</v>
      </c>
      <c r="B112" s="12">
        <v>839498</v>
      </c>
      <c r="C112" s="11" t="s">
        <v>286</v>
      </c>
      <c r="D112" s="11">
        <v>1</v>
      </c>
      <c r="E112" s="12" t="s">
        <v>28</v>
      </c>
      <c r="F112" s="11" t="s">
        <v>435</v>
      </c>
      <c r="G112" s="11" t="s">
        <v>287</v>
      </c>
      <c r="H112" s="11" t="s">
        <v>108</v>
      </c>
      <c r="I112" s="11" t="s">
        <v>26</v>
      </c>
      <c r="J112" s="11">
        <v>4511443457</v>
      </c>
      <c r="K112" s="11" t="s">
        <v>30</v>
      </c>
      <c r="L112" s="11" t="s">
        <v>51</v>
      </c>
    </row>
    <row r="113" spans="1:12" x14ac:dyDescent="0.35">
      <c r="A113" s="11" t="s">
        <v>41</v>
      </c>
      <c r="B113" s="12">
        <v>840649</v>
      </c>
      <c r="C113" s="11" t="s">
        <v>355</v>
      </c>
      <c r="D113" s="11">
        <v>3</v>
      </c>
      <c r="E113" s="12" t="s">
        <v>28</v>
      </c>
      <c r="F113" s="11" t="s">
        <v>424</v>
      </c>
      <c r="G113" s="11" t="s">
        <v>356</v>
      </c>
      <c r="H113" s="11" t="s">
        <v>108</v>
      </c>
      <c r="I113" s="11" t="s">
        <v>26</v>
      </c>
      <c r="J113" s="11">
        <v>4511448595</v>
      </c>
      <c r="K113" s="11" t="s">
        <v>36</v>
      </c>
      <c r="L113" s="11" t="s">
        <v>51</v>
      </c>
    </row>
    <row r="114" spans="1:12" x14ac:dyDescent="0.35">
      <c r="A114" s="11" t="s">
        <v>41</v>
      </c>
      <c r="B114" s="12">
        <v>840681</v>
      </c>
      <c r="C114" s="11" t="s">
        <v>357</v>
      </c>
      <c r="D114" s="11">
        <v>2</v>
      </c>
      <c r="E114" s="12" t="s">
        <v>28</v>
      </c>
      <c r="F114" s="11" t="s">
        <v>424</v>
      </c>
      <c r="G114" s="11" t="s">
        <v>356</v>
      </c>
      <c r="H114" s="11" t="s">
        <v>108</v>
      </c>
      <c r="I114" s="11" t="s">
        <v>26</v>
      </c>
      <c r="J114" s="11">
        <v>4511448595</v>
      </c>
      <c r="K114" s="11" t="s">
        <v>36</v>
      </c>
      <c r="L114" s="11" t="s">
        <v>51</v>
      </c>
    </row>
    <row r="115" spans="1:12" x14ac:dyDescent="0.35">
      <c r="A115" s="11" t="s">
        <v>41</v>
      </c>
      <c r="B115" s="12">
        <v>840720</v>
      </c>
      <c r="C115" s="11" t="s">
        <v>360</v>
      </c>
      <c r="D115" s="11">
        <v>1</v>
      </c>
      <c r="E115" s="12" t="s">
        <v>28</v>
      </c>
      <c r="F115" s="11" t="s">
        <v>424</v>
      </c>
      <c r="G115" s="11" t="s">
        <v>361</v>
      </c>
      <c r="H115" s="11" t="s">
        <v>108</v>
      </c>
      <c r="I115" s="11" t="s">
        <v>26</v>
      </c>
      <c r="J115" s="11">
        <v>4511445281</v>
      </c>
      <c r="K115" s="11" t="s">
        <v>36</v>
      </c>
      <c r="L115" s="11" t="s">
        <v>50</v>
      </c>
    </row>
    <row r="116" spans="1:12" x14ac:dyDescent="0.35">
      <c r="A116" s="11" t="s">
        <v>41</v>
      </c>
      <c r="B116" s="12">
        <v>842520</v>
      </c>
      <c r="C116" s="11" t="s">
        <v>348</v>
      </c>
      <c r="D116" s="11">
        <v>1</v>
      </c>
      <c r="E116" s="12" t="s">
        <v>28</v>
      </c>
      <c r="F116" s="11" t="s">
        <v>424</v>
      </c>
      <c r="G116" s="11" t="s">
        <v>349</v>
      </c>
      <c r="H116" s="11" t="s">
        <v>108</v>
      </c>
      <c r="I116" s="11" t="s">
        <v>26</v>
      </c>
      <c r="J116" s="11">
        <v>4511449170</v>
      </c>
      <c r="K116" s="11" t="s">
        <v>36</v>
      </c>
      <c r="L116" s="11" t="s">
        <v>51</v>
      </c>
    </row>
    <row r="117" spans="1:12" x14ac:dyDescent="0.35">
      <c r="A117" s="11" t="s">
        <v>41</v>
      </c>
      <c r="B117" s="12">
        <v>842520</v>
      </c>
      <c r="C117" s="11" t="s">
        <v>348</v>
      </c>
      <c r="D117" s="11">
        <v>1</v>
      </c>
      <c r="E117" s="12" t="s">
        <v>28</v>
      </c>
      <c r="F117" s="11" t="s">
        <v>424</v>
      </c>
      <c r="G117" s="11" t="s">
        <v>353</v>
      </c>
      <c r="H117" s="11" t="s">
        <v>108</v>
      </c>
      <c r="I117" s="11" t="s">
        <v>26</v>
      </c>
      <c r="J117" s="11">
        <v>4511449866</v>
      </c>
      <c r="K117" s="11" t="s">
        <v>36</v>
      </c>
      <c r="L117" s="11" t="s">
        <v>50</v>
      </c>
    </row>
    <row r="118" spans="1:12" x14ac:dyDescent="0.35">
      <c r="A118" s="11" t="s">
        <v>41</v>
      </c>
      <c r="B118" s="12">
        <v>847424</v>
      </c>
      <c r="C118" s="11" t="s">
        <v>315</v>
      </c>
      <c r="D118" s="11">
        <v>1</v>
      </c>
      <c r="E118" s="12" t="s">
        <v>28</v>
      </c>
      <c r="F118" s="11" t="s">
        <v>417</v>
      </c>
      <c r="G118" s="11" t="s">
        <v>316</v>
      </c>
      <c r="H118" s="11" t="s">
        <v>108</v>
      </c>
      <c r="I118" s="11" t="s">
        <v>26</v>
      </c>
      <c r="J118" s="11">
        <v>4511451251</v>
      </c>
      <c r="K118" s="11" t="s">
        <v>36</v>
      </c>
      <c r="L118" s="11" t="s">
        <v>110</v>
      </c>
    </row>
    <row r="119" spans="1:12" x14ac:dyDescent="0.35">
      <c r="A119" s="11" t="s">
        <v>41</v>
      </c>
      <c r="B119" s="12">
        <v>862994</v>
      </c>
      <c r="C119" s="11" t="s">
        <v>217</v>
      </c>
      <c r="D119" s="11">
        <v>4</v>
      </c>
      <c r="E119" s="12" t="s">
        <v>129</v>
      </c>
      <c r="F119" s="11" t="s">
        <v>440</v>
      </c>
      <c r="G119" s="11" t="s">
        <v>218</v>
      </c>
      <c r="H119" s="11" t="s">
        <v>123</v>
      </c>
      <c r="I119" s="11" t="s">
        <v>26</v>
      </c>
      <c r="J119" s="11">
        <v>4511453076</v>
      </c>
      <c r="K119" s="11" t="s">
        <v>36</v>
      </c>
      <c r="L119" s="11" t="s">
        <v>110</v>
      </c>
    </row>
    <row r="120" spans="1:12" x14ac:dyDescent="0.35">
      <c r="A120" s="11" t="s">
        <v>41</v>
      </c>
      <c r="B120" s="12">
        <v>865749</v>
      </c>
      <c r="C120" s="11" t="s">
        <v>223</v>
      </c>
      <c r="D120" s="11">
        <v>1</v>
      </c>
      <c r="E120" s="12" t="s">
        <v>28</v>
      </c>
      <c r="F120" s="11" t="s">
        <v>441</v>
      </c>
      <c r="G120" s="11" t="s">
        <v>224</v>
      </c>
      <c r="H120" s="11" t="s">
        <v>123</v>
      </c>
      <c r="I120" s="11" t="s">
        <v>26</v>
      </c>
      <c r="J120" s="11">
        <v>4511453220</v>
      </c>
      <c r="K120" s="11" t="s">
        <v>36</v>
      </c>
      <c r="L120" s="11" t="s">
        <v>50</v>
      </c>
    </row>
    <row r="121" spans="1:12" x14ac:dyDescent="0.35">
      <c r="A121" s="11" t="s">
        <v>41</v>
      </c>
      <c r="B121" s="12">
        <v>865760</v>
      </c>
      <c r="C121" s="11" t="s">
        <v>225</v>
      </c>
      <c r="D121" s="11">
        <v>1</v>
      </c>
      <c r="E121" s="12" t="s">
        <v>28</v>
      </c>
      <c r="F121" s="11" t="s">
        <v>441</v>
      </c>
      <c r="G121" s="11" t="s">
        <v>224</v>
      </c>
      <c r="H121" s="11" t="s">
        <v>123</v>
      </c>
      <c r="I121" s="11" t="s">
        <v>26</v>
      </c>
      <c r="J121" s="11">
        <v>4511453220</v>
      </c>
      <c r="K121" s="11" t="s">
        <v>36</v>
      </c>
      <c r="L121" s="11" t="s">
        <v>50</v>
      </c>
    </row>
    <row r="122" spans="1:12" x14ac:dyDescent="0.35">
      <c r="A122" s="11" t="s">
        <v>41</v>
      </c>
      <c r="B122" s="12">
        <v>866025</v>
      </c>
      <c r="C122" s="11" t="s">
        <v>389</v>
      </c>
      <c r="D122" s="11">
        <v>5</v>
      </c>
      <c r="E122" s="12" t="s">
        <v>28</v>
      </c>
      <c r="F122" s="11" t="s">
        <v>409</v>
      </c>
      <c r="G122" s="11" t="s">
        <v>387</v>
      </c>
      <c r="H122" s="11" t="s">
        <v>43</v>
      </c>
      <c r="I122" s="11" t="s">
        <v>26</v>
      </c>
      <c r="J122" s="11">
        <v>4511456426</v>
      </c>
      <c r="K122" s="11" t="s">
        <v>36</v>
      </c>
      <c r="L122" s="11" t="s">
        <v>110</v>
      </c>
    </row>
    <row r="123" spans="1:12" x14ac:dyDescent="0.35">
      <c r="A123" s="11" t="s">
        <v>41</v>
      </c>
      <c r="B123" s="12">
        <v>866353</v>
      </c>
      <c r="C123" s="11" t="s">
        <v>199</v>
      </c>
      <c r="D123" s="11">
        <v>1</v>
      </c>
      <c r="E123" s="12" t="s">
        <v>28</v>
      </c>
      <c r="F123" s="11" t="s">
        <v>429</v>
      </c>
      <c r="G123" s="11" t="s">
        <v>200</v>
      </c>
      <c r="H123" s="11" t="s">
        <v>123</v>
      </c>
      <c r="I123" s="11" t="s">
        <v>26</v>
      </c>
      <c r="J123" s="11">
        <v>4511453703</v>
      </c>
      <c r="K123" s="11" t="s">
        <v>36</v>
      </c>
      <c r="L123" s="11" t="s">
        <v>50</v>
      </c>
    </row>
    <row r="124" spans="1:12" x14ac:dyDescent="0.35">
      <c r="A124" s="11" t="s">
        <v>41</v>
      </c>
      <c r="B124" s="12">
        <v>867867</v>
      </c>
      <c r="C124" s="11" t="s">
        <v>282</v>
      </c>
      <c r="D124" s="11">
        <v>2</v>
      </c>
      <c r="E124" s="12" t="s">
        <v>28</v>
      </c>
      <c r="F124" s="11" t="s">
        <v>434</v>
      </c>
      <c r="G124" s="11" t="s">
        <v>283</v>
      </c>
      <c r="H124" s="11" t="s">
        <v>43</v>
      </c>
      <c r="I124" s="11" t="s">
        <v>26</v>
      </c>
      <c r="J124" s="11">
        <v>4511444102</v>
      </c>
      <c r="K124" s="11" t="s">
        <v>30</v>
      </c>
      <c r="L124" s="11" t="s">
        <v>50</v>
      </c>
    </row>
    <row r="125" spans="1:12" x14ac:dyDescent="0.35">
      <c r="A125" s="11" t="s">
        <v>41</v>
      </c>
      <c r="B125" s="12">
        <v>867875</v>
      </c>
      <c r="C125" s="11" t="s">
        <v>358</v>
      </c>
      <c r="D125" s="11">
        <v>4</v>
      </c>
      <c r="E125" s="12" t="s">
        <v>28</v>
      </c>
      <c r="F125" s="11" t="s">
        <v>424</v>
      </c>
      <c r="G125" s="11" t="s">
        <v>359</v>
      </c>
      <c r="H125" s="11" t="s">
        <v>108</v>
      </c>
      <c r="I125" s="11" t="s">
        <v>26</v>
      </c>
      <c r="J125" s="11">
        <v>4511444507</v>
      </c>
      <c r="K125" s="11" t="s">
        <v>30</v>
      </c>
      <c r="L125" s="11" t="s">
        <v>51</v>
      </c>
    </row>
    <row r="126" spans="1:12" x14ac:dyDescent="0.35">
      <c r="A126" s="11" t="s">
        <v>41</v>
      </c>
      <c r="B126" s="12">
        <v>867875</v>
      </c>
      <c r="C126" s="11" t="s">
        <v>358</v>
      </c>
      <c r="D126" s="11">
        <v>2</v>
      </c>
      <c r="E126" s="12" t="s">
        <v>28</v>
      </c>
      <c r="F126" s="11" t="s">
        <v>424</v>
      </c>
      <c r="G126" s="11" t="s">
        <v>361</v>
      </c>
      <c r="H126" s="11" t="s">
        <v>108</v>
      </c>
      <c r="I126" s="11" t="s">
        <v>26</v>
      </c>
      <c r="J126" s="11">
        <v>4511445281</v>
      </c>
      <c r="K126" s="11" t="s">
        <v>36</v>
      </c>
      <c r="L126" s="11" t="s">
        <v>50</v>
      </c>
    </row>
    <row r="127" spans="1:12" x14ac:dyDescent="0.35">
      <c r="A127" s="11" t="s">
        <v>41</v>
      </c>
      <c r="B127" s="12">
        <v>869012</v>
      </c>
      <c r="C127" s="11" t="s">
        <v>173</v>
      </c>
      <c r="D127" s="11">
        <v>1</v>
      </c>
      <c r="E127" s="12" t="s">
        <v>28</v>
      </c>
      <c r="F127" s="11" t="s">
        <v>442</v>
      </c>
      <c r="G127" s="11" t="s">
        <v>174</v>
      </c>
      <c r="H127" s="11" t="s">
        <v>108</v>
      </c>
      <c r="I127" s="11" t="s">
        <v>26</v>
      </c>
      <c r="J127" s="11">
        <v>4511449945</v>
      </c>
      <c r="K127" s="11" t="s">
        <v>30</v>
      </c>
      <c r="L127" s="11" t="s">
        <v>50</v>
      </c>
    </row>
    <row r="128" spans="1:12" x14ac:dyDescent="0.35">
      <c r="A128" s="11" t="s">
        <v>41</v>
      </c>
      <c r="B128" s="12">
        <v>869012</v>
      </c>
      <c r="C128" s="11" t="s">
        <v>173</v>
      </c>
      <c r="D128" s="11">
        <v>1</v>
      </c>
      <c r="E128" s="12" t="s">
        <v>28</v>
      </c>
      <c r="F128" s="11" t="s">
        <v>442</v>
      </c>
      <c r="G128" s="11" t="s">
        <v>174</v>
      </c>
      <c r="H128" s="11" t="s">
        <v>124</v>
      </c>
      <c r="I128" s="11" t="s">
        <v>26</v>
      </c>
      <c r="J128" s="11">
        <v>4511449945</v>
      </c>
      <c r="K128" s="11" t="s">
        <v>30</v>
      </c>
      <c r="L128" s="11" t="s">
        <v>50</v>
      </c>
    </row>
    <row r="129" spans="1:12" x14ac:dyDescent="0.35">
      <c r="A129" s="11" t="s">
        <v>41</v>
      </c>
      <c r="B129" s="12">
        <v>871742</v>
      </c>
      <c r="C129" s="11" t="s">
        <v>364</v>
      </c>
      <c r="D129" s="11">
        <v>10</v>
      </c>
      <c r="E129" s="12" t="s">
        <v>28</v>
      </c>
      <c r="F129" s="11" t="s">
        <v>436</v>
      </c>
      <c r="G129" s="11" t="s">
        <v>365</v>
      </c>
      <c r="H129" s="11" t="s">
        <v>108</v>
      </c>
      <c r="I129" s="11" t="s">
        <v>26</v>
      </c>
      <c r="J129" s="11">
        <v>4511443949</v>
      </c>
      <c r="K129" s="11" t="s">
        <v>30</v>
      </c>
      <c r="L129" s="11" t="s">
        <v>51</v>
      </c>
    </row>
    <row r="130" spans="1:12" x14ac:dyDescent="0.35">
      <c r="A130" s="11" t="s">
        <v>41</v>
      </c>
      <c r="B130" s="12">
        <v>878996</v>
      </c>
      <c r="C130" s="11" t="s">
        <v>284</v>
      </c>
      <c r="D130" s="11">
        <v>1</v>
      </c>
      <c r="E130" s="12" t="s">
        <v>28</v>
      </c>
      <c r="F130" s="11" t="s">
        <v>434</v>
      </c>
      <c r="G130" s="11" t="s">
        <v>285</v>
      </c>
      <c r="H130" s="11" t="s">
        <v>123</v>
      </c>
      <c r="I130" s="11" t="s">
        <v>26</v>
      </c>
      <c r="J130" s="11">
        <v>4511450608</v>
      </c>
      <c r="K130" s="11" t="s">
        <v>30</v>
      </c>
      <c r="L130" s="11" t="s">
        <v>50</v>
      </c>
    </row>
    <row r="131" spans="1:12" x14ac:dyDescent="0.35">
      <c r="A131" s="11" t="s">
        <v>41</v>
      </c>
      <c r="B131" s="12">
        <v>879925</v>
      </c>
      <c r="C131" s="11" t="s">
        <v>265</v>
      </c>
      <c r="D131" s="11">
        <v>18</v>
      </c>
      <c r="E131" s="12" t="s">
        <v>28</v>
      </c>
      <c r="F131" s="11" t="s">
        <v>434</v>
      </c>
      <c r="G131" s="11" t="s">
        <v>266</v>
      </c>
      <c r="H131" s="11" t="s">
        <v>108</v>
      </c>
      <c r="I131" s="11" t="s">
        <v>26</v>
      </c>
      <c r="J131" s="11">
        <v>4511445560</v>
      </c>
      <c r="K131" s="11" t="s">
        <v>30</v>
      </c>
      <c r="L131" s="11" t="s">
        <v>51</v>
      </c>
    </row>
    <row r="132" spans="1:12" x14ac:dyDescent="0.35">
      <c r="A132" s="11" t="s">
        <v>41</v>
      </c>
      <c r="B132" s="12">
        <v>880929</v>
      </c>
      <c r="C132" s="11" t="s">
        <v>277</v>
      </c>
      <c r="D132" s="11">
        <v>1</v>
      </c>
      <c r="E132" s="12" t="s">
        <v>28</v>
      </c>
      <c r="F132" s="11" t="s">
        <v>443</v>
      </c>
      <c r="G132" s="11" t="s">
        <v>149</v>
      </c>
      <c r="H132" s="11" t="s">
        <v>108</v>
      </c>
      <c r="I132" s="11" t="s">
        <v>26</v>
      </c>
      <c r="J132" s="11">
        <v>4511443456</v>
      </c>
      <c r="K132" s="11" t="s">
        <v>30</v>
      </c>
      <c r="L132" s="11" t="s">
        <v>51</v>
      </c>
    </row>
    <row r="133" spans="1:12" x14ac:dyDescent="0.35">
      <c r="A133" s="11" t="s">
        <v>41</v>
      </c>
      <c r="B133" s="12">
        <v>880970</v>
      </c>
      <c r="C133" s="11" t="s">
        <v>278</v>
      </c>
      <c r="D133" s="11">
        <v>1</v>
      </c>
      <c r="E133" s="12" t="s">
        <v>28</v>
      </c>
      <c r="F133" s="11" t="s">
        <v>443</v>
      </c>
      <c r="G133" s="11" t="s">
        <v>149</v>
      </c>
      <c r="H133" s="11" t="s">
        <v>108</v>
      </c>
      <c r="I133" s="11" t="s">
        <v>26</v>
      </c>
      <c r="J133" s="11">
        <v>4511443456</v>
      </c>
      <c r="K133" s="11" t="s">
        <v>30</v>
      </c>
      <c r="L133" s="11" t="s">
        <v>51</v>
      </c>
    </row>
    <row r="134" spans="1:12" x14ac:dyDescent="0.35">
      <c r="A134" s="11" t="s">
        <v>41</v>
      </c>
      <c r="B134" s="12">
        <v>880971</v>
      </c>
      <c r="C134" s="11" t="s">
        <v>279</v>
      </c>
      <c r="D134" s="11">
        <v>1</v>
      </c>
      <c r="E134" s="12" t="s">
        <v>28</v>
      </c>
      <c r="F134" s="11" t="s">
        <v>443</v>
      </c>
      <c r="G134" s="11" t="s">
        <v>149</v>
      </c>
      <c r="H134" s="11" t="s">
        <v>108</v>
      </c>
      <c r="I134" s="11" t="s">
        <v>26</v>
      </c>
      <c r="J134" s="11">
        <v>4511443456</v>
      </c>
      <c r="K134" s="11" t="s">
        <v>30</v>
      </c>
      <c r="L134" s="11" t="s">
        <v>51</v>
      </c>
    </row>
    <row r="135" spans="1:12" x14ac:dyDescent="0.35">
      <c r="A135" s="11" t="s">
        <v>41</v>
      </c>
      <c r="B135" s="12">
        <v>880976</v>
      </c>
      <c r="C135" s="11" t="s">
        <v>280</v>
      </c>
      <c r="D135" s="11">
        <v>1</v>
      </c>
      <c r="E135" s="12" t="s">
        <v>28</v>
      </c>
      <c r="F135" s="11" t="s">
        <v>443</v>
      </c>
      <c r="G135" s="11" t="s">
        <v>149</v>
      </c>
      <c r="H135" s="11" t="s">
        <v>43</v>
      </c>
      <c r="I135" s="11" t="s">
        <v>26</v>
      </c>
      <c r="J135" s="11">
        <v>4511443456</v>
      </c>
      <c r="K135" s="11" t="s">
        <v>30</v>
      </c>
      <c r="L135" s="11" t="s">
        <v>51</v>
      </c>
    </row>
    <row r="136" spans="1:12" x14ac:dyDescent="0.35">
      <c r="A136" s="11" t="s">
        <v>41</v>
      </c>
      <c r="B136" s="12">
        <v>880979</v>
      </c>
      <c r="C136" s="11" t="s">
        <v>281</v>
      </c>
      <c r="D136" s="11">
        <v>1</v>
      </c>
      <c r="E136" s="12" t="s">
        <v>28</v>
      </c>
      <c r="F136" s="11" t="s">
        <v>443</v>
      </c>
      <c r="G136" s="11" t="s">
        <v>149</v>
      </c>
      <c r="H136" s="11" t="s">
        <v>43</v>
      </c>
      <c r="I136" s="11" t="s">
        <v>26</v>
      </c>
      <c r="J136" s="11">
        <v>4511443456</v>
      </c>
      <c r="K136" s="11" t="s">
        <v>30</v>
      </c>
      <c r="L136" s="11" t="s">
        <v>51</v>
      </c>
    </row>
    <row r="137" spans="1:12" x14ac:dyDescent="0.35">
      <c r="A137" s="11" t="s">
        <v>41</v>
      </c>
      <c r="B137" s="12">
        <v>880979</v>
      </c>
      <c r="C137" s="11" t="s">
        <v>281</v>
      </c>
      <c r="D137" s="11">
        <v>1</v>
      </c>
      <c r="E137" s="12" t="s">
        <v>28</v>
      </c>
      <c r="F137" s="11" t="s">
        <v>443</v>
      </c>
      <c r="G137" s="11" t="s">
        <v>149</v>
      </c>
      <c r="H137" s="11" t="s">
        <v>108</v>
      </c>
      <c r="I137" s="11" t="s">
        <v>26</v>
      </c>
      <c r="J137" s="11">
        <v>4511443456</v>
      </c>
      <c r="K137" s="11" t="s">
        <v>30</v>
      </c>
      <c r="L137" s="11" t="s">
        <v>51</v>
      </c>
    </row>
    <row r="138" spans="1:12" x14ac:dyDescent="0.35">
      <c r="A138" s="11" t="s">
        <v>41</v>
      </c>
      <c r="B138" s="12">
        <v>884795</v>
      </c>
      <c r="C138" s="11" t="s">
        <v>175</v>
      </c>
      <c r="D138" s="11">
        <v>1</v>
      </c>
      <c r="E138" s="12" t="s">
        <v>28</v>
      </c>
      <c r="F138" s="11" t="s">
        <v>442</v>
      </c>
      <c r="G138" s="11" t="s">
        <v>176</v>
      </c>
      <c r="H138" s="11" t="s">
        <v>108</v>
      </c>
      <c r="I138" s="11" t="s">
        <v>26</v>
      </c>
      <c r="J138" s="11">
        <v>4511449897</v>
      </c>
      <c r="K138" s="11" t="s">
        <v>36</v>
      </c>
      <c r="L138" s="11" t="s">
        <v>51</v>
      </c>
    </row>
    <row r="139" spans="1:12" x14ac:dyDescent="0.35">
      <c r="A139" s="11" t="s">
        <v>41</v>
      </c>
      <c r="B139" s="12">
        <v>884797</v>
      </c>
      <c r="C139" s="11" t="s">
        <v>350</v>
      </c>
      <c r="D139" s="11">
        <v>1</v>
      </c>
      <c r="E139" s="12" t="s">
        <v>28</v>
      </c>
      <c r="F139" s="11" t="s">
        <v>424</v>
      </c>
      <c r="G139" s="11" t="s">
        <v>349</v>
      </c>
      <c r="H139" s="11" t="s">
        <v>108</v>
      </c>
      <c r="I139" s="11" t="s">
        <v>26</v>
      </c>
      <c r="J139" s="11">
        <v>4511449170</v>
      </c>
      <c r="K139" s="11" t="s">
        <v>36</v>
      </c>
      <c r="L139" s="11" t="s">
        <v>51</v>
      </c>
    </row>
    <row r="140" spans="1:12" x14ac:dyDescent="0.35">
      <c r="A140" s="11" t="s">
        <v>41</v>
      </c>
      <c r="B140" s="12">
        <v>884797</v>
      </c>
      <c r="C140" s="11" t="s">
        <v>350</v>
      </c>
      <c r="D140" s="11">
        <v>1</v>
      </c>
      <c r="E140" s="12" t="s">
        <v>28</v>
      </c>
      <c r="F140" s="11" t="s">
        <v>424</v>
      </c>
      <c r="G140" s="11" t="s">
        <v>353</v>
      </c>
      <c r="H140" s="11" t="s">
        <v>108</v>
      </c>
      <c r="I140" s="11" t="s">
        <v>26</v>
      </c>
      <c r="J140" s="11">
        <v>4511449866</v>
      </c>
      <c r="K140" s="11" t="s">
        <v>36</v>
      </c>
      <c r="L140" s="11" t="s">
        <v>50</v>
      </c>
    </row>
    <row r="141" spans="1:12" x14ac:dyDescent="0.35">
      <c r="A141" s="11" t="s">
        <v>41</v>
      </c>
      <c r="B141" s="12">
        <v>893870</v>
      </c>
      <c r="C141" s="11" t="s">
        <v>362</v>
      </c>
      <c r="D141" s="11">
        <v>1</v>
      </c>
      <c r="E141" s="12" t="s">
        <v>28</v>
      </c>
      <c r="F141" s="11" t="s">
        <v>436</v>
      </c>
      <c r="G141" s="11" t="s">
        <v>363</v>
      </c>
      <c r="H141" s="11" t="s">
        <v>108</v>
      </c>
      <c r="I141" s="11" t="s">
        <v>26</v>
      </c>
      <c r="J141" s="11">
        <v>4511449924</v>
      </c>
      <c r="K141" s="11" t="s">
        <v>30</v>
      </c>
      <c r="L141" s="11" t="s">
        <v>50</v>
      </c>
    </row>
    <row r="142" spans="1:12" x14ac:dyDescent="0.35">
      <c r="A142" s="11" t="s">
        <v>41</v>
      </c>
      <c r="B142" s="12">
        <v>893870</v>
      </c>
      <c r="C142" s="11" t="s">
        <v>362</v>
      </c>
      <c r="D142" s="11">
        <v>4</v>
      </c>
      <c r="E142" s="12" t="s">
        <v>28</v>
      </c>
      <c r="F142" s="11" t="s">
        <v>436</v>
      </c>
      <c r="G142" s="11" t="s">
        <v>365</v>
      </c>
      <c r="H142" s="11" t="s">
        <v>108</v>
      </c>
      <c r="I142" s="11" t="s">
        <v>26</v>
      </c>
      <c r="J142" s="11">
        <v>4511443949</v>
      </c>
      <c r="K142" s="11" t="s">
        <v>30</v>
      </c>
      <c r="L142" s="11" t="s">
        <v>51</v>
      </c>
    </row>
    <row r="143" spans="1:12" x14ac:dyDescent="0.35">
      <c r="A143" s="11" t="s">
        <v>41</v>
      </c>
      <c r="B143" s="12">
        <v>894475</v>
      </c>
      <c r="C143" s="11" t="s">
        <v>253</v>
      </c>
      <c r="D143" s="11">
        <v>6</v>
      </c>
      <c r="E143" s="12" t="s">
        <v>121</v>
      </c>
      <c r="F143" s="11" t="s">
        <v>434</v>
      </c>
      <c r="G143" s="11" t="s">
        <v>254</v>
      </c>
      <c r="H143" s="11" t="s">
        <v>108</v>
      </c>
      <c r="I143" s="11" t="s">
        <v>26</v>
      </c>
      <c r="J143" s="11">
        <v>4511450724</v>
      </c>
      <c r="K143" s="11" t="s">
        <v>36</v>
      </c>
      <c r="L143" s="11" t="s">
        <v>51</v>
      </c>
    </row>
    <row r="144" spans="1:12" x14ac:dyDescent="0.35">
      <c r="A144" s="11" t="s">
        <v>41</v>
      </c>
      <c r="B144" s="12">
        <v>899370</v>
      </c>
      <c r="C144" s="11" t="s">
        <v>226</v>
      </c>
      <c r="D144" s="11">
        <v>1</v>
      </c>
      <c r="E144" s="12" t="s">
        <v>28</v>
      </c>
      <c r="F144" s="11" t="s">
        <v>441</v>
      </c>
      <c r="G144" s="11" t="s">
        <v>224</v>
      </c>
      <c r="H144" s="11" t="s">
        <v>123</v>
      </c>
      <c r="I144" s="11" t="s">
        <v>26</v>
      </c>
      <c r="J144" s="11">
        <v>4511453220</v>
      </c>
      <c r="K144" s="11" t="s">
        <v>36</v>
      </c>
      <c r="L144" s="11" t="s">
        <v>50</v>
      </c>
    </row>
    <row r="145" spans="1:12" x14ac:dyDescent="0.35">
      <c r="A145" s="11" t="s">
        <v>41</v>
      </c>
      <c r="B145" s="12">
        <v>70015495</v>
      </c>
      <c r="C145" s="11" t="s">
        <v>245</v>
      </c>
      <c r="D145" s="11">
        <v>3</v>
      </c>
      <c r="E145" s="12" t="s">
        <v>28</v>
      </c>
      <c r="F145" s="11" t="s">
        <v>36</v>
      </c>
      <c r="G145" s="11" t="s">
        <v>244</v>
      </c>
      <c r="H145" s="11" t="s">
        <v>36</v>
      </c>
      <c r="I145" s="11" t="s">
        <v>36</v>
      </c>
      <c r="J145" s="11">
        <v>4511452987</v>
      </c>
      <c r="K145" s="11" t="s">
        <v>36</v>
      </c>
      <c r="L145" s="11" t="s">
        <v>136</v>
      </c>
    </row>
    <row r="146" spans="1:12" x14ac:dyDescent="0.35">
      <c r="A146" s="11" t="s">
        <v>41</v>
      </c>
      <c r="B146" s="12">
        <v>70019176</v>
      </c>
      <c r="C146" s="11" t="s">
        <v>227</v>
      </c>
      <c r="D146" s="11">
        <v>1</v>
      </c>
      <c r="E146" s="12" t="s">
        <v>28</v>
      </c>
      <c r="F146" s="11" t="s">
        <v>441</v>
      </c>
      <c r="G146" s="11" t="s">
        <v>224</v>
      </c>
      <c r="H146" s="11" t="s">
        <v>123</v>
      </c>
      <c r="I146" s="11" t="s">
        <v>26</v>
      </c>
      <c r="J146" s="11">
        <v>4511453220</v>
      </c>
      <c r="K146" s="11" t="s">
        <v>36</v>
      </c>
      <c r="L146" s="11" t="s">
        <v>50</v>
      </c>
    </row>
    <row r="147" spans="1:12" x14ac:dyDescent="0.35">
      <c r="A147" s="11" t="s">
        <v>41</v>
      </c>
      <c r="B147" s="12">
        <v>70022246</v>
      </c>
      <c r="C147" s="11" t="s">
        <v>366</v>
      </c>
      <c r="D147" s="11">
        <v>25</v>
      </c>
      <c r="E147" s="12" t="s">
        <v>111</v>
      </c>
      <c r="F147" s="11" t="s">
        <v>436</v>
      </c>
      <c r="G147" s="11" t="s">
        <v>365</v>
      </c>
      <c r="H147" s="11" t="s">
        <v>108</v>
      </c>
      <c r="I147" s="11" t="s">
        <v>26</v>
      </c>
      <c r="J147" s="11">
        <v>4511443949</v>
      </c>
      <c r="K147" s="11" t="s">
        <v>30</v>
      </c>
      <c r="L147" s="11" t="s">
        <v>51</v>
      </c>
    </row>
    <row r="148" spans="1:12" x14ac:dyDescent="0.35">
      <c r="A148" s="11" t="s">
        <v>41</v>
      </c>
      <c r="B148" s="12">
        <v>70022247</v>
      </c>
      <c r="C148" s="11" t="s">
        <v>367</v>
      </c>
      <c r="D148" s="11">
        <v>40</v>
      </c>
      <c r="E148" s="12" t="s">
        <v>111</v>
      </c>
      <c r="F148" s="11" t="s">
        <v>436</v>
      </c>
      <c r="G148" s="11" t="s">
        <v>365</v>
      </c>
      <c r="H148" s="11" t="s">
        <v>108</v>
      </c>
      <c r="I148" s="11" t="s">
        <v>26</v>
      </c>
      <c r="J148" s="11">
        <v>4511443949</v>
      </c>
      <c r="K148" s="11" t="s">
        <v>30</v>
      </c>
      <c r="L148" s="11" t="s">
        <v>51</v>
      </c>
    </row>
    <row r="149" spans="1:12" x14ac:dyDescent="0.35">
      <c r="A149" s="11" t="s">
        <v>41</v>
      </c>
      <c r="B149" s="12">
        <v>70024167</v>
      </c>
      <c r="C149" s="11" t="s">
        <v>182</v>
      </c>
      <c r="D149" s="11">
        <v>2</v>
      </c>
      <c r="E149" s="12" t="s">
        <v>28</v>
      </c>
      <c r="F149" s="11" t="s">
        <v>442</v>
      </c>
      <c r="G149" s="11" t="s">
        <v>183</v>
      </c>
      <c r="H149" s="11" t="s">
        <v>124</v>
      </c>
      <c r="I149" s="11" t="s">
        <v>26</v>
      </c>
      <c r="J149" s="11">
        <v>4511447189</v>
      </c>
      <c r="K149" s="11" t="s">
        <v>30</v>
      </c>
      <c r="L149" s="11" t="s">
        <v>51</v>
      </c>
    </row>
    <row r="150" spans="1:12" x14ac:dyDescent="0.35">
      <c r="A150" s="11" t="s">
        <v>41</v>
      </c>
      <c r="B150" s="12">
        <v>70024179</v>
      </c>
      <c r="C150" s="11" t="s">
        <v>184</v>
      </c>
      <c r="D150" s="11">
        <v>2</v>
      </c>
      <c r="E150" s="12" t="s">
        <v>28</v>
      </c>
      <c r="F150" s="11" t="s">
        <v>442</v>
      </c>
      <c r="G150" s="11" t="s">
        <v>183</v>
      </c>
      <c r="H150" s="11" t="s">
        <v>124</v>
      </c>
      <c r="I150" s="11" t="s">
        <v>26</v>
      </c>
      <c r="J150" s="11">
        <v>4511447189</v>
      </c>
      <c r="K150" s="11" t="s">
        <v>30</v>
      </c>
      <c r="L150" s="11" t="s">
        <v>51</v>
      </c>
    </row>
    <row r="151" spans="1:12" x14ac:dyDescent="0.35">
      <c r="A151" s="11" t="s">
        <v>41</v>
      </c>
      <c r="B151" s="12">
        <v>70025355</v>
      </c>
      <c r="C151" s="11" t="s">
        <v>368</v>
      </c>
      <c r="D151" s="11">
        <v>14</v>
      </c>
      <c r="E151" s="12" t="s">
        <v>28</v>
      </c>
      <c r="F151" s="11" t="s">
        <v>436</v>
      </c>
      <c r="G151" s="11" t="s">
        <v>365</v>
      </c>
      <c r="H151" s="11" t="s">
        <v>108</v>
      </c>
      <c r="I151" s="11" t="s">
        <v>26</v>
      </c>
      <c r="J151" s="11">
        <v>4511443949</v>
      </c>
      <c r="K151" s="11" t="s">
        <v>30</v>
      </c>
      <c r="L151" s="11" t="s">
        <v>51</v>
      </c>
    </row>
    <row r="152" spans="1:12" x14ac:dyDescent="0.35">
      <c r="A152" s="11" t="s">
        <v>41</v>
      </c>
      <c r="B152" s="12">
        <v>70032264</v>
      </c>
      <c r="C152" s="11" t="s">
        <v>177</v>
      </c>
      <c r="D152" s="11">
        <v>2</v>
      </c>
      <c r="E152" s="12" t="s">
        <v>28</v>
      </c>
      <c r="F152" s="11" t="s">
        <v>36</v>
      </c>
      <c r="G152" s="11" t="s">
        <v>176</v>
      </c>
      <c r="H152" s="11" t="s">
        <v>36</v>
      </c>
      <c r="I152" s="11" t="s">
        <v>36</v>
      </c>
      <c r="J152" s="11">
        <v>4511449897</v>
      </c>
      <c r="K152" s="11" t="s">
        <v>36</v>
      </c>
      <c r="L152" s="11" t="s">
        <v>51</v>
      </c>
    </row>
    <row r="153" spans="1:12" x14ac:dyDescent="0.35">
      <c r="A153" s="11" t="s">
        <v>41</v>
      </c>
      <c r="B153" s="12">
        <v>70032271</v>
      </c>
      <c r="C153" s="11" t="s">
        <v>178</v>
      </c>
      <c r="D153" s="11">
        <v>1</v>
      </c>
      <c r="E153" s="12" t="s">
        <v>28</v>
      </c>
      <c r="F153" s="11" t="s">
        <v>36</v>
      </c>
      <c r="G153" s="11" t="s">
        <v>176</v>
      </c>
      <c r="H153" s="11" t="s">
        <v>36</v>
      </c>
      <c r="I153" s="11" t="s">
        <v>36</v>
      </c>
      <c r="J153" s="11">
        <v>4511449897</v>
      </c>
      <c r="K153" s="11" t="s">
        <v>36</v>
      </c>
      <c r="L153" s="11" t="s">
        <v>51</v>
      </c>
    </row>
    <row r="154" spans="1:12" x14ac:dyDescent="0.35">
      <c r="A154" s="11" t="s">
        <v>41</v>
      </c>
      <c r="B154" s="12">
        <v>70032272</v>
      </c>
      <c r="C154" s="11" t="s">
        <v>179</v>
      </c>
      <c r="D154" s="11">
        <v>1</v>
      </c>
      <c r="E154" s="12" t="s">
        <v>28</v>
      </c>
      <c r="F154" s="11" t="s">
        <v>36</v>
      </c>
      <c r="G154" s="11" t="s">
        <v>176</v>
      </c>
      <c r="H154" s="11" t="s">
        <v>36</v>
      </c>
      <c r="I154" s="11" t="s">
        <v>36</v>
      </c>
      <c r="J154" s="11">
        <v>4511449897</v>
      </c>
      <c r="K154" s="11" t="s">
        <v>36</v>
      </c>
      <c r="L154" s="11" t="s">
        <v>51</v>
      </c>
    </row>
    <row r="155" spans="1:12" x14ac:dyDescent="0.35">
      <c r="A155" s="11" t="s">
        <v>41</v>
      </c>
      <c r="B155" s="12">
        <v>70032277</v>
      </c>
      <c r="C155" s="11" t="s">
        <v>180</v>
      </c>
      <c r="D155" s="11">
        <v>5</v>
      </c>
      <c r="E155" s="12" t="s">
        <v>28</v>
      </c>
      <c r="F155" s="11" t="s">
        <v>36</v>
      </c>
      <c r="G155" s="11" t="s">
        <v>176</v>
      </c>
      <c r="H155" s="11" t="s">
        <v>36</v>
      </c>
      <c r="I155" s="11" t="s">
        <v>36</v>
      </c>
      <c r="J155" s="11">
        <v>4511449897</v>
      </c>
      <c r="K155" s="11" t="s">
        <v>36</v>
      </c>
      <c r="L155" s="11" t="s">
        <v>51</v>
      </c>
    </row>
    <row r="156" spans="1:12" x14ac:dyDescent="0.35">
      <c r="A156" s="11" t="s">
        <v>41</v>
      </c>
      <c r="B156" s="12">
        <v>70032285</v>
      </c>
      <c r="C156" s="11" t="s">
        <v>181</v>
      </c>
      <c r="D156" s="11">
        <v>4</v>
      </c>
      <c r="E156" s="12" t="s">
        <v>28</v>
      </c>
      <c r="F156" s="11" t="s">
        <v>36</v>
      </c>
      <c r="G156" s="11" t="s">
        <v>176</v>
      </c>
      <c r="H156" s="11" t="s">
        <v>36</v>
      </c>
      <c r="I156" s="11" t="s">
        <v>36</v>
      </c>
      <c r="J156" s="11">
        <v>4511449897</v>
      </c>
      <c r="K156" s="11" t="s">
        <v>36</v>
      </c>
      <c r="L156" s="11" t="s">
        <v>51</v>
      </c>
    </row>
    <row r="157" spans="1:12" x14ac:dyDescent="0.35">
      <c r="A157" s="11" t="s">
        <v>41</v>
      </c>
      <c r="B157" s="12">
        <v>70040046</v>
      </c>
      <c r="C157" s="11" t="s">
        <v>203</v>
      </c>
      <c r="D157" s="11">
        <v>2</v>
      </c>
      <c r="E157" s="12" t="s">
        <v>147</v>
      </c>
      <c r="F157" s="11" t="s">
        <v>447</v>
      </c>
      <c r="G157" s="11" t="s">
        <v>204</v>
      </c>
      <c r="H157" s="11" t="s">
        <v>43</v>
      </c>
      <c r="I157" s="11" t="s">
        <v>26</v>
      </c>
      <c r="J157" s="11">
        <v>4511453257</v>
      </c>
      <c r="K157" s="11" t="s">
        <v>30</v>
      </c>
      <c r="L157" s="11" t="s">
        <v>51</v>
      </c>
    </row>
    <row r="158" spans="1:12" x14ac:dyDescent="0.35">
      <c r="A158" s="11" t="s">
        <v>41</v>
      </c>
      <c r="B158" s="12">
        <v>70043991</v>
      </c>
      <c r="C158" s="11" t="s">
        <v>384</v>
      </c>
      <c r="D158" s="11">
        <v>3</v>
      </c>
      <c r="E158" s="12" t="s">
        <v>28</v>
      </c>
      <c r="F158" s="11" t="s">
        <v>413</v>
      </c>
      <c r="G158" s="11" t="s">
        <v>383</v>
      </c>
      <c r="H158" s="11" t="s">
        <v>38</v>
      </c>
      <c r="I158" s="11" t="s">
        <v>26</v>
      </c>
      <c r="J158" s="11">
        <v>5500022436</v>
      </c>
      <c r="K158" s="11" t="s">
        <v>30</v>
      </c>
      <c r="L158" s="11"/>
    </row>
    <row r="159" spans="1:12" x14ac:dyDescent="0.35">
      <c r="A159" s="11" t="s">
        <v>41</v>
      </c>
      <c r="B159" s="12">
        <v>70051918</v>
      </c>
      <c r="C159" s="11" t="s">
        <v>323</v>
      </c>
      <c r="D159" s="11">
        <v>1</v>
      </c>
      <c r="E159" s="12" t="s">
        <v>28</v>
      </c>
      <c r="F159" s="11" t="s">
        <v>417</v>
      </c>
      <c r="G159" s="11" t="s">
        <v>322</v>
      </c>
      <c r="H159" s="11" t="s">
        <v>43</v>
      </c>
      <c r="I159" s="11" t="s">
        <v>26</v>
      </c>
      <c r="J159" s="11">
        <v>4511455813</v>
      </c>
      <c r="K159" s="11" t="s">
        <v>36</v>
      </c>
      <c r="L159" s="11" t="s">
        <v>110</v>
      </c>
    </row>
    <row r="160" spans="1:12" x14ac:dyDescent="0.35">
      <c r="A160" s="11" t="s">
        <v>41</v>
      </c>
      <c r="B160" s="12">
        <v>70055857</v>
      </c>
      <c r="C160" s="11" t="s">
        <v>319</v>
      </c>
      <c r="D160" s="11">
        <v>1</v>
      </c>
      <c r="E160" s="12" t="s">
        <v>28</v>
      </c>
      <c r="F160" s="11" t="s">
        <v>36</v>
      </c>
      <c r="G160" s="11" t="s">
        <v>320</v>
      </c>
      <c r="H160" s="11" t="s">
        <v>36</v>
      </c>
      <c r="I160" s="11" t="s">
        <v>36</v>
      </c>
      <c r="J160" s="11">
        <v>4511455751</v>
      </c>
      <c r="K160" s="11" t="s">
        <v>36</v>
      </c>
      <c r="L160" s="11" t="s">
        <v>50</v>
      </c>
    </row>
    <row r="161" spans="1:12" x14ac:dyDescent="0.35">
      <c r="A161" s="11" t="s">
        <v>41</v>
      </c>
      <c r="B161" s="12">
        <v>70061899</v>
      </c>
      <c r="C161" s="11" t="s">
        <v>257</v>
      </c>
      <c r="D161" s="11">
        <v>2</v>
      </c>
      <c r="E161" s="12" t="s">
        <v>28</v>
      </c>
      <c r="F161" s="11" t="s">
        <v>434</v>
      </c>
      <c r="G161" s="11" t="s">
        <v>258</v>
      </c>
      <c r="H161" s="11" t="s">
        <v>108</v>
      </c>
      <c r="I161" s="11" t="s">
        <v>26</v>
      </c>
      <c r="J161" s="11">
        <v>4511445332</v>
      </c>
      <c r="K161" s="11" t="s">
        <v>36</v>
      </c>
      <c r="L161" s="11" t="s">
        <v>110</v>
      </c>
    </row>
    <row r="162" spans="1:12" x14ac:dyDescent="0.35">
      <c r="A162" s="11" t="s">
        <v>41</v>
      </c>
      <c r="B162" s="12">
        <v>70064012</v>
      </c>
      <c r="C162" s="11" t="s">
        <v>402</v>
      </c>
      <c r="D162" s="11">
        <v>1</v>
      </c>
      <c r="E162" s="12" t="s">
        <v>45</v>
      </c>
      <c r="F162" s="11" t="s">
        <v>409</v>
      </c>
      <c r="G162" s="11" t="s">
        <v>401</v>
      </c>
      <c r="H162" s="11" t="s">
        <v>123</v>
      </c>
      <c r="I162" s="11" t="s">
        <v>26</v>
      </c>
      <c r="J162" s="11">
        <v>4511453612</v>
      </c>
      <c r="K162" s="11" t="s">
        <v>36</v>
      </c>
      <c r="L162" s="11" t="s">
        <v>110</v>
      </c>
    </row>
    <row r="163" spans="1:12" x14ac:dyDescent="0.35">
      <c r="A163" s="11" t="s">
        <v>41</v>
      </c>
      <c r="B163" s="12">
        <v>70068404</v>
      </c>
      <c r="C163" s="11" t="s">
        <v>185</v>
      </c>
      <c r="D163" s="11">
        <v>2</v>
      </c>
      <c r="E163" s="12" t="s">
        <v>28</v>
      </c>
      <c r="F163" s="11" t="s">
        <v>451</v>
      </c>
      <c r="G163" s="11" t="s">
        <v>186</v>
      </c>
      <c r="H163" s="11" t="s">
        <v>450</v>
      </c>
      <c r="I163" s="11" t="s">
        <v>120</v>
      </c>
      <c r="J163" s="11">
        <v>4511452724</v>
      </c>
      <c r="K163" s="11" t="s">
        <v>36</v>
      </c>
      <c r="L163" s="11" t="s">
        <v>136</v>
      </c>
    </row>
    <row r="164" spans="1:12" x14ac:dyDescent="0.35">
      <c r="A164" s="11" t="s">
        <v>41</v>
      </c>
      <c r="B164" s="12">
        <v>70069183</v>
      </c>
      <c r="C164" s="11" t="s">
        <v>339</v>
      </c>
      <c r="D164" s="11">
        <v>12</v>
      </c>
      <c r="E164" s="12" t="s">
        <v>28</v>
      </c>
      <c r="F164" s="11" t="s">
        <v>413</v>
      </c>
      <c r="G164" s="11" t="s">
        <v>383</v>
      </c>
      <c r="H164" s="11" t="s">
        <v>38</v>
      </c>
      <c r="I164" s="11" t="s">
        <v>26</v>
      </c>
      <c r="J164" s="11">
        <v>5500022436</v>
      </c>
      <c r="K164" s="11" t="s">
        <v>30</v>
      </c>
      <c r="L164" s="11"/>
    </row>
    <row r="165" spans="1:12" x14ac:dyDescent="0.35">
      <c r="A165" s="11" t="s">
        <v>41</v>
      </c>
      <c r="B165" s="12">
        <v>70069187</v>
      </c>
      <c r="C165" s="11" t="s">
        <v>385</v>
      </c>
      <c r="D165" s="11">
        <v>3</v>
      </c>
      <c r="E165" s="12" t="s">
        <v>28</v>
      </c>
      <c r="F165" s="11" t="s">
        <v>413</v>
      </c>
      <c r="G165" s="11" t="s">
        <v>383</v>
      </c>
      <c r="H165" s="11" t="s">
        <v>38</v>
      </c>
      <c r="I165" s="11" t="s">
        <v>26</v>
      </c>
      <c r="J165" s="11">
        <v>5500022436</v>
      </c>
      <c r="K165" s="11" t="s">
        <v>30</v>
      </c>
      <c r="L165" s="11"/>
    </row>
    <row r="166" spans="1:12" x14ac:dyDescent="0.35">
      <c r="A166" s="11" t="s">
        <v>41</v>
      </c>
      <c r="B166" s="12">
        <v>70070567</v>
      </c>
      <c r="C166" s="11" t="s">
        <v>205</v>
      </c>
      <c r="D166" s="11">
        <v>2</v>
      </c>
      <c r="E166" s="12" t="s">
        <v>28</v>
      </c>
      <c r="F166" s="11" t="s">
        <v>447</v>
      </c>
      <c r="G166" s="11" t="s">
        <v>204</v>
      </c>
      <c r="H166" s="11" t="s">
        <v>124</v>
      </c>
      <c r="I166" s="11" t="s">
        <v>26</v>
      </c>
      <c r="J166" s="11">
        <v>4511453257</v>
      </c>
      <c r="K166" s="11" t="s">
        <v>30</v>
      </c>
      <c r="L166" s="11" t="s">
        <v>51</v>
      </c>
    </row>
    <row r="167" spans="1:12" x14ac:dyDescent="0.35">
      <c r="A167" s="11" t="s">
        <v>41</v>
      </c>
      <c r="B167" s="12">
        <v>70084356</v>
      </c>
      <c r="C167" s="11" t="s">
        <v>374</v>
      </c>
      <c r="D167" s="11">
        <v>350</v>
      </c>
      <c r="E167" s="12" t="s">
        <v>112</v>
      </c>
      <c r="F167" s="11" t="s">
        <v>417</v>
      </c>
      <c r="G167" s="11" t="s">
        <v>375</v>
      </c>
      <c r="H167" s="11" t="s">
        <v>123</v>
      </c>
      <c r="I167" s="11" t="s">
        <v>26</v>
      </c>
      <c r="J167" s="11">
        <v>4511455812</v>
      </c>
      <c r="K167" s="11" t="s">
        <v>36</v>
      </c>
      <c r="L167" s="11" t="s">
        <v>110</v>
      </c>
    </row>
    <row r="168" spans="1:12" x14ac:dyDescent="0.35">
      <c r="A168" s="11" t="s">
        <v>41</v>
      </c>
      <c r="B168" s="12">
        <v>70084359</v>
      </c>
      <c r="C168" s="11" t="s">
        <v>376</v>
      </c>
      <c r="D168" s="11">
        <v>300</v>
      </c>
      <c r="E168" s="12" t="s">
        <v>112</v>
      </c>
      <c r="F168" s="11" t="s">
        <v>417</v>
      </c>
      <c r="G168" s="11" t="s">
        <v>375</v>
      </c>
      <c r="H168" s="11" t="s">
        <v>123</v>
      </c>
      <c r="I168" s="11" t="s">
        <v>26</v>
      </c>
      <c r="J168" s="11">
        <v>4511455812</v>
      </c>
      <c r="K168" s="11" t="s">
        <v>36</v>
      </c>
      <c r="L168" s="11" t="s">
        <v>110</v>
      </c>
    </row>
    <row r="169" spans="1:12" x14ac:dyDescent="0.35">
      <c r="A169" s="11" t="s">
        <v>41</v>
      </c>
      <c r="B169" s="12">
        <v>70084360</v>
      </c>
      <c r="C169" s="11" t="s">
        <v>324</v>
      </c>
      <c r="D169" s="11">
        <v>300</v>
      </c>
      <c r="E169" s="12" t="s">
        <v>112</v>
      </c>
      <c r="F169" s="11" t="s">
        <v>417</v>
      </c>
      <c r="G169" s="11" t="s">
        <v>375</v>
      </c>
      <c r="H169" s="11" t="s">
        <v>123</v>
      </c>
      <c r="I169" s="11" t="s">
        <v>26</v>
      </c>
      <c r="J169" s="11">
        <v>4511455812</v>
      </c>
      <c r="K169" s="11" t="s">
        <v>36</v>
      </c>
      <c r="L169" s="11" t="s">
        <v>110</v>
      </c>
    </row>
    <row r="170" spans="1:12" x14ac:dyDescent="0.35">
      <c r="A170" s="11" t="s">
        <v>41</v>
      </c>
      <c r="B170" s="12">
        <v>70084363</v>
      </c>
      <c r="C170" s="11" t="s">
        <v>377</v>
      </c>
      <c r="D170" s="11">
        <v>60</v>
      </c>
      <c r="E170" s="12" t="s">
        <v>112</v>
      </c>
      <c r="F170" s="11" t="s">
        <v>417</v>
      </c>
      <c r="G170" s="11" t="s">
        <v>375</v>
      </c>
      <c r="H170" s="11" t="s">
        <v>123</v>
      </c>
      <c r="I170" s="11" t="s">
        <v>26</v>
      </c>
      <c r="J170" s="11">
        <v>4511455812</v>
      </c>
      <c r="K170" s="11" t="s">
        <v>36</v>
      </c>
      <c r="L170" s="11" t="s">
        <v>110</v>
      </c>
    </row>
    <row r="171" spans="1:12" x14ac:dyDescent="0.35">
      <c r="A171" s="11" t="s">
        <v>41</v>
      </c>
      <c r="B171" s="12">
        <v>70084367</v>
      </c>
      <c r="C171" s="11" t="s">
        <v>378</v>
      </c>
      <c r="D171" s="11">
        <v>4</v>
      </c>
      <c r="E171" s="12" t="s">
        <v>112</v>
      </c>
      <c r="F171" s="11" t="s">
        <v>417</v>
      </c>
      <c r="G171" s="11" t="s">
        <v>375</v>
      </c>
      <c r="H171" s="11" t="s">
        <v>132</v>
      </c>
      <c r="I171" s="11" t="s">
        <v>26</v>
      </c>
      <c r="J171" s="11">
        <v>4511455812</v>
      </c>
      <c r="K171" s="11" t="s">
        <v>36</v>
      </c>
      <c r="L171" s="11" t="s">
        <v>110</v>
      </c>
    </row>
    <row r="172" spans="1:12" x14ac:dyDescent="0.35">
      <c r="A172" s="11" t="s">
        <v>41</v>
      </c>
      <c r="B172" s="12">
        <v>70084371</v>
      </c>
      <c r="C172" s="11" t="s">
        <v>148</v>
      </c>
      <c r="D172" s="11">
        <v>5</v>
      </c>
      <c r="E172" s="12" t="s">
        <v>112</v>
      </c>
      <c r="F172" s="11" t="s">
        <v>417</v>
      </c>
      <c r="G172" s="11" t="s">
        <v>326</v>
      </c>
      <c r="H172" s="11" t="s">
        <v>123</v>
      </c>
      <c r="I172" s="11" t="s">
        <v>26</v>
      </c>
      <c r="J172" s="11">
        <v>4511453644</v>
      </c>
      <c r="K172" s="11" t="s">
        <v>36</v>
      </c>
      <c r="L172" s="11" t="s">
        <v>110</v>
      </c>
    </row>
    <row r="173" spans="1:12" x14ac:dyDescent="0.35">
      <c r="A173" s="11" t="s">
        <v>41</v>
      </c>
      <c r="B173" s="12">
        <v>70087184</v>
      </c>
      <c r="C173" s="11" t="s">
        <v>302</v>
      </c>
      <c r="D173" s="11">
        <v>200</v>
      </c>
      <c r="E173" s="12" t="s">
        <v>28</v>
      </c>
      <c r="F173" s="11" t="s">
        <v>36</v>
      </c>
      <c r="G173" s="11" t="s">
        <v>303</v>
      </c>
      <c r="H173" s="11" t="s">
        <v>36</v>
      </c>
      <c r="I173" s="11" t="s">
        <v>36</v>
      </c>
      <c r="J173" s="11">
        <v>4511454187</v>
      </c>
      <c r="K173" s="11" t="s">
        <v>36</v>
      </c>
      <c r="L173" s="11" t="s">
        <v>110</v>
      </c>
    </row>
    <row r="174" spans="1:12" x14ac:dyDescent="0.35">
      <c r="A174" s="11" t="s">
        <v>41</v>
      </c>
      <c r="B174" s="12">
        <v>70113613</v>
      </c>
      <c r="C174" s="11" t="s">
        <v>288</v>
      </c>
      <c r="D174" s="11">
        <v>9</v>
      </c>
      <c r="E174" s="12" t="s">
        <v>28</v>
      </c>
      <c r="F174" s="11" t="s">
        <v>457</v>
      </c>
      <c r="G174" s="11" t="s">
        <v>145</v>
      </c>
      <c r="H174" s="11" t="s">
        <v>157</v>
      </c>
      <c r="I174" s="11" t="s">
        <v>120</v>
      </c>
      <c r="J174" s="11">
        <v>4511453735</v>
      </c>
      <c r="K174" s="11" t="s">
        <v>36</v>
      </c>
      <c r="L174" s="11" t="s">
        <v>110</v>
      </c>
    </row>
    <row r="175" spans="1:12" x14ac:dyDescent="0.35">
      <c r="A175" s="11" t="s">
        <v>41</v>
      </c>
      <c r="B175" s="12" t="s">
        <v>369</v>
      </c>
      <c r="C175" s="11" t="s">
        <v>370</v>
      </c>
      <c r="D175" s="11">
        <v>3</v>
      </c>
      <c r="E175" s="12" t="s">
        <v>28</v>
      </c>
      <c r="F175" s="11" t="s">
        <v>436</v>
      </c>
      <c r="G175" s="11" t="s">
        <v>371</v>
      </c>
      <c r="H175" s="11" t="s">
        <v>123</v>
      </c>
      <c r="I175" s="11" t="s">
        <v>26</v>
      </c>
      <c r="J175" s="11">
        <v>4511453702</v>
      </c>
      <c r="K175" s="11" t="s">
        <v>36</v>
      </c>
      <c r="L175" s="11" t="s">
        <v>110</v>
      </c>
    </row>
    <row r="176" spans="1:12" x14ac:dyDescent="0.35">
      <c r="A176" s="11" t="s">
        <v>41</v>
      </c>
      <c r="B176" s="12" t="s">
        <v>403</v>
      </c>
      <c r="C176" s="11" t="s">
        <v>404</v>
      </c>
      <c r="D176" s="11">
        <v>34</v>
      </c>
      <c r="E176" s="12" t="s">
        <v>28</v>
      </c>
      <c r="F176" s="11" t="s">
        <v>409</v>
      </c>
      <c r="G176" s="11" t="s">
        <v>401</v>
      </c>
      <c r="H176" s="11" t="s">
        <v>124</v>
      </c>
      <c r="I176" s="11" t="s">
        <v>26</v>
      </c>
      <c r="J176" s="11">
        <v>4511453612</v>
      </c>
      <c r="K176" s="11" t="s">
        <v>36</v>
      </c>
      <c r="L176" s="11" t="s">
        <v>110</v>
      </c>
    </row>
    <row r="177" spans="1:12" x14ac:dyDescent="0.35">
      <c r="A177" s="11" t="s">
        <v>41</v>
      </c>
      <c r="B177" s="12" t="s">
        <v>394</v>
      </c>
      <c r="C177" s="11" t="s">
        <v>395</v>
      </c>
      <c r="D177" s="11">
        <v>1</v>
      </c>
      <c r="E177" s="12" t="s">
        <v>28</v>
      </c>
      <c r="F177" s="11" t="s">
        <v>409</v>
      </c>
      <c r="G177" s="11" t="s">
        <v>393</v>
      </c>
      <c r="H177" s="11" t="s">
        <v>43</v>
      </c>
      <c r="I177" s="11" t="s">
        <v>26</v>
      </c>
      <c r="J177" s="11">
        <v>4511453003</v>
      </c>
      <c r="K177" s="11" t="s">
        <v>36</v>
      </c>
      <c r="L177" s="11" t="s">
        <v>110</v>
      </c>
    </row>
    <row r="178" spans="1:12" x14ac:dyDescent="0.35">
      <c r="A178" s="11"/>
      <c r="B178" s="12"/>
      <c r="C178" s="11"/>
      <c r="D178" s="11"/>
      <c r="E178" s="12"/>
      <c r="F178" s="11"/>
      <c r="G178" s="11"/>
      <c r="H178" s="11"/>
      <c r="I178" s="11"/>
      <c r="J178" s="11"/>
      <c r="K178" s="11"/>
      <c r="L178" s="11"/>
    </row>
    <row r="179" spans="1:12" x14ac:dyDescent="0.35">
      <c r="A179" s="11"/>
      <c r="B179" s="12"/>
      <c r="C179" s="11"/>
      <c r="D179" s="11"/>
      <c r="E179" s="12"/>
      <c r="F179" s="11"/>
      <c r="G179" s="11"/>
      <c r="H179" s="11"/>
      <c r="I179" s="11"/>
      <c r="J179" s="11"/>
      <c r="K179" s="11"/>
      <c r="L179" s="11"/>
    </row>
    <row r="180" spans="1:12" x14ac:dyDescent="0.35">
      <c r="A180" s="11"/>
      <c r="B180" s="12"/>
      <c r="C180" s="11"/>
      <c r="D180" s="11"/>
      <c r="E180" s="12"/>
      <c r="F180" s="11"/>
      <c r="G180" s="11"/>
      <c r="H180" s="11"/>
      <c r="I180" s="11"/>
      <c r="J180" s="11"/>
      <c r="K180" s="11"/>
      <c r="L180" s="11"/>
    </row>
    <row r="181" spans="1:12" x14ac:dyDescent="0.35">
      <c r="A181" s="11"/>
      <c r="B181" s="12"/>
      <c r="C181" s="11"/>
      <c r="D181" s="11"/>
      <c r="E181" s="12"/>
      <c r="F181" s="11"/>
      <c r="G181" s="11"/>
      <c r="H181" s="11"/>
      <c r="I181" s="11"/>
      <c r="J181" s="11"/>
      <c r="K181" s="11"/>
      <c r="L181" s="11"/>
    </row>
    <row r="182" spans="1:12" x14ac:dyDescent="0.35">
      <c r="A182" s="11"/>
      <c r="B182" s="12"/>
      <c r="C182" s="11"/>
      <c r="D182" s="11"/>
      <c r="E182" s="12"/>
      <c r="F182" s="11"/>
      <c r="G182" s="11"/>
      <c r="H182" s="11"/>
      <c r="I182" s="11"/>
      <c r="J182" s="11"/>
      <c r="K182" s="11"/>
      <c r="L182" s="11"/>
    </row>
    <row r="183" spans="1:12" x14ac:dyDescent="0.35">
      <c r="A183" s="11"/>
      <c r="B183" s="12"/>
      <c r="C183" s="11"/>
      <c r="D183" s="11"/>
      <c r="E183" s="12"/>
      <c r="F183" s="11"/>
      <c r="G183" s="11"/>
      <c r="H183" s="11"/>
      <c r="I183" s="11"/>
      <c r="J183" s="11"/>
      <c r="K183" s="11"/>
      <c r="L183" s="11"/>
    </row>
    <row r="184" spans="1:12" x14ac:dyDescent="0.35">
      <c r="A184" s="11"/>
      <c r="B184" s="12"/>
      <c r="C184" s="11"/>
      <c r="D184" s="11"/>
      <c r="E184" s="12"/>
      <c r="F184" s="11"/>
      <c r="G184" s="11"/>
      <c r="H184" s="11"/>
      <c r="I184" s="11"/>
      <c r="J184" s="11"/>
      <c r="K184" s="11"/>
      <c r="L184" s="11"/>
    </row>
    <row r="185" spans="1:12" x14ac:dyDescent="0.35">
      <c r="A185" s="11"/>
      <c r="B185" s="12"/>
      <c r="C185" s="11"/>
      <c r="D185" s="11"/>
      <c r="E185" s="12"/>
      <c r="F185" s="11"/>
      <c r="G185" s="11"/>
      <c r="H185" s="11"/>
      <c r="I185" s="11"/>
      <c r="J185" s="11"/>
      <c r="K185" s="11"/>
      <c r="L185" s="11"/>
    </row>
    <row r="186" spans="1:12" x14ac:dyDescent="0.35">
      <c r="A186" s="11"/>
      <c r="B186" s="12"/>
      <c r="C186" s="11"/>
      <c r="D186" s="11"/>
      <c r="E186" s="12"/>
      <c r="F186" s="11"/>
      <c r="G186" s="11"/>
      <c r="H186" s="11"/>
      <c r="I186" s="11"/>
      <c r="J186" s="11"/>
      <c r="K186" s="11"/>
      <c r="L186" s="11"/>
    </row>
    <row r="187" spans="1:12" x14ac:dyDescent="0.35">
      <c r="A187" s="11"/>
      <c r="B187" s="12"/>
      <c r="C187" s="11"/>
      <c r="D187" s="11"/>
      <c r="E187" s="12"/>
      <c r="F187" s="11"/>
      <c r="G187" s="11"/>
      <c r="H187" s="11"/>
      <c r="I187" s="11"/>
      <c r="J187" s="11"/>
      <c r="K187" s="11"/>
      <c r="L187" s="11"/>
    </row>
    <row r="188" spans="1:12" x14ac:dyDescent="0.35">
      <c r="A188" s="11"/>
      <c r="B188" s="12"/>
      <c r="C188" s="11"/>
      <c r="D188" s="11"/>
      <c r="E188" s="12"/>
      <c r="F188" s="11"/>
      <c r="G188" s="11"/>
      <c r="H188" s="11"/>
      <c r="I188" s="11"/>
      <c r="J188" s="11"/>
      <c r="K188" s="11"/>
      <c r="L188" s="11"/>
    </row>
    <row r="189" spans="1:12" x14ac:dyDescent="0.35">
      <c r="A189" s="11"/>
      <c r="B189" s="12"/>
      <c r="C189" s="11"/>
      <c r="D189" s="11"/>
      <c r="E189" s="12"/>
      <c r="F189" s="11"/>
      <c r="G189" s="11"/>
      <c r="H189" s="11"/>
      <c r="I189" s="11"/>
      <c r="J189" s="11"/>
      <c r="K189" s="11"/>
      <c r="L189" s="11"/>
    </row>
    <row r="190" spans="1:12" x14ac:dyDescent="0.35">
      <c r="A190" s="11"/>
      <c r="B190" s="12"/>
      <c r="C190" s="11"/>
      <c r="D190" s="11"/>
      <c r="E190" s="12"/>
      <c r="F190" s="11"/>
      <c r="G190" s="11"/>
      <c r="H190" s="11"/>
      <c r="I190" s="11"/>
      <c r="J190" s="11"/>
      <c r="K190" s="11"/>
      <c r="L190" s="11"/>
    </row>
    <row r="191" spans="1:12" x14ac:dyDescent="0.35">
      <c r="A191" s="11"/>
      <c r="B191" s="12"/>
      <c r="C191" s="11"/>
      <c r="D191" s="11"/>
      <c r="E191" s="12"/>
      <c r="F191" s="11"/>
      <c r="G191" s="11"/>
      <c r="H191" s="11"/>
      <c r="I191" s="11"/>
      <c r="J191" s="11"/>
      <c r="K191" s="11"/>
      <c r="L191" s="11"/>
    </row>
    <row r="192" spans="1:12" x14ac:dyDescent="0.35">
      <c r="A192" s="11"/>
      <c r="B192" s="12"/>
      <c r="C192" s="11"/>
      <c r="D192" s="11"/>
      <c r="E192" s="12"/>
      <c r="F192" s="11"/>
      <c r="G192" s="11"/>
      <c r="H192" s="11"/>
      <c r="I192" s="11"/>
      <c r="J192" s="11"/>
      <c r="K192" s="11"/>
      <c r="L192" s="11"/>
    </row>
    <row r="193" spans="1:12" x14ac:dyDescent="0.35">
      <c r="A193" s="11"/>
      <c r="B193" s="12"/>
      <c r="C193" s="11"/>
      <c r="D193" s="11"/>
      <c r="E193" s="12"/>
      <c r="F193" s="11"/>
      <c r="G193" s="11"/>
      <c r="H193" s="11"/>
      <c r="I193" s="11"/>
      <c r="J193" s="11"/>
      <c r="K193" s="11"/>
      <c r="L193" s="11"/>
    </row>
    <row r="194" spans="1:12" x14ac:dyDescent="0.35">
      <c r="A194" s="11"/>
      <c r="B194" s="12"/>
      <c r="C194" s="11"/>
      <c r="D194" s="11"/>
      <c r="E194" s="12"/>
      <c r="F194" s="11"/>
      <c r="G194" s="11"/>
      <c r="H194" s="11"/>
      <c r="I194" s="11"/>
      <c r="J194" s="11"/>
      <c r="K194" s="11"/>
      <c r="L194" s="11"/>
    </row>
    <row r="195" spans="1:12" x14ac:dyDescent="0.35">
      <c r="A195" s="11"/>
      <c r="B195" s="12"/>
      <c r="C195" s="11"/>
      <c r="D195" s="11"/>
      <c r="E195" s="12"/>
      <c r="F195" s="11"/>
      <c r="G195" s="11"/>
      <c r="H195" s="11"/>
      <c r="I195" s="11"/>
      <c r="J195" s="11"/>
      <c r="K195" s="11"/>
      <c r="L195" s="11"/>
    </row>
    <row r="196" spans="1:12" x14ac:dyDescent="0.35">
      <c r="A196" s="11"/>
      <c r="B196" s="12"/>
      <c r="C196" s="11"/>
      <c r="D196" s="11"/>
      <c r="E196" s="12"/>
      <c r="F196" s="11"/>
      <c r="G196" s="11"/>
      <c r="H196" s="11"/>
      <c r="I196" s="11"/>
      <c r="J196" s="11"/>
      <c r="K196" s="11"/>
      <c r="L196" s="11"/>
    </row>
    <row r="197" spans="1:12" x14ac:dyDescent="0.35">
      <c r="A197" s="11"/>
      <c r="B197" s="12"/>
      <c r="C197" s="11"/>
      <c r="D197" s="11"/>
      <c r="E197" s="12"/>
      <c r="F197" s="11"/>
      <c r="G197" s="11"/>
      <c r="H197" s="11"/>
      <c r="I197" s="11"/>
      <c r="J197" s="11"/>
      <c r="K197" s="11"/>
      <c r="L197" s="11"/>
    </row>
    <row r="198" spans="1:12" x14ac:dyDescent="0.35">
      <c r="A198" s="11"/>
      <c r="B198" s="12"/>
      <c r="C198" s="11"/>
      <c r="D198" s="11"/>
      <c r="E198" s="12"/>
      <c r="F198" s="11"/>
      <c r="G198" s="11"/>
      <c r="H198" s="11"/>
      <c r="I198" s="11"/>
      <c r="J198" s="11"/>
      <c r="K198" s="11"/>
      <c r="L198" s="11"/>
    </row>
    <row r="199" spans="1:12" x14ac:dyDescent="0.35">
      <c r="A199" s="11"/>
      <c r="B199" s="12"/>
      <c r="C199" s="11"/>
      <c r="D199" s="11"/>
      <c r="E199" s="12"/>
      <c r="F199" s="11"/>
      <c r="G199" s="11"/>
      <c r="H199" s="11"/>
      <c r="I199" s="11"/>
      <c r="J199" s="11"/>
      <c r="K199" s="11"/>
      <c r="L199" s="11"/>
    </row>
    <row r="200" spans="1:12" x14ac:dyDescent="0.35">
      <c r="A200" s="11"/>
      <c r="B200" s="12"/>
      <c r="C200" s="11"/>
      <c r="D200" s="11"/>
      <c r="E200" s="12"/>
      <c r="F200" s="11"/>
      <c r="G200" s="11"/>
      <c r="H200" s="11"/>
      <c r="I200" s="11"/>
      <c r="J200" s="11"/>
      <c r="K200" s="11"/>
      <c r="L200" s="11"/>
    </row>
    <row r="201" spans="1:12" x14ac:dyDescent="0.35">
      <c r="A201" s="11"/>
      <c r="B201" s="12"/>
      <c r="C201" s="11"/>
      <c r="D201" s="11"/>
      <c r="E201" s="12"/>
      <c r="F201" s="11"/>
      <c r="G201" s="11"/>
      <c r="H201" s="11"/>
      <c r="I201" s="11"/>
      <c r="J201" s="11"/>
      <c r="K201" s="11"/>
      <c r="L201" s="11"/>
    </row>
    <row r="202" spans="1:12" x14ac:dyDescent="0.35">
      <c r="A202" s="11"/>
      <c r="B202" s="12"/>
      <c r="C202" s="11"/>
      <c r="D202" s="11"/>
      <c r="E202" s="12"/>
      <c r="F202" s="11"/>
      <c r="G202" s="11"/>
      <c r="H202" s="11"/>
      <c r="I202" s="11"/>
      <c r="J202" s="11"/>
      <c r="K202" s="11"/>
      <c r="L202" s="11"/>
    </row>
    <row r="203" spans="1:12" x14ac:dyDescent="0.35">
      <c r="A203" s="11"/>
      <c r="B203" s="12"/>
      <c r="C203" s="11"/>
      <c r="D203" s="11"/>
      <c r="E203" s="12"/>
      <c r="F203" s="11"/>
      <c r="G203" s="11"/>
      <c r="H203" s="11"/>
      <c r="I203" s="11"/>
      <c r="J203" s="11"/>
      <c r="K203" s="11"/>
      <c r="L203" s="11"/>
    </row>
    <row r="204" spans="1:12" x14ac:dyDescent="0.35">
      <c r="A204" s="11"/>
      <c r="B204" s="12"/>
      <c r="C204" s="11"/>
      <c r="D204" s="11"/>
      <c r="E204" s="12"/>
      <c r="F204" s="11"/>
      <c r="G204" s="11"/>
      <c r="H204" s="11"/>
      <c r="I204" s="11"/>
      <c r="J204" s="11"/>
      <c r="K204" s="11"/>
      <c r="L204" s="11"/>
    </row>
    <row r="205" spans="1:12" x14ac:dyDescent="0.35">
      <c r="A205" s="11"/>
      <c r="B205" s="12"/>
      <c r="C205" s="11"/>
      <c r="D205" s="11"/>
      <c r="E205" s="12"/>
      <c r="F205" s="11"/>
      <c r="G205" s="11"/>
      <c r="H205" s="11"/>
      <c r="I205" s="11"/>
      <c r="J205" s="11"/>
      <c r="K205" s="11"/>
      <c r="L205" s="11"/>
    </row>
    <row r="206" spans="1:12" x14ac:dyDescent="0.35">
      <c r="A206" s="11"/>
      <c r="B206" s="12"/>
      <c r="C206" s="11"/>
      <c r="D206" s="11"/>
      <c r="E206" s="12"/>
      <c r="F206" s="11"/>
      <c r="G206" s="11"/>
      <c r="H206" s="11"/>
      <c r="I206" s="11"/>
      <c r="J206" s="11"/>
      <c r="K206" s="11"/>
      <c r="L206" s="11"/>
    </row>
    <row r="207" spans="1:12" x14ac:dyDescent="0.35">
      <c r="A207" s="11"/>
      <c r="B207" s="12"/>
      <c r="C207" s="11"/>
      <c r="D207" s="11"/>
      <c r="E207" s="12"/>
      <c r="F207" s="11"/>
      <c r="G207" s="11"/>
      <c r="H207" s="11"/>
      <c r="I207" s="11"/>
      <c r="J207" s="11"/>
      <c r="K207" s="11"/>
      <c r="L207" s="11"/>
    </row>
    <row r="208" spans="1:12" x14ac:dyDescent="0.35">
      <c r="A208" s="11"/>
      <c r="B208" s="12"/>
      <c r="C208" s="11"/>
      <c r="D208" s="11"/>
      <c r="E208" s="12"/>
      <c r="F208" s="11"/>
      <c r="G208" s="11"/>
      <c r="H208" s="11"/>
      <c r="I208" s="11"/>
      <c r="J208" s="11"/>
      <c r="K208" s="11"/>
      <c r="L208" s="11"/>
    </row>
    <row r="209" spans="1:12" x14ac:dyDescent="0.35">
      <c r="A209" s="11"/>
      <c r="B209" s="12"/>
      <c r="C209" s="11"/>
      <c r="D209" s="11"/>
      <c r="E209" s="12"/>
      <c r="F209" s="11"/>
      <c r="G209" s="11"/>
      <c r="H209" s="11"/>
      <c r="I209" s="11"/>
      <c r="J209" s="11"/>
      <c r="K209" s="11"/>
      <c r="L209" s="11"/>
    </row>
    <row r="210" spans="1:12" x14ac:dyDescent="0.35">
      <c r="A210" s="11"/>
      <c r="B210" s="12"/>
      <c r="C210" s="11"/>
      <c r="D210" s="11"/>
      <c r="E210" s="12"/>
      <c r="F210" s="11"/>
      <c r="G210" s="11"/>
      <c r="H210" s="11"/>
      <c r="I210" s="11"/>
      <c r="J210" s="11"/>
      <c r="K210" s="11"/>
      <c r="L210" s="11"/>
    </row>
    <row r="211" spans="1:12" x14ac:dyDescent="0.35">
      <c r="A211" s="11"/>
      <c r="B211" s="12"/>
      <c r="C211" s="11"/>
      <c r="D211" s="11"/>
      <c r="E211" s="12"/>
      <c r="F211" s="11"/>
      <c r="G211" s="11"/>
      <c r="H211" s="11"/>
      <c r="I211" s="11"/>
      <c r="J211" s="11"/>
      <c r="K211" s="11"/>
      <c r="L211" s="11"/>
    </row>
    <row r="212" spans="1:12" x14ac:dyDescent="0.35">
      <c r="A212" s="11"/>
      <c r="B212" s="12"/>
      <c r="C212" s="11"/>
      <c r="D212" s="11"/>
      <c r="E212" s="12"/>
      <c r="F212" s="11"/>
      <c r="G212" s="11"/>
      <c r="H212" s="11"/>
      <c r="I212" s="11"/>
      <c r="J212" s="11"/>
      <c r="K212" s="11"/>
      <c r="L212" s="11"/>
    </row>
    <row r="213" spans="1:12" x14ac:dyDescent="0.35">
      <c r="A213" s="11"/>
      <c r="B213" s="12"/>
      <c r="C213" s="11"/>
      <c r="D213" s="11"/>
      <c r="E213" s="12"/>
      <c r="F213" s="11"/>
      <c r="G213" s="11"/>
      <c r="H213" s="11"/>
      <c r="I213" s="11"/>
      <c r="J213" s="11"/>
      <c r="K213" s="11"/>
      <c r="L213" s="11"/>
    </row>
    <row r="214" spans="1:12" x14ac:dyDescent="0.35">
      <c r="A214" s="11"/>
      <c r="B214" s="12"/>
      <c r="C214" s="11"/>
      <c r="D214" s="11"/>
      <c r="E214" s="12"/>
      <c r="F214" s="11"/>
      <c r="G214" s="11"/>
      <c r="H214" s="11"/>
      <c r="I214" s="11"/>
      <c r="J214" s="11"/>
      <c r="K214" s="11"/>
      <c r="L214" s="11"/>
    </row>
    <row r="215" spans="1:12" x14ac:dyDescent="0.35">
      <c r="A215" s="11"/>
      <c r="B215" s="12"/>
      <c r="C215" s="11"/>
      <c r="D215" s="11"/>
      <c r="E215" s="12"/>
      <c r="F215" s="11"/>
      <c r="G215" s="11"/>
      <c r="H215" s="11"/>
      <c r="I215" s="11"/>
      <c r="J215" s="11"/>
      <c r="K215" s="11"/>
      <c r="L215" s="11"/>
    </row>
    <row r="216" spans="1:12" x14ac:dyDescent="0.35">
      <c r="A216" s="11"/>
      <c r="B216" s="12"/>
      <c r="C216" s="11"/>
      <c r="D216" s="11"/>
      <c r="E216" s="12"/>
      <c r="F216" s="11"/>
      <c r="G216" s="11"/>
      <c r="H216" s="11"/>
      <c r="I216" s="11"/>
      <c r="J216" s="11"/>
      <c r="K216" s="11"/>
      <c r="L216" s="11"/>
    </row>
    <row r="217" spans="1:12" x14ac:dyDescent="0.35">
      <c r="A217" s="11"/>
      <c r="B217" s="12"/>
      <c r="C217" s="11"/>
      <c r="D217" s="11"/>
      <c r="E217" s="12"/>
      <c r="F217" s="11"/>
      <c r="G217" s="11"/>
      <c r="H217" s="11"/>
      <c r="I217" s="11"/>
      <c r="J217" s="11"/>
      <c r="K217" s="11"/>
      <c r="L217" s="11"/>
    </row>
    <row r="218" spans="1:12" x14ac:dyDescent="0.35">
      <c r="A218" s="11"/>
      <c r="B218" s="12"/>
      <c r="C218" s="11"/>
      <c r="D218" s="11"/>
      <c r="E218" s="12"/>
      <c r="F218" s="11"/>
      <c r="G218" s="11"/>
      <c r="H218" s="11"/>
      <c r="I218" s="11"/>
      <c r="J218" s="11"/>
      <c r="K218" s="11"/>
      <c r="L218" s="11"/>
    </row>
    <row r="219" spans="1:12" x14ac:dyDescent="0.35">
      <c r="A219" s="11"/>
      <c r="B219" s="12"/>
      <c r="C219" s="11"/>
      <c r="D219" s="11"/>
      <c r="E219" s="12"/>
      <c r="F219" s="11"/>
      <c r="G219" s="11"/>
      <c r="H219" s="11"/>
      <c r="I219" s="11"/>
      <c r="J219" s="11"/>
      <c r="K219" s="11"/>
      <c r="L219" s="11"/>
    </row>
    <row r="220" spans="1:12" x14ac:dyDescent="0.35">
      <c r="A220" s="11"/>
      <c r="B220" s="12"/>
      <c r="C220" s="11"/>
      <c r="D220" s="11"/>
      <c r="E220" s="12"/>
      <c r="F220" s="11"/>
      <c r="G220" s="11"/>
      <c r="H220" s="11"/>
      <c r="I220" s="11"/>
      <c r="J220" s="11"/>
      <c r="K220" s="11"/>
      <c r="L220" s="11"/>
    </row>
    <row r="221" spans="1:12" x14ac:dyDescent="0.35">
      <c r="A221" s="11"/>
      <c r="B221" s="12"/>
      <c r="C221" s="11"/>
      <c r="D221" s="11"/>
      <c r="E221" s="12"/>
      <c r="F221" s="11"/>
      <c r="G221" s="11"/>
      <c r="H221" s="11"/>
      <c r="I221" s="11"/>
      <c r="J221" s="11"/>
      <c r="K221" s="11"/>
      <c r="L221" s="11"/>
    </row>
    <row r="222" spans="1:12" x14ac:dyDescent="0.35">
      <c r="A222" s="11"/>
      <c r="B222" s="12"/>
      <c r="C222" s="11"/>
      <c r="D222" s="11"/>
      <c r="E222" s="12"/>
      <c r="F222" s="11"/>
      <c r="G222" s="11"/>
      <c r="H222" s="11"/>
      <c r="I222" s="11"/>
      <c r="J222" s="11"/>
      <c r="K222" s="11"/>
      <c r="L222" s="11"/>
    </row>
    <row r="223" spans="1:12" x14ac:dyDescent="0.35">
      <c r="A223" s="11"/>
      <c r="B223" s="12"/>
      <c r="C223" s="11"/>
      <c r="D223" s="11"/>
      <c r="E223" s="12"/>
      <c r="F223" s="11"/>
      <c r="G223" s="11"/>
      <c r="H223" s="11"/>
      <c r="I223" s="11"/>
      <c r="J223" s="11"/>
      <c r="K223" s="11"/>
      <c r="L223" s="11"/>
    </row>
    <row r="224" spans="1:12" x14ac:dyDescent="0.35">
      <c r="A224" s="11"/>
      <c r="B224" s="12"/>
      <c r="C224" s="11"/>
      <c r="D224" s="11"/>
      <c r="E224" s="12"/>
      <c r="F224" s="11"/>
      <c r="G224" s="11"/>
      <c r="H224" s="11"/>
      <c r="I224" s="11"/>
      <c r="J224" s="11"/>
      <c r="K224" s="11"/>
      <c r="L224" s="11"/>
    </row>
    <row r="225" spans="1:12" x14ac:dyDescent="0.35">
      <c r="A225" s="11"/>
      <c r="B225" s="12"/>
      <c r="C225" s="11"/>
      <c r="D225" s="11"/>
      <c r="E225" s="12"/>
      <c r="F225" s="11"/>
      <c r="G225" s="11"/>
      <c r="H225" s="11"/>
      <c r="I225" s="11"/>
      <c r="J225" s="11"/>
      <c r="K225" s="11"/>
      <c r="L225" s="11"/>
    </row>
    <row r="226" spans="1:12" x14ac:dyDescent="0.35">
      <c r="A226" s="11"/>
      <c r="B226" s="12"/>
      <c r="C226" s="11"/>
      <c r="D226" s="11"/>
      <c r="E226" s="12"/>
      <c r="F226" s="11"/>
      <c r="G226" s="11"/>
      <c r="H226" s="11"/>
      <c r="I226" s="11"/>
      <c r="J226" s="11"/>
      <c r="K226" s="11"/>
      <c r="L226" s="11"/>
    </row>
    <row r="227" spans="1:12" x14ac:dyDescent="0.35">
      <c r="A227" s="11"/>
      <c r="B227" s="12"/>
      <c r="C227" s="11"/>
      <c r="D227" s="11"/>
      <c r="E227" s="12"/>
      <c r="F227" s="11"/>
      <c r="G227" s="11"/>
      <c r="H227" s="11"/>
      <c r="I227" s="11"/>
      <c r="J227" s="11"/>
      <c r="K227" s="11"/>
      <c r="L227" s="11"/>
    </row>
    <row r="228" spans="1:12" x14ac:dyDescent="0.35">
      <c r="A228" s="11"/>
      <c r="B228" s="12"/>
      <c r="C228" s="11"/>
      <c r="D228" s="11"/>
      <c r="E228" s="12"/>
      <c r="F228" s="11"/>
      <c r="G228" s="11"/>
      <c r="H228" s="11"/>
      <c r="I228" s="11"/>
      <c r="J228" s="11"/>
      <c r="K228" s="11"/>
      <c r="L228" s="11"/>
    </row>
    <row r="229" spans="1:12" x14ac:dyDescent="0.35">
      <c r="A229" s="11"/>
      <c r="B229" s="12"/>
      <c r="C229" s="11"/>
      <c r="D229" s="11"/>
      <c r="E229" s="12"/>
      <c r="F229" s="11"/>
      <c r="G229" s="11"/>
      <c r="H229" s="11"/>
      <c r="I229" s="11"/>
      <c r="J229" s="11"/>
      <c r="K229" s="11"/>
      <c r="L229" s="11"/>
    </row>
    <row r="230" spans="1:12" x14ac:dyDescent="0.35">
      <c r="A230" s="11"/>
      <c r="B230" s="12"/>
      <c r="C230" s="11"/>
      <c r="D230" s="11"/>
      <c r="E230" s="12"/>
      <c r="F230" s="11"/>
      <c r="G230" s="11"/>
      <c r="H230" s="11"/>
      <c r="I230" s="11"/>
      <c r="J230" s="11"/>
      <c r="K230" s="11"/>
      <c r="L230" s="11"/>
    </row>
    <row r="231" spans="1:12" x14ac:dyDescent="0.35">
      <c r="A231" s="11"/>
      <c r="B231" s="12"/>
      <c r="C231" s="11"/>
      <c r="D231" s="11"/>
      <c r="E231" s="12"/>
      <c r="F231" s="11"/>
      <c r="G231" s="11"/>
      <c r="H231" s="11"/>
      <c r="I231" s="11"/>
      <c r="J231" s="11"/>
      <c r="K231" s="11"/>
      <c r="L231" s="11"/>
    </row>
    <row r="232" spans="1:12" x14ac:dyDescent="0.35">
      <c r="A232" s="11"/>
      <c r="B232" s="12"/>
      <c r="C232" s="11"/>
      <c r="D232" s="11"/>
      <c r="E232" s="12"/>
      <c r="F232" s="11"/>
      <c r="G232" s="11"/>
      <c r="H232" s="11"/>
      <c r="I232" s="11"/>
      <c r="J232" s="11"/>
      <c r="K232" s="11"/>
      <c r="L232" s="11"/>
    </row>
    <row r="233" spans="1:12" x14ac:dyDescent="0.35">
      <c r="A233" s="11"/>
      <c r="B233" s="12"/>
      <c r="C233" s="11"/>
      <c r="D233" s="11"/>
      <c r="E233" s="12"/>
      <c r="F233" s="11"/>
      <c r="G233" s="11"/>
      <c r="H233" s="11"/>
      <c r="I233" s="11"/>
      <c r="J233" s="11"/>
      <c r="K233" s="11"/>
      <c r="L233" s="11"/>
    </row>
    <row r="234" spans="1:12" x14ac:dyDescent="0.35">
      <c r="A234" s="11"/>
      <c r="B234" s="12"/>
      <c r="C234" s="11"/>
      <c r="D234" s="11"/>
      <c r="E234" s="12"/>
      <c r="F234" s="11"/>
      <c r="G234" s="11"/>
      <c r="H234" s="11"/>
      <c r="I234" s="11"/>
      <c r="J234" s="11"/>
      <c r="K234" s="11"/>
      <c r="L234" s="11"/>
    </row>
    <row r="235" spans="1:12" x14ac:dyDescent="0.35">
      <c r="A235" s="11"/>
      <c r="B235" s="12"/>
      <c r="C235" s="11"/>
      <c r="D235" s="11"/>
      <c r="E235" s="12"/>
      <c r="F235" s="11"/>
      <c r="G235" s="11"/>
      <c r="H235" s="11"/>
      <c r="I235" s="11"/>
      <c r="J235" s="11"/>
      <c r="K235" s="11"/>
      <c r="L235" s="11"/>
    </row>
    <row r="236" spans="1:12" x14ac:dyDescent="0.35">
      <c r="A236" s="11"/>
      <c r="B236" s="12"/>
      <c r="C236" s="11"/>
      <c r="D236" s="11"/>
      <c r="E236" s="12"/>
      <c r="F236" s="11"/>
      <c r="G236" s="11"/>
      <c r="H236" s="11"/>
      <c r="I236" s="11"/>
      <c r="J236" s="11"/>
      <c r="K236" s="11"/>
      <c r="L236" s="11"/>
    </row>
    <row r="237" spans="1:12" x14ac:dyDescent="0.35">
      <c r="A237" s="11"/>
      <c r="B237" s="12"/>
      <c r="C237" s="11"/>
      <c r="D237" s="11"/>
      <c r="E237" s="12"/>
      <c r="F237" s="11"/>
      <c r="G237" s="11"/>
      <c r="H237" s="11"/>
      <c r="I237" s="11"/>
      <c r="J237" s="11"/>
      <c r="K237" s="11"/>
      <c r="L237" s="11"/>
    </row>
    <row r="238" spans="1:12" x14ac:dyDescent="0.35">
      <c r="A238" s="11"/>
      <c r="B238" s="12"/>
      <c r="C238" s="11"/>
      <c r="D238" s="11"/>
      <c r="E238" s="12"/>
      <c r="F238" s="11"/>
      <c r="G238" s="11"/>
      <c r="H238" s="11"/>
      <c r="I238" s="11"/>
      <c r="J238" s="11"/>
      <c r="K238" s="11"/>
      <c r="L238" s="11"/>
    </row>
    <row r="239" spans="1:12" x14ac:dyDescent="0.35">
      <c r="A239" s="11"/>
      <c r="B239" s="12"/>
      <c r="C239" s="11"/>
      <c r="D239" s="11"/>
      <c r="E239" s="12"/>
      <c r="F239" s="11"/>
      <c r="G239" s="11"/>
      <c r="H239" s="11"/>
      <c r="I239" s="11"/>
      <c r="J239" s="11"/>
      <c r="K239" s="11"/>
      <c r="L239" s="11"/>
    </row>
    <row r="240" spans="1:12" x14ac:dyDescent="0.35">
      <c r="A240" s="11"/>
      <c r="B240" s="12"/>
      <c r="C240" s="11"/>
      <c r="D240" s="11"/>
      <c r="E240" s="12"/>
      <c r="F240" s="11"/>
      <c r="G240" s="11"/>
      <c r="H240" s="11"/>
      <c r="I240" s="11"/>
      <c r="J240" s="11"/>
      <c r="K240" s="11"/>
      <c r="L240" s="11"/>
    </row>
    <row r="241" spans="1:12" x14ac:dyDescent="0.35">
      <c r="A241" s="11"/>
      <c r="B241" s="12"/>
      <c r="C241" s="11"/>
      <c r="D241" s="11"/>
      <c r="E241" s="12"/>
      <c r="F241" s="11"/>
      <c r="G241" s="11"/>
      <c r="H241" s="11"/>
      <c r="I241" s="11"/>
      <c r="J241" s="11"/>
      <c r="K241" s="11"/>
      <c r="L241" s="11"/>
    </row>
    <row r="242" spans="1:12" x14ac:dyDescent="0.35">
      <c r="A242" s="11"/>
      <c r="B242" s="12"/>
      <c r="C242" s="11"/>
      <c r="D242" s="11"/>
      <c r="E242" s="12"/>
      <c r="F242" s="11"/>
      <c r="G242" s="11"/>
      <c r="H242" s="11"/>
      <c r="I242" s="11"/>
      <c r="J242" s="11"/>
      <c r="K242" s="11"/>
      <c r="L242" s="11"/>
    </row>
    <row r="243" spans="1:12" x14ac:dyDescent="0.35">
      <c r="A243" s="11"/>
      <c r="B243" s="12"/>
      <c r="C243" s="11"/>
      <c r="D243" s="11"/>
      <c r="E243" s="12"/>
      <c r="F243" s="11"/>
      <c r="G243" s="11"/>
      <c r="H243" s="11"/>
      <c r="I243" s="11"/>
      <c r="J243" s="11"/>
      <c r="K243" s="11"/>
      <c r="L243" s="11"/>
    </row>
    <row r="244" spans="1:12" x14ac:dyDescent="0.35">
      <c r="A244" s="11"/>
      <c r="B244" s="12"/>
      <c r="C244" s="11"/>
      <c r="D244" s="11"/>
      <c r="E244" s="12"/>
      <c r="F244" s="11"/>
      <c r="G244" s="11"/>
      <c r="H244" s="11"/>
      <c r="I244" s="11"/>
      <c r="J244" s="11"/>
      <c r="K244" s="11"/>
      <c r="L244" s="11"/>
    </row>
    <row r="245" spans="1:12" x14ac:dyDescent="0.35">
      <c r="A245" s="11"/>
      <c r="B245" s="12"/>
      <c r="C245" s="11"/>
      <c r="D245" s="11"/>
      <c r="E245" s="12"/>
      <c r="F245" s="11"/>
      <c r="G245" s="11"/>
      <c r="H245" s="11"/>
      <c r="I245" s="11"/>
      <c r="J245" s="11"/>
      <c r="K245" s="11"/>
      <c r="L245" s="11"/>
    </row>
    <row r="246" spans="1:12" x14ac:dyDescent="0.35">
      <c r="A246" s="11"/>
      <c r="B246" s="12"/>
      <c r="C246" s="11"/>
      <c r="D246" s="11"/>
      <c r="E246" s="12"/>
      <c r="F246" s="11"/>
      <c r="G246" s="11"/>
      <c r="H246" s="11"/>
      <c r="I246" s="11"/>
      <c r="J246" s="11"/>
      <c r="K246" s="11"/>
      <c r="L246" s="11"/>
    </row>
    <row r="247" spans="1:12" x14ac:dyDescent="0.35">
      <c r="A247" s="11"/>
      <c r="B247" s="12"/>
      <c r="C247" s="11"/>
      <c r="D247" s="11"/>
      <c r="E247" s="12"/>
      <c r="F247" s="11"/>
      <c r="G247" s="11"/>
      <c r="H247" s="11"/>
      <c r="I247" s="11"/>
      <c r="J247" s="11"/>
      <c r="K247" s="11"/>
      <c r="L247" s="11"/>
    </row>
    <row r="248" spans="1:12" x14ac:dyDescent="0.35">
      <c r="A248" s="11"/>
      <c r="B248" s="12"/>
      <c r="C248" s="11"/>
      <c r="D248" s="11"/>
      <c r="E248" s="12"/>
      <c r="F248" s="11"/>
      <c r="G248" s="11"/>
      <c r="H248" s="11"/>
      <c r="I248" s="11"/>
      <c r="J248" s="11"/>
      <c r="K248" s="11"/>
      <c r="L248" s="11"/>
    </row>
    <row r="249" spans="1:12" x14ac:dyDescent="0.35">
      <c r="A249" s="11"/>
      <c r="B249" s="12"/>
      <c r="C249" s="11"/>
      <c r="D249" s="11"/>
      <c r="E249" s="12"/>
      <c r="F249" s="11"/>
      <c r="G249" s="11"/>
      <c r="H249" s="11"/>
      <c r="I249" s="11"/>
      <c r="J249" s="11"/>
      <c r="K249" s="11"/>
      <c r="L249" s="11"/>
    </row>
    <row r="250" spans="1:12" x14ac:dyDescent="0.35">
      <c r="A250" s="11"/>
      <c r="B250" s="12"/>
      <c r="C250" s="11"/>
      <c r="D250" s="11"/>
      <c r="E250" s="12"/>
      <c r="F250" s="11"/>
      <c r="G250" s="11"/>
      <c r="H250" s="11"/>
      <c r="I250" s="11"/>
      <c r="J250" s="11"/>
      <c r="K250" s="11"/>
      <c r="L250" s="11"/>
    </row>
    <row r="251" spans="1:12" x14ac:dyDescent="0.35">
      <c r="A251" s="11"/>
      <c r="B251" s="12"/>
      <c r="C251" s="11"/>
      <c r="D251" s="11"/>
      <c r="E251" s="12"/>
      <c r="F251" s="11"/>
      <c r="G251" s="11"/>
      <c r="H251" s="11"/>
      <c r="I251" s="11"/>
      <c r="J251" s="11"/>
      <c r="K251" s="11"/>
      <c r="L251" s="11"/>
    </row>
    <row r="252" spans="1:12" x14ac:dyDescent="0.35">
      <c r="A252" s="11"/>
      <c r="B252" s="12"/>
      <c r="C252" s="11"/>
      <c r="D252" s="11"/>
      <c r="E252" s="12"/>
      <c r="F252" s="11"/>
      <c r="G252" s="11"/>
      <c r="H252" s="11"/>
      <c r="I252" s="11"/>
      <c r="J252" s="11"/>
      <c r="K252" s="11"/>
      <c r="L252" s="11"/>
    </row>
    <row r="253" spans="1:12" x14ac:dyDescent="0.35">
      <c r="A253" s="11"/>
      <c r="B253" s="12"/>
      <c r="C253" s="11"/>
      <c r="D253" s="11"/>
      <c r="E253" s="12"/>
      <c r="F253" s="11"/>
      <c r="G253" s="11"/>
      <c r="H253" s="11"/>
      <c r="I253" s="11"/>
      <c r="J253" s="11"/>
      <c r="K253" s="11"/>
      <c r="L253" s="11"/>
    </row>
    <row r="254" spans="1:12" x14ac:dyDescent="0.35">
      <c r="A254" s="11"/>
      <c r="B254" s="12"/>
      <c r="C254" s="11"/>
      <c r="D254" s="11"/>
      <c r="E254" s="12"/>
      <c r="F254" s="11"/>
      <c r="G254" s="11"/>
      <c r="H254" s="11"/>
      <c r="I254" s="11"/>
      <c r="J254" s="11"/>
      <c r="K254" s="11"/>
      <c r="L254" s="11"/>
    </row>
    <row r="255" spans="1:12" x14ac:dyDescent="0.35">
      <c r="A255" s="11"/>
      <c r="B255" s="12"/>
      <c r="C255" s="11"/>
      <c r="D255" s="11"/>
      <c r="E255" s="12"/>
      <c r="F255" s="11"/>
      <c r="G255" s="11"/>
      <c r="H255" s="11"/>
      <c r="I255" s="11"/>
      <c r="J255" s="11"/>
      <c r="K255" s="11"/>
      <c r="L255" s="11"/>
    </row>
    <row r="256" spans="1:12" x14ac:dyDescent="0.35">
      <c r="A256" s="11"/>
      <c r="B256" s="12"/>
      <c r="C256" s="11"/>
      <c r="D256" s="11"/>
      <c r="E256" s="12"/>
      <c r="F256" s="11"/>
      <c r="G256" s="11"/>
      <c r="H256" s="11"/>
      <c r="I256" s="11"/>
      <c r="J256" s="11"/>
      <c r="K256" s="11"/>
      <c r="L256" s="11"/>
    </row>
    <row r="257" spans="1:12" x14ac:dyDescent="0.35">
      <c r="A257" s="11"/>
      <c r="B257" s="12"/>
      <c r="C257" s="11"/>
      <c r="D257" s="11"/>
      <c r="E257" s="12"/>
      <c r="F257" s="11"/>
      <c r="G257" s="11"/>
      <c r="H257" s="11"/>
      <c r="I257" s="11"/>
      <c r="J257" s="11"/>
      <c r="K257" s="11"/>
      <c r="L257" s="11"/>
    </row>
    <row r="258" spans="1:12" x14ac:dyDescent="0.35">
      <c r="A258" s="11"/>
      <c r="B258" s="12"/>
      <c r="C258" s="11"/>
      <c r="D258" s="11"/>
      <c r="E258" s="12"/>
      <c r="F258" s="11"/>
      <c r="G258" s="11"/>
      <c r="H258" s="11"/>
      <c r="I258" s="11"/>
      <c r="J258" s="11"/>
      <c r="K258" s="11"/>
      <c r="L258" s="11"/>
    </row>
    <row r="259" spans="1:12" x14ac:dyDescent="0.35">
      <c r="A259" s="11"/>
      <c r="B259" s="12"/>
      <c r="C259" s="11"/>
      <c r="D259" s="11"/>
      <c r="E259" s="12"/>
      <c r="F259" s="11"/>
      <c r="G259" s="11"/>
      <c r="H259" s="11"/>
      <c r="I259" s="11"/>
      <c r="J259" s="11"/>
      <c r="K259" s="11"/>
      <c r="L259" s="11"/>
    </row>
    <row r="260" spans="1:12" x14ac:dyDescent="0.35">
      <c r="A260" s="11"/>
      <c r="B260" s="12"/>
      <c r="C260" s="11"/>
      <c r="D260" s="11"/>
      <c r="E260" s="12"/>
      <c r="F260" s="11"/>
      <c r="G260" s="11"/>
      <c r="H260" s="11"/>
      <c r="I260" s="11"/>
      <c r="J260" s="11"/>
      <c r="K260" s="11"/>
      <c r="L260" s="11"/>
    </row>
    <row r="261" spans="1:12" x14ac:dyDescent="0.35">
      <c r="A261" s="11"/>
      <c r="B261" s="12"/>
      <c r="C261" s="11"/>
      <c r="D261" s="11"/>
      <c r="E261" s="12"/>
      <c r="F261" s="11"/>
      <c r="G261" s="11"/>
      <c r="H261" s="11"/>
      <c r="I261" s="11"/>
      <c r="J261" s="11"/>
      <c r="K261" s="11"/>
      <c r="L261" s="11"/>
    </row>
    <row r="262" spans="1:12" x14ac:dyDescent="0.35">
      <c r="A262" s="11"/>
      <c r="B262" s="12"/>
      <c r="C262" s="11"/>
      <c r="D262" s="11"/>
      <c r="E262" s="12"/>
      <c r="F262" s="11"/>
      <c r="G262" s="11"/>
      <c r="H262" s="11"/>
      <c r="I262" s="11"/>
      <c r="J262" s="11"/>
      <c r="K262" s="11"/>
      <c r="L262" s="11"/>
    </row>
    <row r="263" spans="1:12" x14ac:dyDescent="0.35">
      <c r="A263" s="11"/>
      <c r="B263" s="12"/>
      <c r="C263" s="11"/>
      <c r="D263" s="11"/>
      <c r="E263" s="12"/>
      <c r="F263" s="11"/>
      <c r="G263" s="11"/>
      <c r="H263" s="11"/>
      <c r="I263" s="11"/>
      <c r="J263" s="11"/>
      <c r="K263" s="11"/>
      <c r="L263" s="11"/>
    </row>
    <row r="264" spans="1:12" x14ac:dyDescent="0.35">
      <c r="A264" s="11"/>
      <c r="B264" s="12"/>
      <c r="C264" s="11"/>
      <c r="D264" s="11"/>
      <c r="E264" s="12"/>
      <c r="F264" s="11"/>
      <c r="G264" s="11"/>
      <c r="H264" s="11"/>
      <c r="I264" s="11"/>
      <c r="J264" s="11"/>
      <c r="K264" s="11"/>
      <c r="L264" s="11"/>
    </row>
    <row r="265" spans="1:12" x14ac:dyDescent="0.35">
      <c r="A265" s="11"/>
      <c r="B265" s="12"/>
      <c r="C265" s="11"/>
      <c r="D265" s="11"/>
      <c r="E265" s="12"/>
      <c r="F265" s="11"/>
      <c r="G265" s="11"/>
      <c r="H265" s="11"/>
      <c r="I265" s="11"/>
      <c r="J265" s="11"/>
      <c r="K265" s="11"/>
      <c r="L265" s="11"/>
    </row>
    <row r="266" spans="1:12" x14ac:dyDescent="0.35">
      <c r="A266" s="11"/>
      <c r="B266" s="12"/>
      <c r="C266" s="11"/>
      <c r="D266" s="11"/>
      <c r="E266" s="12"/>
      <c r="F266" s="11"/>
      <c r="G266" s="11"/>
      <c r="H266" s="11"/>
      <c r="I266" s="11"/>
      <c r="J266" s="11"/>
      <c r="K266" s="11"/>
      <c r="L266" s="11"/>
    </row>
    <row r="267" spans="1:12" x14ac:dyDescent="0.35">
      <c r="A267" s="11"/>
      <c r="B267" s="12"/>
      <c r="C267" s="11"/>
      <c r="D267" s="11"/>
      <c r="E267" s="12"/>
      <c r="F267" s="11"/>
      <c r="G267" s="11"/>
      <c r="H267" s="11"/>
      <c r="I267" s="11"/>
      <c r="J267" s="11"/>
      <c r="K267" s="11"/>
      <c r="L267" s="11"/>
    </row>
    <row r="268" spans="1:12" x14ac:dyDescent="0.35">
      <c r="A268" s="11"/>
      <c r="B268" s="12"/>
      <c r="C268" s="11"/>
      <c r="D268" s="11"/>
      <c r="E268" s="12"/>
      <c r="F268" s="11"/>
      <c r="G268" s="11"/>
      <c r="H268" s="11"/>
      <c r="I268" s="11"/>
      <c r="J268" s="11"/>
      <c r="K268" s="11"/>
      <c r="L268" s="11"/>
    </row>
    <row r="269" spans="1:12" x14ac:dyDescent="0.35">
      <c r="A269" s="11"/>
      <c r="B269" s="12"/>
      <c r="C269" s="11"/>
      <c r="D269" s="11"/>
      <c r="E269" s="12"/>
      <c r="F269" s="11"/>
      <c r="G269" s="11"/>
      <c r="H269" s="11"/>
      <c r="I269" s="11"/>
      <c r="J269" s="11"/>
      <c r="K269" s="11"/>
      <c r="L269" s="11"/>
    </row>
    <row r="270" spans="1:12" x14ac:dyDescent="0.35">
      <c r="A270" s="11"/>
      <c r="B270" s="12"/>
      <c r="C270" s="11"/>
      <c r="D270" s="11"/>
      <c r="E270" s="12"/>
      <c r="F270" s="11"/>
      <c r="G270" s="11"/>
      <c r="H270" s="11"/>
      <c r="I270" s="11"/>
      <c r="J270" s="11"/>
      <c r="K270" s="11"/>
      <c r="L270" s="11"/>
    </row>
    <row r="271" spans="1:12" x14ac:dyDescent="0.35">
      <c r="A271" s="11"/>
      <c r="B271" s="12"/>
      <c r="C271" s="11"/>
      <c r="D271" s="11"/>
      <c r="E271" s="12"/>
      <c r="F271" s="11"/>
      <c r="G271" s="11"/>
      <c r="H271" s="11"/>
      <c r="I271" s="11"/>
      <c r="J271" s="11"/>
      <c r="K271" s="11"/>
      <c r="L271" s="11"/>
    </row>
    <row r="272" spans="1:12" x14ac:dyDescent="0.35">
      <c r="A272" s="11"/>
      <c r="B272" s="12"/>
      <c r="C272" s="11"/>
      <c r="D272" s="11"/>
      <c r="E272" s="12"/>
      <c r="F272" s="11"/>
      <c r="G272" s="11"/>
      <c r="H272" s="11"/>
      <c r="I272" s="11"/>
      <c r="J272" s="11"/>
      <c r="K272" s="11"/>
      <c r="L272" s="11"/>
    </row>
    <row r="273" spans="1:12" x14ac:dyDescent="0.35">
      <c r="A273" s="11"/>
      <c r="B273" s="12"/>
      <c r="C273" s="11"/>
      <c r="D273" s="11"/>
      <c r="E273" s="12"/>
      <c r="F273" s="11"/>
      <c r="G273" s="11"/>
      <c r="H273" s="11"/>
      <c r="I273" s="11"/>
      <c r="J273" s="11"/>
      <c r="K273" s="11"/>
      <c r="L273" s="11"/>
    </row>
    <row r="274" spans="1:12" x14ac:dyDescent="0.35">
      <c r="A274" s="11"/>
      <c r="B274" s="12"/>
      <c r="C274" s="11"/>
      <c r="D274" s="11"/>
      <c r="E274" s="12"/>
      <c r="F274" s="11"/>
      <c r="G274" s="11"/>
      <c r="H274" s="11"/>
      <c r="I274" s="11"/>
      <c r="J274" s="11"/>
      <c r="K274" s="11"/>
      <c r="L274" s="11"/>
    </row>
    <row r="275" spans="1:12" x14ac:dyDescent="0.35">
      <c r="A275" s="11"/>
      <c r="B275" s="12"/>
      <c r="C275" s="11"/>
      <c r="D275" s="11"/>
      <c r="E275" s="12"/>
      <c r="F275" s="11"/>
      <c r="G275" s="11"/>
      <c r="H275" s="11"/>
      <c r="I275" s="11"/>
      <c r="J275" s="11"/>
      <c r="K275" s="11"/>
      <c r="L275" s="11"/>
    </row>
    <row r="276" spans="1:12" x14ac:dyDescent="0.35">
      <c r="A276" s="11"/>
      <c r="B276" s="12"/>
      <c r="C276" s="11"/>
      <c r="D276" s="11"/>
      <c r="E276" s="12"/>
      <c r="F276" s="11"/>
      <c r="G276" s="11"/>
      <c r="H276" s="11"/>
      <c r="I276" s="11"/>
      <c r="J276" s="11"/>
      <c r="K276" s="11"/>
      <c r="L276" s="11"/>
    </row>
    <row r="277" spans="1:12" x14ac:dyDescent="0.35">
      <c r="A277" s="11"/>
      <c r="B277" s="12"/>
      <c r="C277" s="11"/>
      <c r="D277" s="11"/>
      <c r="E277" s="12"/>
      <c r="F277" s="11"/>
      <c r="G277" s="11"/>
      <c r="H277" s="11"/>
      <c r="I277" s="11"/>
      <c r="J277" s="11"/>
      <c r="K277" s="11"/>
      <c r="L277" s="11"/>
    </row>
    <row r="278" spans="1:12" x14ac:dyDescent="0.35">
      <c r="A278" s="11"/>
      <c r="B278" s="12"/>
      <c r="C278" s="11"/>
      <c r="D278" s="11"/>
      <c r="E278" s="12"/>
      <c r="F278" s="11"/>
      <c r="G278" s="11"/>
      <c r="H278" s="11"/>
      <c r="I278" s="11"/>
      <c r="J278" s="11"/>
      <c r="K278" s="11"/>
      <c r="L278" s="11"/>
    </row>
    <row r="279" spans="1:12" x14ac:dyDescent="0.35">
      <c r="A279" s="11"/>
      <c r="B279" s="12"/>
      <c r="C279" s="11"/>
      <c r="D279" s="11"/>
      <c r="E279" s="12"/>
      <c r="F279" s="11"/>
      <c r="G279" s="11"/>
      <c r="H279" s="11"/>
      <c r="I279" s="11"/>
      <c r="J279" s="11"/>
      <c r="K279" s="11"/>
      <c r="L279" s="11"/>
    </row>
    <row r="280" spans="1:12" x14ac:dyDescent="0.35">
      <c r="A280" s="11"/>
      <c r="B280" s="12"/>
      <c r="C280" s="11"/>
      <c r="D280" s="11"/>
      <c r="E280" s="12"/>
      <c r="F280" s="11"/>
      <c r="G280" s="11"/>
      <c r="H280" s="11"/>
      <c r="I280" s="11"/>
      <c r="J280" s="11"/>
      <c r="K280" s="11"/>
      <c r="L280" s="11"/>
    </row>
    <row r="281" spans="1:12" x14ac:dyDescent="0.35">
      <c r="A281" s="11"/>
      <c r="B281" s="12"/>
      <c r="C281" s="11"/>
      <c r="D281" s="11"/>
      <c r="E281" s="12"/>
      <c r="F281" s="11"/>
      <c r="G281" s="11"/>
      <c r="H281" s="11"/>
      <c r="I281" s="11"/>
      <c r="J281" s="11"/>
      <c r="K281" s="11"/>
      <c r="L281" s="11"/>
    </row>
    <row r="282" spans="1:12" x14ac:dyDescent="0.35">
      <c r="A282" s="11"/>
      <c r="B282" s="12"/>
      <c r="C282" s="11"/>
      <c r="D282" s="11"/>
      <c r="E282" s="12"/>
      <c r="F282" s="11"/>
      <c r="G282" s="11"/>
      <c r="H282" s="11"/>
      <c r="I282" s="11"/>
      <c r="J282" s="11"/>
      <c r="K282" s="11"/>
      <c r="L282" s="11"/>
    </row>
    <row r="283" spans="1:12" x14ac:dyDescent="0.35">
      <c r="A283" s="11"/>
      <c r="B283" s="12"/>
      <c r="C283" s="11"/>
      <c r="D283" s="11"/>
      <c r="E283" s="12"/>
      <c r="F283" s="11"/>
      <c r="G283" s="11"/>
      <c r="H283" s="11"/>
      <c r="I283" s="11"/>
      <c r="J283" s="11"/>
      <c r="K283" s="11"/>
      <c r="L283" s="11"/>
    </row>
    <row r="284" spans="1:12" x14ac:dyDescent="0.35">
      <c r="A284" s="11"/>
      <c r="B284" s="12"/>
      <c r="C284" s="11"/>
      <c r="D284" s="11"/>
      <c r="E284" s="12"/>
      <c r="F284" s="11"/>
      <c r="G284" s="11"/>
      <c r="H284" s="11"/>
      <c r="I284" s="11"/>
      <c r="J284" s="11"/>
      <c r="K284" s="11"/>
      <c r="L284" s="11"/>
    </row>
    <row r="285" spans="1:12" x14ac:dyDescent="0.35">
      <c r="A285" s="11"/>
      <c r="B285" s="12"/>
      <c r="C285" s="11"/>
      <c r="D285" s="11"/>
      <c r="E285" s="12"/>
      <c r="F285" s="11"/>
      <c r="G285" s="11"/>
      <c r="H285" s="11"/>
      <c r="I285" s="11"/>
      <c r="J285" s="11"/>
      <c r="K285" s="11"/>
      <c r="L285" s="11"/>
    </row>
    <row r="286" spans="1:12" x14ac:dyDescent="0.35">
      <c r="A286" s="11"/>
      <c r="B286" s="12"/>
      <c r="C286" s="11"/>
      <c r="D286" s="11"/>
      <c r="E286" s="12"/>
      <c r="F286" s="11"/>
      <c r="G286" s="11"/>
      <c r="H286" s="11"/>
      <c r="I286" s="11"/>
      <c r="J286" s="11"/>
      <c r="K286" s="11"/>
      <c r="L286" s="11"/>
    </row>
    <row r="287" spans="1:12" x14ac:dyDescent="0.35">
      <c r="A287" s="11"/>
      <c r="B287" s="12"/>
      <c r="C287" s="11"/>
      <c r="D287" s="11"/>
      <c r="E287" s="12"/>
      <c r="F287" s="11"/>
      <c r="G287" s="11"/>
      <c r="H287" s="11"/>
      <c r="I287" s="11"/>
      <c r="J287" s="11"/>
      <c r="K287" s="11"/>
      <c r="L287" s="11"/>
    </row>
    <row r="288" spans="1:12" x14ac:dyDescent="0.35">
      <c r="A288" s="11"/>
      <c r="B288" s="12"/>
      <c r="C288" s="11"/>
      <c r="D288" s="11"/>
      <c r="E288" s="12"/>
      <c r="F288" s="11"/>
      <c r="G288" s="11"/>
      <c r="H288" s="11"/>
      <c r="I288" s="11"/>
      <c r="J288" s="11"/>
      <c r="K288" s="11"/>
      <c r="L288" s="11"/>
    </row>
    <row r="289" spans="1:12" x14ac:dyDescent="0.35">
      <c r="A289" s="11"/>
      <c r="B289" s="12"/>
      <c r="C289" s="11"/>
      <c r="D289" s="11"/>
      <c r="E289" s="12"/>
      <c r="F289" s="11"/>
      <c r="G289" s="11"/>
      <c r="H289" s="11"/>
      <c r="I289" s="11"/>
      <c r="J289" s="11"/>
      <c r="K289" s="11"/>
      <c r="L289" s="11"/>
    </row>
    <row r="290" spans="1:12" x14ac:dyDescent="0.35">
      <c r="A290" s="11"/>
      <c r="B290" s="12"/>
      <c r="C290" s="11"/>
      <c r="D290" s="11"/>
      <c r="E290" s="12"/>
      <c r="F290" s="11"/>
      <c r="G290" s="11"/>
      <c r="H290" s="11"/>
      <c r="I290" s="11"/>
      <c r="J290" s="11"/>
      <c r="K290" s="11"/>
      <c r="L290" s="11"/>
    </row>
    <row r="291" spans="1:12" x14ac:dyDescent="0.35">
      <c r="A291" s="11"/>
      <c r="B291" s="12"/>
      <c r="C291" s="11"/>
      <c r="D291" s="11"/>
      <c r="E291" s="12"/>
      <c r="F291" s="11"/>
      <c r="G291" s="11"/>
      <c r="H291" s="11"/>
      <c r="I291" s="11"/>
      <c r="J291" s="11"/>
      <c r="K291" s="11"/>
      <c r="L291" s="11"/>
    </row>
    <row r="292" spans="1:12" x14ac:dyDescent="0.35">
      <c r="A292" s="11"/>
      <c r="B292" s="12"/>
      <c r="C292" s="11"/>
      <c r="D292" s="11"/>
      <c r="E292" s="12"/>
      <c r="F292" s="11"/>
      <c r="G292" s="11"/>
      <c r="H292" s="11"/>
      <c r="I292" s="11"/>
      <c r="J292" s="11"/>
      <c r="K292" s="11"/>
      <c r="L292" s="11"/>
    </row>
    <row r="293" spans="1:12" x14ac:dyDescent="0.35">
      <c r="A293" s="11"/>
      <c r="B293" s="12"/>
      <c r="C293" s="11"/>
      <c r="D293" s="11"/>
      <c r="E293" s="12"/>
      <c r="F293" s="11"/>
      <c r="G293" s="11"/>
      <c r="H293" s="11"/>
      <c r="I293" s="11"/>
      <c r="J293" s="11"/>
      <c r="K293" s="11"/>
      <c r="L293" s="11"/>
    </row>
    <row r="294" spans="1:12" x14ac:dyDescent="0.35">
      <c r="A294" s="11"/>
      <c r="B294" s="12"/>
      <c r="C294" s="11"/>
      <c r="D294" s="11"/>
      <c r="E294" s="12"/>
      <c r="F294" s="11"/>
      <c r="G294" s="11"/>
      <c r="H294" s="11"/>
      <c r="I294" s="11"/>
      <c r="J294" s="11"/>
      <c r="K294" s="11"/>
      <c r="L294" s="11"/>
    </row>
    <row r="295" spans="1:12" x14ac:dyDescent="0.35">
      <c r="A295" s="11"/>
      <c r="B295" s="12"/>
      <c r="C295" s="11"/>
      <c r="D295" s="11"/>
      <c r="E295" s="12"/>
      <c r="F295" s="11"/>
      <c r="G295" s="11"/>
      <c r="H295" s="11"/>
      <c r="I295" s="11"/>
      <c r="J295" s="11"/>
      <c r="K295" s="11"/>
      <c r="L295" s="11"/>
    </row>
    <row r="296" spans="1:12" x14ac:dyDescent="0.35">
      <c r="A296" s="11"/>
      <c r="B296" s="12"/>
      <c r="C296" s="11"/>
      <c r="D296" s="11"/>
      <c r="E296" s="12"/>
      <c r="F296" s="11"/>
      <c r="G296" s="11"/>
      <c r="H296" s="11"/>
      <c r="I296" s="11"/>
      <c r="J296" s="11"/>
      <c r="K296" s="11"/>
      <c r="L296" s="11"/>
    </row>
    <row r="297" spans="1:12" x14ac:dyDescent="0.35">
      <c r="A297" s="11"/>
      <c r="B297" s="12"/>
      <c r="C297" s="11"/>
      <c r="D297" s="11"/>
      <c r="E297" s="12"/>
      <c r="F297" s="11"/>
      <c r="G297" s="11"/>
      <c r="H297" s="11"/>
      <c r="I297" s="11"/>
      <c r="J297" s="11"/>
      <c r="K297" s="11"/>
      <c r="L297" s="11"/>
    </row>
    <row r="298" spans="1:12" x14ac:dyDescent="0.35">
      <c r="A298" s="11"/>
      <c r="B298" s="12"/>
      <c r="C298" s="11"/>
      <c r="D298" s="11"/>
      <c r="E298" s="12"/>
      <c r="F298" s="11"/>
      <c r="G298" s="11"/>
      <c r="H298" s="11"/>
      <c r="I298" s="11"/>
      <c r="J298" s="11"/>
      <c r="K298" s="11"/>
      <c r="L298" s="11"/>
    </row>
    <row r="299" spans="1:12" x14ac:dyDescent="0.35">
      <c r="A299" s="11"/>
      <c r="B299" s="12"/>
      <c r="C299" s="11"/>
      <c r="D299" s="11"/>
      <c r="E299" s="12"/>
      <c r="F299" s="11"/>
      <c r="G299" s="11"/>
      <c r="H299" s="11"/>
      <c r="I299" s="11"/>
      <c r="J299" s="11"/>
      <c r="K299" s="11"/>
      <c r="L299" s="11"/>
    </row>
    <row r="300" spans="1:12" x14ac:dyDescent="0.35">
      <c r="A300" s="11"/>
      <c r="B300" s="12"/>
      <c r="C300" s="11"/>
      <c r="D300" s="11"/>
      <c r="E300" s="12"/>
      <c r="F300" s="11"/>
      <c r="G300" s="11"/>
      <c r="H300" s="11"/>
      <c r="I300" s="11"/>
      <c r="J300" s="11"/>
      <c r="K300" s="11"/>
      <c r="L300" s="11"/>
    </row>
    <row r="301" spans="1:12" x14ac:dyDescent="0.35">
      <c r="A301" s="11"/>
      <c r="B301" s="12"/>
      <c r="C301" s="11"/>
      <c r="D301" s="11"/>
      <c r="E301" s="12"/>
      <c r="F301" s="11"/>
      <c r="G301" s="11"/>
      <c r="H301" s="11"/>
      <c r="I301" s="11"/>
      <c r="J301" s="11"/>
      <c r="K301" s="11"/>
      <c r="L301" s="11"/>
    </row>
    <row r="302" spans="1:12" x14ac:dyDescent="0.35">
      <c r="A302" s="11"/>
      <c r="B302" s="12"/>
      <c r="C302" s="11"/>
      <c r="D302" s="11"/>
      <c r="E302" s="12"/>
      <c r="F302" s="11"/>
      <c r="G302" s="11"/>
      <c r="H302" s="11"/>
      <c r="I302" s="11"/>
      <c r="J302" s="11"/>
      <c r="K302" s="11"/>
      <c r="L302" s="11"/>
    </row>
    <row r="303" spans="1:12" x14ac:dyDescent="0.35">
      <c r="A303" s="11"/>
      <c r="B303" s="12"/>
      <c r="C303" s="11"/>
      <c r="D303" s="11"/>
      <c r="E303" s="12"/>
      <c r="F303" s="11"/>
      <c r="G303" s="11"/>
      <c r="H303" s="11"/>
      <c r="I303" s="11"/>
      <c r="J303" s="11"/>
      <c r="K303" s="11"/>
      <c r="L303" s="11"/>
    </row>
    <row r="304" spans="1:12" x14ac:dyDescent="0.35">
      <c r="A304" s="11"/>
      <c r="B304" s="12"/>
      <c r="C304" s="11"/>
      <c r="D304" s="11"/>
      <c r="E304" s="12"/>
      <c r="F304" s="11"/>
      <c r="G304" s="11"/>
      <c r="H304" s="11"/>
      <c r="I304" s="11"/>
      <c r="J304" s="11"/>
      <c r="K304" s="11"/>
      <c r="L304" s="11"/>
    </row>
    <row r="305" spans="1:12" x14ac:dyDescent="0.35">
      <c r="A305" s="11"/>
      <c r="B305" s="12"/>
      <c r="C305" s="11"/>
      <c r="D305" s="11"/>
      <c r="E305" s="12"/>
      <c r="F305" s="11"/>
      <c r="G305" s="11"/>
      <c r="H305" s="11"/>
      <c r="I305" s="11"/>
      <c r="J305" s="11"/>
      <c r="K305" s="11"/>
      <c r="L305" s="11"/>
    </row>
    <row r="306" spans="1:12" x14ac:dyDescent="0.35">
      <c r="A306" s="11"/>
      <c r="B306" s="12"/>
      <c r="C306" s="11"/>
      <c r="D306" s="11"/>
      <c r="E306" s="12"/>
      <c r="F306" s="11"/>
      <c r="G306" s="11"/>
      <c r="H306" s="11"/>
      <c r="I306" s="11"/>
      <c r="J306" s="11"/>
      <c r="K306" s="11"/>
      <c r="L306" s="11"/>
    </row>
    <row r="307" spans="1:12" x14ac:dyDescent="0.35">
      <c r="A307" s="11"/>
      <c r="B307" s="12"/>
      <c r="C307" s="11"/>
      <c r="D307" s="11"/>
      <c r="E307" s="12"/>
      <c r="F307" s="11"/>
      <c r="G307" s="11"/>
      <c r="H307" s="11"/>
      <c r="I307" s="11"/>
      <c r="J307" s="11"/>
      <c r="K307" s="11"/>
      <c r="L307" s="11"/>
    </row>
    <row r="308" spans="1:12" x14ac:dyDescent="0.35">
      <c r="A308" s="11"/>
      <c r="B308" s="12"/>
      <c r="C308" s="11"/>
      <c r="D308" s="11"/>
      <c r="E308" s="12"/>
      <c r="F308" s="11"/>
      <c r="G308" s="11"/>
      <c r="H308" s="11"/>
      <c r="I308" s="11"/>
      <c r="J308" s="11"/>
      <c r="K308" s="11"/>
      <c r="L308" s="11"/>
    </row>
    <row r="309" spans="1:12" x14ac:dyDescent="0.35">
      <c r="A309" s="11"/>
      <c r="B309" s="12"/>
      <c r="C309" s="11"/>
      <c r="D309" s="11"/>
      <c r="E309" s="12"/>
      <c r="F309" s="11"/>
      <c r="G309" s="11"/>
      <c r="H309" s="11"/>
      <c r="I309" s="11"/>
      <c r="J309" s="11"/>
      <c r="K309" s="11"/>
      <c r="L309" s="11"/>
    </row>
    <row r="310" spans="1:12" x14ac:dyDescent="0.35">
      <c r="A310" s="11"/>
      <c r="B310" s="12"/>
      <c r="C310" s="11"/>
      <c r="D310" s="11"/>
      <c r="E310" s="12"/>
      <c r="F310" s="11"/>
      <c r="G310" s="11"/>
      <c r="H310" s="11"/>
      <c r="I310" s="11"/>
      <c r="J310" s="11"/>
      <c r="K310" s="11"/>
      <c r="L310" s="11"/>
    </row>
    <row r="311" spans="1:12" x14ac:dyDescent="0.35">
      <c r="A311" s="11"/>
      <c r="B311" s="12"/>
      <c r="C311" s="11"/>
      <c r="D311" s="11"/>
      <c r="E311" s="12"/>
      <c r="F311" s="11"/>
      <c r="G311" s="11"/>
      <c r="H311" s="11"/>
      <c r="I311" s="11"/>
      <c r="J311" s="11"/>
      <c r="K311" s="11"/>
      <c r="L311" s="11"/>
    </row>
    <row r="312" spans="1:12" x14ac:dyDescent="0.35">
      <c r="A312" s="11"/>
      <c r="B312" s="12"/>
      <c r="C312" s="11"/>
      <c r="D312" s="11"/>
      <c r="E312" s="12"/>
      <c r="F312" s="11"/>
      <c r="G312" s="11"/>
      <c r="H312" s="11"/>
      <c r="I312" s="11"/>
      <c r="J312" s="11"/>
      <c r="K312" s="11"/>
      <c r="L312" s="11"/>
    </row>
    <row r="313" spans="1:12" x14ac:dyDescent="0.35">
      <c r="A313" s="11"/>
      <c r="B313" s="12"/>
      <c r="C313" s="11"/>
      <c r="D313" s="11"/>
      <c r="E313" s="12"/>
      <c r="F313" s="11"/>
      <c r="G313" s="11"/>
      <c r="H313" s="11"/>
      <c r="I313" s="11"/>
      <c r="J313" s="11"/>
      <c r="K313" s="11"/>
      <c r="L313" s="11"/>
    </row>
    <row r="314" spans="1:12" x14ac:dyDescent="0.35">
      <c r="A314" s="11"/>
      <c r="B314" s="12"/>
      <c r="C314" s="11"/>
      <c r="D314" s="11"/>
      <c r="E314" s="12"/>
      <c r="F314" s="11"/>
      <c r="G314" s="11"/>
      <c r="H314" s="11"/>
      <c r="I314" s="11"/>
      <c r="J314" s="11"/>
      <c r="K314" s="11"/>
      <c r="L314" s="11"/>
    </row>
    <row r="315" spans="1:12" x14ac:dyDescent="0.35">
      <c r="A315" s="11"/>
      <c r="B315" s="12"/>
      <c r="C315" s="11"/>
      <c r="D315" s="11"/>
      <c r="E315" s="12"/>
      <c r="F315" s="11"/>
      <c r="G315" s="11"/>
      <c r="H315" s="11"/>
      <c r="I315" s="11"/>
      <c r="J315" s="11"/>
      <c r="K315" s="11"/>
      <c r="L315" s="11"/>
    </row>
    <row r="316" spans="1:12" x14ac:dyDescent="0.35">
      <c r="A316" s="11"/>
      <c r="B316" s="12"/>
      <c r="C316" s="11"/>
      <c r="D316" s="11"/>
      <c r="E316" s="12"/>
      <c r="F316" s="11"/>
      <c r="G316" s="11"/>
      <c r="H316" s="11"/>
      <c r="I316" s="11"/>
      <c r="J316" s="11"/>
      <c r="K316" s="11"/>
      <c r="L316" s="11"/>
    </row>
    <row r="317" spans="1:12" x14ac:dyDescent="0.35">
      <c r="A317" s="11"/>
      <c r="B317" s="12"/>
      <c r="C317" s="11"/>
      <c r="D317" s="11"/>
      <c r="E317" s="12"/>
      <c r="F317" s="11"/>
      <c r="G317" s="11"/>
      <c r="H317" s="11"/>
      <c r="I317" s="11"/>
      <c r="J317" s="11"/>
      <c r="K317" s="11"/>
      <c r="L317" s="11"/>
    </row>
    <row r="318" spans="1:12" x14ac:dyDescent="0.35">
      <c r="A318" s="11"/>
      <c r="B318" s="12"/>
      <c r="C318" s="11"/>
      <c r="D318" s="11"/>
      <c r="E318" s="12"/>
      <c r="F318" s="11"/>
      <c r="G318" s="11"/>
      <c r="H318" s="11"/>
      <c r="I318" s="11"/>
      <c r="J318" s="11"/>
      <c r="K318" s="11"/>
      <c r="L318" s="11"/>
    </row>
    <row r="319" spans="1:12" x14ac:dyDescent="0.35">
      <c r="A319" s="11"/>
      <c r="B319" s="12"/>
      <c r="C319" s="11"/>
      <c r="D319" s="11"/>
      <c r="E319" s="12"/>
      <c r="F319" s="11"/>
      <c r="G319" s="11"/>
      <c r="H319" s="11"/>
      <c r="I319" s="11"/>
      <c r="J319" s="11"/>
      <c r="K319" s="11"/>
      <c r="L319" s="11"/>
    </row>
    <row r="320" spans="1:12" x14ac:dyDescent="0.35">
      <c r="A320" s="11"/>
      <c r="B320" s="12"/>
      <c r="C320" s="11"/>
      <c r="D320" s="11"/>
      <c r="E320" s="12"/>
      <c r="F320" s="11"/>
      <c r="G320" s="11"/>
      <c r="H320" s="11"/>
      <c r="I320" s="11"/>
      <c r="J320" s="11"/>
      <c r="K320" s="11"/>
      <c r="L320" s="11"/>
    </row>
    <row r="321" spans="1:12" x14ac:dyDescent="0.35">
      <c r="A321" s="11"/>
      <c r="B321" s="12"/>
      <c r="C321" s="11"/>
      <c r="D321" s="11"/>
      <c r="E321" s="12"/>
      <c r="F321" s="11"/>
      <c r="G321" s="11"/>
      <c r="H321" s="11"/>
      <c r="I321" s="11"/>
      <c r="J321" s="11"/>
      <c r="K321" s="11"/>
      <c r="L321" s="11"/>
    </row>
    <row r="322" spans="1:12" x14ac:dyDescent="0.35">
      <c r="A322" s="11"/>
      <c r="B322" s="12"/>
      <c r="C322" s="11"/>
      <c r="D322" s="11"/>
      <c r="E322" s="12"/>
      <c r="F322" s="11"/>
      <c r="G322" s="11"/>
      <c r="H322" s="11"/>
      <c r="I322" s="11"/>
      <c r="J322" s="11"/>
      <c r="K322" s="11"/>
      <c r="L322" s="11"/>
    </row>
    <row r="323" spans="1:12" x14ac:dyDescent="0.35">
      <c r="A323" s="11"/>
      <c r="B323" s="12"/>
      <c r="C323" s="11"/>
      <c r="D323" s="11"/>
      <c r="E323" s="12"/>
      <c r="F323" s="11"/>
      <c r="G323" s="11"/>
      <c r="H323" s="11"/>
      <c r="I323" s="11"/>
      <c r="J323" s="11"/>
      <c r="K323" s="11"/>
      <c r="L323" s="11"/>
    </row>
    <row r="324" spans="1:12" x14ac:dyDescent="0.35">
      <c r="A324" s="11"/>
      <c r="B324" s="12"/>
      <c r="C324" s="11"/>
      <c r="D324" s="11"/>
      <c r="E324" s="12"/>
      <c r="F324" s="11"/>
      <c r="G324" s="11"/>
      <c r="H324" s="11"/>
      <c r="I324" s="11"/>
      <c r="J324" s="11"/>
      <c r="K324" s="11"/>
      <c r="L324" s="11"/>
    </row>
    <row r="325" spans="1:12" x14ac:dyDescent="0.35">
      <c r="A325" s="11"/>
      <c r="B325" s="12"/>
      <c r="C325" s="11"/>
      <c r="D325" s="11"/>
      <c r="E325" s="12"/>
      <c r="F325" s="11"/>
      <c r="G325" s="11"/>
      <c r="H325" s="11"/>
      <c r="I325" s="11"/>
      <c r="J325" s="11"/>
      <c r="K325" s="11"/>
      <c r="L325" s="11"/>
    </row>
    <row r="326" spans="1:12" x14ac:dyDescent="0.35">
      <c r="A326" s="11"/>
      <c r="B326" s="12"/>
      <c r="C326" s="11"/>
      <c r="D326" s="11"/>
      <c r="E326" s="12"/>
      <c r="F326" s="11"/>
      <c r="G326" s="11"/>
      <c r="H326" s="11"/>
      <c r="I326" s="11"/>
      <c r="J326" s="11"/>
      <c r="K326" s="11"/>
      <c r="L326" s="11"/>
    </row>
    <row r="327" spans="1:12" x14ac:dyDescent="0.35">
      <c r="A327" s="11"/>
      <c r="B327" s="12"/>
      <c r="C327" s="11"/>
      <c r="D327" s="11"/>
      <c r="E327" s="12"/>
      <c r="F327" s="11"/>
      <c r="G327" s="11"/>
      <c r="H327" s="11"/>
      <c r="I327" s="11"/>
      <c r="J327" s="11"/>
      <c r="K327" s="11"/>
      <c r="L327" s="11"/>
    </row>
    <row r="328" spans="1:12" x14ac:dyDescent="0.35">
      <c r="A328" s="11"/>
      <c r="B328" s="12"/>
      <c r="C328" s="11"/>
      <c r="D328" s="11"/>
      <c r="E328" s="12"/>
      <c r="F328" s="11"/>
      <c r="G328" s="11"/>
      <c r="H328" s="11"/>
      <c r="I328" s="11"/>
      <c r="J328" s="11"/>
      <c r="K328" s="11"/>
      <c r="L328" s="11"/>
    </row>
    <row r="329" spans="1:12" x14ac:dyDescent="0.35">
      <c r="A329" s="11"/>
      <c r="B329" s="12"/>
      <c r="C329" s="11"/>
      <c r="D329" s="11"/>
      <c r="E329" s="12"/>
      <c r="F329" s="11"/>
      <c r="G329" s="11"/>
      <c r="H329" s="11"/>
      <c r="I329" s="11"/>
      <c r="J329" s="11"/>
      <c r="K329" s="11"/>
      <c r="L329" s="11"/>
    </row>
    <row r="330" spans="1:12" x14ac:dyDescent="0.35">
      <c r="A330" s="11"/>
      <c r="B330" s="12"/>
      <c r="C330" s="11"/>
      <c r="D330" s="11"/>
      <c r="E330" s="12"/>
      <c r="F330" s="11"/>
      <c r="G330" s="11"/>
      <c r="H330" s="11"/>
      <c r="I330" s="11"/>
      <c r="J330" s="11"/>
      <c r="K330" s="11"/>
      <c r="L330" s="11"/>
    </row>
    <row r="331" spans="1:12" x14ac:dyDescent="0.35">
      <c r="A331" s="11"/>
      <c r="B331" s="12"/>
      <c r="C331" s="11"/>
      <c r="D331" s="11"/>
      <c r="E331" s="12"/>
      <c r="F331" s="11"/>
      <c r="G331" s="11"/>
      <c r="H331" s="11"/>
      <c r="I331" s="11"/>
      <c r="J331" s="11"/>
      <c r="K331" s="11"/>
      <c r="L331" s="11"/>
    </row>
    <row r="332" spans="1:12" x14ac:dyDescent="0.35">
      <c r="A332" s="11"/>
      <c r="B332" s="12"/>
      <c r="C332" s="11"/>
      <c r="D332" s="11"/>
      <c r="E332" s="12"/>
      <c r="F332" s="11"/>
      <c r="G332" s="11"/>
      <c r="H332" s="11"/>
      <c r="I332" s="11"/>
      <c r="J332" s="11"/>
      <c r="K332" s="11"/>
      <c r="L332" s="11"/>
    </row>
    <row r="333" spans="1:12" x14ac:dyDescent="0.35">
      <c r="A333" s="11"/>
      <c r="B333" s="12"/>
      <c r="C333" s="11"/>
      <c r="D333" s="11"/>
      <c r="E333" s="12"/>
      <c r="F333" s="11"/>
      <c r="G333" s="11"/>
      <c r="H333" s="11"/>
      <c r="I333" s="11"/>
      <c r="J333" s="11"/>
      <c r="K333" s="11"/>
      <c r="L333" s="11"/>
    </row>
    <row r="334" spans="1:12" x14ac:dyDescent="0.35">
      <c r="A334" s="11"/>
      <c r="B334" s="12"/>
      <c r="C334" s="11"/>
      <c r="D334" s="11"/>
      <c r="E334" s="12"/>
      <c r="F334" s="11"/>
      <c r="G334" s="11"/>
      <c r="H334" s="11"/>
      <c r="I334" s="11"/>
      <c r="J334" s="11"/>
      <c r="K334" s="11"/>
      <c r="L334" s="11"/>
    </row>
    <row r="335" spans="1:12" x14ac:dyDescent="0.35">
      <c r="A335" s="11"/>
      <c r="B335" s="12"/>
      <c r="C335" s="11"/>
      <c r="D335" s="11"/>
      <c r="E335" s="12"/>
      <c r="F335" s="11"/>
      <c r="G335" s="11"/>
      <c r="H335" s="11"/>
      <c r="I335" s="11"/>
      <c r="J335" s="11"/>
      <c r="K335" s="11"/>
      <c r="L335" s="11"/>
    </row>
    <row r="336" spans="1:12" x14ac:dyDescent="0.35">
      <c r="A336" s="11"/>
      <c r="B336" s="12"/>
      <c r="C336" s="11"/>
      <c r="D336" s="11"/>
      <c r="E336" s="12"/>
      <c r="F336" s="11"/>
      <c r="G336" s="11"/>
      <c r="H336" s="11"/>
      <c r="I336" s="11"/>
      <c r="J336" s="11"/>
      <c r="K336" s="11"/>
      <c r="L336" s="11"/>
    </row>
    <row r="337" spans="1:12" x14ac:dyDescent="0.35">
      <c r="A337" s="11"/>
      <c r="B337" s="12"/>
      <c r="C337" s="11"/>
      <c r="D337" s="11"/>
      <c r="E337" s="12"/>
      <c r="F337" s="11"/>
      <c r="G337" s="11"/>
      <c r="H337" s="11"/>
      <c r="I337" s="11"/>
      <c r="J337" s="11"/>
      <c r="K337" s="11"/>
      <c r="L337" s="11"/>
    </row>
    <row r="338" spans="1:12" x14ac:dyDescent="0.35">
      <c r="A338" s="11"/>
      <c r="B338" s="12"/>
      <c r="C338" s="11"/>
      <c r="D338" s="11"/>
      <c r="E338" s="12"/>
      <c r="F338" s="11"/>
      <c r="G338" s="11"/>
      <c r="H338" s="11"/>
      <c r="I338" s="11"/>
      <c r="J338" s="11"/>
      <c r="K338" s="11"/>
      <c r="L338" s="11"/>
    </row>
    <row r="339" spans="1:12" x14ac:dyDescent="0.35">
      <c r="A339" s="11"/>
      <c r="B339" s="12"/>
      <c r="C339" s="11"/>
      <c r="D339" s="11"/>
      <c r="E339" s="12"/>
      <c r="F339" s="11"/>
      <c r="G339" s="11"/>
      <c r="H339" s="11"/>
      <c r="I339" s="11"/>
      <c r="J339" s="11"/>
      <c r="K339" s="11"/>
      <c r="L339" s="11"/>
    </row>
    <row r="340" spans="1:12" x14ac:dyDescent="0.35">
      <c r="A340" s="11"/>
      <c r="B340" s="12"/>
      <c r="C340" s="11"/>
      <c r="D340" s="11"/>
      <c r="E340" s="12"/>
      <c r="F340" s="11"/>
      <c r="G340" s="11"/>
      <c r="H340" s="11"/>
      <c r="I340" s="11"/>
      <c r="J340" s="11"/>
      <c r="K340" s="11"/>
      <c r="L340" s="11"/>
    </row>
    <row r="341" spans="1:12" x14ac:dyDescent="0.35">
      <c r="A341" s="11"/>
      <c r="B341" s="12"/>
      <c r="C341" s="11"/>
      <c r="D341" s="11"/>
      <c r="E341" s="12"/>
      <c r="F341" s="11"/>
      <c r="G341" s="11"/>
      <c r="H341" s="11"/>
      <c r="I341" s="11"/>
      <c r="J341" s="11"/>
      <c r="K341" s="11"/>
      <c r="L341" s="11"/>
    </row>
    <row r="342" spans="1:12" x14ac:dyDescent="0.35">
      <c r="A342" s="11"/>
      <c r="B342" s="12"/>
      <c r="C342" s="11"/>
      <c r="D342" s="11"/>
      <c r="E342" s="12"/>
      <c r="F342" s="11"/>
      <c r="G342" s="11"/>
      <c r="H342" s="11"/>
      <c r="I342" s="11"/>
      <c r="J342" s="11"/>
      <c r="K342" s="11"/>
      <c r="L342" s="11"/>
    </row>
    <row r="343" spans="1:12" x14ac:dyDescent="0.35">
      <c r="A343" s="11"/>
      <c r="B343" s="12"/>
      <c r="C343" s="11"/>
      <c r="D343" s="11"/>
      <c r="E343" s="12"/>
      <c r="F343" s="11"/>
      <c r="G343" s="11"/>
      <c r="H343" s="11"/>
      <c r="I343" s="11"/>
      <c r="J343" s="11"/>
      <c r="K343" s="11"/>
      <c r="L343" s="11"/>
    </row>
    <row r="344" spans="1:12" x14ac:dyDescent="0.35">
      <c r="A344" s="11"/>
      <c r="B344" s="12"/>
      <c r="C344" s="11"/>
      <c r="D344" s="11"/>
      <c r="E344" s="12"/>
      <c r="F344" s="11"/>
      <c r="G344" s="11"/>
      <c r="H344" s="11"/>
      <c r="I344" s="11"/>
      <c r="J344" s="11"/>
      <c r="K344" s="11"/>
      <c r="L344" s="11"/>
    </row>
    <row r="345" spans="1:12" x14ac:dyDescent="0.35">
      <c r="A345" s="11"/>
      <c r="B345" s="12"/>
      <c r="C345" s="11"/>
      <c r="D345" s="11"/>
      <c r="E345" s="12"/>
      <c r="F345" s="11"/>
      <c r="G345" s="11"/>
      <c r="H345" s="11"/>
      <c r="I345" s="11"/>
      <c r="J345" s="11"/>
      <c r="K345" s="11"/>
      <c r="L345" s="11"/>
    </row>
    <row r="346" spans="1:12" x14ac:dyDescent="0.35">
      <c r="A346" s="11"/>
      <c r="B346" s="12"/>
      <c r="C346" s="11"/>
      <c r="D346" s="11"/>
      <c r="E346" s="12"/>
      <c r="F346" s="11"/>
      <c r="G346" s="11"/>
      <c r="H346" s="11"/>
      <c r="I346" s="11"/>
      <c r="J346" s="11"/>
      <c r="K346" s="11"/>
      <c r="L346" s="11"/>
    </row>
    <row r="347" spans="1:12" x14ac:dyDescent="0.35">
      <c r="A347" s="11"/>
      <c r="B347" s="12"/>
      <c r="C347" s="11"/>
      <c r="D347" s="11"/>
      <c r="E347" s="12"/>
      <c r="F347" s="11"/>
      <c r="G347" s="11"/>
      <c r="H347" s="11"/>
      <c r="I347" s="11"/>
      <c r="J347" s="11"/>
      <c r="K347" s="11"/>
      <c r="L347" s="11"/>
    </row>
    <row r="348" spans="1:12" x14ac:dyDescent="0.35">
      <c r="A348" s="11"/>
      <c r="B348" s="12"/>
      <c r="C348" s="11"/>
      <c r="D348" s="11"/>
      <c r="E348" s="12"/>
      <c r="F348" s="11"/>
      <c r="G348" s="11"/>
      <c r="H348" s="11"/>
      <c r="I348" s="11"/>
      <c r="J348" s="11"/>
      <c r="K348" s="11"/>
      <c r="L348" s="11"/>
    </row>
    <row r="349" spans="1:12" x14ac:dyDescent="0.35">
      <c r="A349" s="11"/>
      <c r="B349" s="12"/>
      <c r="C349" s="11"/>
      <c r="D349" s="11"/>
      <c r="E349" s="12"/>
      <c r="F349" s="11"/>
      <c r="G349" s="11"/>
      <c r="H349" s="11"/>
      <c r="I349" s="11"/>
      <c r="J349" s="11"/>
      <c r="K349" s="11"/>
      <c r="L349" s="11"/>
    </row>
    <row r="350" spans="1:12" x14ac:dyDescent="0.35">
      <c r="A350" s="11"/>
      <c r="B350" s="12"/>
      <c r="C350" s="11"/>
      <c r="D350" s="11"/>
      <c r="E350" s="12"/>
      <c r="F350" s="11"/>
      <c r="G350" s="11"/>
      <c r="H350" s="11"/>
      <c r="I350" s="11"/>
      <c r="J350" s="11"/>
      <c r="K350" s="11"/>
      <c r="L350" s="11"/>
    </row>
    <row r="351" spans="1:12" x14ac:dyDescent="0.35">
      <c r="A351" s="11"/>
      <c r="B351" s="12"/>
      <c r="C351" s="11"/>
      <c r="D351" s="11"/>
      <c r="E351" s="12"/>
      <c r="F351" s="11"/>
      <c r="G351" s="11"/>
      <c r="H351" s="11"/>
      <c r="I351" s="11"/>
      <c r="J351" s="11"/>
      <c r="K351" s="11"/>
      <c r="L351" s="11"/>
    </row>
    <row r="352" spans="1:12" x14ac:dyDescent="0.35">
      <c r="A352" s="11"/>
      <c r="B352" s="12"/>
      <c r="C352" s="11"/>
      <c r="D352" s="11"/>
      <c r="E352" s="12"/>
      <c r="F352" s="11"/>
      <c r="G352" s="11"/>
      <c r="H352" s="11"/>
      <c r="I352" s="11"/>
      <c r="J352" s="11"/>
      <c r="K352" s="11"/>
      <c r="L352" s="11"/>
    </row>
    <row r="353" spans="1:12" x14ac:dyDescent="0.35">
      <c r="A353" s="11"/>
      <c r="B353" s="12"/>
      <c r="C353" s="11"/>
      <c r="D353" s="11"/>
      <c r="E353" s="12"/>
      <c r="F353" s="11"/>
      <c r="G353" s="11"/>
      <c r="H353" s="11"/>
      <c r="I353" s="11"/>
      <c r="J353" s="11"/>
      <c r="K353" s="11"/>
      <c r="L353" s="11"/>
    </row>
    <row r="354" spans="1:12" x14ac:dyDescent="0.35">
      <c r="A354" s="11"/>
      <c r="B354" s="12"/>
      <c r="C354" s="11"/>
      <c r="D354" s="11"/>
      <c r="E354" s="12"/>
      <c r="F354" s="11"/>
      <c r="G354" s="11"/>
      <c r="H354" s="11"/>
      <c r="I354" s="11"/>
      <c r="J354" s="11"/>
      <c r="K354" s="11"/>
      <c r="L354" s="11"/>
    </row>
    <row r="355" spans="1:12" x14ac:dyDescent="0.35">
      <c r="A355" s="11"/>
      <c r="B355" s="12"/>
      <c r="C355" s="11"/>
      <c r="D355" s="11"/>
      <c r="E355" s="12"/>
      <c r="F355" s="11"/>
      <c r="G355" s="11"/>
      <c r="H355" s="11"/>
      <c r="I355" s="11"/>
      <c r="J355" s="11"/>
      <c r="K355" s="11"/>
      <c r="L355" s="11"/>
    </row>
    <row r="356" spans="1:12" x14ac:dyDescent="0.35">
      <c r="A356" s="11"/>
      <c r="B356" s="12"/>
      <c r="C356" s="11"/>
      <c r="D356" s="11"/>
      <c r="E356" s="12"/>
      <c r="F356" s="11"/>
      <c r="G356" s="11"/>
      <c r="H356" s="11"/>
      <c r="I356" s="11"/>
      <c r="J356" s="11"/>
      <c r="K356" s="11"/>
      <c r="L356" s="11"/>
    </row>
    <row r="357" spans="1:12" x14ac:dyDescent="0.35">
      <c r="A357" s="11"/>
      <c r="B357" s="12"/>
      <c r="C357" s="11"/>
      <c r="D357" s="11"/>
      <c r="E357" s="12"/>
      <c r="F357" s="11"/>
      <c r="G357" s="11"/>
      <c r="H357" s="11"/>
      <c r="I357" s="11"/>
      <c r="J357" s="11"/>
      <c r="K357" s="11"/>
      <c r="L357" s="11"/>
    </row>
    <row r="358" spans="1:12" x14ac:dyDescent="0.35">
      <c r="A358" s="11"/>
      <c r="B358" s="12"/>
      <c r="C358" s="11"/>
      <c r="D358" s="11"/>
      <c r="E358" s="12"/>
      <c r="F358" s="11"/>
      <c r="G358" s="11"/>
      <c r="H358" s="11"/>
      <c r="I358" s="11"/>
      <c r="J358" s="11"/>
      <c r="K358" s="11"/>
      <c r="L358" s="11"/>
    </row>
    <row r="359" spans="1:12" x14ac:dyDescent="0.35">
      <c r="A359" s="11"/>
      <c r="B359" s="12"/>
      <c r="C359" s="11"/>
      <c r="D359" s="11"/>
      <c r="E359" s="12"/>
      <c r="F359" s="11"/>
      <c r="G359" s="11"/>
      <c r="H359" s="11"/>
      <c r="I359" s="11"/>
      <c r="J359" s="11"/>
      <c r="K359" s="11"/>
      <c r="L359" s="11"/>
    </row>
    <row r="360" spans="1:12" x14ac:dyDescent="0.35">
      <c r="A360" s="11"/>
      <c r="B360" s="12"/>
      <c r="C360" s="11"/>
      <c r="D360" s="11"/>
      <c r="E360" s="12"/>
      <c r="F360" s="11"/>
      <c r="G360" s="11"/>
      <c r="H360" s="11"/>
      <c r="I360" s="11"/>
      <c r="J360" s="11"/>
      <c r="K360" s="11"/>
      <c r="L360" s="11"/>
    </row>
    <row r="361" spans="1:12" x14ac:dyDescent="0.35">
      <c r="A361" s="11"/>
      <c r="B361" s="12"/>
      <c r="C361" s="11"/>
      <c r="D361" s="11"/>
      <c r="E361" s="12"/>
      <c r="F361" s="11"/>
      <c r="G361" s="11"/>
      <c r="H361" s="11"/>
      <c r="I361" s="11"/>
      <c r="J361" s="11"/>
      <c r="K361" s="11"/>
      <c r="L361" s="11"/>
    </row>
    <row r="362" spans="1:12" x14ac:dyDescent="0.35">
      <c r="A362" s="11"/>
      <c r="B362" s="12"/>
      <c r="C362" s="11"/>
      <c r="D362" s="11"/>
      <c r="E362" s="12"/>
      <c r="F362" s="11"/>
      <c r="G362" s="11"/>
      <c r="H362" s="11"/>
      <c r="I362" s="11"/>
      <c r="J362" s="11"/>
      <c r="K362" s="11"/>
      <c r="L362" s="11"/>
    </row>
    <row r="363" spans="1:12" x14ac:dyDescent="0.35">
      <c r="A363" s="11"/>
      <c r="B363" s="12"/>
      <c r="C363" s="11"/>
      <c r="D363" s="11"/>
      <c r="E363" s="12"/>
      <c r="F363" s="11"/>
      <c r="G363" s="11"/>
      <c r="H363" s="11"/>
      <c r="I363" s="11"/>
      <c r="J363" s="11"/>
      <c r="K363" s="11"/>
      <c r="L363" s="11"/>
    </row>
    <row r="364" spans="1:12" x14ac:dyDescent="0.35">
      <c r="A364" s="11"/>
      <c r="B364" s="12"/>
      <c r="C364" s="11"/>
      <c r="D364" s="11"/>
      <c r="E364" s="12"/>
      <c r="F364" s="11"/>
      <c r="G364" s="11"/>
      <c r="H364" s="11"/>
      <c r="I364" s="11"/>
      <c r="J364" s="11"/>
      <c r="K364" s="11"/>
      <c r="L364" s="11"/>
    </row>
    <row r="365" spans="1:12" x14ac:dyDescent="0.35">
      <c r="A365" s="11"/>
      <c r="B365" s="12"/>
      <c r="C365" s="11"/>
      <c r="D365" s="11"/>
      <c r="E365" s="12"/>
      <c r="F365" s="11"/>
      <c r="G365" s="11"/>
      <c r="H365" s="11"/>
      <c r="I365" s="11"/>
      <c r="J365" s="11"/>
      <c r="K365" s="11"/>
      <c r="L365" s="11"/>
    </row>
    <row r="366" spans="1:12" x14ac:dyDescent="0.35">
      <c r="A366" s="11"/>
      <c r="B366" s="12"/>
      <c r="C366" s="11"/>
      <c r="D366" s="11"/>
      <c r="E366" s="12"/>
      <c r="F366" s="11"/>
      <c r="G366" s="11"/>
      <c r="H366" s="11"/>
      <c r="I366" s="11"/>
      <c r="J366" s="11"/>
      <c r="K366" s="11"/>
      <c r="L366" s="11"/>
    </row>
    <row r="367" spans="1:12" x14ac:dyDescent="0.35">
      <c r="A367" s="11"/>
      <c r="B367" s="12"/>
      <c r="C367" s="11"/>
      <c r="D367" s="11"/>
      <c r="E367" s="12"/>
      <c r="F367" s="11"/>
      <c r="G367" s="11"/>
      <c r="H367" s="11"/>
      <c r="I367" s="11"/>
      <c r="J367" s="11"/>
      <c r="K367" s="11"/>
      <c r="L367" s="11"/>
    </row>
    <row r="368" spans="1:12" x14ac:dyDescent="0.35">
      <c r="A368" s="11"/>
      <c r="B368" s="12"/>
      <c r="C368" s="11"/>
      <c r="D368" s="11"/>
      <c r="E368" s="12"/>
      <c r="F368" s="11"/>
      <c r="G368" s="11"/>
      <c r="H368" s="11"/>
      <c r="I368" s="11"/>
      <c r="J368" s="11"/>
      <c r="K368" s="11"/>
      <c r="L368" s="11"/>
    </row>
    <row r="369" spans="1:12" x14ac:dyDescent="0.35">
      <c r="A369" s="11"/>
      <c r="B369" s="12"/>
      <c r="C369" s="11"/>
      <c r="D369" s="11"/>
      <c r="E369" s="12"/>
      <c r="F369" s="11"/>
      <c r="G369" s="11"/>
      <c r="H369" s="11"/>
      <c r="I369" s="11"/>
      <c r="J369" s="11"/>
      <c r="K369" s="11"/>
      <c r="L369" s="11"/>
    </row>
    <row r="370" spans="1:12" x14ac:dyDescent="0.35">
      <c r="A370" s="11"/>
      <c r="B370" s="12"/>
      <c r="C370" s="11"/>
      <c r="D370" s="11"/>
      <c r="E370" s="12"/>
      <c r="F370" s="11"/>
      <c r="G370" s="11"/>
      <c r="H370" s="11"/>
      <c r="I370" s="11"/>
      <c r="J370" s="11"/>
      <c r="K370" s="11"/>
      <c r="L370" s="11"/>
    </row>
    <row r="371" spans="1:12" x14ac:dyDescent="0.35">
      <c r="A371" s="11"/>
      <c r="B371" s="12"/>
      <c r="C371" s="11"/>
      <c r="D371" s="11"/>
      <c r="E371" s="12"/>
      <c r="F371" s="11"/>
      <c r="G371" s="11"/>
      <c r="H371" s="11"/>
      <c r="I371" s="11"/>
      <c r="J371" s="11"/>
      <c r="K371" s="11"/>
      <c r="L371" s="11"/>
    </row>
    <row r="372" spans="1:12" x14ac:dyDescent="0.35">
      <c r="A372" s="11"/>
      <c r="B372" s="12"/>
      <c r="C372" s="11"/>
      <c r="D372" s="11"/>
      <c r="E372" s="12"/>
      <c r="F372" s="11"/>
      <c r="G372" s="11"/>
      <c r="H372" s="11"/>
      <c r="I372" s="11"/>
      <c r="J372" s="11"/>
      <c r="K372" s="11"/>
      <c r="L372" s="11"/>
    </row>
    <row r="373" spans="1:12" x14ac:dyDescent="0.35">
      <c r="A373" s="11"/>
      <c r="B373" s="12"/>
      <c r="C373" s="11"/>
      <c r="D373" s="11"/>
      <c r="E373" s="12"/>
      <c r="F373" s="11"/>
      <c r="G373" s="11"/>
      <c r="H373" s="11"/>
      <c r="I373" s="11"/>
      <c r="J373" s="11"/>
      <c r="K373" s="11"/>
      <c r="L373" s="11"/>
    </row>
    <row r="374" spans="1:12" x14ac:dyDescent="0.35">
      <c r="A374" s="11"/>
      <c r="B374" s="12"/>
      <c r="C374" s="11"/>
      <c r="D374" s="11"/>
      <c r="E374" s="12"/>
      <c r="F374" s="11"/>
      <c r="G374" s="11"/>
      <c r="H374" s="11"/>
      <c r="I374" s="11"/>
      <c r="J374" s="11"/>
      <c r="K374" s="11"/>
      <c r="L374" s="11"/>
    </row>
    <row r="375" spans="1:12" x14ac:dyDescent="0.35">
      <c r="A375" s="11"/>
      <c r="B375" s="12"/>
      <c r="C375" s="11"/>
      <c r="D375" s="11"/>
      <c r="E375" s="12"/>
      <c r="F375" s="11"/>
      <c r="G375" s="11"/>
      <c r="H375" s="11"/>
      <c r="I375" s="11"/>
      <c r="J375" s="11"/>
      <c r="K375" s="11"/>
      <c r="L375" s="11"/>
    </row>
    <row r="376" spans="1:12" x14ac:dyDescent="0.35">
      <c r="A376" s="11"/>
      <c r="B376" s="12"/>
      <c r="C376" s="11"/>
      <c r="D376" s="11"/>
      <c r="E376" s="12"/>
      <c r="F376" s="11"/>
      <c r="G376" s="11"/>
      <c r="H376" s="11"/>
      <c r="I376" s="11"/>
      <c r="J376" s="11"/>
      <c r="K376" s="11"/>
      <c r="L376" s="11"/>
    </row>
    <row r="377" spans="1:12" x14ac:dyDescent="0.35">
      <c r="A377" s="11"/>
      <c r="B377" s="12"/>
      <c r="C377" s="11"/>
      <c r="D377" s="11"/>
      <c r="E377" s="12"/>
      <c r="F377" s="11"/>
      <c r="G377" s="11"/>
      <c r="H377" s="11"/>
      <c r="I377" s="11"/>
      <c r="J377" s="11"/>
      <c r="K377" s="11"/>
      <c r="L377" s="11"/>
    </row>
    <row r="378" spans="1:12" x14ac:dyDescent="0.35">
      <c r="A378" s="11"/>
      <c r="B378" s="12"/>
      <c r="C378" s="11"/>
      <c r="D378" s="11"/>
      <c r="E378" s="12"/>
      <c r="F378" s="11"/>
      <c r="G378" s="11"/>
      <c r="H378" s="11"/>
      <c r="I378" s="11"/>
      <c r="J378" s="11"/>
      <c r="K378" s="11"/>
      <c r="L378" s="11"/>
    </row>
    <row r="379" spans="1:12" x14ac:dyDescent="0.35">
      <c r="A379" s="11"/>
      <c r="B379" s="12"/>
      <c r="C379" s="11"/>
      <c r="D379" s="11"/>
      <c r="E379" s="12"/>
      <c r="F379" s="11"/>
      <c r="G379" s="11"/>
      <c r="H379" s="11"/>
      <c r="I379" s="11"/>
      <c r="J379" s="11"/>
      <c r="K379" s="11"/>
      <c r="L379" s="11"/>
    </row>
    <row r="380" spans="1:12" x14ac:dyDescent="0.35">
      <c r="A380" s="11"/>
      <c r="B380" s="12"/>
      <c r="C380" s="11"/>
      <c r="D380" s="11"/>
      <c r="E380" s="12"/>
      <c r="F380" s="11"/>
      <c r="G380" s="11"/>
      <c r="H380" s="11"/>
      <c r="I380" s="11"/>
      <c r="J380" s="11"/>
      <c r="K380" s="11"/>
      <c r="L380" s="11"/>
    </row>
    <row r="381" spans="1:12" x14ac:dyDescent="0.35">
      <c r="A381" s="11"/>
      <c r="B381" s="12"/>
      <c r="C381" s="11"/>
      <c r="D381" s="11"/>
      <c r="E381" s="12"/>
      <c r="F381" s="11"/>
      <c r="G381" s="11"/>
      <c r="H381" s="11"/>
      <c r="I381" s="11"/>
      <c r="J381" s="11"/>
      <c r="K381" s="11"/>
      <c r="L381" s="11"/>
    </row>
    <row r="382" spans="1:12" x14ac:dyDescent="0.35">
      <c r="A382" s="11"/>
      <c r="B382" s="12"/>
      <c r="C382" s="11"/>
      <c r="D382" s="11"/>
      <c r="E382" s="12"/>
      <c r="F382" s="11"/>
      <c r="G382" s="11"/>
      <c r="H382" s="11"/>
      <c r="I382" s="11"/>
      <c r="J382" s="11"/>
      <c r="K382" s="11"/>
      <c r="L382" s="11"/>
    </row>
    <row r="383" spans="1:12" x14ac:dyDescent="0.35">
      <c r="A383" s="11"/>
      <c r="B383" s="12"/>
      <c r="C383" s="11"/>
      <c r="D383" s="11"/>
      <c r="E383" s="12"/>
      <c r="F383" s="11"/>
      <c r="G383" s="11"/>
      <c r="H383" s="11"/>
      <c r="I383" s="11"/>
      <c r="J383" s="11"/>
      <c r="K383" s="11"/>
      <c r="L383" s="11"/>
    </row>
    <row r="384" spans="1:12" x14ac:dyDescent="0.35">
      <c r="A384" s="11"/>
      <c r="B384" s="12"/>
      <c r="C384" s="11"/>
      <c r="D384" s="11"/>
      <c r="E384" s="12"/>
      <c r="F384" s="11"/>
      <c r="G384" s="11"/>
      <c r="H384" s="11"/>
      <c r="I384" s="11"/>
      <c r="J384" s="11"/>
      <c r="K384" s="11"/>
      <c r="L384" s="11"/>
    </row>
    <row r="385" spans="1:12" x14ac:dyDescent="0.35">
      <c r="A385" s="11"/>
      <c r="B385" s="12"/>
      <c r="C385" s="11"/>
      <c r="D385" s="11"/>
      <c r="E385" s="12"/>
      <c r="F385" s="11"/>
      <c r="G385" s="11"/>
      <c r="H385" s="11"/>
      <c r="I385" s="11"/>
      <c r="J385" s="11"/>
      <c r="K385" s="11"/>
      <c r="L385" s="11"/>
    </row>
    <row r="386" spans="1:12" x14ac:dyDescent="0.35">
      <c r="A386" s="11"/>
      <c r="B386" s="12"/>
      <c r="C386" s="11"/>
      <c r="D386" s="11"/>
      <c r="E386" s="12"/>
      <c r="F386" s="11"/>
      <c r="G386" s="11"/>
      <c r="H386" s="11"/>
      <c r="I386" s="11"/>
      <c r="J386" s="11"/>
      <c r="K386" s="11"/>
      <c r="L386" s="11"/>
    </row>
    <row r="387" spans="1:12" x14ac:dyDescent="0.35">
      <c r="A387" s="11"/>
      <c r="B387" s="12"/>
      <c r="C387" s="11"/>
      <c r="D387" s="11"/>
      <c r="E387" s="12"/>
      <c r="F387" s="11"/>
      <c r="G387" s="11"/>
      <c r="H387" s="11"/>
      <c r="I387" s="11"/>
      <c r="J387" s="11"/>
      <c r="K387" s="11"/>
      <c r="L387" s="11"/>
    </row>
    <row r="388" spans="1:12" x14ac:dyDescent="0.35">
      <c r="A388" s="11"/>
      <c r="B388" s="12"/>
      <c r="C388" s="11"/>
      <c r="D388" s="11"/>
      <c r="E388" s="12"/>
      <c r="F388" s="11"/>
      <c r="G388" s="11"/>
      <c r="H388" s="11"/>
      <c r="I388" s="11"/>
      <c r="J388" s="11"/>
      <c r="K388" s="11"/>
      <c r="L388" s="11"/>
    </row>
    <row r="389" spans="1:12" x14ac:dyDescent="0.35">
      <c r="A389" s="11"/>
      <c r="B389" s="12"/>
      <c r="C389" s="11"/>
      <c r="D389" s="11"/>
      <c r="E389" s="12"/>
      <c r="F389" s="11"/>
      <c r="G389" s="11"/>
      <c r="H389" s="11"/>
      <c r="I389" s="11"/>
      <c r="J389" s="11"/>
      <c r="K389" s="11"/>
      <c r="L389" s="11"/>
    </row>
    <row r="390" spans="1:12" x14ac:dyDescent="0.35">
      <c r="A390" s="11"/>
      <c r="B390" s="12"/>
      <c r="C390" s="11"/>
      <c r="D390" s="11"/>
      <c r="E390" s="12"/>
      <c r="F390" s="11"/>
      <c r="G390" s="11"/>
      <c r="H390" s="11"/>
      <c r="I390" s="11"/>
      <c r="J390" s="11"/>
      <c r="K390" s="11"/>
      <c r="L390" s="11"/>
    </row>
    <row r="391" spans="1:12" x14ac:dyDescent="0.35">
      <c r="A391" s="11"/>
      <c r="B391" s="12"/>
      <c r="C391" s="11"/>
      <c r="D391" s="11"/>
      <c r="E391" s="12"/>
      <c r="F391" s="11"/>
      <c r="G391" s="11"/>
      <c r="H391" s="11"/>
      <c r="I391" s="11"/>
      <c r="J391" s="11"/>
      <c r="K391" s="11"/>
      <c r="L391" s="11"/>
    </row>
    <row r="392" spans="1:12" x14ac:dyDescent="0.35">
      <c r="A392" s="11"/>
      <c r="B392" s="12"/>
      <c r="C392" s="11"/>
      <c r="D392" s="11"/>
      <c r="E392" s="12"/>
      <c r="F392" s="11"/>
      <c r="G392" s="11"/>
      <c r="H392" s="11"/>
      <c r="I392" s="11"/>
      <c r="J392" s="11"/>
      <c r="K392" s="11"/>
      <c r="L392" s="11"/>
    </row>
    <row r="393" spans="1:12" x14ac:dyDescent="0.35">
      <c r="A393" s="11"/>
      <c r="B393" s="12"/>
      <c r="C393" s="11"/>
      <c r="D393" s="11"/>
      <c r="E393" s="12"/>
      <c r="F393" s="11"/>
      <c r="G393" s="11"/>
      <c r="H393" s="11"/>
      <c r="I393" s="11"/>
      <c r="J393" s="11"/>
      <c r="K393" s="11"/>
      <c r="L393" s="11"/>
    </row>
    <row r="394" spans="1:12" x14ac:dyDescent="0.35">
      <c r="A394" s="11"/>
      <c r="B394" s="12"/>
      <c r="C394" s="11"/>
      <c r="D394" s="11"/>
      <c r="E394" s="12"/>
      <c r="F394" s="11"/>
      <c r="G394" s="11"/>
      <c r="H394" s="11"/>
      <c r="I394" s="11"/>
      <c r="J394" s="11"/>
      <c r="K394" s="11"/>
      <c r="L394" s="11"/>
    </row>
    <row r="395" spans="1:12" x14ac:dyDescent="0.35">
      <c r="A395" s="11"/>
      <c r="B395" s="12"/>
      <c r="C395" s="11"/>
      <c r="D395" s="11"/>
      <c r="E395" s="12"/>
      <c r="F395" s="11"/>
      <c r="G395" s="11"/>
      <c r="H395" s="11"/>
      <c r="I395" s="11"/>
      <c r="J395" s="11"/>
      <c r="K395" s="11"/>
      <c r="L395" s="11"/>
    </row>
    <row r="396" spans="1:12" x14ac:dyDescent="0.35">
      <c r="A396" s="11"/>
      <c r="B396" s="12"/>
      <c r="C396" s="11"/>
      <c r="D396" s="11"/>
      <c r="E396" s="12"/>
      <c r="F396" s="11"/>
      <c r="G396" s="11"/>
      <c r="H396" s="11"/>
      <c r="I396" s="11"/>
      <c r="J396" s="11"/>
      <c r="K396" s="11"/>
      <c r="L396" s="11"/>
    </row>
    <row r="397" spans="1:12" x14ac:dyDescent="0.35">
      <c r="A397" s="11"/>
      <c r="B397" s="12"/>
      <c r="C397" s="11"/>
      <c r="D397" s="11"/>
      <c r="E397" s="12"/>
      <c r="F397" s="11"/>
      <c r="G397" s="11"/>
      <c r="H397" s="11"/>
      <c r="I397" s="11"/>
      <c r="J397" s="11"/>
      <c r="K397" s="11"/>
      <c r="L397" s="11"/>
    </row>
    <row r="398" spans="1:12" x14ac:dyDescent="0.35">
      <c r="A398" s="11"/>
      <c r="B398" s="12"/>
      <c r="C398" s="11"/>
      <c r="D398" s="11"/>
      <c r="E398" s="12"/>
      <c r="F398" s="11"/>
      <c r="G398" s="11"/>
      <c r="H398" s="11"/>
      <c r="I398" s="11"/>
      <c r="J398" s="11"/>
      <c r="K398" s="11"/>
      <c r="L398" s="11"/>
    </row>
    <row r="399" spans="1:12" x14ac:dyDescent="0.35">
      <c r="A399" s="11"/>
      <c r="B399" s="12"/>
      <c r="C399" s="11"/>
      <c r="D399" s="11"/>
      <c r="E399" s="12"/>
      <c r="F399" s="11"/>
      <c r="G399" s="11"/>
      <c r="H399" s="11"/>
      <c r="I399" s="11"/>
      <c r="J399" s="11"/>
      <c r="K399" s="11"/>
      <c r="L399" s="11"/>
    </row>
    <row r="400" spans="1:12" x14ac:dyDescent="0.35">
      <c r="A400" s="11"/>
      <c r="B400" s="12"/>
      <c r="C400" s="11"/>
      <c r="D400" s="11"/>
      <c r="E400" s="12"/>
      <c r="F400" s="11"/>
      <c r="G400" s="11"/>
      <c r="H400" s="11"/>
      <c r="I400" s="11"/>
      <c r="J400" s="11"/>
      <c r="K400" s="11"/>
      <c r="L400" s="11"/>
    </row>
    <row r="401" spans="1:12" x14ac:dyDescent="0.35">
      <c r="A401" s="11"/>
      <c r="B401" s="12"/>
      <c r="C401" s="11"/>
      <c r="D401" s="11"/>
      <c r="E401" s="12"/>
      <c r="F401" s="11"/>
      <c r="G401" s="11"/>
      <c r="H401" s="11"/>
      <c r="I401" s="11"/>
      <c r="J401" s="11"/>
      <c r="K401" s="11"/>
      <c r="L401" s="11"/>
    </row>
    <row r="402" spans="1:12" x14ac:dyDescent="0.35">
      <c r="A402" s="11"/>
      <c r="B402" s="12"/>
      <c r="C402" s="11"/>
      <c r="D402" s="11"/>
      <c r="E402" s="12"/>
      <c r="F402" s="11"/>
      <c r="G402" s="11"/>
      <c r="H402" s="11"/>
      <c r="I402" s="11"/>
      <c r="J402" s="11"/>
      <c r="K402" s="11"/>
      <c r="L402" s="11"/>
    </row>
    <row r="403" spans="1:12" x14ac:dyDescent="0.35">
      <c r="A403" s="11"/>
      <c r="B403" s="12"/>
      <c r="C403" s="11"/>
      <c r="D403" s="11"/>
      <c r="E403" s="12"/>
      <c r="F403" s="11"/>
      <c r="G403" s="11"/>
      <c r="H403" s="11"/>
      <c r="I403" s="11"/>
      <c r="J403" s="11"/>
      <c r="K403" s="11"/>
      <c r="L403" s="11"/>
    </row>
    <row r="404" spans="1:12" x14ac:dyDescent="0.35">
      <c r="A404" s="11"/>
      <c r="B404" s="12"/>
      <c r="C404" s="11"/>
      <c r="D404" s="11"/>
      <c r="E404" s="12"/>
      <c r="F404" s="11"/>
      <c r="G404" s="11"/>
      <c r="H404" s="11"/>
      <c r="I404" s="11"/>
      <c r="J404" s="11"/>
      <c r="K404" s="11"/>
      <c r="L404" s="11"/>
    </row>
    <row r="405" spans="1:12" x14ac:dyDescent="0.35">
      <c r="A405" s="11"/>
      <c r="B405" s="12"/>
      <c r="C405" s="11"/>
      <c r="D405" s="11"/>
      <c r="E405" s="12"/>
      <c r="F405" s="11"/>
      <c r="G405" s="11"/>
      <c r="H405" s="11"/>
      <c r="I405" s="11"/>
      <c r="J405" s="11"/>
      <c r="K405" s="11"/>
      <c r="L405" s="11"/>
    </row>
    <row r="406" spans="1:12" x14ac:dyDescent="0.35">
      <c r="A406" s="11"/>
      <c r="B406" s="12"/>
      <c r="C406" s="11"/>
      <c r="D406" s="11"/>
      <c r="E406" s="12"/>
      <c r="F406" s="11"/>
      <c r="G406" s="11"/>
      <c r="H406" s="11"/>
      <c r="I406" s="11"/>
      <c r="J406" s="11"/>
      <c r="K406" s="11"/>
      <c r="L406" s="11"/>
    </row>
    <row r="407" spans="1:12" x14ac:dyDescent="0.35">
      <c r="A407" s="11"/>
      <c r="B407" s="12"/>
      <c r="C407" s="11"/>
      <c r="D407" s="11"/>
      <c r="E407" s="12"/>
      <c r="F407" s="11"/>
      <c r="G407" s="11"/>
      <c r="H407" s="11"/>
      <c r="I407" s="11"/>
      <c r="J407" s="11"/>
      <c r="K407" s="11"/>
      <c r="L407" s="11"/>
    </row>
    <row r="408" spans="1:12" x14ac:dyDescent="0.35">
      <c r="A408" s="11"/>
      <c r="B408" s="12"/>
      <c r="C408" s="11"/>
      <c r="D408" s="11"/>
      <c r="E408" s="12"/>
      <c r="F408" s="11"/>
      <c r="G408" s="11"/>
      <c r="H408" s="11"/>
      <c r="I408" s="11"/>
      <c r="J408" s="11"/>
      <c r="K408" s="11"/>
      <c r="L408" s="11"/>
    </row>
    <row r="409" spans="1:12" x14ac:dyDescent="0.35">
      <c r="A409" s="11"/>
      <c r="B409" s="12"/>
      <c r="C409" s="11"/>
      <c r="D409" s="11"/>
      <c r="E409" s="12"/>
      <c r="F409" s="11"/>
      <c r="G409" s="11"/>
      <c r="H409" s="11"/>
      <c r="I409" s="11"/>
      <c r="J409" s="11"/>
      <c r="K409" s="11"/>
      <c r="L409" s="11"/>
    </row>
    <row r="410" spans="1:12" x14ac:dyDescent="0.35">
      <c r="A410" s="11"/>
      <c r="B410" s="12"/>
      <c r="C410" s="11"/>
      <c r="D410" s="11"/>
      <c r="E410" s="12"/>
      <c r="F410" s="11"/>
      <c r="G410" s="11"/>
      <c r="H410" s="11"/>
      <c r="I410" s="11"/>
      <c r="J410" s="11"/>
      <c r="K410" s="11"/>
      <c r="L410" s="11"/>
    </row>
    <row r="411" spans="1:12" x14ac:dyDescent="0.35">
      <c r="A411" s="11"/>
      <c r="B411" s="12"/>
      <c r="C411" s="11"/>
      <c r="D411" s="11"/>
      <c r="E411" s="12"/>
      <c r="F411" s="11"/>
      <c r="G411" s="11"/>
      <c r="H411" s="11"/>
      <c r="I411" s="11"/>
      <c r="J411" s="11"/>
      <c r="K411" s="11"/>
      <c r="L411" s="11"/>
    </row>
    <row r="412" spans="1:12" x14ac:dyDescent="0.35">
      <c r="A412" s="11"/>
      <c r="B412" s="12"/>
      <c r="C412" s="11"/>
      <c r="D412" s="11"/>
      <c r="E412" s="12"/>
      <c r="F412" s="11"/>
      <c r="G412" s="11"/>
      <c r="H412" s="11"/>
      <c r="I412" s="11"/>
      <c r="J412" s="11"/>
      <c r="K412" s="11"/>
      <c r="L412" s="11"/>
    </row>
    <row r="413" spans="1:12" x14ac:dyDescent="0.35">
      <c r="A413" s="11"/>
      <c r="B413" s="12"/>
      <c r="C413" s="11"/>
      <c r="D413" s="11"/>
      <c r="E413" s="12"/>
      <c r="F413" s="11"/>
      <c r="G413" s="11"/>
      <c r="H413" s="11"/>
      <c r="I413" s="11"/>
      <c r="J413" s="11"/>
      <c r="K413" s="11"/>
      <c r="L413" s="11"/>
    </row>
    <row r="414" spans="1:12" x14ac:dyDescent="0.35">
      <c r="A414" s="11"/>
      <c r="B414" s="12"/>
      <c r="C414" s="11"/>
      <c r="D414" s="11"/>
      <c r="E414" s="12"/>
      <c r="F414" s="11"/>
      <c r="G414" s="11"/>
      <c r="H414" s="11"/>
      <c r="I414" s="11"/>
      <c r="J414" s="11"/>
      <c r="K414" s="11"/>
      <c r="L414" s="11"/>
    </row>
    <row r="415" spans="1:12" x14ac:dyDescent="0.35">
      <c r="A415" s="11"/>
      <c r="B415" s="12"/>
      <c r="C415" s="11"/>
      <c r="D415" s="11"/>
      <c r="E415" s="12"/>
      <c r="F415" s="11"/>
      <c r="G415" s="11"/>
      <c r="H415" s="11"/>
      <c r="I415" s="11"/>
      <c r="J415" s="11"/>
      <c r="K415" s="11"/>
      <c r="L415" s="11"/>
    </row>
    <row r="416" spans="1:12" x14ac:dyDescent="0.35">
      <c r="A416" s="11"/>
      <c r="B416" s="12"/>
      <c r="C416" s="11"/>
      <c r="D416" s="11"/>
      <c r="E416" s="12"/>
      <c r="F416" s="11"/>
      <c r="G416" s="11"/>
      <c r="H416" s="11"/>
      <c r="I416" s="11"/>
      <c r="J416" s="11"/>
      <c r="K416" s="11"/>
      <c r="L416" s="11"/>
    </row>
    <row r="417" spans="1:12" x14ac:dyDescent="0.35">
      <c r="A417" s="11"/>
      <c r="B417" s="12"/>
      <c r="C417" s="11"/>
      <c r="D417" s="11"/>
      <c r="E417" s="12"/>
      <c r="F417" s="11"/>
      <c r="G417" s="11"/>
      <c r="H417" s="11"/>
      <c r="I417" s="11"/>
      <c r="J417" s="11"/>
      <c r="K417" s="11"/>
      <c r="L417" s="11"/>
    </row>
    <row r="418" spans="1:12" x14ac:dyDescent="0.35">
      <c r="A418" s="11"/>
      <c r="B418" s="12"/>
      <c r="C418" s="11"/>
      <c r="D418" s="11"/>
      <c r="E418" s="12"/>
      <c r="F418" s="11"/>
      <c r="G418" s="11"/>
      <c r="H418" s="11"/>
      <c r="I418" s="11"/>
      <c r="J418" s="11"/>
      <c r="K418" s="11"/>
      <c r="L418" s="11"/>
    </row>
    <row r="419" spans="1:12" x14ac:dyDescent="0.35">
      <c r="A419" s="11"/>
      <c r="B419" s="12"/>
      <c r="C419" s="11"/>
      <c r="D419" s="11"/>
      <c r="E419" s="12"/>
      <c r="F419" s="11"/>
      <c r="G419" s="11"/>
      <c r="H419" s="11"/>
      <c r="I419" s="11"/>
      <c r="J419" s="11"/>
      <c r="K419" s="11"/>
      <c r="L419" s="11"/>
    </row>
    <row r="420" spans="1:12" x14ac:dyDescent="0.35">
      <c r="A420" s="11"/>
      <c r="B420" s="12"/>
      <c r="C420" s="11"/>
      <c r="D420" s="11"/>
      <c r="E420" s="12"/>
      <c r="F420" s="11"/>
      <c r="G420" s="11"/>
      <c r="H420" s="11"/>
      <c r="I420" s="11"/>
      <c r="J420" s="11"/>
      <c r="K420" s="11"/>
      <c r="L420" s="11"/>
    </row>
    <row r="421" spans="1:12" x14ac:dyDescent="0.35">
      <c r="A421" s="11"/>
      <c r="B421" s="12"/>
      <c r="C421" s="11"/>
      <c r="D421" s="11"/>
      <c r="E421" s="12"/>
      <c r="F421" s="11"/>
      <c r="G421" s="11"/>
      <c r="H421" s="11"/>
      <c r="I421" s="11"/>
      <c r="J421" s="11"/>
      <c r="K421" s="11"/>
      <c r="L421" s="11"/>
    </row>
    <row r="422" spans="1:12" x14ac:dyDescent="0.35">
      <c r="A422" s="11"/>
      <c r="B422" s="12"/>
      <c r="C422" s="11"/>
      <c r="D422" s="11"/>
      <c r="E422" s="12"/>
      <c r="F422" s="11"/>
      <c r="G422" s="11"/>
      <c r="H422" s="11"/>
      <c r="I422" s="11"/>
      <c r="J422" s="11"/>
      <c r="K422" s="11"/>
      <c r="L422" s="11"/>
    </row>
    <row r="423" spans="1:12" x14ac:dyDescent="0.35">
      <c r="A423" s="11"/>
      <c r="B423" s="12"/>
      <c r="C423" s="11"/>
      <c r="D423" s="11"/>
      <c r="E423" s="12"/>
      <c r="F423" s="11"/>
      <c r="G423" s="11"/>
      <c r="H423" s="11"/>
      <c r="I423" s="11"/>
      <c r="J423" s="11"/>
      <c r="K423" s="11"/>
      <c r="L423" s="11"/>
    </row>
    <row r="424" spans="1:12" x14ac:dyDescent="0.35">
      <c r="A424" s="11"/>
      <c r="B424" s="12"/>
      <c r="C424" s="11"/>
      <c r="D424" s="11"/>
      <c r="E424" s="12"/>
      <c r="F424" s="11"/>
      <c r="G424" s="11"/>
      <c r="H424" s="11"/>
      <c r="I424" s="11"/>
      <c r="J424" s="11"/>
      <c r="K424" s="11"/>
      <c r="L424" s="11"/>
    </row>
    <row r="425" spans="1:12" x14ac:dyDescent="0.35">
      <c r="A425" s="11"/>
      <c r="B425" s="12"/>
      <c r="C425" s="11"/>
      <c r="D425" s="11"/>
      <c r="E425" s="12"/>
      <c r="F425" s="11"/>
      <c r="G425" s="11"/>
      <c r="H425" s="11"/>
      <c r="I425" s="11"/>
      <c r="J425" s="11"/>
      <c r="K425" s="11"/>
      <c r="L425" s="11"/>
    </row>
    <row r="426" spans="1:12" x14ac:dyDescent="0.35">
      <c r="A426" s="11"/>
      <c r="B426" s="12"/>
      <c r="C426" s="11"/>
      <c r="D426" s="11"/>
      <c r="E426" s="12"/>
      <c r="F426" s="11"/>
      <c r="G426" s="11"/>
      <c r="H426" s="11"/>
      <c r="I426" s="11"/>
      <c r="J426" s="11"/>
      <c r="K426" s="11"/>
      <c r="L426" s="11"/>
    </row>
    <row r="427" spans="1:12" x14ac:dyDescent="0.35">
      <c r="A427" s="11"/>
      <c r="B427" s="12"/>
      <c r="C427" s="11"/>
      <c r="D427" s="11"/>
      <c r="E427" s="12"/>
      <c r="F427" s="11"/>
      <c r="G427" s="11"/>
      <c r="H427" s="11"/>
      <c r="I427" s="11"/>
      <c r="J427" s="11"/>
      <c r="K427" s="11"/>
      <c r="L427" s="11"/>
    </row>
    <row r="428" spans="1:12" x14ac:dyDescent="0.35">
      <c r="A428" s="11"/>
      <c r="B428" s="12"/>
      <c r="C428" s="11"/>
      <c r="D428" s="11"/>
      <c r="E428" s="12"/>
      <c r="F428" s="11"/>
      <c r="G428" s="11"/>
      <c r="H428" s="11"/>
      <c r="I428" s="11"/>
      <c r="J428" s="11"/>
      <c r="K428" s="11"/>
      <c r="L428" s="11"/>
    </row>
    <row r="429" spans="1:12" x14ac:dyDescent="0.35">
      <c r="A429" s="11"/>
      <c r="B429" s="12"/>
      <c r="C429" s="11"/>
      <c r="D429" s="11"/>
      <c r="E429" s="12"/>
      <c r="F429" s="11"/>
      <c r="G429" s="11"/>
      <c r="H429" s="11"/>
      <c r="I429" s="11"/>
      <c r="J429" s="11"/>
      <c r="K429" s="11"/>
      <c r="L429" s="11"/>
    </row>
    <row r="430" spans="1:12" x14ac:dyDescent="0.35">
      <c r="A430" s="11"/>
      <c r="B430" s="12"/>
      <c r="C430" s="11"/>
      <c r="D430" s="11"/>
      <c r="E430" s="12"/>
      <c r="F430" s="11"/>
      <c r="G430" s="11"/>
      <c r="H430" s="11"/>
      <c r="I430" s="11"/>
      <c r="J430" s="11"/>
      <c r="K430" s="11"/>
      <c r="L430" s="11"/>
    </row>
    <row r="431" spans="1:12" x14ac:dyDescent="0.35">
      <c r="A431" s="11"/>
      <c r="B431" s="12"/>
      <c r="C431" s="11"/>
      <c r="D431" s="11"/>
      <c r="E431" s="12"/>
      <c r="F431" s="11"/>
      <c r="G431" s="11"/>
      <c r="H431" s="11"/>
      <c r="I431" s="11"/>
      <c r="J431" s="11"/>
      <c r="K431" s="11"/>
      <c r="L431" s="11"/>
    </row>
    <row r="432" spans="1:12" x14ac:dyDescent="0.35">
      <c r="A432" s="11"/>
      <c r="B432" s="12"/>
      <c r="C432" s="11"/>
      <c r="D432" s="11"/>
      <c r="E432" s="12"/>
      <c r="F432" s="11"/>
      <c r="G432" s="11"/>
      <c r="H432" s="11"/>
      <c r="I432" s="11"/>
      <c r="J432" s="11"/>
      <c r="K432" s="11"/>
      <c r="L432" s="11"/>
    </row>
    <row r="433" spans="1:12" x14ac:dyDescent="0.35">
      <c r="A433" s="11"/>
      <c r="B433" s="12"/>
      <c r="C433" s="11"/>
      <c r="D433" s="11"/>
      <c r="E433" s="12"/>
      <c r="F433" s="11"/>
      <c r="G433" s="11"/>
      <c r="H433" s="11"/>
      <c r="I433" s="11"/>
      <c r="J433" s="11"/>
      <c r="K433" s="11"/>
      <c r="L433" s="11"/>
    </row>
    <row r="434" spans="1:12" x14ac:dyDescent="0.35">
      <c r="A434" s="11"/>
      <c r="B434" s="12"/>
      <c r="C434" s="11"/>
      <c r="D434" s="11"/>
      <c r="E434" s="12"/>
      <c r="F434" s="11"/>
      <c r="G434" s="11"/>
      <c r="H434" s="11"/>
      <c r="I434" s="11"/>
      <c r="J434" s="11"/>
      <c r="K434" s="11"/>
      <c r="L434" s="11"/>
    </row>
    <row r="435" spans="1:12" x14ac:dyDescent="0.35">
      <c r="A435" s="11"/>
      <c r="B435" s="12"/>
      <c r="C435" s="11"/>
      <c r="D435" s="11"/>
      <c r="E435" s="12"/>
      <c r="F435" s="11"/>
      <c r="G435" s="11"/>
      <c r="H435" s="11"/>
      <c r="I435" s="11"/>
      <c r="J435" s="11"/>
      <c r="K435" s="11"/>
      <c r="L435" s="11"/>
    </row>
    <row r="436" spans="1:12" x14ac:dyDescent="0.35">
      <c r="A436" s="11"/>
      <c r="B436" s="12"/>
      <c r="C436" s="11"/>
      <c r="D436" s="11"/>
      <c r="E436" s="12"/>
      <c r="F436" s="11"/>
      <c r="G436" s="11"/>
      <c r="H436" s="11"/>
      <c r="I436" s="11"/>
      <c r="J436" s="11"/>
      <c r="K436" s="11"/>
      <c r="L436" s="11"/>
    </row>
    <row r="437" spans="1:12" x14ac:dyDescent="0.35">
      <c r="A437" s="11"/>
      <c r="B437" s="12"/>
      <c r="C437" s="11"/>
      <c r="D437" s="11"/>
      <c r="E437" s="12"/>
      <c r="F437" s="11"/>
      <c r="G437" s="11"/>
      <c r="H437" s="11"/>
      <c r="I437" s="11"/>
      <c r="J437" s="11"/>
      <c r="K437" s="11"/>
      <c r="L437" s="11"/>
    </row>
    <row r="438" spans="1:12" x14ac:dyDescent="0.35">
      <c r="A438" s="11"/>
      <c r="B438" s="12"/>
      <c r="C438" s="11"/>
      <c r="D438" s="11"/>
      <c r="E438" s="12"/>
      <c r="F438" s="11"/>
      <c r="G438" s="11"/>
      <c r="H438" s="11"/>
      <c r="I438" s="11"/>
      <c r="J438" s="11"/>
      <c r="K438" s="11"/>
      <c r="L438" s="11"/>
    </row>
    <row r="439" spans="1:12" x14ac:dyDescent="0.35">
      <c r="A439" s="11"/>
      <c r="B439" s="12"/>
      <c r="C439" s="11"/>
      <c r="D439" s="11"/>
      <c r="E439" s="12"/>
      <c r="F439" s="11"/>
      <c r="G439" s="11"/>
      <c r="H439" s="11"/>
      <c r="I439" s="11"/>
      <c r="J439" s="11"/>
      <c r="K439" s="11"/>
      <c r="L439" s="11"/>
    </row>
    <row r="440" spans="1:12" x14ac:dyDescent="0.35">
      <c r="A440" s="11"/>
      <c r="B440" s="12"/>
      <c r="C440" s="11"/>
      <c r="D440" s="11"/>
      <c r="E440" s="12"/>
      <c r="F440" s="11"/>
      <c r="G440" s="11"/>
      <c r="H440" s="11"/>
      <c r="I440" s="11"/>
      <c r="J440" s="11"/>
      <c r="K440" s="11"/>
      <c r="L440" s="11"/>
    </row>
    <row r="441" spans="1:12" x14ac:dyDescent="0.35">
      <c r="A441" s="11"/>
      <c r="B441" s="12"/>
      <c r="C441" s="11"/>
      <c r="D441" s="11"/>
      <c r="E441" s="12"/>
      <c r="F441" s="11"/>
      <c r="G441" s="11"/>
      <c r="H441" s="11"/>
      <c r="I441" s="11"/>
      <c r="J441" s="11"/>
      <c r="K441" s="11"/>
      <c r="L441" s="11"/>
    </row>
    <row r="442" spans="1:12" x14ac:dyDescent="0.35">
      <c r="A442" s="11"/>
      <c r="B442" s="12"/>
      <c r="C442" s="11"/>
      <c r="D442" s="11"/>
      <c r="E442" s="12"/>
      <c r="F442" s="11"/>
      <c r="G442" s="11"/>
      <c r="H442" s="11"/>
      <c r="I442" s="11"/>
      <c r="J442" s="11"/>
      <c r="K442" s="11"/>
      <c r="L442" s="11"/>
    </row>
    <row r="443" spans="1:12" x14ac:dyDescent="0.35">
      <c r="A443" s="11"/>
      <c r="B443" s="12"/>
      <c r="C443" s="11"/>
      <c r="D443" s="11"/>
      <c r="E443" s="12"/>
      <c r="F443" s="11"/>
      <c r="G443" s="11"/>
      <c r="H443" s="11"/>
      <c r="I443" s="11"/>
      <c r="J443" s="11"/>
      <c r="K443" s="11"/>
      <c r="L443" s="11"/>
    </row>
    <row r="444" spans="1:12" x14ac:dyDescent="0.35">
      <c r="A444" s="11"/>
      <c r="B444" s="12"/>
      <c r="C444" s="11"/>
      <c r="D444" s="11"/>
      <c r="E444" s="12"/>
      <c r="F444" s="11"/>
      <c r="G444" s="11"/>
      <c r="H444" s="11"/>
      <c r="I444" s="11"/>
      <c r="J444" s="11"/>
      <c r="K444" s="11"/>
      <c r="L444" s="11"/>
    </row>
    <row r="445" spans="1:12" x14ac:dyDescent="0.35">
      <c r="A445" s="11"/>
      <c r="B445" s="12"/>
      <c r="C445" s="11"/>
      <c r="D445" s="11"/>
      <c r="E445" s="12"/>
      <c r="F445" s="11"/>
      <c r="G445" s="11"/>
      <c r="H445" s="11"/>
      <c r="I445" s="11"/>
      <c r="J445" s="11"/>
      <c r="K445" s="11"/>
      <c r="L445" s="11"/>
    </row>
    <row r="446" spans="1:12" x14ac:dyDescent="0.35">
      <c r="A446" s="11"/>
      <c r="B446" s="12"/>
      <c r="C446" s="11"/>
      <c r="D446" s="11"/>
      <c r="E446" s="12"/>
      <c r="F446" s="11"/>
      <c r="G446" s="11"/>
      <c r="H446" s="11"/>
      <c r="I446" s="11"/>
      <c r="J446" s="11"/>
      <c r="K446" s="11"/>
      <c r="L446" s="11"/>
    </row>
    <row r="447" spans="1:12" x14ac:dyDescent="0.35">
      <c r="A447" s="11"/>
      <c r="B447" s="12"/>
      <c r="C447" s="11"/>
      <c r="D447" s="11"/>
      <c r="E447" s="12"/>
      <c r="F447" s="11"/>
      <c r="G447" s="11"/>
      <c r="H447" s="11"/>
      <c r="I447" s="11"/>
      <c r="J447" s="11"/>
      <c r="K447" s="11"/>
      <c r="L447" s="11"/>
    </row>
    <row r="448" spans="1:12" x14ac:dyDescent="0.35">
      <c r="A448" s="11"/>
      <c r="B448" s="12"/>
      <c r="C448" s="11"/>
      <c r="D448" s="11"/>
      <c r="E448" s="12"/>
      <c r="F448" s="11"/>
      <c r="G448" s="11"/>
      <c r="H448" s="11"/>
      <c r="I448" s="11"/>
      <c r="J448" s="11"/>
      <c r="K448" s="11"/>
      <c r="L448" s="11"/>
    </row>
    <row r="449" spans="1:12" x14ac:dyDescent="0.35">
      <c r="A449" s="11"/>
      <c r="B449" s="12"/>
      <c r="C449" s="11"/>
      <c r="D449" s="11"/>
      <c r="E449" s="12"/>
      <c r="F449" s="11"/>
      <c r="G449" s="11"/>
      <c r="H449" s="11"/>
      <c r="I449" s="11"/>
      <c r="J449" s="11"/>
      <c r="K449" s="11"/>
      <c r="L449" s="11"/>
    </row>
    <row r="450" spans="1:12" x14ac:dyDescent="0.35">
      <c r="A450" s="11"/>
      <c r="B450" s="12"/>
      <c r="C450" s="11"/>
      <c r="D450" s="11"/>
      <c r="E450" s="12"/>
      <c r="F450" s="11"/>
      <c r="G450" s="11"/>
      <c r="H450" s="11"/>
      <c r="I450" s="11"/>
      <c r="J450" s="11"/>
      <c r="K450" s="11"/>
      <c r="L450" s="11"/>
    </row>
    <row r="451" spans="1:12" x14ac:dyDescent="0.35">
      <c r="A451" s="11"/>
      <c r="B451" s="12"/>
      <c r="C451" s="11"/>
      <c r="D451" s="11"/>
      <c r="E451" s="12"/>
      <c r="F451" s="11"/>
      <c r="G451" s="11"/>
      <c r="H451" s="11"/>
      <c r="I451" s="11"/>
      <c r="J451" s="11"/>
      <c r="K451" s="11"/>
      <c r="L451" s="11"/>
    </row>
    <row r="452" spans="1:12" x14ac:dyDescent="0.35">
      <c r="A452" s="11"/>
      <c r="B452" s="12"/>
      <c r="C452" s="11"/>
      <c r="D452" s="11"/>
      <c r="E452" s="12"/>
      <c r="F452" s="11"/>
      <c r="G452" s="11"/>
      <c r="H452" s="11"/>
      <c r="I452" s="11"/>
      <c r="J452" s="11"/>
      <c r="K452" s="11"/>
      <c r="L452" s="11"/>
    </row>
    <row r="453" spans="1:12" x14ac:dyDescent="0.35">
      <c r="A453" s="11"/>
      <c r="B453" s="12"/>
      <c r="C453" s="11"/>
      <c r="D453" s="11"/>
      <c r="E453" s="12"/>
      <c r="F453" s="11"/>
      <c r="G453" s="11"/>
      <c r="H453" s="11"/>
      <c r="I453" s="11"/>
      <c r="J453" s="11"/>
      <c r="K453" s="11"/>
      <c r="L453" s="11"/>
    </row>
    <row r="454" spans="1:12" x14ac:dyDescent="0.35">
      <c r="A454" s="11"/>
      <c r="B454" s="12"/>
      <c r="C454" s="11"/>
      <c r="D454" s="11"/>
      <c r="E454" s="12"/>
      <c r="F454" s="11"/>
      <c r="G454" s="11"/>
      <c r="H454" s="11"/>
      <c r="I454" s="11"/>
      <c r="J454" s="11"/>
      <c r="K454" s="11"/>
      <c r="L454" s="11"/>
    </row>
    <row r="455" spans="1:12" x14ac:dyDescent="0.35">
      <c r="A455" s="11"/>
      <c r="B455" s="12"/>
      <c r="C455" s="11"/>
      <c r="D455" s="11"/>
      <c r="E455" s="12"/>
      <c r="F455" s="11"/>
      <c r="G455" s="11"/>
      <c r="H455" s="11"/>
      <c r="I455" s="11"/>
      <c r="J455" s="11"/>
      <c r="K455" s="11"/>
      <c r="L455" s="11"/>
    </row>
    <row r="456" spans="1:12" x14ac:dyDescent="0.35">
      <c r="A456" s="11"/>
      <c r="B456" s="12"/>
      <c r="C456" s="11"/>
      <c r="D456" s="11"/>
      <c r="E456" s="12"/>
      <c r="F456" s="11"/>
      <c r="G456" s="11"/>
      <c r="H456" s="11"/>
      <c r="I456" s="11"/>
      <c r="J456" s="11"/>
      <c r="K456" s="11"/>
      <c r="L456" s="11"/>
    </row>
    <row r="457" spans="1:12" x14ac:dyDescent="0.35">
      <c r="A457" s="11"/>
      <c r="B457" s="12"/>
      <c r="C457" s="11"/>
      <c r="D457" s="11"/>
      <c r="E457" s="12"/>
      <c r="F457" s="11"/>
      <c r="G457" s="11"/>
      <c r="H457" s="11"/>
      <c r="I457" s="11"/>
      <c r="J457" s="11"/>
      <c r="K457" s="11"/>
      <c r="L457" s="11"/>
    </row>
    <row r="458" spans="1:12" x14ac:dyDescent="0.35">
      <c r="A458" s="11"/>
      <c r="B458" s="12"/>
      <c r="C458" s="11"/>
      <c r="D458" s="11"/>
      <c r="E458" s="12"/>
      <c r="F458" s="11"/>
      <c r="G458" s="11"/>
      <c r="H458" s="11"/>
      <c r="I458" s="11"/>
      <c r="J458" s="11"/>
      <c r="K458" s="11"/>
      <c r="L458" s="11"/>
    </row>
    <row r="459" spans="1:12" x14ac:dyDescent="0.35">
      <c r="A459" s="11"/>
      <c r="B459" s="12"/>
      <c r="C459" s="11"/>
      <c r="D459" s="11"/>
      <c r="E459" s="12"/>
      <c r="F459" s="11"/>
      <c r="G459" s="11"/>
      <c r="H459" s="11"/>
      <c r="I459" s="11"/>
      <c r="J459" s="11"/>
      <c r="K459" s="11"/>
      <c r="L459" s="11"/>
    </row>
    <row r="460" spans="1:12" x14ac:dyDescent="0.35">
      <c r="A460" s="11"/>
      <c r="B460" s="12"/>
      <c r="C460" s="11"/>
      <c r="D460" s="11"/>
      <c r="E460" s="12"/>
      <c r="F460" s="11"/>
      <c r="G460" s="11"/>
      <c r="H460" s="11"/>
      <c r="I460" s="11"/>
      <c r="J460" s="11"/>
      <c r="K460" s="11"/>
      <c r="L460" s="11"/>
    </row>
    <row r="461" spans="1:12" x14ac:dyDescent="0.35">
      <c r="A461" s="11"/>
      <c r="B461" s="12"/>
      <c r="C461" s="11"/>
      <c r="D461" s="11"/>
      <c r="E461" s="12"/>
      <c r="F461" s="11"/>
      <c r="G461" s="11"/>
      <c r="H461" s="11"/>
      <c r="I461" s="11"/>
      <c r="J461" s="11"/>
      <c r="K461" s="11"/>
      <c r="L461" s="11"/>
    </row>
    <row r="462" spans="1:12" x14ac:dyDescent="0.35">
      <c r="A462" s="11"/>
      <c r="B462" s="12"/>
      <c r="C462" s="11"/>
      <c r="D462" s="11"/>
      <c r="E462" s="12"/>
      <c r="F462" s="11"/>
      <c r="G462" s="11"/>
      <c r="H462" s="11"/>
      <c r="I462" s="11"/>
      <c r="J462" s="11"/>
      <c r="K462" s="11"/>
      <c r="L462" s="11"/>
    </row>
    <row r="463" spans="1:12" x14ac:dyDescent="0.35">
      <c r="A463" s="11"/>
      <c r="B463" s="12"/>
      <c r="C463" s="11"/>
      <c r="D463" s="11"/>
      <c r="E463" s="12"/>
      <c r="F463" s="11"/>
      <c r="G463" s="11"/>
      <c r="H463" s="11"/>
      <c r="I463" s="11"/>
      <c r="J463" s="11"/>
      <c r="K463" s="11"/>
      <c r="L463" s="11"/>
    </row>
    <row r="464" spans="1:12" x14ac:dyDescent="0.35">
      <c r="A464" s="11"/>
      <c r="B464" s="12"/>
      <c r="C464" s="11"/>
      <c r="D464" s="11"/>
      <c r="E464" s="12"/>
      <c r="F464" s="11"/>
      <c r="G464" s="11"/>
      <c r="H464" s="11"/>
      <c r="I464" s="11"/>
      <c r="J464" s="11"/>
      <c r="K464" s="11"/>
      <c r="L464" s="11"/>
    </row>
    <row r="465" spans="1:12" x14ac:dyDescent="0.35">
      <c r="A465" s="11"/>
      <c r="B465" s="12"/>
      <c r="C465" s="11"/>
      <c r="D465" s="11"/>
      <c r="E465" s="12"/>
      <c r="F465" s="11"/>
      <c r="G465" s="11"/>
      <c r="H465" s="11"/>
      <c r="I465" s="11"/>
      <c r="J465" s="11"/>
      <c r="K465" s="11"/>
      <c r="L465" s="11"/>
    </row>
    <row r="466" spans="1:12" x14ac:dyDescent="0.35">
      <c r="A466" s="11"/>
      <c r="B466" s="12"/>
      <c r="C466" s="11"/>
      <c r="D466" s="11"/>
      <c r="E466" s="12"/>
      <c r="F466" s="11"/>
      <c r="G466" s="11"/>
      <c r="H466" s="11"/>
      <c r="I466" s="11"/>
      <c r="J466" s="11"/>
      <c r="K466" s="11"/>
      <c r="L466" s="11"/>
    </row>
    <row r="467" spans="1:12" x14ac:dyDescent="0.35">
      <c r="A467" s="11"/>
      <c r="B467" s="12"/>
      <c r="C467" s="11"/>
      <c r="D467" s="11"/>
      <c r="E467" s="12"/>
      <c r="F467" s="11"/>
      <c r="G467" s="11"/>
      <c r="H467" s="11"/>
      <c r="I467" s="11"/>
      <c r="J467" s="11"/>
      <c r="K467" s="11"/>
      <c r="L467" s="11"/>
    </row>
    <row r="468" spans="1:12" x14ac:dyDescent="0.35">
      <c r="A468" s="11"/>
      <c r="B468" s="12"/>
      <c r="C468" s="11"/>
      <c r="D468" s="11"/>
      <c r="E468" s="12"/>
      <c r="F468" s="11"/>
      <c r="G468" s="11"/>
      <c r="H468" s="11"/>
      <c r="I468" s="11"/>
      <c r="J468" s="11"/>
      <c r="K468" s="11"/>
      <c r="L468" s="11"/>
    </row>
    <row r="469" spans="1:12" x14ac:dyDescent="0.35">
      <c r="A469" s="11"/>
      <c r="B469" s="12"/>
      <c r="C469" s="11"/>
      <c r="D469" s="11"/>
      <c r="E469" s="12"/>
      <c r="F469" s="11"/>
      <c r="G469" s="11"/>
      <c r="H469" s="11"/>
      <c r="I469" s="11"/>
      <c r="J469" s="11"/>
      <c r="K469" s="11"/>
      <c r="L469" s="11"/>
    </row>
    <row r="470" spans="1:12" x14ac:dyDescent="0.35">
      <c r="A470" s="11"/>
      <c r="B470" s="12"/>
      <c r="C470" s="11"/>
      <c r="D470" s="11"/>
      <c r="E470" s="12"/>
      <c r="F470" s="11"/>
      <c r="G470" s="11"/>
      <c r="H470" s="11"/>
      <c r="I470" s="11"/>
      <c r="J470" s="11"/>
      <c r="K470" s="11"/>
      <c r="L470" s="11"/>
    </row>
    <row r="471" spans="1:12" x14ac:dyDescent="0.35">
      <c r="A471" s="11"/>
      <c r="B471" s="12"/>
      <c r="C471" s="11"/>
      <c r="D471" s="11"/>
      <c r="E471" s="12"/>
      <c r="F471" s="11"/>
      <c r="G471" s="11"/>
      <c r="H471" s="11"/>
      <c r="I471" s="11"/>
      <c r="J471" s="11"/>
      <c r="K471" s="11"/>
      <c r="L471" s="11"/>
    </row>
    <row r="472" spans="1:12" x14ac:dyDescent="0.35">
      <c r="A472" s="11"/>
      <c r="B472" s="12"/>
      <c r="C472" s="11"/>
      <c r="D472" s="11"/>
      <c r="E472" s="12"/>
      <c r="F472" s="11"/>
      <c r="G472" s="11"/>
      <c r="H472" s="11"/>
      <c r="I472" s="11"/>
      <c r="J472" s="11"/>
      <c r="K472" s="11"/>
      <c r="L472" s="11"/>
    </row>
    <row r="473" spans="1:12" x14ac:dyDescent="0.35">
      <c r="A473" s="11"/>
      <c r="B473" s="12"/>
      <c r="C473" s="11"/>
      <c r="D473" s="11"/>
      <c r="E473" s="12"/>
      <c r="F473" s="11"/>
      <c r="G473" s="11"/>
      <c r="H473" s="11"/>
      <c r="I473" s="11"/>
      <c r="J473" s="11"/>
      <c r="K473" s="11"/>
      <c r="L473" s="11"/>
    </row>
    <row r="474" spans="1:12" x14ac:dyDescent="0.35">
      <c r="A474" s="11"/>
      <c r="B474" s="12"/>
      <c r="C474" s="11"/>
      <c r="D474" s="11"/>
      <c r="E474" s="12"/>
      <c r="F474" s="11"/>
      <c r="G474" s="11"/>
      <c r="H474" s="11"/>
      <c r="I474" s="11"/>
      <c r="J474" s="11"/>
      <c r="K474" s="11"/>
      <c r="L474" s="11"/>
    </row>
    <row r="475" spans="1:12" x14ac:dyDescent="0.35">
      <c r="A475" s="11"/>
      <c r="B475" s="12"/>
      <c r="C475" s="11"/>
      <c r="D475" s="11"/>
      <c r="E475" s="12"/>
      <c r="F475" s="11"/>
      <c r="G475" s="11"/>
      <c r="H475" s="11"/>
      <c r="I475" s="11"/>
      <c r="J475" s="11"/>
      <c r="K475" s="11"/>
      <c r="L475" s="11"/>
    </row>
    <row r="476" spans="1:12" x14ac:dyDescent="0.35">
      <c r="A476" s="11"/>
      <c r="B476" s="12"/>
      <c r="C476" s="11"/>
      <c r="D476" s="11"/>
      <c r="E476" s="12"/>
      <c r="F476" s="11"/>
      <c r="G476" s="11"/>
      <c r="H476" s="11"/>
      <c r="I476" s="11"/>
      <c r="J476" s="11"/>
      <c r="K476" s="11"/>
      <c r="L476" s="11"/>
    </row>
    <row r="477" spans="1:12" x14ac:dyDescent="0.35">
      <c r="A477" s="11"/>
      <c r="B477" s="12"/>
      <c r="C477" s="11"/>
      <c r="D477" s="11"/>
      <c r="E477" s="12"/>
      <c r="F477" s="11"/>
      <c r="G477" s="11"/>
      <c r="H477" s="11"/>
      <c r="I477" s="11"/>
      <c r="J477" s="11"/>
      <c r="K477" s="11"/>
      <c r="L477" s="11"/>
    </row>
    <row r="478" spans="1:12" x14ac:dyDescent="0.35">
      <c r="A478" s="11"/>
      <c r="B478" s="12"/>
      <c r="C478" s="11"/>
      <c r="D478" s="11"/>
      <c r="E478" s="12"/>
      <c r="F478" s="11"/>
      <c r="G478" s="11"/>
      <c r="H478" s="11"/>
      <c r="I478" s="11"/>
      <c r="J478" s="11"/>
      <c r="K478" s="11"/>
      <c r="L478" s="11"/>
    </row>
    <row r="479" spans="1:12" x14ac:dyDescent="0.35">
      <c r="A479" s="11"/>
      <c r="B479" s="12"/>
      <c r="C479" s="11"/>
      <c r="D479" s="11"/>
      <c r="E479" s="12"/>
      <c r="F479" s="11"/>
      <c r="G479" s="11"/>
      <c r="H479" s="11"/>
      <c r="I479" s="11"/>
      <c r="J479" s="11"/>
      <c r="K479" s="11"/>
      <c r="L479" s="11"/>
    </row>
    <row r="480" spans="1:12" x14ac:dyDescent="0.35">
      <c r="A480" s="11"/>
      <c r="B480" s="12"/>
      <c r="C480" s="11"/>
      <c r="D480" s="11"/>
      <c r="E480" s="12"/>
      <c r="F480" s="11"/>
      <c r="G480" s="11"/>
      <c r="H480" s="11"/>
      <c r="I480" s="11"/>
      <c r="J480" s="11"/>
      <c r="K480" s="11"/>
      <c r="L480" s="11"/>
    </row>
    <row r="481" spans="1:12" x14ac:dyDescent="0.35">
      <c r="A481" s="11"/>
      <c r="B481" s="12"/>
      <c r="C481" s="11"/>
      <c r="D481" s="11"/>
      <c r="E481" s="12"/>
      <c r="F481" s="11"/>
      <c r="G481" s="11"/>
      <c r="H481" s="11"/>
      <c r="I481" s="11"/>
      <c r="J481" s="11"/>
      <c r="K481" s="11"/>
      <c r="L481" s="11"/>
    </row>
    <row r="482" spans="1:12" x14ac:dyDescent="0.35">
      <c r="A482" s="11"/>
      <c r="B482" s="12"/>
      <c r="C482" s="11"/>
      <c r="D482" s="11"/>
      <c r="E482" s="12"/>
      <c r="F482" s="11"/>
      <c r="G482" s="11"/>
      <c r="H482" s="11"/>
      <c r="I482" s="11"/>
      <c r="J482" s="11"/>
      <c r="K482" s="11"/>
      <c r="L482" s="11"/>
    </row>
    <row r="483" spans="1:12" x14ac:dyDescent="0.35">
      <c r="A483" s="11"/>
      <c r="B483" s="12"/>
      <c r="C483" s="11"/>
      <c r="D483" s="11"/>
      <c r="E483" s="12"/>
      <c r="F483" s="11"/>
      <c r="G483" s="11"/>
      <c r="H483" s="11"/>
      <c r="I483" s="11"/>
      <c r="J483" s="11"/>
      <c r="K483" s="11"/>
      <c r="L483" s="11"/>
    </row>
    <row r="484" spans="1:12" x14ac:dyDescent="0.35">
      <c r="A484" s="11"/>
      <c r="B484" s="12"/>
      <c r="C484" s="11"/>
      <c r="D484" s="11"/>
      <c r="E484" s="12"/>
      <c r="F484" s="11"/>
      <c r="G484" s="11"/>
      <c r="H484" s="11"/>
      <c r="I484" s="11"/>
      <c r="J484" s="11"/>
      <c r="K484" s="11"/>
      <c r="L484" s="11"/>
    </row>
    <row r="485" spans="1:12" x14ac:dyDescent="0.35">
      <c r="A485" s="11"/>
      <c r="B485" s="12"/>
      <c r="C485" s="11"/>
      <c r="D485" s="11"/>
      <c r="E485" s="12"/>
      <c r="F485" s="11"/>
      <c r="G485" s="11"/>
      <c r="H485" s="11"/>
      <c r="I485" s="11"/>
      <c r="J485" s="11"/>
      <c r="K485" s="11"/>
      <c r="L485" s="11"/>
    </row>
    <row r="486" spans="1:12" x14ac:dyDescent="0.35">
      <c r="A486" s="11"/>
      <c r="B486" s="12"/>
      <c r="C486" s="11"/>
      <c r="D486" s="11"/>
      <c r="E486" s="12"/>
      <c r="F486" s="11"/>
      <c r="G486" s="11"/>
      <c r="H486" s="11"/>
      <c r="I486" s="11"/>
      <c r="J486" s="11"/>
      <c r="K486" s="11"/>
      <c r="L486" s="11"/>
    </row>
    <row r="487" spans="1:12" x14ac:dyDescent="0.35">
      <c r="A487" s="11"/>
      <c r="B487" s="12"/>
      <c r="C487" s="11"/>
      <c r="D487" s="11"/>
      <c r="E487" s="12"/>
      <c r="F487" s="11"/>
      <c r="G487" s="11"/>
      <c r="H487" s="11"/>
      <c r="I487" s="11"/>
      <c r="J487" s="11"/>
      <c r="K487" s="11"/>
      <c r="L487" s="11"/>
    </row>
    <row r="488" spans="1:12" x14ac:dyDescent="0.35">
      <c r="A488" s="11"/>
      <c r="B488" s="12"/>
      <c r="C488" s="11"/>
      <c r="D488" s="11"/>
      <c r="E488" s="12"/>
      <c r="F488" s="11"/>
      <c r="G488" s="11"/>
      <c r="H488" s="11"/>
      <c r="I488" s="11"/>
      <c r="J488" s="11"/>
      <c r="K488" s="11"/>
      <c r="L488" s="11"/>
    </row>
    <row r="489" spans="1:12" x14ac:dyDescent="0.35">
      <c r="A489" s="11"/>
      <c r="B489" s="12"/>
      <c r="C489" s="11"/>
      <c r="D489" s="11"/>
      <c r="E489" s="12"/>
      <c r="F489" s="11"/>
      <c r="G489" s="11"/>
      <c r="H489" s="11"/>
      <c r="I489" s="11"/>
      <c r="J489" s="11"/>
      <c r="K489" s="11"/>
      <c r="L489" s="11"/>
    </row>
    <row r="490" spans="1:12" x14ac:dyDescent="0.35">
      <c r="A490" s="11"/>
      <c r="B490" s="12"/>
      <c r="C490" s="11"/>
      <c r="D490" s="11"/>
      <c r="E490" s="12"/>
      <c r="F490" s="11"/>
      <c r="G490" s="11"/>
      <c r="H490" s="11"/>
      <c r="I490" s="11"/>
      <c r="J490" s="11"/>
      <c r="K490" s="11"/>
      <c r="L490" s="11"/>
    </row>
    <row r="491" spans="1:12" x14ac:dyDescent="0.35">
      <c r="A491" s="11"/>
      <c r="B491" s="12"/>
      <c r="C491" s="11"/>
      <c r="D491" s="11"/>
      <c r="E491" s="12"/>
      <c r="F491" s="11"/>
      <c r="G491" s="11"/>
      <c r="H491" s="11"/>
      <c r="I491" s="11"/>
      <c r="J491" s="11"/>
      <c r="K491" s="11"/>
      <c r="L491" s="11"/>
    </row>
    <row r="492" spans="1:12" x14ac:dyDescent="0.35">
      <c r="A492" s="11"/>
      <c r="B492" s="12"/>
      <c r="C492" s="11"/>
      <c r="D492" s="11"/>
      <c r="E492" s="12"/>
      <c r="F492" s="11"/>
      <c r="G492" s="11"/>
      <c r="H492" s="11"/>
      <c r="I492" s="11"/>
      <c r="J492" s="11"/>
      <c r="K492" s="11"/>
      <c r="L492" s="11"/>
    </row>
    <row r="493" spans="1:12" x14ac:dyDescent="0.35">
      <c r="A493" s="11"/>
      <c r="B493" s="12"/>
      <c r="C493" s="11"/>
      <c r="D493" s="11"/>
      <c r="E493" s="12"/>
      <c r="F493" s="11"/>
      <c r="G493" s="11"/>
      <c r="H493" s="11"/>
      <c r="I493" s="11"/>
      <c r="J493" s="11"/>
      <c r="K493" s="11"/>
      <c r="L493" s="11"/>
    </row>
    <row r="494" spans="1:12" x14ac:dyDescent="0.35">
      <c r="A494" s="11"/>
      <c r="B494" s="12"/>
      <c r="C494" s="11"/>
      <c r="D494" s="11"/>
      <c r="E494" s="12"/>
      <c r="F494" s="11"/>
      <c r="G494" s="11"/>
      <c r="H494" s="11"/>
      <c r="I494" s="11"/>
      <c r="J494" s="11"/>
      <c r="K494" s="11"/>
      <c r="L494" s="11"/>
    </row>
    <row r="495" spans="1:12" x14ac:dyDescent="0.35">
      <c r="A495" s="11"/>
      <c r="B495" s="12"/>
      <c r="C495" s="11"/>
      <c r="D495" s="11"/>
      <c r="E495" s="12"/>
      <c r="F495" s="11"/>
      <c r="G495" s="11"/>
      <c r="H495" s="11"/>
      <c r="I495" s="11"/>
      <c r="J495" s="11"/>
      <c r="K495" s="11"/>
      <c r="L495" s="11"/>
    </row>
    <row r="496" spans="1:12" x14ac:dyDescent="0.35">
      <c r="A496" s="11"/>
      <c r="B496" s="12"/>
      <c r="C496" s="11"/>
      <c r="D496" s="11"/>
      <c r="E496" s="12"/>
      <c r="F496" s="11"/>
      <c r="G496" s="11"/>
      <c r="H496" s="11"/>
      <c r="I496" s="11"/>
      <c r="J496" s="11"/>
      <c r="K496" s="11"/>
      <c r="L496" s="11"/>
    </row>
    <row r="497" spans="1:12" x14ac:dyDescent="0.35">
      <c r="A497" s="11"/>
      <c r="B497" s="12"/>
      <c r="C497" s="11"/>
      <c r="D497" s="11"/>
      <c r="E497" s="12"/>
      <c r="F497" s="11"/>
      <c r="G497" s="11"/>
      <c r="H497" s="11"/>
      <c r="I497" s="11"/>
      <c r="J497" s="11"/>
      <c r="K497" s="11"/>
      <c r="L497" s="11"/>
    </row>
    <row r="498" spans="1:12" x14ac:dyDescent="0.35">
      <c r="A498" s="11"/>
      <c r="B498" s="12"/>
      <c r="C498" s="11"/>
      <c r="D498" s="11"/>
      <c r="E498" s="12"/>
      <c r="F498" s="11"/>
      <c r="G498" s="11"/>
      <c r="H498" s="11"/>
      <c r="I498" s="11"/>
      <c r="J498" s="11"/>
      <c r="K498" s="11"/>
      <c r="L498" s="11"/>
    </row>
    <row r="499" spans="1:12" x14ac:dyDescent="0.35">
      <c r="A499" s="11"/>
      <c r="B499" s="12"/>
      <c r="C499" s="11"/>
      <c r="D499" s="11"/>
      <c r="E499" s="12"/>
      <c r="F499" s="11"/>
      <c r="G499" s="11"/>
      <c r="H499" s="11"/>
      <c r="I499" s="11"/>
      <c r="J499" s="11"/>
      <c r="K499" s="11"/>
      <c r="L499" s="11"/>
    </row>
    <row r="500" spans="1:12" x14ac:dyDescent="0.35">
      <c r="A500" s="11"/>
      <c r="B500" s="12"/>
      <c r="C500" s="11"/>
      <c r="D500" s="11"/>
      <c r="E500" s="12"/>
      <c r="F500" s="11"/>
      <c r="G500" s="11"/>
      <c r="H500" s="11"/>
      <c r="I500" s="11"/>
      <c r="J500" s="11"/>
      <c r="K500" s="11"/>
      <c r="L500" s="11"/>
    </row>
    <row r="501" spans="1:12" x14ac:dyDescent="0.35">
      <c r="A501" s="11"/>
      <c r="B501" s="12"/>
      <c r="C501" s="11"/>
      <c r="D501" s="11"/>
      <c r="E501" s="12"/>
      <c r="F501" s="11"/>
      <c r="G501" s="11"/>
      <c r="H501" s="11"/>
      <c r="I501" s="11"/>
      <c r="J501" s="11"/>
      <c r="K501" s="11"/>
      <c r="L501" s="11"/>
    </row>
    <row r="502" spans="1:12" x14ac:dyDescent="0.35">
      <c r="A502" s="11"/>
      <c r="B502" s="12"/>
      <c r="C502" s="11"/>
      <c r="D502" s="11"/>
      <c r="E502" s="12"/>
      <c r="F502" s="11"/>
      <c r="G502" s="11"/>
      <c r="H502" s="11"/>
      <c r="I502" s="11"/>
      <c r="J502" s="11"/>
      <c r="K502" s="11"/>
      <c r="L502" s="11"/>
    </row>
    <row r="503" spans="1:12" x14ac:dyDescent="0.35">
      <c r="A503" s="11"/>
      <c r="B503" s="12"/>
      <c r="C503" s="11"/>
      <c r="D503" s="11"/>
      <c r="E503" s="12"/>
      <c r="F503" s="11"/>
      <c r="G503" s="11"/>
      <c r="H503" s="11"/>
      <c r="I503" s="11"/>
      <c r="J503" s="11"/>
      <c r="K503" s="11"/>
      <c r="L503" s="11"/>
    </row>
    <row r="504" spans="1:12" x14ac:dyDescent="0.35">
      <c r="A504" s="11"/>
      <c r="B504" s="12"/>
      <c r="C504" s="11"/>
      <c r="D504" s="11"/>
      <c r="E504" s="12"/>
      <c r="F504" s="11"/>
      <c r="G504" s="11"/>
      <c r="H504" s="11"/>
      <c r="I504" s="11"/>
      <c r="J504" s="11"/>
      <c r="K504" s="11"/>
      <c r="L504" s="11"/>
    </row>
    <row r="505" spans="1:12" x14ac:dyDescent="0.35">
      <c r="A505" s="11"/>
      <c r="B505" s="12"/>
      <c r="C505" s="11"/>
      <c r="D505" s="11"/>
      <c r="E505" s="12"/>
      <c r="F505" s="11"/>
      <c r="G505" s="11"/>
      <c r="H505" s="11"/>
      <c r="I505" s="11"/>
      <c r="J505" s="11"/>
      <c r="K505" s="11"/>
      <c r="L505" s="11"/>
    </row>
    <row r="506" spans="1:12" x14ac:dyDescent="0.35">
      <c r="A506" s="11"/>
      <c r="B506" s="12"/>
      <c r="C506" s="11"/>
      <c r="D506" s="11"/>
      <c r="E506" s="12"/>
      <c r="F506" s="11"/>
      <c r="G506" s="11"/>
      <c r="H506" s="11"/>
      <c r="I506" s="11"/>
      <c r="J506" s="11"/>
      <c r="K506" s="11"/>
      <c r="L506" s="11"/>
    </row>
    <row r="507" spans="1:12" x14ac:dyDescent="0.35">
      <c r="A507" s="11"/>
      <c r="B507" s="12"/>
      <c r="C507" s="11"/>
      <c r="D507" s="11"/>
      <c r="E507" s="12"/>
      <c r="F507" s="11"/>
      <c r="G507" s="11"/>
      <c r="H507" s="11"/>
      <c r="I507" s="11"/>
      <c r="J507" s="11"/>
      <c r="K507" s="11"/>
      <c r="L507" s="11"/>
    </row>
    <row r="508" spans="1:12" x14ac:dyDescent="0.35">
      <c r="A508" s="11"/>
      <c r="B508" s="12"/>
      <c r="C508" s="11"/>
      <c r="D508" s="11"/>
      <c r="E508" s="12"/>
      <c r="F508" s="11"/>
      <c r="G508" s="11"/>
      <c r="H508" s="11"/>
      <c r="I508" s="11"/>
      <c r="J508" s="11"/>
      <c r="K508" s="11"/>
      <c r="L508" s="11"/>
    </row>
    <row r="509" spans="1:12" x14ac:dyDescent="0.35">
      <c r="A509" s="11"/>
      <c r="B509" s="12"/>
      <c r="C509" s="11"/>
      <c r="D509" s="11"/>
      <c r="E509" s="12"/>
      <c r="F509" s="11"/>
      <c r="G509" s="11"/>
      <c r="H509" s="11"/>
      <c r="I509" s="11"/>
      <c r="J509" s="11"/>
      <c r="K509" s="11"/>
      <c r="L509" s="11"/>
    </row>
    <row r="510" spans="1:12" x14ac:dyDescent="0.35">
      <c r="A510" s="11"/>
      <c r="B510" s="12"/>
      <c r="C510" s="11"/>
      <c r="D510" s="11"/>
      <c r="E510" s="12"/>
      <c r="F510" s="11"/>
      <c r="G510" s="11"/>
      <c r="H510" s="11"/>
      <c r="I510" s="11"/>
      <c r="J510" s="11"/>
      <c r="K510" s="11"/>
      <c r="L510" s="11"/>
    </row>
    <row r="511" spans="1:12" x14ac:dyDescent="0.35">
      <c r="A511" s="11"/>
      <c r="B511" s="12"/>
      <c r="C511" s="11"/>
      <c r="D511" s="11"/>
      <c r="E511" s="12"/>
      <c r="F511" s="11"/>
      <c r="G511" s="11"/>
      <c r="H511" s="11"/>
      <c r="I511" s="11"/>
      <c r="J511" s="11"/>
      <c r="K511" s="11"/>
      <c r="L511" s="11"/>
    </row>
    <row r="512" spans="1:12" x14ac:dyDescent="0.35">
      <c r="A512" s="11"/>
      <c r="B512" s="12"/>
      <c r="C512" s="11"/>
      <c r="D512" s="11"/>
      <c r="E512" s="12"/>
      <c r="F512" s="11"/>
      <c r="G512" s="11"/>
      <c r="H512" s="11"/>
      <c r="I512" s="11"/>
      <c r="J512" s="11"/>
      <c r="K512" s="11"/>
      <c r="L512" s="11"/>
    </row>
    <row r="513" spans="1:12" x14ac:dyDescent="0.35">
      <c r="A513" s="11"/>
      <c r="B513" s="12"/>
      <c r="C513" s="11"/>
      <c r="D513" s="11"/>
      <c r="E513" s="12"/>
      <c r="F513" s="11"/>
      <c r="G513" s="11"/>
      <c r="H513" s="11"/>
      <c r="I513" s="11"/>
      <c r="J513" s="11"/>
      <c r="K513" s="11"/>
      <c r="L513" s="11"/>
    </row>
    <row r="514" spans="1:12" x14ac:dyDescent="0.35">
      <c r="A514" s="11"/>
      <c r="B514" s="12"/>
      <c r="C514" s="11"/>
      <c r="D514" s="11"/>
      <c r="E514" s="12"/>
      <c r="F514" s="11"/>
      <c r="G514" s="11"/>
      <c r="H514" s="11"/>
      <c r="I514" s="11"/>
      <c r="J514" s="11"/>
      <c r="K514" s="11"/>
      <c r="L514" s="11"/>
    </row>
    <row r="515" spans="1:12" x14ac:dyDescent="0.35">
      <c r="A515" s="11"/>
      <c r="B515" s="12"/>
      <c r="C515" s="11"/>
      <c r="D515" s="11"/>
      <c r="E515" s="12"/>
      <c r="F515" s="11"/>
      <c r="G515" s="11"/>
      <c r="H515" s="11"/>
      <c r="I515" s="11"/>
      <c r="J515" s="11"/>
      <c r="K515" s="11"/>
      <c r="L515" s="11"/>
    </row>
    <row r="516" spans="1:12" x14ac:dyDescent="0.35">
      <c r="A516" s="11"/>
      <c r="B516" s="12"/>
      <c r="C516" s="11"/>
      <c r="D516" s="11"/>
      <c r="E516" s="12"/>
      <c r="F516" s="11"/>
      <c r="G516" s="11"/>
      <c r="H516" s="11"/>
      <c r="I516" s="11"/>
      <c r="J516" s="11"/>
      <c r="K516" s="11"/>
      <c r="L516" s="11"/>
    </row>
    <row r="517" spans="1:12" x14ac:dyDescent="0.35">
      <c r="A517" s="11"/>
      <c r="B517" s="12"/>
      <c r="C517" s="11"/>
      <c r="D517" s="11"/>
      <c r="E517" s="12"/>
      <c r="F517" s="11"/>
      <c r="G517" s="11"/>
      <c r="H517" s="11"/>
      <c r="I517" s="11"/>
      <c r="J517" s="11"/>
      <c r="K517" s="11"/>
      <c r="L517" s="11"/>
    </row>
    <row r="518" spans="1:12" x14ac:dyDescent="0.35">
      <c r="A518" s="11"/>
      <c r="B518" s="12"/>
      <c r="C518" s="11"/>
      <c r="D518" s="11"/>
      <c r="E518" s="12"/>
      <c r="F518" s="11"/>
      <c r="G518" s="11"/>
      <c r="H518" s="11"/>
      <c r="I518" s="11"/>
      <c r="J518" s="11"/>
      <c r="K518" s="11"/>
      <c r="L518" s="11"/>
    </row>
    <row r="519" spans="1:12" x14ac:dyDescent="0.35">
      <c r="A519" s="11"/>
      <c r="B519" s="12"/>
      <c r="C519" s="11"/>
      <c r="D519" s="11"/>
      <c r="E519" s="12"/>
      <c r="F519" s="11"/>
      <c r="G519" s="11"/>
      <c r="H519" s="11"/>
      <c r="I519" s="11"/>
      <c r="J519" s="11"/>
      <c r="K519" s="11"/>
      <c r="L519" s="11"/>
    </row>
    <row r="520" spans="1:12" x14ac:dyDescent="0.35">
      <c r="A520" s="11"/>
      <c r="B520" s="12"/>
      <c r="C520" s="11"/>
      <c r="D520" s="11"/>
      <c r="E520" s="12"/>
      <c r="F520" s="11"/>
      <c r="G520" s="11"/>
      <c r="H520" s="11"/>
      <c r="I520" s="11"/>
      <c r="J520" s="11"/>
      <c r="K520" s="11"/>
      <c r="L520" s="11"/>
    </row>
    <row r="521" spans="1:12" x14ac:dyDescent="0.35">
      <c r="A521" s="11"/>
      <c r="B521" s="12"/>
      <c r="C521" s="11"/>
      <c r="D521" s="11"/>
      <c r="E521" s="12"/>
      <c r="F521" s="11"/>
      <c r="G521" s="11"/>
      <c r="H521" s="11"/>
      <c r="I521" s="11"/>
      <c r="J521" s="11"/>
      <c r="K521" s="11"/>
      <c r="L521" s="11"/>
    </row>
    <row r="522" spans="1:12" x14ac:dyDescent="0.35">
      <c r="A522" s="11"/>
      <c r="B522" s="12"/>
      <c r="C522" s="11"/>
      <c r="D522" s="11"/>
      <c r="E522" s="12"/>
      <c r="F522" s="11"/>
      <c r="G522" s="11"/>
      <c r="H522" s="11"/>
      <c r="I522" s="11"/>
      <c r="J522" s="11"/>
      <c r="K522" s="11"/>
      <c r="L522" s="11"/>
    </row>
    <row r="523" spans="1:12" x14ac:dyDescent="0.35">
      <c r="A523" s="11"/>
      <c r="B523" s="12"/>
      <c r="C523" s="11"/>
      <c r="D523" s="11"/>
      <c r="E523" s="12"/>
      <c r="F523" s="11"/>
      <c r="G523" s="11"/>
      <c r="H523" s="11"/>
      <c r="I523" s="11"/>
      <c r="J523" s="11"/>
      <c r="K523" s="11"/>
      <c r="L523" s="11"/>
    </row>
    <row r="524" spans="1:12" x14ac:dyDescent="0.35">
      <c r="A524" s="11"/>
      <c r="B524" s="12"/>
      <c r="C524" s="11"/>
      <c r="D524" s="11"/>
      <c r="E524" s="12"/>
      <c r="F524" s="11"/>
      <c r="G524" s="11"/>
      <c r="H524" s="11"/>
      <c r="I524" s="11"/>
      <c r="J524" s="11"/>
      <c r="K524" s="11"/>
      <c r="L524" s="11"/>
    </row>
    <row r="525" spans="1:12" x14ac:dyDescent="0.35">
      <c r="A525" s="11"/>
      <c r="B525" s="12"/>
      <c r="C525" s="11"/>
      <c r="D525" s="11"/>
      <c r="E525" s="12"/>
      <c r="F525" s="11"/>
      <c r="G525" s="11"/>
      <c r="H525" s="11"/>
      <c r="I525" s="11"/>
      <c r="J525" s="11"/>
      <c r="K525" s="11"/>
      <c r="L525" s="11"/>
    </row>
    <row r="526" spans="1:12" x14ac:dyDescent="0.35">
      <c r="A526" s="11"/>
      <c r="B526" s="12"/>
      <c r="C526" s="11"/>
      <c r="D526" s="11"/>
      <c r="E526" s="12"/>
      <c r="F526" s="11"/>
      <c r="G526" s="11"/>
      <c r="H526" s="11"/>
      <c r="I526" s="11"/>
      <c r="J526" s="11"/>
      <c r="K526" s="11"/>
      <c r="L526" s="11"/>
    </row>
    <row r="527" spans="1:12" x14ac:dyDescent="0.35">
      <c r="A527" s="11"/>
      <c r="B527" s="12"/>
      <c r="C527" s="11"/>
      <c r="D527" s="11"/>
      <c r="E527" s="12"/>
      <c r="F527" s="11"/>
      <c r="G527" s="11"/>
      <c r="H527" s="11"/>
      <c r="I527" s="11"/>
      <c r="J527" s="11"/>
      <c r="K527" s="11"/>
      <c r="L527" s="11"/>
    </row>
    <row r="528" spans="1:12" x14ac:dyDescent="0.35">
      <c r="A528" s="11"/>
      <c r="B528" s="12"/>
      <c r="C528" s="11"/>
      <c r="D528" s="11"/>
      <c r="E528" s="12"/>
      <c r="F528" s="11"/>
      <c r="G528" s="11"/>
      <c r="H528" s="11"/>
      <c r="I528" s="11"/>
      <c r="J528" s="11"/>
      <c r="K528" s="11"/>
      <c r="L528" s="11"/>
    </row>
    <row r="529" spans="1:12" x14ac:dyDescent="0.35">
      <c r="A529" s="11"/>
      <c r="B529" s="12"/>
      <c r="C529" s="11"/>
      <c r="D529" s="11"/>
      <c r="E529" s="12"/>
      <c r="F529" s="11"/>
      <c r="G529" s="11"/>
      <c r="H529" s="11"/>
      <c r="I529" s="11"/>
      <c r="J529" s="11"/>
      <c r="K529" s="11"/>
      <c r="L529" s="11"/>
    </row>
    <row r="530" spans="1:12" x14ac:dyDescent="0.35">
      <c r="A530" s="11"/>
      <c r="B530" s="12"/>
      <c r="C530" s="11"/>
      <c r="D530" s="11"/>
      <c r="E530" s="12"/>
      <c r="F530" s="11"/>
      <c r="G530" s="11"/>
      <c r="H530" s="11"/>
      <c r="I530" s="11"/>
      <c r="J530" s="11"/>
      <c r="K530" s="11"/>
      <c r="L530" s="11"/>
    </row>
    <row r="531" spans="1:12" x14ac:dyDescent="0.35">
      <c r="A531" s="11"/>
      <c r="B531" s="12"/>
      <c r="C531" s="11"/>
      <c r="D531" s="11"/>
      <c r="E531" s="12"/>
      <c r="F531" s="11"/>
      <c r="G531" s="11"/>
      <c r="H531" s="11"/>
      <c r="I531" s="11"/>
      <c r="J531" s="11"/>
      <c r="K531" s="11"/>
      <c r="L531" s="11"/>
    </row>
    <row r="532" spans="1:12" x14ac:dyDescent="0.35">
      <c r="A532" s="11"/>
      <c r="B532" s="12"/>
      <c r="C532" s="11"/>
      <c r="D532" s="11"/>
      <c r="E532" s="12"/>
      <c r="F532" s="11"/>
      <c r="G532" s="11"/>
      <c r="H532" s="11"/>
      <c r="I532" s="11"/>
      <c r="J532" s="11"/>
      <c r="K532" s="11"/>
      <c r="L532" s="11"/>
    </row>
    <row r="533" spans="1:12" x14ac:dyDescent="0.35">
      <c r="A533" s="11"/>
      <c r="B533" s="12"/>
      <c r="C533" s="11"/>
      <c r="D533" s="11"/>
      <c r="E533" s="12"/>
      <c r="F533" s="11"/>
      <c r="G533" s="11"/>
      <c r="H533" s="11"/>
      <c r="I533" s="11"/>
      <c r="J533" s="11"/>
      <c r="K533" s="11"/>
      <c r="L533" s="11"/>
    </row>
    <row r="534" spans="1:12" x14ac:dyDescent="0.35">
      <c r="A534" s="11"/>
      <c r="B534" s="12"/>
      <c r="C534" s="11"/>
      <c r="D534" s="11"/>
      <c r="E534" s="12"/>
      <c r="F534" s="11"/>
      <c r="G534" s="11"/>
      <c r="H534" s="11"/>
      <c r="I534" s="11"/>
      <c r="J534" s="11"/>
      <c r="K534" s="11"/>
      <c r="L534" s="11"/>
    </row>
    <row r="535" spans="1:12" x14ac:dyDescent="0.35">
      <c r="A535" s="11"/>
      <c r="B535" s="12"/>
      <c r="C535" s="11"/>
      <c r="D535" s="11"/>
      <c r="E535" s="12"/>
      <c r="F535" s="11"/>
      <c r="G535" s="11"/>
      <c r="H535" s="11"/>
      <c r="I535" s="11"/>
      <c r="J535" s="11"/>
      <c r="K535" s="11"/>
      <c r="L535" s="11"/>
    </row>
    <row r="536" spans="1:12" x14ac:dyDescent="0.35">
      <c r="A536" s="11"/>
      <c r="B536" s="12"/>
      <c r="C536" s="11"/>
      <c r="D536" s="11"/>
      <c r="E536" s="12"/>
      <c r="F536" s="11"/>
      <c r="G536" s="11"/>
      <c r="H536" s="11"/>
      <c r="I536" s="11"/>
      <c r="J536" s="11"/>
      <c r="K536" s="11"/>
      <c r="L536" s="11"/>
    </row>
    <row r="537" spans="1:12" x14ac:dyDescent="0.35">
      <c r="A537" s="11"/>
      <c r="B537" s="12"/>
      <c r="C537" s="11"/>
      <c r="D537" s="11"/>
      <c r="E537" s="12"/>
      <c r="F537" s="11"/>
      <c r="G537" s="11"/>
      <c r="H537" s="11"/>
      <c r="I537" s="11"/>
      <c r="J537" s="11"/>
      <c r="K537" s="11"/>
      <c r="L537" s="11"/>
    </row>
    <row r="538" spans="1:12" x14ac:dyDescent="0.35">
      <c r="A538" s="11"/>
      <c r="B538" s="12"/>
      <c r="C538" s="11"/>
      <c r="D538" s="11"/>
      <c r="E538" s="12"/>
      <c r="F538" s="11"/>
      <c r="G538" s="11"/>
      <c r="H538" s="11"/>
      <c r="I538" s="11"/>
      <c r="J538" s="11"/>
      <c r="K538" s="11"/>
      <c r="L538" s="11"/>
    </row>
    <row r="539" spans="1:12" x14ac:dyDescent="0.35">
      <c r="A539" s="11"/>
      <c r="B539" s="12"/>
      <c r="C539" s="11"/>
      <c r="D539" s="11"/>
      <c r="E539" s="12"/>
      <c r="F539" s="11"/>
      <c r="G539" s="11"/>
      <c r="H539" s="11"/>
      <c r="I539" s="11"/>
      <c r="J539" s="11"/>
      <c r="K539" s="11"/>
      <c r="L539" s="11"/>
    </row>
    <row r="540" spans="1:12" x14ac:dyDescent="0.35">
      <c r="A540" s="11"/>
      <c r="B540" s="12"/>
      <c r="C540" s="11"/>
      <c r="D540" s="11"/>
      <c r="E540" s="12"/>
      <c r="F540" s="11"/>
      <c r="G540" s="11"/>
      <c r="H540" s="11"/>
      <c r="I540" s="11"/>
      <c r="J540" s="11"/>
      <c r="K540" s="11"/>
      <c r="L540" s="11"/>
    </row>
    <row r="541" spans="1:12" x14ac:dyDescent="0.35">
      <c r="A541" s="11"/>
      <c r="B541" s="12"/>
      <c r="C541" s="11"/>
      <c r="D541" s="11"/>
      <c r="E541" s="12"/>
      <c r="F541" s="11"/>
      <c r="G541" s="11"/>
      <c r="H541" s="11"/>
      <c r="I541" s="11"/>
      <c r="J541" s="11"/>
      <c r="K541" s="11"/>
      <c r="L541" s="11"/>
    </row>
    <row r="542" spans="1:12" x14ac:dyDescent="0.35">
      <c r="A542" s="11"/>
      <c r="B542" s="12"/>
      <c r="C542" s="11"/>
      <c r="D542" s="11"/>
      <c r="E542" s="12"/>
      <c r="F542" s="11"/>
      <c r="G542" s="11"/>
      <c r="H542" s="11"/>
      <c r="I542" s="11"/>
      <c r="J542" s="11"/>
      <c r="K542" s="11"/>
      <c r="L542" s="11"/>
    </row>
    <row r="543" spans="1:12" x14ac:dyDescent="0.35">
      <c r="A543" s="11"/>
      <c r="B543" s="12"/>
      <c r="C543" s="11"/>
      <c r="D543" s="11"/>
      <c r="E543" s="12"/>
      <c r="F543" s="11"/>
      <c r="G543" s="11"/>
      <c r="H543" s="11"/>
      <c r="I543" s="11"/>
      <c r="J543" s="11"/>
      <c r="K543" s="11"/>
      <c r="L543" s="11"/>
    </row>
    <row r="544" spans="1:12" x14ac:dyDescent="0.35">
      <c r="A544" s="11"/>
      <c r="B544" s="12"/>
      <c r="C544" s="11"/>
      <c r="D544" s="11"/>
      <c r="E544" s="12"/>
      <c r="F544" s="11"/>
      <c r="G544" s="11"/>
      <c r="H544" s="11"/>
      <c r="I544" s="11"/>
      <c r="J544" s="11"/>
      <c r="K544" s="11"/>
      <c r="L544" s="11"/>
    </row>
    <row r="545" spans="1:12" x14ac:dyDescent="0.35">
      <c r="A545" s="11"/>
      <c r="B545" s="12"/>
      <c r="C545" s="11"/>
      <c r="D545" s="11"/>
      <c r="E545" s="12"/>
      <c r="F545" s="11"/>
      <c r="G545" s="11"/>
      <c r="H545" s="11"/>
      <c r="I545" s="11"/>
      <c r="J545" s="11"/>
      <c r="K545" s="11"/>
      <c r="L545" s="11"/>
    </row>
    <row r="546" spans="1:12" x14ac:dyDescent="0.35">
      <c r="A546" s="11"/>
      <c r="B546" s="12"/>
      <c r="C546" s="11"/>
      <c r="D546" s="11"/>
      <c r="E546" s="12"/>
      <c r="F546" s="11"/>
      <c r="G546" s="11"/>
      <c r="H546" s="11"/>
      <c r="I546" s="11"/>
      <c r="J546" s="11"/>
      <c r="K546" s="11"/>
      <c r="L546" s="11"/>
    </row>
    <row r="547" spans="1:12" x14ac:dyDescent="0.35">
      <c r="A547" s="11"/>
      <c r="B547" s="12"/>
      <c r="C547" s="11"/>
      <c r="D547" s="11"/>
      <c r="E547" s="12"/>
      <c r="F547" s="11"/>
      <c r="G547" s="11"/>
      <c r="H547" s="11"/>
      <c r="I547" s="11"/>
      <c r="J547" s="11"/>
      <c r="K547" s="11"/>
      <c r="L547" s="11"/>
    </row>
    <row r="548" spans="1:12" x14ac:dyDescent="0.35">
      <c r="A548" s="11"/>
      <c r="B548" s="12"/>
      <c r="C548" s="11"/>
      <c r="D548" s="11"/>
      <c r="E548" s="12"/>
      <c r="F548" s="11"/>
      <c r="G548" s="11"/>
      <c r="H548" s="11"/>
      <c r="I548" s="11"/>
      <c r="J548" s="11"/>
      <c r="K548" s="11"/>
      <c r="L548" s="11"/>
    </row>
    <row r="549" spans="1:12" x14ac:dyDescent="0.35">
      <c r="A549" s="11"/>
      <c r="B549" s="12"/>
      <c r="C549" s="11"/>
      <c r="D549" s="11"/>
      <c r="E549" s="12"/>
      <c r="F549" s="11"/>
      <c r="G549" s="11"/>
      <c r="H549" s="11"/>
      <c r="I549" s="11"/>
      <c r="J549" s="11"/>
      <c r="K549" s="11"/>
      <c r="L549" s="11"/>
    </row>
    <row r="550" spans="1:12" x14ac:dyDescent="0.35">
      <c r="A550" s="11"/>
      <c r="B550" s="12"/>
      <c r="C550" s="11"/>
      <c r="D550" s="11"/>
      <c r="E550" s="12"/>
      <c r="F550" s="11"/>
      <c r="G550" s="11"/>
      <c r="H550" s="11"/>
      <c r="I550" s="11"/>
      <c r="J550" s="11"/>
      <c r="K550" s="11"/>
      <c r="L550" s="11"/>
    </row>
    <row r="551" spans="1:12" x14ac:dyDescent="0.35">
      <c r="A551" s="11"/>
      <c r="B551" s="12"/>
      <c r="C551" s="11"/>
      <c r="D551" s="11"/>
      <c r="E551" s="12"/>
      <c r="F551" s="11"/>
      <c r="G551" s="11"/>
      <c r="H551" s="11"/>
      <c r="I551" s="11"/>
      <c r="J551" s="11"/>
      <c r="K551" s="11"/>
      <c r="L551" s="11"/>
    </row>
    <row r="552" spans="1:12" x14ac:dyDescent="0.35">
      <c r="A552" s="11"/>
      <c r="B552" s="12"/>
      <c r="C552" s="11"/>
      <c r="D552" s="11"/>
      <c r="E552" s="12"/>
      <c r="F552" s="11"/>
      <c r="G552" s="11"/>
      <c r="H552" s="11"/>
      <c r="I552" s="11"/>
      <c r="J552" s="11"/>
      <c r="K552" s="11"/>
      <c r="L552" s="11"/>
    </row>
    <row r="553" spans="1:12" x14ac:dyDescent="0.35">
      <c r="A553" s="11"/>
      <c r="B553" s="12"/>
      <c r="C553" s="11"/>
      <c r="D553" s="11"/>
      <c r="E553" s="12"/>
      <c r="F553" s="11"/>
      <c r="G553" s="11"/>
      <c r="H553" s="11"/>
      <c r="I553" s="11"/>
      <c r="J553" s="11"/>
      <c r="K553" s="11"/>
      <c r="L553" s="11"/>
    </row>
    <row r="554" spans="1:12" x14ac:dyDescent="0.35">
      <c r="A554" s="11"/>
      <c r="B554" s="12"/>
      <c r="C554" s="11"/>
      <c r="D554" s="11"/>
      <c r="E554" s="12"/>
      <c r="F554" s="11"/>
      <c r="G554" s="11"/>
      <c r="H554" s="11"/>
      <c r="I554" s="11"/>
      <c r="J554" s="11"/>
      <c r="K554" s="11"/>
      <c r="L554" s="11"/>
    </row>
    <row r="555" spans="1:12" x14ac:dyDescent="0.35">
      <c r="A555" s="11"/>
      <c r="B555" s="12"/>
      <c r="C555" s="11"/>
      <c r="D555" s="11"/>
      <c r="E555" s="12"/>
      <c r="F555" s="11"/>
      <c r="G555" s="11"/>
      <c r="H555" s="11"/>
      <c r="I555" s="11"/>
      <c r="J555" s="11"/>
      <c r="K555" s="11"/>
      <c r="L555" s="11"/>
    </row>
    <row r="556" spans="1:12" x14ac:dyDescent="0.35">
      <c r="A556" s="11"/>
      <c r="B556" s="12"/>
      <c r="C556" s="11"/>
      <c r="D556" s="11"/>
      <c r="E556" s="12"/>
      <c r="F556" s="11"/>
      <c r="G556" s="11"/>
      <c r="H556" s="11"/>
      <c r="I556" s="11"/>
      <c r="J556" s="11"/>
      <c r="K556" s="11"/>
      <c r="L556" s="11"/>
    </row>
    <row r="557" spans="1:12" x14ac:dyDescent="0.35">
      <c r="A557" s="11"/>
      <c r="B557" s="12"/>
      <c r="C557" s="11"/>
      <c r="D557" s="11"/>
      <c r="E557" s="12"/>
      <c r="F557" s="11"/>
      <c r="G557" s="11"/>
      <c r="H557" s="11"/>
      <c r="I557" s="11"/>
      <c r="J557" s="11"/>
      <c r="K557" s="11"/>
      <c r="L557" s="11"/>
    </row>
    <row r="558" spans="1:12" x14ac:dyDescent="0.35">
      <c r="A558" s="11"/>
      <c r="B558" s="12"/>
      <c r="C558" s="11"/>
      <c r="D558" s="11"/>
      <c r="E558" s="12"/>
      <c r="F558" s="11"/>
      <c r="G558" s="11"/>
      <c r="H558" s="11"/>
      <c r="I558" s="11"/>
      <c r="J558" s="11"/>
      <c r="K558" s="11"/>
      <c r="L558" s="11"/>
    </row>
    <row r="559" spans="1:12" x14ac:dyDescent="0.35">
      <c r="A559" s="11"/>
      <c r="B559" s="12"/>
      <c r="C559" s="11"/>
      <c r="D559" s="11"/>
      <c r="E559" s="12"/>
      <c r="F559" s="11"/>
      <c r="G559" s="11"/>
      <c r="H559" s="11"/>
      <c r="I559" s="11"/>
      <c r="J559" s="11"/>
      <c r="K559" s="11"/>
      <c r="L559" s="11"/>
    </row>
    <row r="560" spans="1:12" x14ac:dyDescent="0.35">
      <c r="A560" s="11"/>
      <c r="B560" s="12"/>
      <c r="C560" s="11"/>
      <c r="D560" s="11"/>
      <c r="E560" s="12"/>
      <c r="F560" s="11"/>
      <c r="G560" s="11"/>
      <c r="H560" s="11"/>
      <c r="I560" s="11"/>
      <c r="J560" s="11"/>
      <c r="K560" s="11"/>
      <c r="L560" s="11"/>
    </row>
    <row r="561" spans="1:12" x14ac:dyDescent="0.35">
      <c r="A561" s="11"/>
      <c r="B561" s="12"/>
      <c r="C561" s="11"/>
      <c r="D561" s="11"/>
      <c r="E561" s="12"/>
      <c r="F561" s="11"/>
      <c r="G561" s="11"/>
      <c r="H561" s="11"/>
      <c r="I561" s="11"/>
      <c r="J561" s="11"/>
      <c r="K561" s="11"/>
      <c r="L561" s="11"/>
    </row>
    <row r="562" spans="1:12" x14ac:dyDescent="0.35">
      <c r="A562" s="11"/>
      <c r="B562" s="12"/>
      <c r="C562" s="11"/>
      <c r="D562" s="11"/>
      <c r="E562" s="12"/>
      <c r="F562" s="11"/>
      <c r="G562" s="11"/>
      <c r="H562" s="11"/>
      <c r="I562" s="11"/>
      <c r="J562" s="11"/>
      <c r="K562" s="11"/>
      <c r="L562" s="11"/>
    </row>
    <row r="563" spans="1:12" x14ac:dyDescent="0.35">
      <c r="A563" s="11"/>
      <c r="B563" s="12"/>
      <c r="C563" s="11"/>
      <c r="D563" s="11"/>
      <c r="E563" s="12"/>
      <c r="F563" s="11"/>
      <c r="G563" s="11"/>
      <c r="H563" s="11"/>
      <c r="I563" s="11"/>
      <c r="J563" s="11"/>
      <c r="K563" s="11"/>
      <c r="L563" s="11"/>
    </row>
    <row r="564" spans="1:12" x14ac:dyDescent="0.35">
      <c r="A564" s="11"/>
      <c r="B564" s="12"/>
      <c r="C564" s="11"/>
      <c r="D564" s="11"/>
      <c r="E564" s="12"/>
      <c r="F564" s="11"/>
      <c r="G564" s="11"/>
      <c r="H564" s="11"/>
      <c r="I564" s="11"/>
      <c r="J564" s="11"/>
      <c r="K564" s="11"/>
      <c r="L564" s="11"/>
    </row>
    <row r="565" spans="1:12" x14ac:dyDescent="0.35">
      <c r="A565" s="11"/>
      <c r="B565" s="12"/>
      <c r="C565" s="11"/>
      <c r="D565" s="11"/>
      <c r="E565" s="12"/>
      <c r="F565" s="11"/>
      <c r="G565" s="11"/>
      <c r="H565" s="11"/>
      <c r="I565" s="11"/>
      <c r="J565" s="11"/>
      <c r="K565" s="11"/>
      <c r="L565" s="11"/>
    </row>
    <row r="566" spans="1:12" x14ac:dyDescent="0.35">
      <c r="A566" s="11"/>
      <c r="B566" s="12"/>
      <c r="C566" s="11"/>
      <c r="D566" s="11"/>
      <c r="E566" s="12"/>
      <c r="F566" s="11"/>
      <c r="G566" s="11"/>
      <c r="H566" s="11"/>
      <c r="I566" s="11"/>
      <c r="J566" s="11"/>
      <c r="K566" s="11"/>
      <c r="L566" s="11"/>
    </row>
    <row r="567" spans="1:12" x14ac:dyDescent="0.35">
      <c r="A567" s="11"/>
      <c r="B567" s="12"/>
      <c r="C567" s="11"/>
      <c r="D567" s="11"/>
      <c r="E567" s="12"/>
      <c r="F567" s="11"/>
      <c r="G567" s="11"/>
      <c r="H567" s="11"/>
      <c r="I567" s="11"/>
      <c r="J567" s="11"/>
      <c r="K567" s="11"/>
      <c r="L567" s="11"/>
    </row>
    <row r="568" spans="1:12" x14ac:dyDescent="0.35">
      <c r="A568" s="11"/>
      <c r="B568" s="12"/>
      <c r="C568" s="11"/>
      <c r="D568" s="11"/>
      <c r="E568" s="12"/>
      <c r="F568" s="11"/>
      <c r="G568" s="11"/>
      <c r="H568" s="11"/>
      <c r="I568" s="11"/>
      <c r="J568" s="11"/>
      <c r="K568" s="11"/>
      <c r="L568" s="11"/>
    </row>
    <row r="569" spans="1:12" x14ac:dyDescent="0.35">
      <c r="A569" s="11"/>
      <c r="B569" s="12"/>
      <c r="C569" s="11"/>
      <c r="D569" s="11"/>
      <c r="E569" s="12"/>
      <c r="F569" s="11"/>
      <c r="G569" s="11"/>
      <c r="H569" s="11"/>
      <c r="I569" s="11"/>
      <c r="J569" s="11"/>
      <c r="K569" s="11"/>
      <c r="L569" s="11"/>
    </row>
    <row r="570" spans="1:12" x14ac:dyDescent="0.35">
      <c r="A570" s="11"/>
      <c r="B570" s="12"/>
      <c r="C570" s="11"/>
      <c r="D570" s="11"/>
      <c r="E570" s="12"/>
      <c r="F570" s="11"/>
      <c r="G570" s="11"/>
      <c r="H570" s="11"/>
      <c r="I570" s="11"/>
      <c r="J570" s="11"/>
      <c r="K570" s="11"/>
      <c r="L570" s="11"/>
    </row>
    <row r="571" spans="1:12" x14ac:dyDescent="0.35">
      <c r="A571" s="11"/>
      <c r="B571" s="12"/>
      <c r="C571" s="11"/>
      <c r="D571" s="11"/>
      <c r="E571" s="12"/>
      <c r="F571" s="11"/>
      <c r="G571" s="11"/>
      <c r="H571" s="11"/>
      <c r="I571" s="11"/>
      <c r="J571" s="11"/>
      <c r="K571" s="11"/>
      <c r="L571" s="11"/>
    </row>
    <row r="572" spans="1:12" x14ac:dyDescent="0.35">
      <c r="A572" s="11"/>
      <c r="B572" s="12"/>
      <c r="C572" s="11"/>
      <c r="D572" s="11"/>
      <c r="E572" s="12"/>
      <c r="F572" s="11"/>
      <c r="G572" s="11"/>
      <c r="H572" s="11"/>
      <c r="I572" s="11"/>
      <c r="J572" s="11"/>
      <c r="K572" s="11"/>
      <c r="L572" s="11"/>
    </row>
    <row r="573" spans="1:12" x14ac:dyDescent="0.35">
      <c r="A573" s="11"/>
      <c r="B573" s="12"/>
      <c r="C573" s="11"/>
      <c r="D573" s="11"/>
      <c r="E573" s="12"/>
      <c r="F573" s="11"/>
      <c r="G573" s="11"/>
      <c r="H573" s="11"/>
      <c r="I573" s="11"/>
      <c r="J573" s="11"/>
      <c r="K573" s="11"/>
      <c r="L573" s="11"/>
    </row>
    <row r="574" spans="1:12" x14ac:dyDescent="0.35">
      <c r="A574" s="11"/>
      <c r="B574" s="12"/>
      <c r="C574" s="11"/>
      <c r="D574" s="11"/>
      <c r="E574" s="12"/>
      <c r="F574" s="11"/>
      <c r="G574" s="11"/>
      <c r="H574" s="11"/>
      <c r="I574" s="11"/>
      <c r="J574" s="11"/>
      <c r="K574" s="11"/>
      <c r="L574" s="11"/>
    </row>
    <row r="575" spans="1:12" x14ac:dyDescent="0.35">
      <c r="A575" s="11"/>
      <c r="B575" s="12"/>
      <c r="C575" s="11"/>
      <c r="D575" s="11"/>
      <c r="E575" s="12"/>
      <c r="F575" s="11"/>
      <c r="G575" s="11"/>
      <c r="H575" s="11"/>
      <c r="I575" s="11"/>
      <c r="J575" s="11"/>
      <c r="K575" s="11"/>
      <c r="L575" s="11"/>
    </row>
    <row r="576" spans="1:12" x14ac:dyDescent="0.35">
      <c r="A576" s="11"/>
      <c r="B576" s="12"/>
      <c r="C576" s="11"/>
      <c r="D576" s="11"/>
      <c r="E576" s="12"/>
      <c r="F576" s="11"/>
      <c r="G576" s="11"/>
      <c r="H576" s="11"/>
      <c r="I576" s="11"/>
      <c r="J576" s="11"/>
      <c r="K576" s="11"/>
      <c r="L576" s="11"/>
    </row>
    <row r="577" spans="1:12" x14ac:dyDescent="0.35">
      <c r="A577" s="11"/>
      <c r="B577" s="12"/>
      <c r="C577" s="11"/>
      <c r="D577" s="11"/>
      <c r="E577" s="12"/>
      <c r="F577" s="11"/>
      <c r="G577" s="11"/>
      <c r="H577" s="11"/>
      <c r="I577" s="11"/>
      <c r="J577" s="11"/>
      <c r="K577" s="11"/>
      <c r="L577" s="11"/>
    </row>
    <row r="578" spans="1:12" x14ac:dyDescent="0.35">
      <c r="A578" s="11"/>
      <c r="B578" s="12"/>
      <c r="C578" s="11"/>
      <c r="D578" s="11"/>
      <c r="E578" s="12"/>
      <c r="F578" s="11"/>
      <c r="G578" s="11"/>
      <c r="H578" s="11"/>
      <c r="I578" s="11"/>
      <c r="J578" s="11"/>
      <c r="K578" s="11"/>
      <c r="L578" s="11"/>
    </row>
    <row r="579" spans="1:12" x14ac:dyDescent="0.35">
      <c r="A579" s="11"/>
      <c r="B579" s="12"/>
      <c r="C579" s="11"/>
      <c r="D579" s="11"/>
      <c r="E579" s="12"/>
      <c r="F579" s="11"/>
      <c r="G579" s="11"/>
      <c r="H579" s="11"/>
      <c r="I579" s="11"/>
      <c r="J579" s="11"/>
      <c r="K579" s="11"/>
      <c r="L579" s="11"/>
    </row>
    <row r="580" spans="1:12" x14ac:dyDescent="0.35">
      <c r="A580" s="11"/>
      <c r="B580" s="12"/>
      <c r="C580" s="11"/>
      <c r="D580" s="11"/>
      <c r="E580" s="12"/>
      <c r="F580" s="11"/>
      <c r="G580" s="11"/>
      <c r="H580" s="11"/>
      <c r="I580" s="11"/>
      <c r="J580" s="11"/>
      <c r="K580" s="11"/>
      <c r="L580" s="11"/>
    </row>
    <row r="581" spans="1:12" x14ac:dyDescent="0.35">
      <c r="A581" s="11"/>
      <c r="B581" s="12"/>
      <c r="C581" s="11"/>
      <c r="D581" s="11"/>
      <c r="E581" s="12"/>
      <c r="F581" s="11"/>
      <c r="G581" s="11"/>
      <c r="H581" s="11"/>
      <c r="I581" s="11"/>
      <c r="J581" s="11"/>
      <c r="K581" s="11"/>
      <c r="L581" s="11"/>
    </row>
    <row r="582" spans="1:12" x14ac:dyDescent="0.35">
      <c r="A582" s="11"/>
      <c r="B582" s="12"/>
      <c r="C582" s="11"/>
      <c r="D582" s="11"/>
      <c r="E582" s="12"/>
      <c r="F582" s="11"/>
      <c r="G582" s="11"/>
      <c r="H582" s="11"/>
      <c r="I582" s="11"/>
      <c r="J582" s="11"/>
      <c r="K582" s="11"/>
      <c r="L582" s="11"/>
    </row>
    <row r="583" spans="1:12" x14ac:dyDescent="0.35">
      <c r="A583" s="11"/>
      <c r="B583" s="12"/>
      <c r="C583" s="11"/>
      <c r="D583" s="11"/>
      <c r="E583" s="12"/>
      <c r="F583" s="11"/>
      <c r="G583" s="11"/>
      <c r="H583" s="11"/>
      <c r="I583" s="11"/>
      <c r="J583" s="11"/>
      <c r="K583" s="11"/>
      <c r="L583" s="11"/>
    </row>
    <row r="584" spans="1:12" x14ac:dyDescent="0.35">
      <c r="A584" s="11"/>
      <c r="B584" s="12"/>
      <c r="C584" s="11"/>
      <c r="D584" s="11"/>
      <c r="E584" s="12"/>
      <c r="F584" s="11"/>
      <c r="G584" s="11"/>
      <c r="H584" s="11"/>
      <c r="I584" s="11"/>
      <c r="J584" s="11"/>
      <c r="K584" s="11"/>
      <c r="L584" s="11"/>
    </row>
    <row r="585" spans="1:12" x14ac:dyDescent="0.35">
      <c r="A585" s="11"/>
      <c r="B585" s="12"/>
      <c r="C585" s="11"/>
      <c r="D585" s="11"/>
      <c r="E585" s="12"/>
      <c r="F585" s="11"/>
      <c r="G585" s="11"/>
      <c r="H585" s="11"/>
      <c r="I585" s="11"/>
      <c r="J585" s="11"/>
      <c r="K585" s="11"/>
      <c r="L585" s="11"/>
    </row>
    <row r="586" spans="1:12" x14ac:dyDescent="0.35">
      <c r="A586" s="11"/>
      <c r="B586" s="12"/>
      <c r="C586" s="11"/>
      <c r="D586" s="11"/>
      <c r="E586" s="12"/>
      <c r="F586" s="11"/>
      <c r="G586" s="11"/>
      <c r="H586" s="11"/>
      <c r="I586" s="11"/>
      <c r="J586" s="11"/>
      <c r="K586" s="11"/>
      <c r="L586" s="11"/>
    </row>
    <row r="587" spans="1:12" x14ac:dyDescent="0.35">
      <c r="A587" s="11"/>
      <c r="B587" s="12"/>
      <c r="C587" s="11"/>
      <c r="D587" s="11"/>
      <c r="E587" s="12"/>
      <c r="F587" s="11"/>
      <c r="G587" s="11"/>
      <c r="H587" s="11"/>
      <c r="I587" s="11"/>
      <c r="J587" s="11"/>
      <c r="K587" s="11"/>
      <c r="L587" s="11"/>
    </row>
    <row r="588" spans="1:12" x14ac:dyDescent="0.35">
      <c r="A588" s="11"/>
      <c r="B588" s="12"/>
      <c r="C588" s="11"/>
      <c r="D588" s="11"/>
      <c r="E588" s="12"/>
      <c r="F588" s="11"/>
      <c r="G588" s="11"/>
      <c r="H588" s="11"/>
      <c r="I588" s="11"/>
      <c r="J588" s="11"/>
      <c r="K588" s="11"/>
      <c r="L588" s="11"/>
    </row>
    <row r="589" spans="1:12" x14ac:dyDescent="0.35">
      <c r="A589" s="11"/>
      <c r="B589" s="12"/>
      <c r="C589" s="11"/>
      <c r="D589" s="11"/>
      <c r="E589" s="12"/>
      <c r="F589" s="11"/>
      <c r="G589" s="11"/>
      <c r="H589" s="11"/>
      <c r="I589" s="11"/>
      <c r="J589" s="11"/>
      <c r="K589" s="11"/>
      <c r="L589" s="11"/>
    </row>
    <row r="590" spans="1:12" x14ac:dyDescent="0.35">
      <c r="A590" s="11"/>
      <c r="B590" s="12"/>
      <c r="C590" s="11"/>
      <c r="D590" s="11"/>
      <c r="E590" s="12"/>
      <c r="F590" s="11"/>
      <c r="G590" s="11"/>
      <c r="H590" s="11"/>
      <c r="I590" s="11"/>
      <c r="J590" s="11"/>
      <c r="K590" s="11"/>
      <c r="L590" s="11"/>
    </row>
    <row r="591" spans="1:12" x14ac:dyDescent="0.35">
      <c r="A591" s="11"/>
      <c r="B591" s="12"/>
      <c r="C591" s="11"/>
      <c r="D591" s="11"/>
      <c r="E591" s="12"/>
      <c r="F591" s="11"/>
      <c r="G591" s="11"/>
      <c r="H591" s="11"/>
      <c r="I591" s="11"/>
      <c r="J591" s="11"/>
      <c r="K591" s="11"/>
      <c r="L591" s="11"/>
    </row>
    <row r="592" spans="1:12" x14ac:dyDescent="0.35">
      <c r="A592" s="11"/>
      <c r="B592" s="12"/>
      <c r="C592" s="11"/>
      <c r="D592" s="11"/>
      <c r="E592" s="12"/>
      <c r="F592" s="11"/>
      <c r="G592" s="11"/>
      <c r="H592" s="11"/>
      <c r="I592" s="11"/>
      <c r="J592" s="11"/>
      <c r="K592" s="11"/>
      <c r="L592" s="11"/>
    </row>
    <row r="593" spans="1:12" x14ac:dyDescent="0.35">
      <c r="A593" s="11"/>
      <c r="B593" s="12"/>
      <c r="C593" s="11"/>
      <c r="D593" s="11"/>
      <c r="E593" s="12"/>
      <c r="F593" s="11"/>
      <c r="G593" s="11"/>
      <c r="H593" s="11"/>
      <c r="I593" s="11"/>
      <c r="J593" s="11"/>
      <c r="K593" s="11"/>
      <c r="L593" s="11"/>
    </row>
    <row r="594" spans="1:12" x14ac:dyDescent="0.35">
      <c r="A594" s="11"/>
      <c r="B594" s="12"/>
      <c r="C594" s="11"/>
      <c r="D594" s="11"/>
      <c r="E594" s="12"/>
      <c r="F594" s="11"/>
      <c r="G594" s="11"/>
      <c r="H594" s="11"/>
      <c r="I594" s="11"/>
      <c r="J594" s="11"/>
      <c r="K594" s="11"/>
      <c r="L594" s="11"/>
    </row>
    <row r="595" spans="1:12" x14ac:dyDescent="0.35">
      <c r="A595" s="11"/>
      <c r="B595" s="12"/>
      <c r="C595" s="11"/>
      <c r="D595" s="11"/>
      <c r="E595" s="12"/>
      <c r="F595" s="11"/>
      <c r="G595" s="11"/>
      <c r="H595" s="11"/>
      <c r="I595" s="11"/>
      <c r="J595" s="11"/>
      <c r="K595" s="11"/>
      <c r="L595" s="11"/>
    </row>
    <row r="596" spans="1:12" x14ac:dyDescent="0.35">
      <c r="A596" s="11"/>
      <c r="B596" s="12"/>
      <c r="C596" s="11"/>
      <c r="D596" s="11"/>
      <c r="E596" s="12"/>
      <c r="F596" s="11"/>
      <c r="G596" s="11"/>
      <c r="H596" s="11"/>
      <c r="I596" s="11"/>
      <c r="J596" s="11"/>
      <c r="K596" s="11"/>
      <c r="L596" s="11"/>
    </row>
    <row r="597" spans="1:12" x14ac:dyDescent="0.35">
      <c r="A597" s="11"/>
      <c r="B597" s="12"/>
      <c r="C597" s="11"/>
      <c r="D597" s="11"/>
      <c r="E597" s="12"/>
      <c r="F597" s="11"/>
      <c r="G597" s="11"/>
      <c r="H597" s="11"/>
      <c r="I597" s="11"/>
      <c r="J597" s="11"/>
      <c r="K597" s="11"/>
      <c r="L597" s="11"/>
    </row>
    <row r="598" spans="1:12" x14ac:dyDescent="0.35">
      <c r="A598" s="11"/>
      <c r="B598" s="12"/>
      <c r="C598" s="11"/>
      <c r="D598" s="11"/>
      <c r="E598" s="12"/>
      <c r="F598" s="11"/>
      <c r="G598" s="11"/>
      <c r="H598" s="11"/>
      <c r="I598" s="11"/>
      <c r="J598" s="11"/>
      <c r="K598" s="11"/>
      <c r="L598" s="11"/>
    </row>
    <row r="599" spans="1:12" x14ac:dyDescent="0.35">
      <c r="A599" s="11"/>
      <c r="B599" s="12"/>
      <c r="C599" s="11"/>
      <c r="D599" s="11"/>
      <c r="E599" s="12"/>
      <c r="F599" s="11"/>
      <c r="G599" s="11"/>
      <c r="H599" s="11"/>
      <c r="I599" s="11"/>
      <c r="J599" s="11"/>
      <c r="K599" s="11"/>
      <c r="L599" s="11"/>
    </row>
    <row r="600" spans="1:12" x14ac:dyDescent="0.35">
      <c r="A600" s="11"/>
      <c r="B600" s="12"/>
      <c r="C600" s="11"/>
      <c r="D600" s="11"/>
      <c r="E600" s="12"/>
      <c r="F600" s="11"/>
      <c r="G600" s="11"/>
      <c r="H600" s="11"/>
      <c r="I600" s="11"/>
      <c r="J600" s="11"/>
      <c r="K600" s="11"/>
      <c r="L600" s="11"/>
    </row>
    <row r="601" spans="1:12" x14ac:dyDescent="0.35">
      <c r="A601" s="11"/>
      <c r="B601" s="12"/>
      <c r="C601" s="11"/>
      <c r="D601" s="11"/>
      <c r="E601" s="12"/>
      <c r="F601" s="11"/>
      <c r="G601" s="11"/>
      <c r="H601" s="11"/>
      <c r="I601" s="11"/>
      <c r="J601" s="11"/>
      <c r="K601" s="11"/>
      <c r="L601" s="11"/>
    </row>
    <row r="602" spans="1:12" x14ac:dyDescent="0.35">
      <c r="A602" s="11"/>
      <c r="B602" s="12"/>
      <c r="C602" s="11"/>
      <c r="D602" s="11"/>
      <c r="E602" s="12"/>
      <c r="F602" s="11"/>
      <c r="G602" s="11"/>
      <c r="H602" s="11"/>
      <c r="I602" s="11"/>
      <c r="J602" s="11"/>
      <c r="K602" s="11"/>
      <c r="L602" s="11"/>
    </row>
    <row r="603" spans="1:12" x14ac:dyDescent="0.35">
      <c r="A603" s="11"/>
      <c r="B603" s="12"/>
      <c r="C603" s="11"/>
      <c r="D603" s="11"/>
      <c r="E603" s="12"/>
      <c r="F603" s="11"/>
      <c r="G603" s="11"/>
      <c r="H603" s="11"/>
      <c r="I603" s="11"/>
      <c r="J603" s="11"/>
      <c r="K603" s="11"/>
      <c r="L603" s="11"/>
    </row>
    <row r="604" spans="1:12" x14ac:dyDescent="0.35">
      <c r="A604" s="11"/>
      <c r="B604" s="12"/>
      <c r="C604" s="11"/>
      <c r="D604" s="11"/>
      <c r="E604" s="12"/>
      <c r="F604" s="11"/>
      <c r="G604" s="11"/>
      <c r="H604" s="11"/>
      <c r="I604" s="11"/>
      <c r="J604" s="11"/>
      <c r="K604" s="11"/>
      <c r="L604" s="11"/>
    </row>
    <row r="605" spans="1:12" x14ac:dyDescent="0.35">
      <c r="A605" s="11"/>
      <c r="B605" s="12"/>
      <c r="C605" s="11"/>
      <c r="D605" s="11"/>
      <c r="E605" s="12"/>
      <c r="F605" s="11"/>
      <c r="G605" s="11"/>
      <c r="H605" s="11"/>
      <c r="I605" s="11"/>
      <c r="J605" s="11"/>
      <c r="K605" s="11"/>
      <c r="L605" s="11"/>
    </row>
    <row r="606" spans="1:12" x14ac:dyDescent="0.35">
      <c r="A606" s="11"/>
      <c r="B606" s="12"/>
      <c r="C606" s="11"/>
      <c r="D606" s="11"/>
      <c r="E606" s="12"/>
      <c r="F606" s="11"/>
      <c r="G606" s="11"/>
      <c r="H606" s="11"/>
      <c r="I606" s="11"/>
      <c r="J606" s="11"/>
      <c r="K606" s="11"/>
      <c r="L606" s="11"/>
    </row>
    <row r="607" spans="1:12" x14ac:dyDescent="0.35">
      <c r="A607" s="11"/>
      <c r="B607" s="12"/>
      <c r="C607" s="11"/>
      <c r="D607" s="11"/>
      <c r="E607" s="12"/>
      <c r="F607" s="11"/>
      <c r="G607" s="11"/>
      <c r="H607" s="11"/>
      <c r="I607" s="11"/>
      <c r="J607" s="11"/>
      <c r="K607" s="11"/>
      <c r="L607" s="11"/>
    </row>
    <row r="608" spans="1:12" x14ac:dyDescent="0.35">
      <c r="A608" s="11"/>
      <c r="B608" s="12"/>
      <c r="C608" s="11"/>
      <c r="D608" s="11"/>
      <c r="E608" s="12"/>
      <c r="F608" s="11"/>
      <c r="G608" s="11"/>
      <c r="H608" s="11"/>
      <c r="I608" s="11"/>
      <c r="J608" s="11"/>
      <c r="K608" s="11"/>
      <c r="L608" s="11"/>
    </row>
    <row r="609" spans="1:12" x14ac:dyDescent="0.35">
      <c r="A609" s="11"/>
      <c r="B609" s="12"/>
      <c r="C609" s="11"/>
      <c r="D609" s="11"/>
      <c r="E609" s="12"/>
      <c r="F609" s="11"/>
      <c r="G609" s="11"/>
      <c r="H609" s="11"/>
      <c r="I609" s="11"/>
      <c r="J609" s="11"/>
      <c r="K609" s="11"/>
      <c r="L609" s="11"/>
    </row>
    <row r="610" spans="1:12" x14ac:dyDescent="0.35">
      <c r="A610" s="11"/>
      <c r="B610" s="12"/>
      <c r="C610" s="11"/>
      <c r="D610" s="11"/>
      <c r="E610" s="12"/>
      <c r="F610" s="11"/>
      <c r="G610" s="11"/>
      <c r="H610" s="11"/>
      <c r="I610" s="11"/>
      <c r="J610" s="11"/>
      <c r="K610" s="11"/>
      <c r="L610" s="11"/>
    </row>
    <row r="611" spans="1:12" x14ac:dyDescent="0.35">
      <c r="A611" s="11"/>
      <c r="B611" s="12"/>
      <c r="C611" s="11"/>
      <c r="D611" s="11"/>
      <c r="E611" s="12"/>
      <c r="F611" s="11"/>
      <c r="G611" s="11"/>
      <c r="H611" s="11"/>
      <c r="I611" s="11"/>
      <c r="J611" s="11"/>
      <c r="K611" s="11"/>
      <c r="L611" s="11"/>
    </row>
    <row r="612" spans="1:12" x14ac:dyDescent="0.35">
      <c r="A612" s="11"/>
      <c r="B612" s="12"/>
      <c r="C612" s="11"/>
      <c r="D612" s="11"/>
      <c r="E612" s="12"/>
      <c r="F612" s="11"/>
      <c r="G612" s="11"/>
      <c r="H612" s="11"/>
      <c r="I612" s="11"/>
      <c r="J612" s="11"/>
      <c r="K612" s="11"/>
      <c r="L612" s="11"/>
    </row>
    <row r="613" spans="1:12" x14ac:dyDescent="0.35">
      <c r="A613" s="11"/>
      <c r="B613" s="12"/>
      <c r="C613" s="11"/>
      <c r="D613" s="11"/>
      <c r="E613" s="12"/>
      <c r="F613" s="11"/>
      <c r="G613" s="11"/>
      <c r="H613" s="11"/>
      <c r="I613" s="11"/>
      <c r="J613" s="11"/>
      <c r="K613" s="11"/>
      <c r="L613" s="11"/>
    </row>
    <row r="614" spans="1:12" x14ac:dyDescent="0.35">
      <c r="A614" s="11"/>
      <c r="B614" s="12"/>
      <c r="C614" s="11"/>
      <c r="D614" s="11"/>
      <c r="E614" s="12"/>
      <c r="F614" s="11"/>
      <c r="G614" s="11"/>
      <c r="H614" s="11"/>
      <c r="I614" s="11"/>
      <c r="J614" s="11"/>
      <c r="K614" s="11"/>
      <c r="L614" s="11"/>
    </row>
    <row r="615" spans="1:12" x14ac:dyDescent="0.35">
      <c r="A615" s="11"/>
      <c r="B615" s="12"/>
      <c r="C615" s="11"/>
      <c r="D615" s="11"/>
      <c r="E615" s="12"/>
      <c r="F615" s="11"/>
      <c r="G615" s="11"/>
      <c r="H615" s="11"/>
      <c r="I615" s="11"/>
      <c r="J615" s="11"/>
      <c r="K615" s="11"/>
      <c r="L615" s="11"/>
    </row>
    <row r="616" spans="1:12" x14ac:dyDescent="0.35">
      <c r="A616" s="11"/>
      <c r="B616" s="12"/>
      <c r="C616" s="11"/>
      <c r="D616" s="11"/>
      <c r="E616" s="12"/>
      <c r="F616" s="11"/>
      <c r="G616" s="11"/>
      <c r="H616" s="11"/>
      <c r="I616" s="11"/>
      <c r="J616" s="11"/>
      <c r="K616" s="11"/>
      <c r="L616" s="11"/>
    </row>
    <row r="617" spans="1:12" x14ac:dyDescent="0.35">
      <c r="A617" s="11"/>
      <c r="B617" s="12"/>
      <c r="C617" s="11"/>
      <c r="D617" s="11"/>
      <c r="E617" s="12"/>
      <c r="F617" s="11"/>
      <c r="G617" s="11"/>
      <c r="H617" s="11"/>
      <c r="I617" s="11"/>
      <c r="J617" s="11"/>
      <c r="K617" s="11"/>
      <c r="L617" s="11"/>
    </row>
    <row r="618" spans="1:12" x14ac:dyDescent="0.35">
      <c r="A618" s="11"/>
      <c r="B618" s="12"/>
      <c r="C618" s="11"/>
      <c r="D618" s="11"/>
      <c r="E618" s="12"/>
      <c r="F618" s="11"/>
      <c r="G618" s="11"/>
      <c r="H618" s="11"/>
      <c r="I618" s="11"/>
      <c r="J618" s="11"/>
      <c r="K618" s="11"/>
      <c r="L618" s="11"/>
    </row>
    <row r="619" spans="1:12" x14ac:dyDescent="0.35">
      <c r="A619" s="11"/>
      <c r="B619" s="12"/>
      <c r="C619" s="11"/>
      <c r="D619" s="11"/>
      <c r="E619" s="12"/>
      <c r="F619" s="11"/>
      <c r="G619" s="11"/>
      <c r="H619" s="11"/>
      <c r="I619" s="11"/>
      <c r="J619" s="11"/>
      <c r="K619" s="11"/>
      <c r="L619" s="11"/>
    </row>
    <row r="620" spans="1:12" x14ac:dyDescent="0.35">
      <c r="A620" s="11"/>
      <c r="B620" s="12"/>
      <c r="C620" s="11"/>
      <c r="D620" s="11"/>
      <c r="E620" s="12"/>
      <c r="F620" s="11"/>
      <c r="G620" s="11"/>
      <c r="H620" s="11"/>
      <c r="I620" s="11"/>
      <c r="J620" s="11"/>
      <c r="K620" s="11"/>
      <c r="L620" s="11"/>
    </row>
    <row r="621" spans="1:12" x14ac:dyDescent="0.35">
      <c r="A621" s="11"/>
      <c r="B621" s="12"/>
      <c r="C621" s="11"/>
      <c r="D621" s="11"/>
      <c r="E621" s="12"/>
      <c r="F621" s="11"/>
      <c r="G621" s="11"/>
      <c r="H621" s="11"/>
      <c r="I621" s="11"/>
      <c r="J621" s="11"/>
      <c r="K621" s="11"/>
      <c r="L621" s="11"/>
    </row>
    <row r="622" spans="1:12" x14ac:dyDescent="0.35">
      <c r="A622" s="11"/>
      <c r="B622" s="12"/>
      <c r="C622" s="11"/>
      <c r="D622" s="11"/>
      <c r="E622" s="12"/>
      <c r="F622" s="11"/>
      <c r="G622" s="11"/>
      <c r="H622" s="11"/>
      <c r="I622" s="11"/>
      <c r="J622" s="11"/>
      <c r="K622" s="11"/>
      <c r="L622" s="11"/>
    </row>
    <row r="623" spans="1:12" x14ac:dyDescent="0.35">
      <c r="A623" s="11"/>
      <c r="B623" s="12"/>
      <c r="C623" s="11"/>
      <c r="D623" s="11"/>
      <c r="E623" s="12"/>
      <c r="F623" s="11"/>
      <c r="G623" s="11"/>
      <c r="H623" s="11"/>
      <c r="I623" s="11"/>
      <c r="J623" s="11"/>
      <c r="K623" s="11"/>
      <c r="L623" s="11"/>
    </row>
    <row r="624" spans="1:12" x14ac:dyDescent="0.35">
      <c r="A624" s="11"/>
      <c r="B624" s="12"/>
      <c r="C624" s="11"/>
      <c r="D624" s="11"/>
      <c r="E624" s="12"/>
      <c r="F624" s="11"/>
      <c r="G624" s="11"/>
      <c r="H624" s="11"/>
      <c r="I624" s="11"/>
      <c r="J624" s="11"/>
      <c r="K624" s="11"/>
      <c r="L624" s="11"/>
    </row>
    <row r="625" spans="1:12" x14ac:dyDescent="0.35">
      <c r="A625" s="11"/>
      <c r="B625" s="12"/>
      <c r="C625" s="11"/>
      <c r="D625" s="11"/>
      <c r="E625" s="12"/>
      <c r="F625" s="11"/>
      <c r="G625" s="11"/>
      <c r="H625" s="11"/>
      <c r="I625" s="11"/>
      <c r="J625" s="11"/>
      <c r="K625" s="11"/>
      <c r="L625" s="11"/>
    </row>
    <row r="626" spans="1:12" x14ac:dyDescent="0.35">
      <c r="A626" s="11"/>
      <c r="B626" s="12"/>
      <c r="C626" s="11"/>
      <c r="D626" s="11"/>
      <c r="E626" s="12"/>
      <c r="F626" s="11"/>
      <c r="G626" s="11"/>
      <c r="H626" s="11"/>
      <c r="I626" s="11"/>
      <c r="J626" s="11"/>
      <c r="K626" s="11"/>
      <c r="L626" s="11"/>
    </row>
    <row r="627" spans="1:12" x14ac:dyDescent="0.35">
      <c r="A627" s="11"/>
      <c r="B627" s="12"/>
      <c r="C627" s="11"/>
      <c r="D627" s="11"/>
      <c r="E627" s="12"/>
      <c r="F627" s="11"/>
      <c r="G627" s="11"/>
      <c r="H627" s="11"/>
      <c r="I627" s="11"/>
      <c r="J627" s="11"/>
      <c r="K627" s="11"/>
      <c r="L627" s="11"/>
    </row>
    <row r="628" spans="1:12" x14ac:dyDescent="0.35">
      <c r="A628" s="11"/>
      <c r="B628" s="12"/>
      <c r="C628" s="11"/>
      <c r="D628" s="11"/>
      <c r="E628" s="12"/>
      <c r="F628" s="11"/>
      <c r="G628" s="11"/>
      <c r="H628" s="11"/>
      <c r="I628" s="11"/>
      <c r="J628" s="11"/>
      <c r="K628" s="11"/>
      <c r="L628" s="11"/>
    </row>
    <row r="629" spans="1:12" x14ac:dyDescent="0.35">
      <c r="A629" s="11"/>
      <c r="B629" s="12"/>
      <c r="C629" s="11"/>
      <c r="D629" s="11"/>
      <c r="E629" s="12"/>
      <c r="F629" s="11"/>
      <c r="G629" s="11"/>
      <c r="H629" s="11"/>
      <c r="I629" s="11"/>
      <c r="J629" s="11"/>
      <c r="K629" s="11"/>
      <c r="L629" s="11"/>
    </row>
    <row r="630" spans="1:12" x14ac:dyDescent="0.35">
      <c r="A630" s="11"/>
      <c r="B630" s="12"/>
      <c r="C630" s="11"/>
      <c r="D630" s="11"/>
      <c r="E630" s="12"/>
      <c r="F630" s="11"/>
      <c r="G630" s="11"/>
      <c r="H630" s="11"/>
      <c r="I630" s="11"/>
      <c r="J630" s="11"/>
      <c r="K630" s="11"/>
      <c r="L630" s="11"/>
    </row>
    <row r="631" spans="1:12" x14ac:dyDescent="0.35">
      <c r="A631" s="11"/>
      <c r="B631" s="12"/>
      <c r="C631" s="11"/>
      <c r="D631" s="11"/>
      <c r="E631" s="12"/>
      <c r="F631" s="11"/>
      <c r="G631" s="11"/>
      <c r="H631" s="11"/>
      <c r="I631" s="11"/>
      <c r="J631" s="11"/>
      <c r="K631" s="11"/>
      <c r="L631" s="11"/>
    </row>
    <row r="632" spans="1:12" x14ac:dyDescent="0.35">
      <c r="A632" s="11"/>
      <c r="B632" s="12"/>
      <c r="C632" s="11"/>
      <c r="D632" s="11"/>
      <c r="E632" s="12"/>
      <c r="F632" s="11"/>
      <c r="G632" s="11"/>
      <c r="H632" s="11"/>
      <c r="I632" s="11"/>
      <c r="J632" s="11"/>
      <c r="K632" s="11"/>
      <c r="L632" s="11"/>
    </row>
    <row r="633" spans="1:12" x14ac:dyDescent="0.35">
      <c r="A633" s="11"/>
      <c r="B633" s="12"/>
      <c r="C633" s="11"/>
      <c r="D633" s="11"/>
      <c r="E633" s="12"/>
      <c r="F633" s="11"/>
      <c r="G633" s="11"/>
      <c r="H633" s="11"/>
      <c r="I633" s="11"/>
      <c r="J633" s="11"/>
      <c r="K633" s="11"/>
      <c r="L633" s="11"/>
    </row>
    <row r="634" spans="1:12" x14ac:dyDescent="0.35">
      <c r="A634" s="11"/>
      <c r="B634" s="12"/>
      <c r="C634" s="11"/>
      <c r="D634" s="11"/>
      <c r="E634" s="12"/>
      <c r="F634" s="11"/>
      <c r="G634" s="11"/>
      <c r="H634" s="11"/>
      <c r="I634" s="11"/>
      <c r="J634" s="11"/>
      <c r="K634" s="11"/>
      <c r="L634" s="11"/>
    </row>
    <row r="635" spans="1:12" x14ac:dyDescent="0.35">
      <c r="A635" s="11"/>
      <c r="B635" s="12"/>
      <c r="C635" s="11"/>
      <c r="D635" s="11"/>
      <c r="E635" s="12"/>
      <c r="F635" s="11"/>
      <c r="G635" s="11"/>
      <c r="H635" s="11"/>
      <c r="I635" s="11"/>
      <c r="J635" s="11"/>
      <c r="K635" s="11"/>
      <c r="L635" s="11"/>
    </row>
    <row r="636" spans="1:12" x14ac:dyDescent="0.35">
      <c r="A636" s="11"/>
      <c r="B636" s="12"/>
      <c r="C636" s="11"/>
      <c r="D636" s="11"/>
      <c r="E636" s="12"/>
      <c r="F636" s="11"/>
      <c r="G636" s="11"/>
      <c r="H636" s="11"/>
      <c r="I636" s="11"/>
      <c r="J636" s="11"/>
      <c r="K636" s="11"/>
      <c r="L636" s="11"/>
    </row>
    <row r="637" spans="1:12" x14ac:dyDescent="0.35">
      <c r="A637" s="11"/>
      <c r="B637" s="12"/>
      <c r="C637" s="11"/>
      <c r="D637" s="11"/>
      <c r="E637" s="12"/>
      <c r="F637" s="11"/>
      <c r="G637" s="11"/>
      <c r="H637" s="11"/>
      <c r="I637" s="11"/>
      <c r="J637" s="11"/>
      <c r="K637" s="11"/>
      <c r="L637" s="11"/>
    </row>
    <row r="638" spans="1:12" x14ac:dyDescent="0.35">
      <c r="A638" s="11"/>
      <c r="B638" s="12"/>
      <c r="C638" s="11"/>
      <c r="D638" s="11"/>
      <c r="E638" s="12"/>
      <c r="F638" s="11"/>
      <c r="G638" s="11"/>
      <c r="H638" s="11"/>
      <c r="I638" s="11"/>
      <c r="J638" s="11"/>
      <c r="K638" s="11"/>
      <c r="L638" s="11"/>
    </row>
    <row r="639" spans="1:12" x14ac:dyDescent="0.35">
      <c r="A639" s="11"/>
      <c r="B639" s="12"/>
      <c r="C639" s="11"/>
      <c r="D639" s="11"/>
      <c r="E639" s="12"/>
      <c r="F639" s="11"/>
      <c r="G639" s="11"/>
      <c r="H639" s="11"/>
      <c r="I639" s="11"/>
      <c r="J639" s="11"/>
      <c r="K639" s="11"/>
      <c r="L639" s="11"/>
    </row>
    <row r="640" spans="1:12" x14ac:dyDescent="0.35">
      <c r="A640" s="11"/>
      <c r="B640" s="12"/>
      <c r="C640" s="11"/>
      <c r="D640" s="11"/>
      <c r="E640" s="12"/>
      <c r="F640" s="11"/>
      <c r="G640" s="11"/>
      <c r="H640" s="11"/>
      <c r="I640" s="11"/>
      <c r="J640" s="11"/>
      <c r="K640" s="11"/>
      <c r="L640" s="11"/>
    </row>
    <row r="641" spans="1:12" x14ac:dyDescent="0.35">
      <c r="A641" s="11"/>
      <c r="B641" s="12"/>
      <c r="C641" s="11"/>
      <c r="D641" s="11"/>
      <c r="E641" s="12"/>
      <c r="F641" s="11"/>
      <c r="G641" s="11"/>
      <c r="H641" s="11"/>
      <c r="I641" s="11"/>
      <c r="J641" s="11"/>
      <c r="K641" s="11"/>
      <c r="L641" s="11"/>
    </row>
    <row r="642" spans="1:12" x14ac:dyDescent="0.35">
      <c r="A642" s="11"/>
      <c r="B642" s="12"/>
      <c r="C642" s="11"/>
      <c r="D642" s="11"/>
      <c r="E642" s="12"/>
      <c r="F642" s="11"/>
      <c r="G642" s="11"/>
      <c r="H642" s="11"/>
      <c r="I642" s="11"/>
      <c r="J642" s="11"/>
      <c r="K642" s="11"/>
      <c r="L642" s="11"/>
    </row>
    <row r="643" spans="1:12" x14ac:dyDescent="0.35">
      <c r="A643" s="11"/>
      <c r="B643" s="12"/>
      <c r="C643" s="11"/>
      <c r="D643" s="11"/>
      <c r="E643" s="12"/>
      <c r="F643" s="11"/>
      <c r="G643" s="11"/>
      <c r="H643" s="11"/>
      <c r="I643" s="11"/>
      <c r="J643" s="11"/>
      <c r="K643" s="11"/>
      <c r="L643" s="11"/>
    </row>
    <row r="644" spans="1:12" x14ac:dyDescent="0.35">
      <c r="A644" s="11"/>
      <c r="B644" s="12"/>
      <c r="C644" s="11"/>
      <c r="D644" s="11"/>
      <c r="E644" s="12"/>
      <c r="F644" s="11"/>
      <c r="G644" s="11"/>
      <c r="H644" s="11"/>
      <c r="I644" s="11"/>
      <c r="J644" s="11"/>
      <c r="K644" s="11"/>
      <c r="L644" s="11"/>
    </row>
    <row r="645" spans="1:12" x14ac:dyDescent="0.35">
      <c r="A645" s="11"/>
      <c r="B645" s="12"/>
      <c r="C645" s="11"/>
      <c r="D645" s="11"/>
      <c r="E645" s="12"/>
      <c r="F645" s="11"/>
      <c r="G645" s="11"/>
      <c r="H645" s="11"/>
      <c r="I645" s="11"/>
      <c r="J645" s="11"/>
      <c r="K645" s="11"/>
      <c r="L645" s="11"/>
    </row>
    <row r="646" spans="1:12" x14ac:dyDescent="0.35">
      <c r="A646" s="11"/>
      <c r="B646" s="12"/>
      <c r="C646" s="11"/>
      <c r="D646" s="11"/>
      <c r="E646" s="12"/>
      <c r="F646" s="11"/>
      <c r="G646" s="11"/>
      <c r="H646" s="11"/>
      <c r="I646" s="11"/>
      <c r="J646" s="11"/>
      <c r="K646" s="11"/>
      <c r="L646" s="11"/>
    </row>
    <row r="647" spans="1:12" x14ac:dyDescent="0.35">
      <c r="A647" s="11"/>
      <c r="B647" s="12"/>
      <c r="C647" s="11"/>
      <c r="D647" s="11"/>
      <c r="E647" s="12"/>
      <c r="F647" s="11"/>
      <c r="G647" s="11"/>
      <c r="H647" s="11"/>
      <c r="I647" s="11"/>
      <c r="J647" s="11"/>
      <c r="K647" s="11"/>
      <c r="L647" s="11"/>
    </row>
    <row r="648" spans="1:12" x14ac:dyDescent="0.35">
      <c r="A648" s="11"/>
      <c r="B648" s="12"/>
      <c r="C648" s="11"/>
      <c r="D648" s="11"/>
      <c r="E648" s="12"/>
      <c r="F648" s="11"/>
      <c r="G648" s="11"/>
      <c r="H648" s="11"/>
      <c r="I648" s="11"/>
      <c r="J648" s="11"/>
      <c r="K648" s="11"/>
      <c r="L648" s="11"/>
    </row>
    <row r="649" spans="1:12" x14ac:dyDescent="0.35">
      <c r="A649" s="11"/>
      <c r="B649" s="12"/>
      <c r="C649" s="11"/>
      <c r="D649" s="11"/>
      <c r="E649" s="12"/>
      <c r="F649" s="11"/>
      <c r="G649" s="11"/>
      <c r="H649" s="11"/>
      <c r="I649" s="11"/>
      <c r="J649" s="11"/>
      <c r="K649" s="11"/>
      <c r="L649" s="11"/>
    </row>
    <row r="650" spans="1:12" x14ac:dyDescent="0.35">
      <c r="A650" s="11"/>
      <c r="B650" s="12"/>
      <c r="C650" s="11"/>
      <c r="D650" s="11"/>
      <c r="E650" s="12"/>
      <c r="F650" s="11"/>
      <c r="G650" s="11"/>
      <c r="H650" s="11"/>
      <c r="I650" s="11"/>
      <c r="J650" s="11"/>
      <c r="K650" s="11"/>
      <c r="L650" s="11"/>
    </row>
    <row r="651" spans="1:12" x14ac:dyDescent="0.35">
      <c r="A651" s="11"/>
      <c r="B651" s="12"/>
      <c r="C651" s="11"/>
      <c r="D651" s="11"/>
      <c r="E651" s="12"/>
      <c r="F651" s="11"/>
      <c r="G651" s="11"/>
      <c r="H651" s="11"/>
      <c r="I651" s="11"/>
      <c r="J651" s="11"/>
      <c r="K651" s="11"/>
      <c r="L651" s="11"/>
    </row>
    <row r="652" spans="1:12" x14ac:dyDescent="0.35">
      <c r="A652" s="11"/>
      <c r="B652" s="12"/>
      <c r="C652" s="11"/>
      <c r="D652" s="11"/>
      <c r="E652" s="12"/>
      <c r="F652" s="11"/>
      <c r="G652" s="11"/>
      <c r="H652" s="11"/>
      <c r="I652" s="11"/>
      <c r="J652" s="11"/>
      <c r="K652" s="11"/>
      <c r="L652" s="11"/>
    </row>
    <row r="653" spans="1:12" x14ac:dyDescent="0.35">
      <c r="A653" s="11"/>
      <c r="B653" s="12"/>
      <c r="C653" s="11"/>
      <c r="D653" s="11"/>
      <c r="E653" s="12"/>
      <c r="F653" s="11"/>
      <c r="G653" s="11"/>
      <c r="H653" s="11"/>
      <c r="I653" s="11"/>
      <c r="J653" s="11"/>
      <c r="K653" s="11"/>
      <c r="L653" s="11"/>
    </row>
    <row r="654" spans="1:12" x14ac:dyDescent="0.35">
      <c r="A654" s="11"/>
      <c r="B654" s="12"/>
      <c r="C654" s="11"/>
      <c r="D654" s="11"/>
      <c r="E654" s="12"/>
      <c r="F654" s="11"/>
      <c r="G654" s="11"/>
      <c r="H654" s="11"/>
      <c r="I654" s="11"/>
      <c r="J654" s="11"/>
      <c r="K654" s="11"/>
      <c r="L654" s="11"/>
    </row>
    <row r="655" spans="1:12" x14ac:dyDescent="0.35">
      <c r="A655" s="11"/>
      <c r="B655" s="12"/>
      <c r="C655" s="11"/>
      <c r="D655" s="11"/>
      <c r="E655" s="12"/>
      <c r="F655" s="11"/>
      <c r="G655" s="11"/>
      <c r="H655" s="11"/>
      <c r="I655" s="11"/>
      <c r="J655" s="11"/>
      <c r="K655" s="11"/>
      <c r="L655" s="11"/>
    </row>
    <row r="656" spans="1:12" x14ac:dyDescent="0.35">
      <c r="A656" s="11"/>
      <c r="B656" s="12"/>
      <c r="C656" s="11"/>
      <c r="D656" s="11"/>
      <c r="E656" s="12"/>
      <c r="F656" s="11"/>
      <c r="G656" s="11"/>
      <c r="H656" s="11"/>
      <c r="I656" s="11"/>
      <c r="J656" s="11"/>
      <c r="K656" s="11"/>
      <c r="L656" s="11"/>
    </row>
    <row r="657" spans="1:12" x14ac:dyDescent="0.35">
      <c r="A657" s="11"/>
      <c r="B657" s="12"/>
      <c r="C657" s="11"/>
      <c r="D657" s="11"/>
      <c r="E657" s="12"/>
      <c r="F657" s="11"/>
      <c r="G657" s="11"/>
      <c r="H657" s="11"/>
      <c r="I657" s="11"/>
      <c r="J657" s="11"/>
      <c r="K657" s="11"/>
      <c r="L657" s="11"/>
    </row>
    <row r="658" spans="1:12" x14ac:dyDescent="0.35">
      <c r="A658" s="11"/>
      <c r="B658" s="12"/>
      <c r="C658" s="11"/>
      <c r="D658" s="11"/>
      <c r="E658" s="12"/>
      <c r="F658" s="11"/>
      <c r="G658" s="11"/>
      <c r="H658" s="11"/>
      <c r="I658" s="11"/>
      <c r="J658" s="11"/>
      <c r="K658" s="11"/>
      <c r="L658" s="11"/>
    </row>
    <row r="659" spans="1:12" x14ac:dyDescent="0.35">
      <c r="A659" s="11"/>
      <c r="B659" s="12"/>
      <c r="C659" s="11"/>
      <c r="D659" s="11"/>
      <c r="E659" s="12"/>
      <c r="F659" s="11"/>
      <c r="G659" s="11"/>
      <c r="H659" s="11"/>
      <c r="I659" s="11"/>
      <c r="J659" s="11"/>
      <c r="K659" s="11"/>
      <c r="L659" s="11"/>
    </row>
    <row r="660" spans="1:12" x14ac:dyDescent="0.35">
      <c r="A660" s="11"/>
      <c r="B660" s="12"/>
      <c r="C660" s="11"/>
      <c r="D660" s="11"/>
      <c r="E660" s="12"/>
      <c r="F660" s="11"/>
      <c r="G660" s="11"/>
      <c r="H660" s="11"/>
      <c r="I660" s="11"/>
      <c r="J660" s="11"/>
      <c r="K660" s="11"/>
      <c r="L660" s="11"/>
    </row>
    <row r="661" spans="1:12" x14ac:dyDescent="0.35">
      <c r="A661" s="11"/>
      <c r="B661" s="12"/>
      <c r="C661" s="11"/>
      <c r="D661" s="11"/>
      <c r="E661" s="12"/>
      <c r="F661" s="11"/>
      <c r="G661" s="11"/>
      <c r="H661" s="11"/>
      <c r="I661" s="11"/>
      <c r="J661" s="11"/>
      <c r="K661" s="11"/>
      <c r="L661" s="11"/>
    </row>
    <row r="662" spans="1:12" x14ac:dyDescent="0.35">
      <c r="A662" s="11"/>
      <c r="B662" s="12"/>
      <c r="C662" s="11"/>
      <c r="D662" s="11"/>
      <c r="E662" s="12"/>
      <c r="F662" s="11"/>
      <c r="G662" s="11"/>
      <c r="H662" s="11"/>
      <c r="I662" s="11"/>
      <c r="J662" s="11"/>
      <c r="K662" s="11"/>
      <c r="L662" s="11"/>
    </row>
    <row r="663" spans="1:12" x14ac:dyDescent="0.35">
      <c r="A663" s="11"/>
      <c r="B663" s="12"/>
      <c r="C663" s="11"/>
      <c r="D663" s="11"/>
      <c r="E663" s="12"/>
      <c r="F663" s="11"/>
      <c r="G663" s="11"/>
      <c r="H663" s="11"/>
      <c r="I663" s="11"/>
      <c r="J663" s="11"/>
      <c r="K663" s="11"/>
      <c r="L663" s="11"/>
    </row>
    <row r="664" spans="1:12" x14ac:dyDescent="0.35">
      <c r="A664" s="11"/>
      <c r="B664" s="12"/>
      <c r="C664" s="11"/>
      <c r="D664" s="11"/>
      <c r="E664" s="12"/>
      <c r="F664" s="11"/>
      <c r="G664" s="11"/>
      <c r="H664" s="11"/>
      <c r="I664" s="11"/>
      <c r="J664" s="11"/>
      <c r="K664" s="11"/>
      <c r="L664" s="11"/>
    </row>
    <row r="665" spans="1:12" x14ac:dyDescent="0.35">
      <c r="A665" s="11"/>
      <c r="B665" s="12"/>
      <c r="C665" s="11"/>
      <c r="D665" s="11"/>
      <c r="E665" s="12"/>
      <c r="F665" s="11"/>
      <c r="G665" s="11"/>
      <c r="H665" s="11"/>
      <c r="I665" s="11"/>
      <c r="J665" s="11"/>
      <c r="K665" s="11"/>
      <c r="L665" s="11"/>
    </row>
    <row r="666" spans="1:12" x14ac:dyDescent="0.35">
      <c r="A666" s="11"/>
      <c r="B666" s="12"/>
      <c r="C666" s="11"/>
      <c r="D666" s="11"/>
      <c r="E666" s="12"/>
      <c r="F666" s="11"/>
      <c r="G666" s="11"/>
      <c r="H666" s="11"/>
      <c r="I666" s="11"/>
      <c r="J666" s="11"/>
      <c r="K666" s="11"/>
      <c r="L666" s="11"/>
    </row>
    <row r="667" spans="1:12" x14ac:dyDescent="0.35">
      <c r="A667" s="11"/>
      <c r="B667" s="12"/>
      <c r="C667" s="11"/>
      <c r="D667" s="11"/>
      <c r="E667" s="12"/>
      <c r="F667" s="11"/>
      <c r="G667" s="11"/>
      <c r="H667" s="11"/>
      <c r="I667" s="11"/>
      <c r="J667" s="11"/>
      <c r="K667" s="11"/>
      <c r="L667" s="11"/>
    </row>
    <row r="668" spans="1:12" x14ac:dyDescent="0.35">
      <c r="A668" s="11"/>
      <c r="B668" s="12"/>
      <c r="C668" s="11"/>
      <c r="D668" s="11"/>
      <c r="E668" s="12"/>
      <c r="F668" s="11"/>
      <c r="G668" s="11"/>
      <c r="H668" s="11"/>
      <c r="I668" s="11"/>
      <c r="J668" s="11"/>
      <c r="K668" s="11"/>
      <c r="L668" s="11"/>
    </row>
    <row r="669" spans="1:12" x14ac:dyDescent="0.35">
      <c r="A669" s="11"/>
      <c r="B669" s="12"/>
      <c r="C669" s="11"/>
      <c r="D669" s="11"/>
      <c r="E669" s="12"/>
      <c r="F669" s="11"/>
      <c r="G669" s="11"/>
      <c r="H669" s="11"/>
      <c r="I669" s="11"/>
      <c r="J669" s="11"/>
      <c r="K669" s="11"/>
      <c r="L669" s="11"/>
    </row>
    <row r="670" spans="1:12" x14ac:dyDescent="0.35">
      <c r="A670" s="11"/>
      <c r="B670" s="12"/>
      <c r="C670" s="11"/>
      <c r="D670" s="11"/>
      <c r="E670" s="12"/>
      <c r="F670" s="11"/>
      <c r="G670" s="11"/>
      <c r="H670" s="11"/>
      <c r="I670" s="11"/>
      <c r="J670" s="11"/>
      <c r="K670" s="11"/>
      <c r="L670" s="11"/>
    </row>
    <row r="671" spans="1:12" x14ac:dyDescent="0.35">
      <c r="A671" s="11"/>
      <c r="B671" s="12"/>
      <c r="C671" s="11"/>
      <c r="D671" s="11"/>
      <c r="E671" s="12"/>
      <c r="F671" s="11"/>
      <c r="G671" s="11"/>
      <c r="H671" s="11"/>
      <c r="I671" s="11"/>
      <c r="J671" s="11"/>
      <c r="K671" s="11"/>
      <c r="L671" s="11"/>
    </row>
    <row r="672" spans="1:12" x14ac:dyDescent="0.35">
      <c r="A672" s="11"/>
      <c r="B672" s="12"/>
      <c r="C672" s="11"/>
      <c r="D672" s="11"/>
      <c r="E672" s="12"/>
      <c r="F672" s="11"/>
      <c r="G672" s="11"/>
      <c r="H672" s="11"/>
      <c r="I672" s="11"/>
      <c r="J672" s="11"/>
      <c r="K672" s="11"/>
      <c r="L672" s="11"/>
    </row>
    <row r="673" spans="1:12" x14ac:dyDescent="0.35">
      <c r="A673" s="11"/>
      <c r="B673" s="12"/>
      <c r="C673" s="11"/>
      <c r="D673" s="11"/>
      <c r="E673" s="12"/>
      <c r="F673" s="11"/>
      <c r="G673" s="11"/>
      <c r="H673" s="11"/>
      <c r="I673" s="11"/>
      <c r="J673" s="11"/>
      <c r="K673" s="11"/>
      <c r="L673" s="11"/>
    </row>
    <row r="674" spans="1:12" x14ac:dyDescent="0.35">
      <c r="A674" s="11"/>
      <c r="B674" s="12"/>
      <c r="C674" s="11"/>
      <c r="D674" s="11"/>
      <c r="E674" s="12"/>
      <c r="F674" s="11"/>
      <c r="G674" s="11"/>
      <c r="H674" s="11"/>
      <c r="I674" s="11"/>
      <c r="J674" s="11"/>
      <c r="K674" s="11"/>
      <c r="L674" s="11"/>
    </row>
    <row r="675" spans="1:12" x14ac:dyDescent="0.35">
      <c r="A675" s="11"/>
      <c r="B675" s="12"/>
      <c r="C675" s="11"/>
      <c r="D675" s="11"/>
      <c r="E675" s="12"/>
      <c r="F675" s="11"/>
      <c r="G675" s="11"/>
      <c r="H675" s="11"/>
      <c r="I675" s="11"/>
      <c r="J675" s="11"/>
      <c r="K675" s="11"/>
      <c r="L675" s="11"/>
    </row>
    <row r="676" spans="1:12" x14ac:dyDescent="0.35">
      <c r="A676" s="11"/>
      <c r="B676" s="12"/>
      <c r="C676" s="11"/>
      <c r="D676" s="11"/>
      <c r="E676" s="12"/>
      <c r="F676" s="11"/>
      <c r="G676" s="11"/>
      <c r="H676" s="11"/>
      <c r="I676" s="11"/>
      <c r="J676" s="11"/>
      <c r="K676" s="11"/>
      <c r="L676" s="11"/>
    </row>
    <row r="677" spans="1:12" x14ac:dyDescent="0.35">
      <c r="A677" s="11"/>
      <c r="B677" s="12"/>
      <c r="C677" s="11"/>
      <c r="D677" s="11"/>
      <c r="E677" s="12"/>
      <c r="F677" s="11"/>
      <c r="G677" s="11"/>
      <c r="H677" s="11"/>
      <c r="I677" s="11"/>
      <c r="J677" s="11"/>
      <c r="K677" s="11"/>
      <c r="L677" s="11"/>
    </row>
    <row r="678" spans="1:12" x14ac:dyDescent="0.35">
      <c r="A678" s="11"/>
      <c r="B678" s="12"/>
      <c r="C678" s="11"/>
      <c r="D678" s="11"/>
      <c r="E678" s="12"/>
      <c r="F678" s="11"/>
      <c r="G678" s="11"/>
      <c r="H678" s="11"/>
      <c r="I678" s="11"/>
      <c r="J678" s="11"/>
      <c r="K678" s="11"/>
      <c r="L678" s="11"/>
    </row>
    <row r="679" spans="1:12" x14ac:dyDescent="0.35">
      <c r="A679" s="11"/>
      <c r="B679" s="12"/>
      <c r="C679" s="11"/>
      <c r="D679" s="11"/>
      <c r="E679" s="12"/>
      <c r="F679" s="11"/>
      <c r="G679" s="11"/>
      <c r="H679" s="11"/>
      <c r="I679" s="11"/>
      <c r="J679" s="11"/>
      <c r="K679" s="11"/>
      <c r="L679" s="11"/>
    </row>
    <row r="680" spans="1:12" x14ac:dyDescent="0.35">
      <c r="A680" s="11"/>
      <c r="B680" s="12"/>
      <c r="C680" s="11"/>
      <c r="D680" s="11"/>
      <c r="E680" s="12"/>
      <c r="F680" s="11"/>
      <c r="G680" s="11"/>
      <c r="H680" s="11"/>
      <c r="I680" s="11"/>
      <c r="J680" s="11"/>
      <c r="K680" s="11"/>
      <c r="L680" s="11"/>
    </row>
    <row r="681" spans="1:12" x14ac:dyDescent="0.35">
      <c r="A681" s="11"/>
      <c r="B681" s="12"/>
      <c r="C681" s="11"/>
      <c r="D681" s="11"/>
      <c r="E681" s="12"/>
      <c r="F681" s="11"/>
      <c r="G681" s="11"/>
      <c r="H681" s="11"/>
      <c r="I681" s="11"/>
      <c r="J681" s="11"/>
      <c r="K681" s="11"/>
      <c r="L681" s="11"/>
    </row>
    <row r="682" spans="1:12" x14ac:dyDescent="0.35">
      <c r="A682" s="11"/>
      <c r="B682" s="12"/>
      <c r="C682" s="11"/>
      <c r="D682" s="11"/>
      <c r="E682" s="12"/>
      <c r="F682" s="11"/>
      <c r="G682" s="11"/>
      <c r="H682" s="11"/>
      <c r="I682" s="11"/>
      <c r="J682" s="11"/>
      <c r="K682" s="11"/>
      <c r="L682" s="11"/>
    </row>
    <row r="683" spans="1:12" x14ac:dyDescent="0.35">
      <c r="A683" s="11"/>
      <c r="B683" s="12"/>
      <c r="C683" s="11"/>
      <c r="D683" s="11"/>
      <c r="E683" s="12"/>
      <c r="F683" s="11"/>
      <c r="G683" s="11"/>
      <c r="H683" s="11"/>
      <c r="I683" s="11"/>
      <c r="J683" s="11"/>
      <c r="K683" s="11"/>
      <c r="L683" s="11"/>
    </row>
    <row r="684" spans="1:12" x14ac:dyDescent="0.35">
      <c r="A684" s="11"/>
      <c r="B684" s="12"/>
      <c r="C684" s="11"/>
      <c r="D684" s="11"/>
      <c r="E684" s="12"/>
      <c r="F684" s="11"/>
      <c r="G684" s="11"/>
      <c r="H684" s="11"/>
      <c r="I684" s="11"/>
      <c r="J684" s="11"/>
      <c r="K684" s="11"/>
      <c r="L684" s="11"/>
    </row>
    <row r="685" spans="1:12" x14ac:dyDescent="0.35">
      <c r="A685" s="11"/>
      <c r="B685" s="12"/>
      <c r="C685" s="11"/>
      <c r="D685" s="11"/>
      <c r="E685" s="12"/>
      <c r="F685" s="11"/>
      <c r="G685" s="11"/>
      <c r="H685" s="11"/>
      <c r="I685" s="11"/>
      <c r="J685" s="11"/>
      <c r="K685" s="11"/>
      <c r="L685" s="11"/>
    </row>
    <row r="686" spans="1:12" x14ac:dyDescent="0.35">
      <c r="A686" s="11"/>
      <c r="B686" s="12"/>
      <c r="C686" s="11"/>
      <c r="D686" s="11"/>
      <c r="E686" s="12"/>
      <c r="F686" s="11"/>
      <c r="G686" s="11"/>
      <c r="H686" s="11"/>
      <c r="I686" s="11"/>
      <c r="J686" s="11"/>
      <c r="K686" s="11"/>
      <c r="L686" s="11"/>
    </row>
    <row r="687" spans="1:12" x14ac:dyDescent="0.35">
      <c r="A687" s="11"/>
      <c r="B687" s="12"/>
      <c r="C687" s="11"/>
      <c r="D687" s="11"/>
      <c r="E687" s="12"/>
      <c r="F687" s="11"/>
      <c r="G687" s="11"/>
      <c r="H687" s="11"/>
      <c r="I687" s="11"/>
      <c r="J687" s="11"/>
      <c r="K687" s="11"/>
      <c r="L687" s="11"/>
    </row>
    <row r="688" spans="1:12" x14ac:dyDescent="0.35">
      <c r="A688" s="11"/>
      <c r="B688" s="12"/>
      <c r="C688" s="11"/>
      <c r="D688" s="11"/>
      <c r="E688" s="12"/>
      <c r="F688" s="11"/>
      <c r="G688" s="11"/>
      <c r="H688" s="11"/>
      <c r="I688" s="11"/>
      <c r="J688" s="11"/>
      <c r="K688" s="11"/>
      <c r="L688" s="11"/>
    </row>
    <row r="689" spans="1:12" x14ac:dyDescent="0.35">
      <c r="A689" s="11"/>
      <c r="B689" s="12"/>
      <c r="C689" s="11"/>
      <c r="D689" s="11"/>
      <c r="E689" s="12"/>
      <c r="F689" s="11"/>
      <c r="G689" s="11"/>
      <c r="H689" s="11"/>
      <c r="I689" s="11"/>
      <c r="J689" s="11"/>
      <c r="K689" s="11"/>
      <c r="L689" s="11"/>
    </row>
    <row r="690" spans="1:12" x14ac:dyDescent="0.35">
      <c r="A690" s="11"/>
      <c r="B690" s="12"/>
      <c r="C690" s="11"/>
      <c r="D690" s="11"/>
      <c r="E690" s="12"/>
      <c r="F690" s="11"/>
      <c r="G690" s="11"/>
      <c r="H690" s="11"/>
      <c r="I690" s="11"/>
      <c r="J690" s="11"/>
      <c r="K690" s="11"/>
      <c r="L690" s="11"/>
    </row>
    <row r="691" spans="1:12" x14ac:dyDescent="0.35">
      <c r="A691" s="11"/>
      <c r="B691" s="12"/>
      <c r="C691" s="11"/>
      <c r="D691" s="11"/>
      <c r="E691" s="12"/>
      <c r="F691" s="11"/>
      <c r="G691" s="11"/>
      <c r="H691" s="11"/>
      <c r="I691" s="11"/>
      <c r="J691" s="11"/>
      <c r="K691" s="11"/>
      <c r="L691" s="11"/>
    </row>
    <row r="692" spans="1:12" x14ac:dyDescent="0.35">
      <c r="A692" s="11"/>
      <c r="B692" s="12"/>
      <c r="C692" s="11"/>
      <c r="D692" s="11"/>
      <c r="E692" s="12"/>
      <c r="F692" s="11"/>
      <c r="G692" s="11"/>
      <c r="H692" s="11"/>
      <c r="I692" s="11"/>
      <c r="J692" s="11"/>
      <c r="K692" s="11"/>
      <c r="L692" s="11"/>
    </row>
    <row r="693" spans="1:12" x14ac:dyDescent="0.35">
      <c r="A693" s="11"/>
      <c r="B693" s="12"/>
      <c r="C693" s="11"/>
      <c r="D693" s="11"/>
      <c r="E693" s="12"/>
      <c r="F693" s="11"/>
      <c r="G693" s="11"/>
      <c r="H693" s="11"/>
      <c r="I693" s="11"/>
      <c r="J693" s="11"/>
      <c r="K693" s="11"/>
      <c r="L693" s="11"/>
    </row>
    <row r="694" spans="1:12" x14ac:dyDescent="0.35">
      <c r="A694" s="11"/>
      <c r="B694" s="12"/>
      <c r="C694" s="11"/>
      <c r="D694" s="11"/>
      <c r="E694" s="12"/>
      <c r="F694" s="11"/>
      <c r="G694" s="11"/>
      <c r="H694" s="11"/>
      <c r="I694" s="11"/>
      <c r="J694" s="11"/>
      <c r="K694" s="11"/>
      <c r="L694" s="11"/>
    </row>
    <row r="695" spans="1:12" x14ac:dyDescent="0.35">
      <c r="A695" s="11"/>
      <c r="B695" s="12"/>
      <c r="C695" s="11"/>
      <c r="D695" s="11"/>
      <c r="E695" s="12"/>
      <c r="F695" s="11"/>
      <c r="G695" s="11"/>
      <c r="H695" s="11"/>
      <c r="I695" s="11"/>
      <c r="J695" s="11"/>
      <c r="K695" s="11"/>
      <c r="L695" s="11"/>
    </row>
    <row r="696" spans="1:12" x14ac:dyDescent="0.35">
      <c r="A696" s="11"/>
      <c r="B696" s="12"/>
      <c r="C696" s="11"/>
      <c r="D696" s="11"/>
      <c r="E696" s="12"/>
      <c r="F696" s="11"/>
      <c r="G696" s="11"/>
      <c r="H696" s="11"/>
      <c r="I696" s="11"/>
      <c r="J696" s="11"/>
      <c r="K696" s="11"/>
      <c r="L696" s="11"/>
    </row>
    <row r="697" spans="1:12" x14ac:dyDescent="0.35">
      <c r="A697" s="11"/>
      <c r="B697" s="12"/>
      <c r="C697" s="11"/>
      <c r="D697" s="11"/>
      <c r="E697" s="12"/>
      <c r="F697" s="11"/>
      <c r="G697" s="11"/>
      <c r="H697" s="11"/>
      <c r="I697" s="11"/>
      <c r="J697" s="11"/>
      <c r="K697" s="11"/>
      <c r="L697" s="11"/>
    </row>
    <row r="698" spans="1:12" x14ac:dyDescent="0.35">
      <c r="A698" s="11"/>
      <c r="B698" s="12"/>
      <c r="C698" s="11"/>
      <c r="D698" s="11"/>
      <c r="E698" s="12"/>
      <c r="F698" s="11"/>
      <c r="G698" s="11"/>
      <c r="H698" s="11"/>
      <c r="I698" s="11"/>
      <c r="J698" s="11"/>
      <c r="K698" s="11"/>
      <c r="L698" s="11"/>
    </row>
    <row r="699" spans="1:12" x14ac:dyDescent="0.35">
      <c r="A699" s="11"/>
      <c r="B699" s="12"/>
      <c r="C699" s="11"/>
      <c r="D699" s="11"/>
      <c r="E699" s="12"/>
      <c r="F699" s="11"/>
      <c r="G699" s="11"/>
      <c r="H699" s="11"/>
      <c r="I699" s="11"/>
      <c r="J699" s="11"/>
      <c r="K699" s="11"/>
      <c r="L699" s="11"/>
    </row>
    <row r="700" spans="1:12" x14ac:dyDescent="0.35">
      <c r="A700" s="11"/>
      <c r="B700" s="12"/>
      <c r="C700" s="11"/>
      <c r="D700" s="11"/>
      <c r="E700" s="12"/>
      <c r="F700" s="11"/>
      <c r="G700" s="11"/>
      <c r="H700" s="11"/>
      <c r="I700" s="11"/>
      <c r="J700" s="11"/>
      <c r="K700" s="11"/>
      <c r="L700" s="11"/>
    </row>
    <row r="701" spans="1:12" x14ac:dyDescent="0.35">
      <c r="A701" s="11"/>
      <c r="B701" s="12"/>
      <c r="C701" s="11"/>
      <c r="D701" s="11"/>
      <c r="E701" s="12"/>
      <c r="F701" s="11"/>
      <c r="G701" s="11"/>
      <c r="H701" s="11"/>
      <c r="I701" s="11"/>
      <c r="J701" s="11"/>
      <c r="K701" s="11"/>
      <c r="L701" s="11"/>
    </row>
    <row r="702" spans="1:12" x14ac:dyDescent="0.35">
      <c r="A702" s="11"/>
      <c r="B702" s="12"/>
      <c r="C702" s="11"/>
      <c r="D702" s="11"/>
      <c r="E702" s="12"/>
      <c r="F702" s="11"/>
      <c r="G702" s="11"/>
      <c r="H702" s="11"/>
      <c r="I702" s="11"/>
      <c r="J702" s="11"/>
      <c r="K702" s="11"/>
      <c r="L702" s="11"/>
    </row>
    <row r="703" spans="1:12" x14ac:dyDescent="0.35">
      <c r="A703" s="11"/>
      <c r="B703" s="12"/>
      <c r="C703" s="11"/>
      <c r="D703" s="11"/>
      <c r="E703" s="12"/>
      <c r="F703" s="11"/>
      <c r="G703" s="11"/>
      <c r="H703" s="11"/>
      <c r="I703" s="11"/>
      <c r="J703" s="11"/>
      <c r="K703" s="11"/>
      <c r="L703" s="11"/>
    </row>
    <row r="704" spans="1:12" x14ac:dyDescent="0.35">
      <c r="A704" s="11"/>
      <c r="B704" s="12"/>
      <c r="C704" s="11"/>
      <c r="D704" s="11"/>
      <c r="E704" s="12"/>
      <c r="F704" s="11"/>
      <c r="G704" s="11"/>
      <c r="H704" s="11"/>
      <c r="I704" s="11"/>
      <c r="J704" s="11"/>
      <c r="K704" s="11"/>
      <c r="L704" s="11"/>
    </row>
    <row r="705" spans="1:12" x14ac:dyDescent="0.35">
      <c r="A705" s="11"/>
      <c r="B705" s="12"/>
      <c r="C705" s="11"/>
      <c r="D705" s="11"/>
      <c r="E705" s="12"/>
      <c r="F705" s="11"/>
      <c r="G705" s="11"/>
      <c r="H705" s="11"/>
      <c r="I705" s="11"/>
      <c r="J705" s="11"/>
      <c r="K705" s="11"/>
      <c r="L705" s="11"/>
    </row>
    <row r="706" spans="1:12" x14ac:dyDescent="0.35">
      <c r="A706" s="11"/>
      <c r="B706" s="12"/>
      <c r="C706" s="11"/>
      <c r="D706" s="11"/>
      <c r="E706" s="12"/>
      <c r="F706" s="11"/>
      <c r="G706" s="11"/>
      <c r="H706" s="11"/>
      <c r="I706" s="11"/>
      <c r="J706" s="11"/>
      <c r="K706" s="11"/>
      <c r="L706" s="11"/>
    </row>
    <row r="707" spans="1:12" x14ac:dyDescent="0.35">
      <c r="A707" s="11"/>
      <c r="B707" s="12"/>
      <c r="C707" s="11"/>
      <c r="D707" s="11"/>
      <c r="E707" s="12"/>
      <c r="F707" s="11"/>
      <c r="G707" s="11"/>
      <c r="H707" s="11"/>
      <c r="I707" s="11"/>
      <c r="J707" s="11"/>
      <c r="K707" s="11"/>
      <c r="L707" s="11"/>
    </row>
    <row r="708" spans="1:12" x14ac:dyDescent="0.35">
      <c r="A708" s="11"/>
      <c r="B708" s="12"/>
      <c r="C708" s="11"/>
      <c r="D708" s="11"/>
      <c r="E708" s="12"/>
      <c r="F708" s="11"/>
      <c r="G708" s="11"/>
      <c r="H708" s="11"/>
      <c r="I708" s="11"/>
      <c r="J708" s="11"/>
      <c r="K708" s="11"/>
      <c r="L708" s="11"/>
    </row>
    <row r="709" spans="1:12" x14ac:dyDescent="0.35">
      <c r="A709" s="11"/>
      <c r="B709" s="12"/>
      <c r="C709" s="11"/>
      <c r="D709" s="11"/>
      <c r="E709" s="12"/>
      <c r="F709" s="11"/>
      <c r="G709" s="11"/>
      <c r="H709" s="11"/>
      <c r="I709" s="11"/>
      <c r="J709" s="11"/>
      <c r="K709" s="11"/>
      <c r="L709" s="11"/>
    </row>
    <row r="710" spans="1:12" x14ac:dyDescent="0.35">
      <c r="A710" s="11"/>
      <c r="B710" s="12"/>
      <c r="C710" s="11"/>
      <c r="D710" s="11"/>
      <c r="E710" s="12"/>
      <c r="F710" s="11"/>
      <c r="G710" s="11"/>
      <c r="H710" s="11"/>
      <c r="I710" s="11"/>
      <c r="J710" s="11"/>
      <c r="K710" s="11"/>
      <c r="L710" s="11"/>
    </row>
    <row r="711" spans="1:12" x14ac:dyDescent="0.35">
      <c r="A711" s="11"/>
      <c r="B711" s="12"/>
      <c r="C711" s="11"/>
      <c r="D711" s="11"/>
      <c r="E711" s="12"/>
      <c r="F711" s="11"/>
      <c r="G711" s="11"/>
      <c r="H711" s="11"/>
      <c r="I711" s="11"/>
      <c r="J711" s="11"/>
      <c r="K711" s="11"/>
      <c r="L711" s="11"/>
    </row>
    <row r="712" spans="1:12" x14ac:dyDescent="0.35">
      <c r="A712" s="11"/>
      <c r="B712" s="12"/>
      <c r="C712" s="11"/>
      <c r="D712" s="11"/>
      <c r="E712" s="12"/>
      <c r="F712" s="11"/>
      <c r="G712" s="11"/>
      <c r="H712" s="11"/>
      <c r="I712" s="11"/>
      <c r="J712" s="11"/>
      <c r="K712" s="11"/>
      <c r="L712" s="11"/>
    </row>
    <row r="713" spans="1:12" x14ac:dyDescent="0.35">
      <c r="A713" s="11"/>
      <c r="B713" s="12"/>
      <c r="C713" s="11"/>
      <c r="D713" s="11"/>
      <c r="E713" s="12"/>
      <c r="F713" s="11"/>
      <c r="G713" s="11"/>
      <c r="H713" s="11"/>
      <c r="I713" s="11"/>
      <c r="J713" s="11"/>
      <c r="K713" s="11"/>
      <c r="L713" s="11"/>
    </row>
    <row r="714" spans="1:12" x14ac:dyDescent="0.35">
      <c r="A714" s="11"/>
      <c r="B714" s="12"/>
      <c r="C714" s="11"/>
      <c r="D714" s="11"/>
      <c r="E714" s="12"/>
      <c r="F714" s="11"/>
      <c r="G714" s="11"/>
      <c r="H714" s="11"/>
      <c r="I714" s="11"/>
      <c r="J714" s="11"/>
      <c r="K714" s="11"/>
      <c r="L714" s="11"/>
    </row>
    <row r="715" spans="1:12" x14ac:dyDescent="0.35">
      <c r="A715" s="11"/>
      <c r="B715" s="12"/>
      <c r="C715" s="11"/>
      <c r="D715" s="11"/>
      <c r="E715" s="12"/>
      <c r="F715" s="11"/>
      <c r="G715" s="11"/>
      <c r="H715" s="11"/>
      <c r="I715" s="11"/>
      <c r="J715" s="11"/>
      <c r="K715" s="11"/>
      <c r="L715" s="11"/>
    </row>
    <row r="716" spans="1:12" x14ac:dyDescent="0.35">
      <c r="A716" s="11"/>
      <c r="B716" s="12"/>
      <c r="C716" s="11"/>
      <c r="D716" s="11"/>
      <c r="E716" s="12"/>
      <c r="F716" s="11"/>
      <c r="G716" s="11"/>
      <c r="H716" s="11"/>
      <c r="I716" s="11"/>
      <c r="J716" s="11"/>
      <c r="K716" s="11"/>
      <c r="L716" s="11"/>
    </row>
    <row r="717" spans="1:12" x14ac:dyDescent="0.35">
      <c r="A717" s="11"/>
      <c r="B717" s="12"/>
      <c r="C717" s="11"/>
      <c r="D717" s="11"/>
      <c r="E717" s="12"/>
      <c r="F717" s="11"/>
      <c r="G717" s="11"/>
      <c r="H717" s="11"/>
      <c r="I717" s="11"/>
      <c r="J717" s="11"/>
      <c r="K717" s="11"/>
      <c r="L717" s="11"/>
    </row>
    <row r="718" spans="1:12" x14ac:dyDescent="0.35">
      <c r="A718" s="11"/>
      <c r="B718" s="12"/>
      <c r="C718" s="11"/>
      <c r="D718" s="11"/>
      <c r="E718" s="12"/>
      <c r="F718" s="11"/>
      <c r="G718" s="11"/>
      <c r="H718" s="11"/>
      <c r="I718" s="11"/>
      <c r="J718" s="11"/>
      <c r="K718" s="11"/>
      <c r="L718" s="11"/>
    </row>
    <row r="719" spans="1:12" x14ac:dyDescent="0.35">
      <c r="A719" s="11"/>
      <c r="B719" s="12"/>
      <c r="C719" s="11"/>
      <c r="D719" s="11"/>
      <c r="E719" s="12"/>
      <c r="F719" s="11"/>
      <c r="G719" s="11"/>
      <c r="H719" s="11"/>
      <c r="I719" s="11"/>
      <c r="J719" s="11"/>
      <c r="K719" s="11"/>
      <c r="L719" s="11"/>
    </row>
    <row r="720" spans="1:12" x14ac:dyDescent="0.35">
      <c r="A720" s="11"/>
      <c r="B720" s="12"/>
      <c r="C720" s="11"/>
      <c r="D720" s="11"/>
      <c r="E720" s="12"/>
      <c r="F720" s="11"/>
      <c r="G720" s="11"/>
      <c r="H720" s="11"/>
      <c r="I720" s="11"/>
      <c r="J720" s="11"/>
      <c r="K720" s="11"/>
      <c r="L720" s="11"/>
    </row>
    <row r="721" spans="1:12" x14ac:dyDescent="0.35">
      <c r="A721" s="11"/>
      <c r="B721" s="12"/>
      <c r="C721" s="11"/>
      <c r="D721" s="11"/>
      <c r="E721" s="12"/>
      <c r="F721" s="11"/>
      <c r="G721" s="11"/>
      <c r="H721" s="11"/>
      <c r="I721" s="11"/>
      <c r="J721" s="11"/>
      <c r="K721" s="11"/>
      <c r="L721" s="11"/>
    </row>
    <row r="722" spans="1:12" x14ac:dyDescent="0.35">
      <c r="A722" s="11"/>
      <c r="B722" s="12"/>
      <c r="C722" s="11"/>
      <c r="D722" s="11"/>
      <c r="E722" s="12"/>
      <c r="F722" s="11"/>
      <c r="G722" s="11"/>
      <c r="H722" s="11"/>
      <c r="I722" s="11"/>
      <c r="J722" s="11"/>
      <c r="K722" s="11"/>
      <c r="L722" s="11"/>
    </row>
    <row r="723" spans="1:12" x14ac:dyDescent="0.35">
      <c r="A723" s="11"/>
      <c r="B723" s="12"/>
      <c r="C723" s="11"/>
      <c r="D723" s="11"/>
      <c r="E723" s="12"/>
      <c r="F723" s="11"/>
      <c r="G723" s="11"/>
      <c r="H723" s="11"/>
      <c r="I723" s="11"/>
      <c r="J723" s="11"/>
      <c r="K723" s="11"/>
      <c r="L723" s="11"/>
    </row>
    <row r="724" spans="1:12" x14ac:dyDescent="0.35">
      <c r="A724" s="11"/>
      <c r="B724" s="12"/>
      <c r="C724" s="11"/>
      <c r="D724" s="11"/>
      <c r="E724" s="12"/>
      <c r="F724" s="11"/>
      <c r="G724" s="11"/>
      <c r="H724" s="11"/>
      <c r="I724" s="11"/>
      <c r="J724" s="11"/>
      <c r="K724" s="11"/>
      <c r="L724" s="11"/>
    </row>
    <row r="725" spans="1:12" x14ac:dyDescent="0.35">
      <c r="A725" s="11"/>
      <c r="B725" s="12"/>
      <c r="C725" s="11"/>
      <c r="D725" s="11"/>
      <c r="E725" s="12"/>
      <c r="F725" s="11"/>
      <c r="G725" s="11"/>
      <c r="H725" s="11"/>
      <c r="I725" s="11"/>
      <c r="J725" s="11"/>
      <c r="K725" s="11"/>
      <c r="L725" s="11"/>
    </row>
    <row r="726" spans="1:12" x14ac:dyDescent="0.35">
      <c r="A726" s="11"/>
      <c r="B726" s="12"/>
      <c r="C726" s="11"/>
      <c r="D726" s="11"/>
      <c r="E726" s="12"/>
      <c r="F726" s="11"/>
      <c r="G726" s="11"/>
      <c r="H726" s="11"/>
      <c r="I726" s="11"/>
      <c r="J726" s="11"/>
      <c r="K726" s="11"/>
      <c r="L726" s="11"/>
    </row>
    <row r="727" spans="1:12" x14ac:dyDescent="0.35">
      <c r="A727" s="11"/>
      <c r="B727" s="12"/>
      <c r="C727" s="11"/>
      <c r="D727" s="11"/>
      <c r="E727" s="12"/>
      <c r="F727" s="11"/>
      <c r="G727" s="11"/>
      <c r="H727" s="11"/>
      <c r="I727" s="11"/>
      <c r="J727" s="11"/>
      <c r="K727" s="11"/>
      <c r="L727" s="11"/>
    </row>
    <row r="728" spans="1:12" x14ac:dyDescent="0.35">
      <c r="A728" s="11"/>
      <c r="B728" s="12"/>
      <c r="C728" s="11"/>
      <c r="D728" s="11"/>
      <c r="E728" s="12"/>
      <c r="F728" s="11"/>
      <c r="G728" s="11"/>
      <c r="H728" s="11"/>
      <c r="I728" s="11"/>
      <c r="J728" s="11"/>
      <c r="K728" s="11"/>
      <c r="L728" s="11"/>
    </row>
    <row r="729" spans="1:12" x14ac:dyDescent="0.35">
      <c r="A729" s="11"/>
      <c r="B729" s="12"/>
      <c r="C729" s="11"/>
      <c r="D729" s="11"/>
      <c r="E729" s="12"/>
      <c r="F729" s="11"/>
      <c r="G729" s="11"/>
      <c r="H729" s="11"/>
      <c r="I729" s="11"/>
      <c r="J729" s="11"/>
      <c r="K729" s="11"/>
      <c r="L729" s="11"/>
    </row>
    <row r="730" spans="1:12" x14ac:dyDescent="0.35">
      <c r="A730" s="11"/>
      <c r="B730" s="12"/>
      <c r="C730" s="11"/>
      <c r="D730" s="11"/>
      <c r="E730" s="12"/>
      <c r="F730" s="11"/>
      <c r="G730" s="11"/>
      <c r="H730" s="11"/>
      <c r="I730" s="11"/>
      <c r="J730" s="11"/>
      <c r="K730" s="11"/>
      <c r="L730" s="11"/>
    </row>
    <row r="731" spans="1:12" x14ac:dyDescent="0.35">
      <c r="A731" s="11"/>
      <c r="B731" s="12"/>
      <c r="C731" s="11"/>
      <c r="D731" s="11"/>
      <c r="E731" s="12"/>
      <c r="F731" s="11"/>
      <c r="G731" s="11"/>
      <c r="H731" s="11"/>
      <c r="I731" s="11"/>
      <c r="J731" s="11"/>
      <c r="K731" s="11"/>
      <c r="L731" s="11"/>
    </row>
    <row r="732" spans="1:12" x14ac:dyDescent="0.35">
      <c r="A732" s="11"/>
      <c r="B732" s="12"/>
      <c r="C732" s="11"/>
      <c r="D732" s="11"/>
      <c r="E732" s="12"/>
      <c r="F732" s="11"/>
      <c r="G732" s="11"/>
      <c r="H732" s="11"/>
      <c r="I732" s="11"/>
      <c r="J732" s="11"/>
      <c r="K732" s="11"/>
      <c r="L732" s="11"/>
    </row>
    <row r="733" spans="1:12" x14ac:dyDescent="0.35">
      <c r="A733" s="11"/>
      <c r="B733" s="12"/>
      <c r="C733" s="11"/>
      <c r="D733" s="11"/>
      <c r="E733" s="12"/>
      <c r="F733" s="11"/>
      <c r="G733" s="11"/>
      <c r="H733" s="11"/>
      <c r="I733" s="11"/>
      <c r="J733" s="11"/>
      <c r="K733" s="11"/>
      <c r="L733" s="11"/>
    </row>
    <row r="734" spans="1:12" x14ac:dyDescent="0.35">
      <c r="A734" s="11"/>
      <c r="B734" s="12"/>
      <c r="C734" s="11"/>
      <c r="D734" s="11"/>
      <c r="E734" s="12"/>
      <c r="F734" s="11"/>
      <c r="G734" s="11"/>
      <c r="H734" s="11"/>
      <c r="I734" s="11"/>
      <c r="J734" s="11"/>
      <c r="K734" s="11"/>
      <c r="L734" s="11"/>
    </row>
    <row r="735" spans="1:12" x14ac:dyDescent="0.35">
      <c r="A735" s="11"/>
      <c r="B735" s="12"/>
      <c r="C735" s="11"/>
      <c r="D735" s="11"/>
      <c r="E735" s="12"/>
      <c r="F735" s="11"/>
      <c r="G735" s="11"/>
      <c r="H735" s="11"/>
      <c r="I735" s="11"/>
      <c r="J735" s="11"/>
      <c r="K735" s="11"/>
      <c r="L735" s="11"/>
    </row>
    <row r="736" spans="1:12" x14ac:dyDescent="0.35">
      <c r="A736" s="11"/>
      <c r="B736" s="12"/>
      <c r="C736" s="11"/>
      <c r="D736" s="11"/>
      <c r="E736" s="12"/>
      <c r="F736" s="11"/>
      <c r="G736" s="11"/>
      <c r="H736" s="11"/>
      <c r="I736" s="11"/>
      <c r="J736" s="11"/>
      <c r="K736" s="11"/>
      <c r="L736" s="11"/>
    </row>
    <row r="737" spans="1:12" x14ac:dyDescent="0.35">
      <c r="A737" s="11"/>
      <c r="B737" s="12"/>
      <c r="C737" s="11"/>
      <c r="D737" s="11"/>
      <c r="E737" s="12"/>
      <c r="F737" s="11"/>
      <c r="G737" s="11"/>
      <c r="H737" s="11"/>
      <c r="I737" s="11"/>
      <c r="J737" s="11"/>
      <c r="K737" s="11"/>
      <c r="L737" s="11"/>
    </row>
    <row r="738" spans="1:12" x14ac:dyDescent="0.35">
      <c r="A738" s="11"/>
      <c r="B738" s="12"/>
      <c r="C738" s="11"/>
      <c r="D738" s="11"/>
      <c r="E738" s="12"/>
      <c r="F738" s="11"/>
      <c r="G738" s="11"/>
      <c r="H738" s="11"/>
      <c r="I738" s="11"/>
      <c r="J738" s="11"/>
      <c r="K738" s="11"/>
      <c r="L738" s="11"/>
    </row>
    <row r="739" spans="1:12" x14ac:dyDescent="0.35">
      <c r="A739" s="11"/>
      <c r="B739" s="12"/>
      <c r="C739" s="11"/>
      <c r="D739" s="11"/>
      <c r="E739" s="12"/>
      <c r="F739" s="11"/>
      <c r="G739" s="11"/>
      <c r="H739" s="11"/>
      <c r="I739" s="11"/>
      <c r="J739" s="11"/>
      <c r="K739" s="11"/>
      <c r="L739" s="11"/>
    </row>
    <row r="740" spans="1:12" x14ac:dyDescent="0.35">
      <c r="A740" s="11"/>
      <c r="B740" s="12"/>
      <c r="C740" s="11"/>
      <c r="D740" s="11"/>
      <c r="E740" s="12"/>
      <c r="F740" s="11"/>
      <c r="G740" s="11"/>
      <c r="H740" s="11"/>
      <c r="I740" s="11"/>
      <c r="J740" s="11"/>
      <c r="K740" s="11"/>
      <c r="L740" s="11"/>
    </row>
    <row r="741" spans="1:12" x14ac:dyDescent="0.35">
      <c r="A741" s="11"/>
      <c r="B741" s="12"/>
      <c r="C741" s="11"/>
      <c r="D741" s="11"/>
      <c r="E741" s="12"/>
      <c r="F741" s="11"/>
      <c r="G741" s="11"/>
      <c r="H741" s="11"/>
      <c r="I741" s="11"/>
      <c r="J741" s="11"/>
      <c r="K741" s="11"/>
      <c r="L741" s="11"/>
    </row>
    <row r="742" spans="1:12" x14ac:dyDescent="0.35">
      <c r="A742" s="11"/>
      <c r="B742" s="12"/>
      <c r="C742" s="11"/>
      <c r="D742" s="11"/>
      <c r="E742" s="12"/>
      <c r="F742" s="11"/>
      <c r="G742" s="11"/>
      <c r="H742" s="11"/>
      <c r="I742" s="11"/>
      <c r="J742" s="11"/>
      <c r="K742" s="11"/>
      <c r="L742" s="11"/>
    </row>
    <row r="743" spans="1:12" x14ac:dyDescent="0.35">
      <c r="A743" s="11"/>
      <c r="B743" s="12"/>
      <c r="C743" s="11"/>
      <c r="D743" s="11"/>
      <c r="E743" s="12"/>
      <c r="F743" s="11"/>
      <c r="G743" s="11"/>
      <c r="H743" s="11"/>
      <c r="I743" s="11"/>
      <c r="J743" s="11"/>
      <c r="K743" s="11"/>
      <c r="L743" s="11"/>
    </row>
    <row r="744" spans="1:12" x14ac:dyDescent="0.35">
      <c r="A744" s="11"/>
      <c r="B744" s="12"/>
      <c r="C744" s="11"/>
      <c r="D744" s="11"/>
      <c r="E744" s="12"/>
      <c r="F744" s="11"/>
      <c r="G744" s="11"/>
      <c r="H744" s="11"/>
      <c r="I744" s="11"/>
      <c r="J744" s="11"/>
      <c r="K744" s="11"/>
      <c r="L744" s="11"/>
    </row>
    <row r="745" spans="1:12" x14ac:dyDescent="0.35">
      <c r="A745" s="11"/>
      <c r="B745" s="12"/>
      <c r="C745" s="11"/>
      <c r="D745" s="11"/>
      <c r="E745" s="12"/>
      <c r="F745" s="11"/>
      <c r="G745" s="11"/>
      <c r="H745" s="11"/>
      <c r="I745" s="11"/>
      <c r="J745" s="11"/>
      <c r="K745" s="11"/>
      <c r="L745" s="11"/>
    </row>
    <row r="746" spans="1:12" x14ac:dyDescent="0.35">
      <c r="A746" s="11"/>
      <c r="B746" s="12"/>
      <c r="C746" s="11"/>
      <c r="D746" s="11"/>
      <c r="E746" s="12"/>
      <c r="F746" s="11"/>
      <c r="G746" s="11"/>
      <c r="H746" s="11"/>
      <c r="I746" s="11"/>
      <c r="J746" s="11"/>
      <c r="K746" s="11"/>
      <c r="L746" s="11"/>
    </row>
    <row r="747" spans="1:12" x14ac:dyDescent="0.35">
      <c r="A747" s="11"/>
      <c r="B747" s="12"/>
      <c r="C747" s="11"/>
      <c r="D747" s="11"/>
      <c r="E747" s="12"/>
      <c r="F747" s="11"/>
      <c r="G747" s="11"/>
      <c r="H747" s="11"/>
      <c r="I747" s="11"/>
      <c r="J747" s="11"/>
      <c r="K747" s="11"/>
      <c r="L747" s="11"/>
    </row>
    <row r="748" spans="1:12" x14ac:dyDescent="0.35">
      <c r="A748" s="11"/>
      <c r="B748" s="12"/>
      <c r="C748" s="11"/>
      <c r="D748" s="11"/>
      <c r="E748" s="12"/>
      <c r="F748" s="11"/>
      <c r="G748" s="11"/>
      <c r="H748" s="11"/>
      <c r="I748" s="11"/>
      <c r="J748" s="11"/>
      <c r="K748" s="11"/>
      <c r="L748" s="11"/>
    </row>
    <row r="749" spans="1:12" x14ac:dyDescent="0.35">
      <c r="A749" s="11"/>
      <c r="B749" s="12"/>
      <c r="C749" s="11"/>
      <c r="D749" s="11"/>
      <c r="E749" s="12"/>
      <c r="F749" s="11"/>
      <c r="G749" s="11"/>
      <c r="H749" s="11"/>
      <c r="I749" s="11"/>
      <c r="J749" s="11"/>
      <c r="K749" s="11"/>
      <c r="L749" s="11"/>
    </row>
    <row r="750" spans="1:12" x14ac:dyDescent="0.35">
      <c r="A750" s="11"/>
      <c r="B750" s="12"/>
      <c r="C750" s="11"/>
      <c r="D750" s="11"/>
      <c r="E750" s="12"/>
      <c r="F750" s="11"/>
      <c r="G750" s="11"/>
      <c r="H750" s="11"/>
      <c r="I750" s="11"/>
      <c r="J750" s="11"/>
      <c r="K750" s="11"/>
      <c r="L750" s="11"/>
    </row>
    <row r="751" spans="1:12" x14ac:dyDescent="0.35">
      <c r="A751" s="11"/>
      <c r="B751" s="12"/>
      <c r="C751" s="11"/>
      <c r="D751" s="11"/>
      <c r="E751" s="12"/>
      <c r="F751" s="11"/>
      <c r="G751" s="11"/>
      <c r="H751" s="11"/>
      <c r="I751" s="11"/>
      <c r="J751" s="11"/>
      <c r="K751" s="11"/>
      <c r="L751" s="11"/>
    </row>
    <row r="752" spans="1:12" x14ac:dyDescent="0.35">
      <c r="A752" s="11"/>
      <c r="B752" s="12"/>
      <c r="C752" s="11"/>
      <c r="D752" s="11"/>
      <c r="E752" s="12"/>
      <c r="F752" s="11"/>
      <c r="G752" s="11"/>
      <c r="H752" s="11"/>
      <c r="I752" s="11"/>
      <c r="J752" s="11"/>
      <c r="K752" s="11"/>
      <c r="L752" s="11"/>
    </row>
    <row r="753" spans="1:12" x14ac:dyDescent="0.35">
      <c r="A753" s="11"/>
      <c r="B753" s="12"/>
      <c r="C753" s="11"/>
      <c r="D753" s="11"/>
      <c r="E753" s="12"/>
      <c r="F753" s="11"/>
      <c r="G753" s="11"/>
      <c r="H753" s="11"/>
      <c r="I753" s="11"/>
      <c r="J753" s="11"/>
      <c r="K753" s="11"/>
      <c r="L753" s="11"/>
    </row>
    <row r="754" spans="1:12" x14ac:dyDescent="0.35">
      <c r="A754" s="11"/>
      <c r="B754" s="12"/>
      <c r="C754" s="11"/>
      <c r="D754" s="11"/>
      <c r="E754" s="12"/>
      <c r="F754" s="11"/>
      <c r="G754" s="11"/>
      <c r="H754" s="11"/>
      <c r="I754" s="11"/>
      <c r="J754" s="11"/>
      <c r="K754" s="11"/>
      <c r="L754" s="11"/>
    </row>
    <row r="755" spans="1:12" x14ac:dyDescent="0.35">
      <c r="A755" s="11"/>
      <c r="B755" s="12"/>
      <c r="C755" s="11"/>
      <c r="D755" s="11"/>
      <c r="E755" s="12"/>
      <c r="F755" s="11"/>
      <c r="G755" s="11"/>
      <c r="H755" s="11"/>
      <c r="I755" s="11"/>
      <c r="J755" s="11"/>
      <c r="K755" s="11"/>
      <c r="L755" s="11"/>
    </row>
    <row r="756" spans="1:12" x14ac:dyDescent="0.35">
      <c r="A756" s="11"/>
      <c r="B756" s="12"/>
      <c r="C756" s="11"/>
      <c r="D756" s="11"/>
      <c r="E756" s="12"/>
      <c r="F756" s="11"/>
      <c r="G756" s="11"/>
      <c r="H756" s="11"/>
      <c r="I756" s="11"/>
      <c r="J756" s="11"/>
      <c r="K756" s="11"/>
      <c r="L756" s="11"/>
    </row>
    <row r="757" spans="1:12" x14ac:dyDescent="0.35">
      <c r="A757" s="11"/>
      <c r="B757" s="12"/>
      <c r="C757" s="11"/>
      <c r="D757" s="11"/>
      <c r="E757" s="12"/>
      <c r="F757" s="11"/>
      <c r="G757" s="11"/>
      <c r="H757" s="11"/>
      <c r="I757" s="11"/>
      <c r="J757" s="11"/>
      <c r="K757" s="11"/>
      <c r="L757" s="11"/>
    </row>
    <row r="758" spans="1:12" x14ac:dyDescent="0.35">
      <c r="A758" s="11"/>
      <c r="B758" s="12"/>
      <c r="C758" s="11"/>
      <c r="D758" s="11"/>
      <c r="E758" s="12"/>
      <c r="F758" s="11"/>
      <c r="G758" s="11"/>
      <c r="H758" s="11"/>
      <c r="I758" s="11"/>
      <c r="J758" s="11"/>
      <c r="K758" s="11"/>
      <c r="L758" s="11"/>
    </row>
    <row r="759" spans="1:12" x14ac:dyDescent="0.35">
      <c r="A759" s="11"/>
      <c r="B759" s="12"/>
      <c r="C759" s="11"/>
      <c r="D759" s="11"/>
      <c r="E759" s="12"/>
      <c r="F759" s="11"/>
      <c r="G759" s="11"/>
      <c r="H759" s="11"/>
      <c r="I759" s="11"/>
      <c r="J759" s="11"/>
      <c r="K759" s="11"/>
      <c r="L759" s="11"/>
    </row>
    <row r="760" spans="1:12" x14ac:dyDescent="0.35">
      <c r="A760" s="11"/>
      <c r="B760" s="12"/>
      <c r="C760" s="11"/>
      <c r="D760" s="11"/>
      <c r="E760" s="12"/>
      <c r="F760" s="11"/>
      <c r="G760" s="11"/>
      <c r="H760" s="11"/>
      <c r="I760" s="11"/>
      <c r="J760" s="11"/>
      <c r="K760" s="11"/>
      <c r="L760" s="11"/>
    </row>
    <row r="761" spans="1:12" x14ac:dyDescent="0.35">
      <c r="A761" s="11"/>
      <c r="B761" s="12"/>
      <c r="C761" s="11"/>
      <c r="D761" s="11"/>
      <c r="E761" s="12"/>
      <c r="F761" s="11"/>
      <c r="G761" s="11"/>
      <c r="H761" s="11"/>
      <c r="I761" s="11"/>
      <c r="J761" s="11"/>
      <c r="K761" s="11"/>
      <c r="L761" s="11"/>
    </row>
    <row r="762" spans="1:12" x14ac:dyDescent="0.35">
      <c r="A762" s="11"/>
      <c r="B762" s="12"/>
      <c r="C762" s="11"/>
      <c r="D762" s="11"/>
      <c r="E762" s="12"/>
      <c r="F762" s="11"/>
      <c r="G762" s="11"/>
      <c r="H762" s="11"/>
      <c r="I762" s="11"/>
      <c r="J762" s="11"/>
      <c r="K762" s="11"/>
      <c r="L762" s="11"/>
    </row>
    <row r="763" spans="1:12" s="24" customFormat="1" x14ac:dyDescent="0.35">
      <c r="A763" s="22"/>
      <c r="B763" s="23"/>
      <c r="C763" s="22"/>
      <c r="D763" s="22"/>
      <c r="E763" s="23"/>
      <c r="F763" s="22"/>
      <c r="G763" s="22"/>
      <c r="H763" s="22"/>
      <c r="I763" s="22"/>
      <c r="J763" s="22"/>
      <c r="K763" s="22"/>
      <c r="L763" s="22"/>
    </row>
  </sheetData>
  <conditionalFormatting sqref="L4:L13">
    <cfRule type="expression" dxfId="7" priority="5">
      <formula>L4="Entrega Tarde"</formula>
    </cfRule>
  </conditionalFormatting>
  <conditionalFormatting sqref="L764:L1138">
    <cfRule type="expression" dxfId="6" priority="6">
      <formula>L764="Entrega Tarde"</formula>
    </cfRule>
  </conditionalFormatting>
  <conditionalFormatting sqref="L103:L702">
    <cfRule type="expression" dxfId="5" priority="4">
      <formula>L103="Entrega Tarde"</formula>
    </cfRule>
  </conditionalFormatting>
  <conditionalFormatting sqref="L14:L100">
    <cfRule type="expression" dxfId="4" priority="3">
      <formula>L14="Entrega Tarde"</formula>
    </cfRule>
  </conditionalFormatting>
  <conditionalFormatting sqref="L101:L102">
    <cfRule type="expression" dxfId="3" priority="2">
      <formula>L101="Entrega Tarde"</formula>
    </cfRule>
  </conditionalFormatting>
  <conditionalFormatting sqref="L703:L763">
    <cfRule type="expression" dxfId="2" priority="1">
      <formula>L703="Entrega Tarde"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3:L1615"/>
  <sheetViews>
    <sheetView showGridLines="0" workbookViewId="0">
      <selection sqref="A1:XFD1048576"/>
    </sheetView>
  </sheetViews>
  <sheetFormatPr baseColWidth="10" defaultRowHeight="14.5" x14ac:dyDescent="0.35"/>
  <cols>
    <col min="1" max="1" width="27" customWidth="1"/>
    <col min="2" max="2" width="11" customWidth="1"/>
    <col min="3" max="3" width="45" bestFit="1" customWidth="1"/>
    <col min="4" max="4" width="11.1796875" bestFit="1" customWidth="1"/>
    <col min="6" max="6" width="31.1796875" bestFit="1" customWidth="1"/>
    <col min="7" max="7" width="14.54296875" bestFit="1" customWidth="1"/>
    <col min="8" max="8" width="17" bestFit="1" customWidth="1"/>
    <col min="9" max="9" width="20.7265625" bestFit="1" customWidth="1"/>
    <col min="10" max="10" width="15.7265625" style="5" customWidth="1"/>
    <col min="11" max="12" width="22.54296875" bestFit="1" customWidth="1"/>
  </cols>
  <sheetData>
    <row r="3" spans="1:12" x14ac:dyDescent="0.35">
      <c r="A3" s="8" t="s">
        <v>0</v>
      </c>
      <c r="B3" s="8" t="s">
        <v>14</v>
      </c>
      <c r="C3" s="8" t="s">
        <v>1</v>
      </c>
      <c r="D3" s="8" t="s">
        <v>20</v>
      </c>
      <c r="E3" s="8" t="s">
        <v>4</v>
      </c>
      <c r="F3" s="8" t="s">
        <v>10</v>
      </c>
      <c r="G3" s="8" t="s">
        <v>6</v>
      </c>
      <c r="H3" s="8" t="s">
        <v>15</v>
      </c>
      <c r="I3" s="9" t="s">
        <v>8</v>
      </c>
      <c r="J3" s="8" t="s">
        <v>12</v>
      </c>
      <c r="K3" s="8" t="s">
        <v>7</v>
      </c>
      <c r="L3" t="s">
        <v>128</v>
      </c>
    </row>
    <row r="4" spans="1:12" x14ac:dyDescent="0.35">
      <c r="A4" t="s">
        <v>27</v>
      </c>
      <c r="B4">
        <v>718015</v>
      </c>
      <c r="C4" t="s">
        <v>137</v>
      </c>
      <c r="D4" t="s">
        <v>28</v>
      </c>
      <c r="E4" t="s">
        <v>36</v>
      </c>
      <c r="F4" t="s">
        <v>301</v>
      </c>
      <c r="G4" t="s">
        <v>36</v>
      </c>
      <c r="H4" t="s">
        <v>36</v>
      </c>
      <c r="I4">
        <v>5500022180</v>
      </c>
      <c r="J4" t="s">
        <v>36</v>
      </c>
      <c r="L4" s="7">
        <v>110</v>
      </c>
    </row>
    <row r="5" spans="1:12" x14ac:dyDescent="0.35">
      <c r="A5" t="s">
        <v>27</v>
      </c>
      <c r="B5">
        <v>721669</v>
      </c>
      <c r="C5" t="s">
        <v>336</v>
      </c>
      <c r="D5" t="s">
        <v>112</v>
      </c>
      <c r="E5" t="s">
        <v>413</v>
      </c>
      <c r="F5" t="s">
        <v>337</v>
      </c>
      <c r="G5" t="s">
        <v>38</v>
      </c>
      <c r="H5" t="s">
        <v>26</v>
      </c>
      <c r="I5">
        <v>5500022435</v>
      </c>
      <c r="J5" t="s">
        <v>30</v>
      </c>
      <c r="L5" s="7">
        <v>400</v>
      </c>
    </row>
    <row r="6" spans="1:12" x14ac:dyDescent="0.35">
      <c r="A6" t="s">
        <v>27</v>
      </c>
      <c r="B6">
        <v>722278</v>
      </c>
      <c r="C6" t="s">
        <v>170</v>
      </c>
      <c r="D6" t="s">
        <v>131</v>
      </c>
      <c r="E6" t="s">
        <v>36</v>
      </c>
      <c r="F6" t="s">
        <v>171</v>
      </c>
      <c r="G6" t="s">
        <v>36</v>
      </c>
      <c r="H6" t="s">
        <v>36</v>
      </c>
      <c r="I6">
        <v>4511416314</v>
      </c>
      <c r="J6" t="s">
        <v>36</v>
      </c>
      <c r="K6" t="s">
        <v>50</v>
      </c>
      <c r="L6" s="7">
        <v>10</v>
      </c>
    </row>
    <row r="7" spans="1:12" x14ac:dyDescent="0.35">
      <c r="A7" t="s">
        <v>27</v>
      </c>
      <c r="B7">
        <v>722283</v>
      </c>
      <c r="C7" t="s">
        <v>130</v>
      </c>
      <c r="D7" t="s">
        <v>131</v>
      </c>
      <c r="E7" t="s">
        <v>416</v>
      </c>
      <c r="F7" t="s">
        <v>373</v>
      </c>
      <c r="G7" t="s">
        <v>38</v>
      </c>
      <c r="H7" t="s">
        <v>26</v>
      </c>
      <c r="I7">
        <v>5500022125</v>
      </c>
      <c r="J7" t="s">
        <v>30</v>
      </c>
      <c r="L7" s="7">
        <v>100</v>
      </c>
    </row>
    <row r="8" spans="1:12" x14ac:dyDescent="0.35">
      <c r="A8" t="s">
        <v>27</v>
      </c>
      <c r="B8">
        <v>722284</v>
      </c>
      <c r="C8" t="s">
        <v>221</v>
      </c>
      <c r="D8" t="s">
        <v>112</v>
      </c>
      <c r="E8" t="s">
        <v>416</v>
      </c>
      <c r="F8" t="s">
        <v>372</v>
      </c>
      <c r="G8" t="s">
        <v>46</v>
      </c>
      <c r="H8" t="s">
        <v>26</v>
      </c>
      <c r="I8">
        <v>4511454653</v>
      </c>
      <c r="J8" t="s">
        <v>36</v>
      </c>
      <c r="K8" t="s">
        <v>51</v>
      </c>
      <c r="L8" s="7">
        <v>70</v>
      </c>
    </row>
    <row r="9" spans="1:12" x14ac:dyDescent="0.35">
      <c r="A9" t="s">
        <v>27</v>
      </c>
      <c r="B9">
        <v>733186</v>
      </c>
      <c r="C9" t="s">
        <v>405</v>
      </c>
      <c r="D9" t="s">
        <v>28</v>
      </c>
      <c r="E9" t="s">
        <v>409</v>
      </c>
      <c r="F9" t="s">
        <v>406</v>
      </c>
      <c r="G9" t="s">
        <v>414</v>
      </c>
      <c r="H9" t="s">
        <v>120</v>
      </c>
      <c r="I9">
        <v>4511446078</v>
      </c>
      <c r="J9" t="s">
        <v>36</v>
      </c>
      <c r="K9" t="s">
        <v>110</v>
      </c>
      <c r="L9" s="7">
        <v>15</v>
      </c>
    </row>
    <row r="10" spans="1:12" x14ac:dyDescent="0.35">
      <c r="A10" t="s">
        <v>27</v>
      </c>
      <c r="B10">
        <v>736148</v>
      </c>
      <c r="C10" t="s">
        <v>261</v>
      </c>
      <c r="D10" t="s">
        <v>28</v>
      </c>
      <c r="E10" t="s">
        <v>418</v>
      </c>
      <c r="F10" t="s">
        <v>262</v>
      </c>
      <c r="G10" t="s">
        <v>109</v>
      </c>
      <c r="H10" t="s">
        <v>26</v>
      </c>
      <c r="I10">
        <v>4511449166</v>
      </c>
      <c r="J10" t="s">
        <v>30</v>
      </c>
      <c r="K10" t="s">
        <v>50</v>
      </c>
      <c r="L10" s="7">
        <v>2</v>
      </c>
    </row>
    <row r="11" spans="1:12" x14ac:dyDescent="0.35">
      <c r="A11" t="s">
        <v>27</v>
      </c>
      <c r="B11">
        <v>746375</v>
      </c>
      <c r="C11" t="s">
        <v>249</v>
      </c>
      <c r="D11" t="s">
        <v>111</v>
      </c>
      <c r="E11" t="s">
        <v>411</v>
      </c>
      <c r="F11" t="s">
        <v>250</v>
      </c>
      <c r="G11" t="s">
        <v>46</v>
      </c>
      <c r="H11" t="s">
        <v>26</v>
      </c>
      <c r="I11">
        <v>4511452985</v>
      </c>
      <c r="J11" t="s">
        <v>36</v>
      </c>
      <c r="K11" t="s">
        <v>136</v>
      </c>
      <c r="L11" s="7">
        <v>19</v>
      </c>
    </row>
    <row r="12" spans="1:12" x14ac:dyDescent="0.35">
      <c r="A12" t="s">
        <v>27</v>
      </c>
      <c r="B12">
        <v>777305</v>
      </c>
      <c r="C12" t="s">
        <v>338</v>
      </c>
      <c r="D12" t="s">
        <v>140</v>
      </c>
      <c r="E12" t="s">
        <v>413</v>
      </c>
      <c r="F12" t="s">
        <v>337</v>
      </c>
      <c r="G12" t="s">
        <v>38</v>
      </c>
      <c r="H12" t="s">
        <v>26</v>
      </c>
      <c r="I12">
        <v>5500022435</v>
      </c>
      <c r="J12" t="s">
        <v>30</v>
      </c>
      <c r="L12" s="7">
        <v>16</v>
      </c>
    </row>
    <row r="13" spans="1:12" x14ac:dyDescent="0.35">
      <c r="A13" t="s">
        <v>27</v>
      </c>
      <c r="B13">
        <v>787785</v>
      </c>
      <c r="C13" t="s">
        <v>346</v>
      </c>
      <c r="D13" t="s">
        <v>28</v>
      </c>
      <c r="E13" t="s">
        <v>422</v>
      </c>
      <c r="F13" t="s">
        <v>347</v>
      </c>
      <c r="G13" t="s">
        <v>421</v>
      </c>
      <c r="H13" t="s">
        <v>26</v>
      </c>
      <c r="I13">
        <v>4511445369</v>
      </c>
      <c r="J13" t="s">
        <v>30</v>
      </c>
      <c r="K13" t="s">
        <v>51</v>
      </c>
      <c r="L13" s="7">
        <v>12</v>
      </c>
    </row>
    <row r="14" spans="1:12" x14ac:dyDescent="0.35">
      <c r="A14" t="s">
        <v>27</v>
      </c>
      <c r="B14">
        <v>788247</v>
      </c>
      <c r="C14" t="s">
        <v>396</v>
      </c>
      <c r="D14" t="s">
        <v>28</v>
      </c>
      <c r="E14" t="s">
        <v>409</v>
      </c>
      <c r="F14" t="s">
        <v>397</v>
      </c>
      <c r="G14" t="s">
        <v>46</v>
      </c>
      <c r="H14" t="s">
        <v>26</v>
      </c>
      <c r="I14">
        <v>4511449929</v>
      </c>
      <c r="J14" t="s">
        <v>36</v>
      </c>
      <c r="K14" t="s">
        <v>136</v>
      </c>
      <c r="L14" s="7">
        <v>3</v>
      </c>
    </row>
    <row r="15" spans="1:12" x14ac:dyDescent="0.35">
      <c r="A15" t="s">
        <v>27</v>
      </c>
      <c r="B15">
        <v>788249</v>
      </c>
      <c r="C15" t="s">
        <v>398</v>
      </c>
      <c r="D15" t="s">
        <v>28</v>
      </c>
      <c r="E15" t="s">
        <v>409</v>
      </c>
      <c r="F15" t="s">
        <v>397</v>
      </c>
      <c r="G15" t="s">
        <v>46</v>
      </c>
      <c r="H15" t="s">
        <v>26</v>
      </c>
      <c r="I15">
        <v>4511449929</v>
      </c>
      <c r="J15" t="s">
        <v>36</v>
      </c>
      <c r="K15" t="s">
        <v>136</v>
      </c>
      <c r="L15" s="7">
        <v>3</v>
      </c>
    </row>
    <row r="16" spans="1:12" x14ac:dyDescent="0.35">
      <c r="A16" t="s">
        <v>27</v>
      </c>
      <c r="B16">
        <v>798917</v>
      </c>
      <c r="C16" t="s">
        <v>251</v>
      </c>
      <c r="D16" t="s">
        <v>28</v>
      </c>
      <c r="E16" t="s">
        <v>36</v>
      </c>
      <c r="F16" t="s">
        <v>250</v>
      </c>
      <c r="G16" t="s">
        <v>36</v>
      </c>
      <c r="H16" t="s">
        <v>36</v>
      </c>
      <c r="I16">
        <v>4511452985</v>
      </c>
      <c r="J16" t="s">
        <v>36</v>
      </c>
      <c r="K16" t="s">
        <v>136</v>
      </c>
      <c r="L16" s="7">
        <v>2</v>
      </c>
    </row>
    <row r="17" spans="1:12" x14ac:dyDescent="0.35">
      <c r="A17" t="s">
        <v>27</v>
      </c>
      <c r="B17">
        <v>801459</v>
      </c>
      <c r="C17" t="s">
        <v>293</v>
      </c>
      <c r="D17" t="s">
        <v>28</v>
      </c>
      <c r="E17" t="s">
        <v>423</v>
      </c>
      <c r="F17" t="s">
        <v>294</v>
      </c>
      <c r="G17" t="s">
        <v>46</v>
      </c>
      <c r="H17" t="s">
        <v>26</v>
      </c>
      <c r="I17">
        <v>4511444415</v>
      </c>
      <c r="J17" t="s">
        <v>30</v>
      </c>
      <c r="K17" t="s">
        <v>51</v>
      </c>
      <c r="L17" s="7">
        <v>1</v>
      </c>
    </row>
    <row r="18" spans="1:12" x14ac:dyDescent="0.35">
      <c r="A18" t="s">
        <v>27</v>
      </c>
      <c r="B18">
        <v>808835</v>
      </c>
      <c r="C18" t="s">
        <v>399</v>
      </c>
      <c r="D18" t="s">
        <v>400</v>
      </c>
      <c r="E18" t="s">
        <v>409</v>
      </c>
      <c r="F18" t="s">
        <v>397</v>
      </c>
      <c r="G18" t="s">
        <v>48</v>
      </c>
      <c r="H18" t="s">
        <v>26</v>
      </c>
      <c r="I18">
        <v>4511449929</v>
      </c>
      <c r="J18" t="s">
        <v>36</v>
      </c>
      <c r="K18" t="s">
        <v>136</v>
      </c>
      <c r="L18" s="7">
        <v>6</v>
      </c>
    </row>
    <row r="19" spans="1:12" x14ac:dyDescent="0.35">
      <c r="A19" t="s">
        <v>27</v>
      </c>
      <c r="B19">
        <v>821619</v>
      </c>
      <c r="C19" t="s">
        <v>201</v>
      </c>
      <c r="D19" t="s">
        <v>28</v>
      </c>
      <c r="E19" t="s">
        <v>429</v>
      </c>
      <c r="F19" t="s">
        <v>202</v>
      </c>
      <c r="G19" t="s">
        <v>47</v>
      </c>
      <c r="H19" t="s">
        <v>26</v>
      </c>
      <c r="I19">
        <v>4511453700</v>
      </c>
      <c r="J19" t="s">
        <v>36</v>
      </c>
      <c r="K19" t="s">
        <v>50</v>
      </c>
      <c r="L19" s="7">
        <v>4</v>
      </c>
    </row>
    <row r="20" spans="1:12" x14ac:dyDescent="0.35">
      <c r="A20" t="s">
        <v>27</v>
      </c>
      <c r="B20">
        <v>824529</v>
      </c>
      <c r="C20" t="s">
        <v>206</v>
      </c>
      <c r="D20" t="s">
        <v>28</v>
      </c>
      <c r="E20" t="s">
        <v>431</v>
      </c>
      <c r="F20" t="s">
        <v>207</v>
      </c>
      <c r="G20" t="s">
        <v>48</v>
      </c>
      <c r="H20" t="s">
        <v>26</v>
      </c>
      <c r="I20">
        <v>4511450578</v>
      </c>
      <c r="J20" t="s">
        <v>30</v>
      </c>
      <c r="K20" t="s">
        <v>110</v>
      </c>
      <c r="L20" s="7">
        <v>1</v>
      </c>
    </row>
    <row r="21" spans="1:12" x14ac:dyDescent="0.35">
      <c r="A21" t="s">
        <v>27</v>
      </c>
      <c r="B21">
        <v>829121</v>
      </c>
      <c r="C21" t="s">
        <v>267</v>
      </c>
      <c r="D21" t="s">
        <v>28</v>
      </c>
      <c r="E21" t="s">
        <v>433</v>
      </c>
      <c r="F21" t="s">
        <v>268</v>
      </c>
      <c r="G21" t="s">
        <v>46</v>
      </c>
      <c r="H21" t="s">
        <v>26</v>
      </c>
      <c r="I21">
        <v>4511451150</v>
      </c>
      <c r="J21" t="s">
        <v>36</v>
      </c>
      <c r="K21" t="s">
        <v>50</v>
      </c>
      <c r="L21" s="7">
        <v>5</v>
      </c>
    </row>
    <row r="22" spans="1:12" x14ac:dyDescent="0.35">
      <c r="A22" t="s">
        <v>27</v>
      </c>
      <c r="B22">
        <v>839395</v>
      </c>
      <c r="C22" t="s">
        <v>307</v>
      </c>
      <c r="D22" t="s">
        <v>28</v>
      </c>
      <c r="E22" t="s">
        <v>428</v>
      </c>
      <c r="F22" t="s">
        <v>308</v>
      </c>
      <c r="G22" t="s">
        <v>46</v>
      </c>
      <c r="H22" t="s">
        <v>26</v>
      </c>
      <c r="I22">
        <v>4511453633</v>
      </c>
      <c r="J22" t="s">
        <v>36</v>
      </c>
      <c r="K22" t="s">
        <v>110</v>
      </c>
      <c r="L22" s="7">
        <v>1</v>
      </c>
    </row>
    <row r="23" spans="1:12" x14ac:dyDescent="0.35">
      <c r="A23" t="s">
        <v>27</v>
      </c>
      <c r="B23">
        <v>841443</v>
      </c>
      <c r="C23" t="s">
        <v>291</v>
      </c>
      <c r="D23" t="s">
        <v>28</v>
      </c>
      <c r="E23" t="s">
        <v>423</v>
      </c>
      <c r="F23" t="s">
        <v>292</v>
      </c>
      <c r="G23" t="s">
        <v>46</v>
      </c>
      <c r="H23" t="s">
        <v>26</v>
      </c>
      <c r="I23">
        <v>4511443242</v>
      </c>
      <c r="J23" t="s">
        <v>30</v>
      </c>
      <c r="K23" t="s">
        <v>50</v>
      </c>
      <c r="L23" s="7">
        <v>1</v>
      </c>
    </row>
    <row r="24" spans="1:12" x14ac:dyDescent="0.35">
      <c r="A24" t="s">
        <v>27</v>
      </c>
      <c r="B24">
        <v>847099</v>
      </c>
      <c r="C24" t="s">
        <v>269</v>
      </c>
      <c r="D24" t="s">
        <v>28</v>
      </c>
      <c r="E24" t="s">
        <v>433</v>
      </c>
      <c r="F24" t="s">
        <v>268</v>
      </c>
      <c r="G24" t="s">
        <v>46</v>
      </c>
      <c r="H24" t="s">
        <v>26</v>
      </c>
      <c r="I24">
        <v>4511451150</v>
      </c>
      <c r="J24" t="s">
        <v>36</v>
      </c>
      <c r="K24" t="s">
        <v>50</v>
      </c>
      <c r="L24" s="7">
        <v>1</v>
      </c>
    </row>
    <row r="25" spans="1:12" x14ac:dyDescent="0.35">
      <c r="A25" t="s">
        <v>27</v>
      </c>
      <c r="B25">
        <v>851482</v>
      </c>
      <c r="C25" t="s">
        <v>219</v>
      </c>
      <c r="D25" t="s">
        <v>28</v>
      </c>
      <c r="E25" t="s">
        <v>430</v>
      </c>
      <c r="F25" t="s">
        <v>220</v>
      </c>
      <c r="G25" t="s">
        <v>109</v>
      </c>
      <c r="H25" t="s">
        <v>26</v>
      </c>
      <c r="I25">
        <v>4511452694</v>
      </c>
      <c r="J25" t="s">
        <v>36</v>
      </c>
      <c r="K25" t="s">
        <v>50</v>
      </c>
      <c r="L25" s="7">
        <v>1</v>
      </c>
    </row>
    <row r="26" spans="1:12" x14ac:dyDescent="0.35">
      <c r="A26" t="s">
        <v>27</v>
      </c>
      <c r="B26">
        <v>851911</v>
      </c>
      <c r="C26" t="s">
        <v>309</v>
      </c>
      <c r="D26" t="s">
        <v>28</v>
      </c>
      <c r="E26" t="s">
        <v>428</v>
      </c>
      <c r="F26" t="s">
        <v>308</v>
      </c>
      <c r="G26" t="s">
        <v>46</v>
      </c>
      <c r="H26" t="s">
        <v>26</v>
      </c>
      <c r="I26">
        <v>4511453633</v>
      </c>
      <c r="J26" t="s">
        <v>36</v>
      </c>
      <c r="K26" t="s">
        <v>110</v>
      </c>
      <c r="L26" s="7">
        <v>1</v>
      </c>
    </row>
    <row r="27" spans="1:12" x14ac:dyDescent="0.35">
      <c r="A27" t="s">
        <v>27</v>
      </c>
      <c r="B27">
        <v>865869</v>
      </c>
      <c r="C27" t="s">
        <v>297</v>
      </c>
      <c r="D27" t="s">
        <v>28</v>
      </c>
      <c r="E27" t="s">
        <v>423</v>
      </c>
      <c r="F27" t="s">
        <v>298</v>
      </c>
      <c r="G27" t="s">
        <v>46</v>
      </c>
      <c r="H27" t="s">
        <v>26</v>
      </c>
      <c r="I27">
        <v>4511440339</v>
      </c>
      <c r="J27" t="s">
        <v>36</v>
      </c>
      <c r="K27" t="s">
        <v>50</v>
      </c>
      <c r="L27" s="7">
        <v>1</v>
      </c>
    </row>
    <row r="28" spans="1:12" x14ac:dyDescent="0.35">
      <c r="A28" t="s">
        <v>27</v>
      </c>
      <c r="B28">
        <v>873674</v>
      </c>
      <c r="C28" t="s">
        <v>138</v>
      </c>
      <c r="D28" t="s">
        <v>28</v>
      </c>
      <c r="E28" t="s">
        <v>430</v>
      </c>
      <c r="F28" t="s">
        <v>220</v>
      </c>
      <c r="G28" t="s">
        <v>109</v>
      </c>
      <c r="H28" t="s">
        <v>26</v>
      </c>
      <c r="I28">
        <v>4511452694</v>
      </c>
      <c r="J28" t="s">
        <v>36</v>
      </c>
      <c r="K28" t="s">
        <v>50</v>
      </c>
      <c r="L28" s="7">
        <v>1</v>
      </c>
    </row>
    <row r="29" spans="1:12" x14ac:dyDescent="0.35">
      <c r="A29" t="s">
        <v>27</v>
      </c>
      <c r="B29">
        <v>876628</v>
      </c>
      <c r="C29" t="s">
        <v>317</v>
      </c>
      <c r="D29" t="s">
        <v>28</v>
      </c>
      <c r="E29" t="s">
        <v>417</v>
      </c>
      <c r="F29" t="s">
        <v>318</v>
      </c>
      <c r="G29" t="s">
        <v>46</v>
      </c>
      <c r="H29" t="s">
        <v>26</v>
      </c>
      <c r="I29">
        <v>4511449748</v>
      </c>
      <c r="J29" t="s">
        <v>36</v>
      </c>
      <c r="K29" t="s">
        <v>110</v>
      </c>
      <c r="L29" s="7">
        <v>4</v>
      </c>
    </row>
    <row r="30" spans="1:12" x14ac:dyDescent="0.35">
      <c r="A30" t="s">
        <v>27</v>
      </c>
      <c r="B30">
        <v>886062</v>
      </c>
      <c r="C30" t="s">
        <v>391</v>
      </c>
      <c r="D30" t="s">
        <v>28</v>
      </c>
      <c r="E30" t="s">
        <v>409</v>
      </c>
      <c r="F30" t="s">
        <v>392</v>
      </c>
      <c r="G30" t="s">
        <v>46</v>
      </c>
      <c r="H30" t="s">
        <v>26</v>
      </c>
      <c r="I30">
        <v>4511453005</v>
      </c>
      <c r="J30" t="s">
        <v>36</v>
      </c>
      <c r="K30" t="s">
        <v>110</v>
      </c>
      <c r="L30" s="7">
        <v>2</v>
      </c>
    </row>
    <row r="31" spans="1:12" x14ac:dyDescent="0.35">
      <c r="A31" t="s">
        <v>27</v>
      </c>
      <c r="B31">
        <v>70009568</v>
      </c>
      <c r="C31" t="s">
        <v>327</v>
      </c>
      <c r="D31" t="s">
        <v>28</v>
      </c>
      <c r="E31" t="s">
        <v>444</v>
      </c>
      <c r="F31" t="s">
        <v>328</v>
      </c>
      <c r="G31" t="s">
        <v>46</v>
      </c>
      <c r="H31" t="s">
        <v>26</v>
      </c>
      <c r="I31">
        <v>4511454100</v>
      </c>
      <c r="J31" t="s">
        <v>36</v>
      </c>
      <c r="K31" t="s">
        <v>136</v>
      </c>
      <c r="L31" s="7">
        <v>5</v>
      </c>
    </row>
    <row r="32" spans="1:12" x14ac:dyDescent="0.35">
      <c r="A32" t="s">
        <v>27</v>
      </c>
      <c r="B32">
        <v>70018803</v>
      </c>
      <c r="C32" t="s">
        <v>196</v>
      </c>
      <c r="D32" t="s">
        <v>28</v>
      </c>
      <c r="E32" t="s">
        <v>418</v>
      </c>
      <c r="F32" t="s">
        <v>197</v>
      </c>
      <c r="G32" t="s">
        <v>46</v>
      </c>
      <c r="H32" t="s">
        <v>26</v>
      </c>
      <c r="I32">
        <v>4511446588</v>
      </c>
      <c r="J32" t="s">
        <v>30</v>
      </c>
      <c r="K32" t="s">
        <v>50</v>
      </c>
      <c r="L32" s="7">
        <v>1</v>
      </c>
    </row>
    <row r="33" spans="1:12" x14ac:dyDescent="0.35">
      <c r="A33" t="s">
        <v>27</v>
      </c>
      <c r="B33">
        <v>70023194</v>
      </c>
      <c r="C33" t="s">
        <v>154</v>
      </c>
      <c r="D33" t="s">
        <v>28</v>
      </c>
      <c r="E33" t="s">
        <v>445</v>
      </c>
      <c r="F33" t="s">
        <v>155</v>
      </c>
      <c r="G33" t="s">
        <v>114</v>
      </c>
      <c r="H33" t="s">
        <v>26</v>
      </c>
      <c r="I33">
        <v>4511450196</v>
      </c>
      <c r="J33" t="s">
        <v>36</v>
      </c>
      <c r="K33" t="s">
        <v>51</v>
      </c>
      <c r="L33" s="7">
        <v>3</v>
      </c>
    </row>
    <row r="34" spans="1:12" x14ac:dyDescent="0.35">
      <c r="A34" t="s">
        <v>27</v>
      </c>
      <c r="B34">
        <v>70024795</v>
      </c>
      <c r="C34" t="s">
        <v>263</v>
      </c>
      <c r="D34" t="s">
        <v>28</v>
      </c>
      <c r="E34" t="s">
        <v>418</v>
      </c>
      <c r="F34" t="s">
        <v>264</v>
      </c>
      <c r="G34" t="s">
        <v>125</v>
      </c>
      <c r="H34" t="s">
        <v>26</v>
      </c>
      <c r="I34">
        <v>4511447045</v>
      </c>
      <c r="J34" t="s">
        <v>36</v>
      </c>
      <c r="K34" t="s">
        <v>110</v>
      </c>
      <c r="L34" s="7">
        <v>1</v>
      </c>
    </row>
    <row r="35" spans="1:12" x14ac:dyDescent="0.35">
      <c r="A35" t="s">
        <v>27</v>
      </c>
      <c r="B35">
        <v>70036719</v>
      </c>
      <c r="C35" t="s">
        <v>299</v>
      </c>
      <c r="D35" t="s">
        <v>28</v>
      </c>
      <c r="E35" t="s">
        <v>423</v>
      </c>
      <c r="F35" t="s">
        <v>298</v>
      </c>
      <c r="G35" t="s">
        <v>46</v>
      </c>
      <c r="H35" t="s">
        <v>26</v>
      </c>
      <c r="I35">
        <v>4511440339</v>
      </c>
      <c r="J35" t="s">
        <v>36</v>
      </c>
      <c r="K35" t="s">
        <v>50</v>
      </c>
      <c r="L35" s="7">
        <v>1</v>
      </c>
    </row>
    <row r="36" spans="1:12" x14ac:dyDescent="0.35">
      <c r="A36" t="s">
        <v>27</v>
      </c>
      <c r="B36">
        <v>70038101</v>
      </c>
      <c r="C36" t="s">
        <v>289</v>
      </c>
      <c r="D36" t="s">
        <v>28</v>
      </c>
      <c r="E36" t="s">
        <v>423</v>
      </c>
      <c r="F36" t="s">
        <v>290</v>
      </c>
      <c r="G36" t="s">
        <v>114</v>
      </c>
      <c r="H36" t="s">
        <v>26</v>
      </c>
      <c r="I36">
        <v>4511449558</v>
      </c>
      <c r="J36" t="s">
        <v>36</v>
      </c>
      <c r="K36" t="s">
        <v>110</v>
      </c>
      <c r="L36" s="7">
        <v>2</v>
      </c>
    </row>
    <row r="37" spans="1:12" x14ac:dyDescent="0.35">
      <c r="A37" t="s">
        <v>27</v>
      </c>
      <c r="B37">
        <v>70039345</v>
      </c>
      <c r="C37" t="s">
        <v>188</v>
      </c>
      <c r="D37" t="s">
        <v>28</v>
      </c>
      <c r="E37" t="s">
        <v>446</v>
      </c>
      <c r="F37" t="s">
        <v>189</v>
      </c>
      <c r="G37" t="s">
        <v>114</v>
      </c>
      <c r="H37" t="s">
        <v>26</v>
      </c>
      <c r="I37">
        <v>4511449466</v>
      </c>
      <c r="J37" t="s">
        <v>36</v>
      </c>
      <c r="K37" t="s">
        <v>110</v>
      </c>
      <c r="L37" s="7">
        <v>10</v>
      </c>
    </row>
    <row r="38" spans="1:12" x14ac:dyDescent="0.35">
      <c r="A38" t="s">
        <v>27</v>
      </c>
      <c r="B38">
        <v>70043835</v>
      </c>
      <c r="C38" t="s">
        <v>329</v>
      </c>
      <c r="D38" t="s">
        <v>28</v>
      </c>
      <c r="E38" t="s">
        <v>444</v>
      </c>
      <c r="F38" t="s">
        <v>328</v>
      </c>
      <c r="G38" t="s">
        <v>109</v>
      </c>
      <c r="H38" t="s">
        <v>26</v>
      </c>
      <c r="I38">
        <v>4511454100</v>
      </c>
      <c r="J38" t="s">
        <v>36</v>
      </c>
      <c r="K38" t="s">
        <v>136</v>
      </c>
      <c r="L38" s="7">
        <v>20</v>
      </c>
    </row>
    <row r="39" spans="1:12" x14ac:dyDescent="0.35">
      <c r="A39" t="s">
        <v>27</v>
      </c>
      <c r="B39">
        <v>70043836</v>
      </c>
      <c r="C39" t="s">
        <v>330</v>
      </c>
      <c r="D39" t="s">
        <v>28</v>
      </c>
      <c r="E39" t="s">
        <v>444</v>
      </c>
      <c r="F39" t="s">
        <v>328</v>
      </c>
      <c r="G39" t="s">
        <v>109</v>
      </c>
      <c r="H39" t="s">
        <v>26</v>
      </c>
      <c r="I39">
        <v>4511454100</v>
      </c>
      <c r="J39" t="s">
        <v>36</v>
      </c>
      <c r="K39" t="s">
        <v>136</v>
      </c>
      <c r="L39" s="7">
        <v>20</v>
      </c>
    </row>
    <row r="40" spans="1:12" x14ac:dyDescent="0.35">
      <c r="A40" t="s">
        <v>27</v>
      </c>
      <c r="B40">
        <v>70043837</v>
      </c>
      <c r="C40" t="s">
        <v>331</v>
      </c>
      <c r="D40" t="s">
        <v>28</v>
      </c>
      <c r="E40" t="s">
        <v>444</v>
      </c>
      <c r="F40" t="s">
        <v>328</v>
      </c>
      <c r="G40" t="s">
        <v>109</v>
      </c>
      <c r="H40" t="s">
        <v>26</v>
      </c>
      <c r="I40">
        <v>4511454100</v>
      </c>
      <c r="J40" t="s">
        <v>36</v>
      </c>
      <c r="K40" t="s">
        <v>136</v>
      </c>
      <c r="L40" s="7">
        <v>20</v>
      </c>
    </row>
    <row r="41" spans="1:12" x14ac:dyDescent="0.35">
      <c r="A41" t="s">
        <v>27</v>
      </c>
      <c r="B41">
        <v>70046281</v>
      </c>
      <c r="C41" t="s">
        <v>247</v>
      </c>
      <c r="D41" t="s">
        <v>28</v>
      </c>
      <c r="E41" t="s">
        <v>36</v>
      </c>
      <c r="F41" t="s">
        <v>248</v>
      </c>
      <c r="G41" t="s">
        <v>36</v>
      </c>
      <c r="H41" t="s">
        <v>36</v>
      </c>
      <c r="I41">
        <v>4511453188</v>
      </c>
      <c r="J41" t="s">
        <v>36</v>
      </c>
      <c r="K41" t="s">
        <v>136</v>
      </c>
      <c r="L41" s="7">
        <v>200</v>
      </c>
    </row>
    <row r="42" spans="1:12" x14ac:dyDescent="0.35">
      <c r="A42" t="s">
        <v>27</v>
      </c>
      <c r="B42">
        <v>70046281</v>
      </c>
      <c r="C42" t="s">
        <v>247</v>
      </c>
      <c r="D42" t="s">
        <v>28</v>
      </c>
      <c r="E42" t="s">
        <v>411</v>
      </c>
      <c r="F42" t="s">
        <v>248</v>
      </c>
      <c r="G42" t="s">
        <v>124</v>
      </c>
      <c r="H42" t="s">
        <v>26</v>
      </c>
      <c r="I42">
        <v>4511453188</v>
      </c>
      <c r="J42" t="s">
        <v>36</v>
      </c>
      <c r="K42" t="s">
        <v>136</v>
      </c>
      <c r="L42" s="7">
        <v>66</v>
      </c>
    </row>
    <row r="43" spans="1:12" x14ac:dyDescent="0.35">
      <c r="A43" t="s">
        <v>27</v>
      </c>
      <c r="B43">
        <v>70046281</v>
      </c>
      <c r="C43" t="s">
        <v>247</v>
      </c>
      <c r="D43" t="s">
        <v>28</v>
      </c>
      <c r="E43" t="s">
        <v>411</v>
      </c>
      <c r="F43" t="s">
        <v>248</v>
      </c>
      <c r="G43" t="s">
        <v>448</v>
      </c>
      <c r="H43" t="s">
        <v>26</v>
      </c>
      <c r="I43">
        <v>4511453188</v>
      </c>
      <c r="J43" t="s">
        <v>36</v>
      </c>
      <c r="K43" t="s">
        <v>136</v>
      </c>
      <c r="L43" s="7">
        <v>225</v>
      </c>
    </row>
    <row r="44" spans="1:12" x14ac:dyDescent="0.35">
      <c r="A44" t="s">
        <v>27</v>
      </c>
      <c r="B44">
        <v>70046835</v>
      </c>
      <c r="C44" t="s">
        <v>351</v>
      </c>
      <c r="D44" t="s">
        <v>28</v>
      </c>
      <c r="E44" t="s">
        <v>422</v>
      </c>
      <c r="F44" t="s">
        <v>352</v>
      </c>
      <c r="G44" t="s">
        <v>116</v>
      </c>
      <c r="H44" t="s">
        <v>26</v>
      </c>
      <c r="I44">
        <v>4511444238</v>
      </c>
      <c r="J44" t="s">
        <v>36</v>
      </c>
      <c r="K44" t="s">
        <v>50</v>
      </c>
      <c r="L44" s="7">
        <v>2</v>
      </c>
    </row>
    <row r="45" spans="1:12" x14ac:dyDescent="0.35">
      <c r="A45" t="s">
        <v>27</v>
      </c>
      <c r="B45">
        <v>70047981</v>
      </c>
      <c r="C45" t="s">
        <v>252</v>
      </c>
      <c r="D45" t="s">
        <v>28</v>
      </c>
      <c r="E45" t="s">
        <v>36</v>
      </c>
      <c r="F45" t="s">
        <v>250</v>
      </c>
      <c r="G45" t="s">
        <v>36</v>
      </c>
      <c r="H45" t="s">
        <v>36</v>
      </c>
      <c r="I45">
        <v>4511452985</v>
      </c>
      <c r="J45" t="s">
        <v>36</v>
      </c>
      <c r="K45" t="s">
        <v>136</v>
      </c>
      <c r="L45" s="7">
        <v>30</v>
      </c>
    </row>
    <row r="46" spans="1:12" x14ac:dyDescent="0.35">
      <c r="A46" t="s">
        <v>27</v>
      </c>
      <c r="B46">
        <v>70063140</v>
      </c>
      <c r="C46" t="s">
        <v>156</v>
      </c>
      <c r="D46" t="s">
        <v>28</v>
      </c>
      <c r="E46" t="s">
        <v>445</v>
      </c>
      <c r="F46" t="s">
        <v>155</v>
      </c>
      <c r="G46" t="s">
        <v>114</v>
      </c>
      <c r="H46" t="s">
        <v>26</v>
      </c>
      <c r="I46">
        <v>4511450196</v>
      </c>
      <c r="J46" t="s">
        <v>36</v>
      </c>
      <c r="K46" t="s">
        <v>51</v>
      </c>
      <c r="L46" s="7">
        <v>3</v>
      </c>
    </row>
    <row r="47" spans="1:12" x14ac:dyDescent="0.35">
      <c r="A47" t="s">
        <v>27</v>
      </c>
      <c r="B47">
        <v>70069183</v>
      </c>
      <c r="C47" t="s">
        <v>339</v>
      </c>
      <c r="D47" t="s">
        <v>28</v>
      </c>
      <c r="E47" t="s">
        <v>413</v>
      </c>
      <c r="F47" t="s">
        <v>337</v>
      </c>
      <c r="G47" t="s">
        <v>38</v>
      </c>
      <c r="H47" t="s">
        <v>26</v>
      </c>
      <c r="I47">
        <v>5500022435</v>
      </c>
      <c r="J47" t="s">
        <v>30</v>
      </c>
      <c r="L47" s="7">
        <v>36</v>
      </c>
    </row>
    <row r="48" spans="1:12" x14ac:dyDescent="0.35">
      <c r="A48" t="s">
        <v>27</v>
      </c>
      <c r="B48">
        <v>70100392</v>
      </c>
      <c r="C48" t="s">
        <v>300</v>
      </c>
      <c r="D48" t="s">
        <v>28</v>
      </c>
      <c r="E48" t="s">
        <v>453</v>
      </c>
      <c r="F48" t="s">
        <v>151</v>
      </c>
      <c r="G48" t="s">
        <v>38</v>
      </c>
      <c r="H48" t="s">
        <v>26</v>
      </c>
      <c r="I48">
        <v>5500024093</v>
      </c>
      <c r="J48" t="s">
        <v>30</v>
      </c>
      <c r="L48" s="7">
        <v>300</v>
      </c>
    </row>
    <row r="49" spans="1:12" x14ac:dyDescent="0.35">
      <c r="A49" t="s">
        <v>27</v>
      </c>
      <c r="B49">
        <v>70100900</v>
      </c>
      <c r="C49" t="s">
        <v>379</v>
      </c>
      <c r="D49" t="s">
        <v>28</v>
      </c>
      <c r="E49" t="s">
        <v>454</v>
      </c>
      <c r="F49" t="s">
        <v>380</v>
      </c>
      <c r="G49" t="s">
        <v>109</v>
      </c>
      <c r="H49" t="s">
        <v>26</v>
      </c>
      <c r="I49">
        <v>4511452531</v>
      </c>
      <c r="J49" t="s">
        <v>36</v>
      </c>
      <c r="K49" t="s">
        <v>110</v>
      </c>
      <c r="L49" s="7">
        <v>4</v>
      </c>
    </row>
    <row r="50" spans="1:12" x14ac:dyDescent="0.35">
      <c r="A50" t="s">
        <v>27</v>
      </c>
      <c r="B50">
        <v>70101756</v>
      </c>
      <c r="C50" t="s">
        <v>214</v>
      </c>
      <c r="D50" t="s">
        <v>28</v>
      </c>
      <c r="E50" t="s">
        <v>36</v>
      </c>
      <c r="F50" t="s">
        <v>215</v>
      </c>
      <c r="G50" t="s">
        <v>36</v>
      </c>
      <c r="H50" t="s">
        <v>36</v>
      </c>
      <c r="I50">
        <v>4511402103</v>
      </c>
      <c r="J50" t="s">
        <v>36</v>
      </c>
      <c r="K50" t="s">
        <v>50</v>
      </c>
      <c r="L50" s="7">
        <v>1</v>
      </c>
    </row>
    <row r="51" spans="1:12" x14ac:dyDescent="0.35">
      <c r="A51" t="s">
        <v>27</v>
      </c>
      <c r="B51">
        <v>70106622</v>
      </c>
      <c r="C51" t="s">
        <v>295</v>
      </c>
      <c r="D51" t="s">
        <v>28</v>
      </c>
      <c r="E51" t="s">
        <v>423</v>
      </c>
      <c r="F51" t="s">
        <v>294</v>
      </c>
      <c r="G51" t="s">
        <v>127</v>
      </c>
      <c r="H51" t="s">
        <v>26</v>
      </c>
      <c r="I51">
        <v>4511444415</v>
      </c>
      <c r="J51" t="s">
        <v>30</v>
      </c>
      <c r="K51" t="s">
        <v>51</v>
      </c>
      <c r="L51" s="7">
        <v>1</v>
      </c>
    </row>
    <row r="52" spans="1:12" x14ac:dyDescent="0.35">
      <c r="A52" t="s">
        <v>27</v>
      </c>
      <c r="B52">
        <v>70106624</v>
      </c>
      <c r="C52" t="s">
        <v>296</v>
      </c>
      <c r="D52" t="s">
        <v>28</v>
      </c>
      <c r="E52" t="s">
        <v>423</v>
      </c>
      <c r="F52" t="s">
        <v>294</v>
      </c>
      <c r="G52" t="s">
        <v>455</v>
      </c>
      <c r="H52" t="s">
        <v>26</v>
      </c>
      <c r="I52">
        <v>4511444415</v>
      </c>
      <c r="J52" t="s">
        <v>30</v>
      </c>
      <c r="K52" t="s">
        <v>51</v>
      </c>
      <c r="L52" s="7">
        <v>1</v>
      </c>
    </row>
    <row r="53" spans="1:12" x14ac:dyDescent="0.35">
      <c r="A53" t="s">
        <v>27</v>
      </c>
      <c r="B53">
        <v>70110202</v>
      </c>
      <c r="C53" t="s">
        <v>310</v>
      </c>
      <c r="D53" t="s">
        <v>28</v>
      </c>
      <c r="E53" t="s">
        <v>428</v>
      </c>
      <c r="F53" t="s">
        <v>308</v>
      </c>
      <c r="G53" t="s">
        <v>116</v>
      </c>
      <c r="H53" t="s">
        <v>26</v>
      </c>
      <c r="I53">
        <v>4511453633</v>
      </c>
      <c r="J53" t="s">
        <v>36</v>
      </c>
      <c r="K53" t="s">
        <v>110</v>
      </c>
      <c r="L53" s="7">
        <v>3</v>
      </c>
    </row>
    <row r="54" spans="1:12" x14ac:dyDescent="0.35">
      <c r="A54" t="s">
        <v>27</v>
      </c>
      <c r="B54">
        <v>70112244</v>
      </c>
      <c r="C54" t="s">
        <v>270</v>
      </c>
      <c r="D54" t="s">
        <v>28</v>
      </c>
      <c r="E54" t="s">
        <v>456</v>
      </c>
      <c r="F54" t="s">
        <v>271</v>
      </c>
      <c r="G54" t="s">
        <v>46</v>
      </c>
      <c r="H54" t="s">
        <v>26</v>
      </c>
      <c r="I54">
        <v>4511451694</v>
      </c>
      <c r="J54" t="s">
        <v>36</v>
      </c>
      <c r="K54" t="s">
        <v>50</v>
      </c>
      <c r="L54" s="7">
        <v>2</v>
      </c>
    </row>
    <row r="55" spans="1:12" x14ac:dyDescent="0.35">
      <c r="A55" t="s">
        <v>27</v>
      </c>
      <c r="B55">
        <v>70112941</v>
      </c>
      <c r="C55" t="s">
        <v>311</v>
      </c>
      <c r="D55" t="s">
        <v>28</v>
      </c>
      <c r="E55" t="s">
        <v>428</v>
      </c>
      <c r="F55" t="s">
        <v>308</v>
      </c>
      <c r="G55" t="s">
        <v>116</v>
      </c>
      <c r="H55" t="s">
        <v>26</v>
      </c>
      <c r="I55">
        <v>4511453633</v>
      </c>
      <c r="J55" t="s">
        <v>36</v>
      </c>
      <c r="K55" t="s">
        <v>110</v>
      </c>
      <c r="L55" s="7">
        <v>2</v>
      </c>
    </row>
    <row r="56" spans="1:12" x14ac:dyDescent="0.35">
      <c r="A56" t="s">
        <v>27</v>
      </c>
      <c r="B56">
        <v>70113145</v>
      </c>
      <c r="C56" t="s">
        <v>272</v>
      </c>
      <c r="D56" t="s">
        <v>28</v>
      </c>
      <c r="E56" t="s">
        <v>456</v>
      </c>
      <c r="F56" t="s">
        <v>271</v>
      </c>
      <c r="G56" t="s">
        <v>109</v>
      </c>
      <c r="H56" t="s">
        <v>26</v>
      </c>
      <c r="I56">
        <v>4511451694</v>
      </c>
      <c r="J56" t="s">
        <v>36</v>
      </c>
      <c r="K56" t="s">
        <v>50</v>
      </c>
      <c r="L56" s="7">
        <v>12</v>
      </c>
    </row>
    <row r="57" spans="1:12" x14ac:dyDescent="0.35">
      <c r="A57" t="s">
        <v>27</v>
      </c>
      <c r="B57" t="s">
        <v>381</v>
      </c>
      <c r="C57" t="s">
        <v>382</v>
      </c>
      <c r="D57" t="s">
        <v>28</v>
      </c>
      <c r="E57" t="s">
        <v>454</v>
      </c>
      <c r="F57" t="s">
        <v>380</v>
      </c>
      <c r="G57" t="s">
        <v>118</v>
      </c>
      <c r="H57" t="s">
        <v>26</v>
      </c>
      <c r="I57">
        <v>4511452531</v>
      </c>
      <c r="J57" t="s">
        <v>36</v>
      </c>
      <c r="K57" t="s">
        <v>110</v>
      </c>
      <c r="L57" s="7">
        <v>2</v>
      </c>
    </row>
    <row r="58" spans="1:12" x14ac:dyDescent="0.35">
      <c r="A58" t="s">
        <v>57</v>
      </c>
      <c r="B58">
        <v>709198</v>
      </c>
      <c r="C58" t="s">
        <v>230</v>
      </c>
      <c r="D58" t="s">
        <v>28</v>
      </c>
      <c r="E58" t="s">
        <v>410</v>
      </c>
      <c r="F58" t="s">
        <v>231</v>
      </c>
      <c r="G58" t="s">
        <v>160</v>
      </c>
      <c r="H58" t="s">
        <v>26</v>
      </c>
      <c r="I58">
        <v>4511452645</v>
      </c>
      <c r="J58" t="s">
        <v>36</v>
      </c>
      <c r="K58" t="s">
        <v>50</v>
      </c>
      <c r="L58" s="7">
        <v>1</v>
      </c>
    </row>
    <row r="59" spans="1:12" x14ac:dyDescent="0.35">
      <c r="A59" t="s">
        <v>57</v>
      </c>
      <c r="B59">
        <v>715272</v>
      </c>
      <c r="C59" t="s">
        <v>232</v>
      </c>
      <c r="D59" t="s">
        <v>28</v>
      </c>
      <c r="E59" t="s">
        <v>411</v>
      </c>
      <c r="F59" t="s">
        <v>233</v>
      </c>
      <c r="G59" t="s">
        <v>115</v>
      </c>
      <c r="H59" t="s">
        <v>26</v>
      </c>
      <c r="I59">
        <v>4511452995</v>
      </c>
      <c r="J59" t="s">
        <v>30</v>
      </c>
      <c r="K59" t="s">
        <v>136</v>
      </c>
      <c r="L59" s="7">
        <v>200</v>
      </c>
    </row>
    <row r="60" spans="1:12" x14ac:dyDescent="0.35">
      <c r="A60" t="s">
        <v>57</v>
      </c>
      <c r="B60">
        <v>735893</v>
      </c>
      <c r="C60" t="s">
        <v>240</v>
      </c>
      <c r="D60" t="s">
        <v>147</v>
      </c>
      <c r="E60" t="s">
        <v>411</v>
      </c>
      <c r="F60" t="s">
        <v>241</v>
      </c>
      <c r="G60" t="s">
        <v>161</v>
      </c>
      <c r="H60" t="s">
        <v>26</v>
      </c>
      <c r="I60">
        <v>4511453109</v>
      </c>
      <c r="J60" t="s">
        <v>36</v>
      </c>
      <c r="K60" t="s">
        <v>110</v>
      </c>
      <c r="L60" s="7">
        <v>7</v>
      </c>
    </row>
    <row r="61" spans="1:12" x14ac:dyDescent="0.35">
      <c r="A61" t="s">
        <v>57</v>
      </c>
      <c r="B61">
        <v>752729</v>
      </c>
      <c r="C61" t="s">
        <v>146</v>
      </c>
      <c r="D61" t="s">
        <v>28</v>
      </c>
      <c r="E61" t="s">
        <v>411</v>
      </c>
      <c r="F61" t="s">
        <v>235</v>
      </c>
      <c r="G61" t="s">
        <v>159</v>
      </c>
      <c r="H61" t="s">
        <v>26</v>
      </c>
      <c r="I61">
        <v>4511453094</v>
      </c>
      <c r="J61" t="s">
        <v>36</v>
      </c>
      <c r="K61" t="s">
        <v>136</v>
      </c>
      <c r="L61" s="7">
        <v>22</v>
      </c>
    </row>
    <row r="62" spans="1:12" x14ac:dyDescent="0.35">
      <c r="A62" t="s">
        <v>57</v>
      </c>
      <c r="B62">
        <v>798919</v>
      </c>
      <c r="C62" t="s">
        <v>236</v>
      </c>
      <c r="D62" t="s">
        <v>28</v>
      </c>
      <c r="E62" t="s">
        <v>411</v>
      </c>
      <c r="F62" t="s">
        <v>235</v>
      </c>
      <c r="G62" t="s">
        <v>159</v>
      </c>
      <c r="H62" t="s">
        <v>26</v>
      </c>
      <c r="I62">
        <v>4511453094</v>
      </c>
      <c r="J62" t="s">
        <v>36</v>
      </c>
      <c r="K62" t="s">
        <v>136</v>
      </c>
      <c r="L62" s="7">
        <v>16</v>
      </c>
    </row>
    <row r="63" spans="1:12" x14ac:dyDescent="0.35">
      <c r="A63" t="s">
        <v>57</v>
      </c>
      <c r="B63">
        <v>809718</v>
      </c>
      <c r="C63" t="s">
        <v>259</v>
      </c>
      <c r="D63" t="s">
        <v>28</v>
      </c>
      <c r="E63" t="s">
        <v>418</v>
      </c>
      <c r="F63" t="s">
        <v>260</v>
      </c>
      <c r="G63" t="s">
        <v>161</v>
      </c>
      <c r="H63" t="s">
        <v>26</v>
      </c>
      <c r="I63">
        <v>4511453661</v>
      </c>
      <c r="J63" t="s">
        <v>36</v>
      </c>
      <c r="K63" t="s">
        <v>110</v>
      </c>
      <c r="L63" s="7">
        <v>1</v>
      </c>
    </row>
    <row r="64" spans="1:12" x14ac:dyDescent="0.35">
      <c r="A64" t="s">
        <v>57</v>
      </c>
      <c r="B64">
        <v>814041</v>
      </c>
      <c r="C64" t="s">
        <v>312</v>
      </c>
      <c r="D64" t="s">
        <v>28</v>
      </c>
      <c r="E64" t="s">
        <v>428</v>
      </c>
      <c r="F64" t="s">
        <v>313</v>
      </c>
      <c r="G64" t="s">
        <v>161</v>
      </c>
      <c r="H64" t="s">
        <v>26</v>
      </c>
      <c r="I64">
        <v>4511454062</v>
      </c>
      <c r="J64" t="s">
        <v>36</v>
      </c>
      <c r="K64" t="s">
        <v>110</v>
      </c>
      <c r="L64" s="7">
        <v>4</v>
      </c>
    </row>
    <row r="65" spans="1:12" x14ac:dyDescent="0.35">
      <c r="A65" t="s">
        <v>57</v>
      </c>
      <c r="B65">
        <v>814788</v>
      </c>
      <c r="C65" t="s">
        <v>237</v>
      </c>
      <c r="D65" t="s">
        <v>28</v>
      </c>
      <c r="E65" t="s">
        <v>411</v>
      </c>
      <c r="F65" t="s">
        <v>235</v>
      </c>
      <c r="G65" t="s">
        <v>124</v>
      </c>
      <c r="H65" t="s">
        <v>26</v>
      </c>
      <c r="I65">
        <v>4511453094</v>
      </c>
      <c r="J65" t="s">
        <v>36</v>
      </c>
      <c r="K65" t="s">
        <v>136</v>
      </c>
      <c r="L65" s="7">
        <v>48</v>
      </c>
    </row>
    <row r="66" spans="1:12" x14ac:dyDescent="0.35">
      <c r="A66" t="s">
        <v>57</v>
      </c>
      <c r="B66">
        <v>814917</v>
      </c>
      <c r="C66" t="s">
        <v>314</v>
      </c>
      <c r="D66" t="s">
        <v>28</v>
      </c>
      <c r="E66" t="s">
        <v>428</v>
      </c>
      <c r="F66" t="s">
        <v>313</v>
      </c>
      <c r="G66" t="s">
        <v>161</v>
      </c>
      <c r="H66" t="s">
        <v>26</v>
      </c>
      <c r="I66">
        <v>4511454062</v>
      </c>
      <c r="J66" t="s">
        <v>36</v>
      </c>
      <c r="K66" t="s">
        <v>110</v>
      </c>
      <c r="L66" s="7">
        <v>3</v>
      </c>
    </row>
    <row r="67" spans="1:12" x14ac:dyDescent="0.35">
      <c r="A67" t="s">
        <v>57</v>
      </c>
      <c r="B67">
        <v>828243</v>
      </c>
      <c r="C67" t="s">
        <v>238</v>
      </c>
      <c r="D67" t="s">
        <v>28</v>
      </c>
      <c r="E67" t="s">
        <v>411</v>
      </c>
      <c r="F67" t="s">
        <v>235</v>
      </c>
      <c r="G67" t="s">
        <v>124</v>
      </c>
      <c r="H67" t="s">
        <v>26</v>
      </c>
      <c r="I67">
        <v>4511453094</v>
      </c>
      <c r="J67" t="s">
        <v>36</v>
      </c>
      <c r="K67" t="s">
        <v>136</v>
      </c>
      <c r="L67" s="7">
        <v>8</v>
      </c>
    </row>
    <row r="68" spans="1:12" x14ac:dyDescent="0.35">
      <c r="A68" t="s">
        <v>57</v>
      </c>
      <c r="B68">
        <v>860091</v>
      </c>
      <c r="C68" t="s">
        <v>234</v>
      </c>
      <c r="D68" t="s">
        <v>28</v>
      </c>
      <c r="E68" t="s">
        <v>411</v>
      </c>
      <c r="F68" t="s">
        <v>233</v>
      </c>
      <c r="G68" t="s">
        <v>115</v>
      </c>
      <c r="H68" t="s">
        <v>26</v>
      </c>
      <c r="I68">
        <v>4511452995</v>
      </c>
      <c r="J68" t="s">
        <v>30</v>
      </c>
      <c r="K68" t="s">
        <v>136</v>
      </c>
      <c r="L68" s="7">
        <v>15</v>
      </c>
    </row>
    <row r="69" spans="1:12" x14ac:dyDescent="0.35">
      <c r="A69" t="s">
        <v>57</v>
      </c>
      <c r="B69">
        <v>868245</v>
      </c>
      <c r="C69" t="s">
        <v>141</v>
      </c>
      <c r="D69" t="s">
        <v>28</v>
      </c>
      <c r="E69" t="s">
        <v>418</v>
      </c>
      <c r="F69" t="s">
        <v>195</v>
      </c>
      <c r="G69" t="s">
        <v>115</v>
      </c>
      <c r="H69" t="s">
        <v>26</v>
      </c>
      <c r="I69">
        <v>4511448883</v>
      </c>
      <c r="J69" t="s">
        <v>30</v>
      </c>
      <c r="K69" t="s">
        <v>136</v>
      </c>
      <c r="L69" s="7">
        <v>7</v>
      </c>
    </row>
    <row r="70" spans="1:12" x14ac:dyDescent="0.35">
      <c r="A70" t="s">
        <v>57</v>
      </c>
      <c r="B70">
        <v>882698</v>
      </c>
      <c r="C70" t="s">
        <v>210</v>
      </c>
      <c r="D70" t="s">
        <v>28</v>
      </c>
      <c r="E70" t="s">
        <v>435</v>
      </c>
      <c r="F70" t="s">
        <v>211</v>
      </c>
      <c r="G70" t="s">
        <v>115</v>
      </c>
      <c r="H70" t="s">
        <v>26</v>
      </c>
      <c r="I70">
        <v>4511443458</v>
      </c>
      <c r="J70" t="s">
        <v>30</v>
      </c>
      <c r="K70" t="s">
        <v>51</v>
      </c>
      <c r="L70" s="7">
        <v>26</v>
      </c>
    </row>
    <row r="71" spans="1:12" x14ac:dyDescent="0.35">
      <c r="A71" t="s">
        <v>57</v>
      </c>
      <c r="B71">
        <v>70019402</v>
      </c>
      <c r="C71" t="s">
        <v>193</v>
      </c>
      <c r="D71" t="s">
        <v>28</v>
      </c>
      <c r="E71" t="s">
        <v>36</v>
      </c>
      <c r="F71" t="s">
        <v>194</v>
      </c>
      <c r="G71" t="s">
        <v>36</v>
      </c>
      <c r="H71" t="s">
        <v>36</v>
      </c>
      <c r="I71">
        <v>4511448912</v>
      </c>
      <c r="J71" t="s">
        <v>36</v>
      </c>
      <c r="K71" t="s">
        <v>51</v>
      </c>
      <c r="L71" s="7">
        <v>3</v>
      </c>
    </row>
    <row r="72" spans="1:12" x14ac:dyDescent="0.35">
      <c r="A72" t="s">
        <v>57</v>
      </c>
      <c r="B72">
        <v>70045866</v>
      </c>
      <c r="C72" t="s">
        <v>166</v>
      </c>
      <c r="D72" t="s">
        <v>28</v>
      </c>
      <c r="E72" t="s">
        <v>36</v>
      </c>
      <c r="F72" t="s">
        <v>167</v>
      </c>
      <c r="G72" t="s">
        <v>36</v>
      </c>
      <c r="H72" t="s">
        <v>36</v>
      </c>
      <c r="I72">
        <v>4511451624</v>
      </c>
      <c r="J72" t="s">
        <v>36</v>
      </c>
      <c r="K72" t="s">
        <v>136</v>
      </c>
      <c r="L72" s="7">
        <v>1</v>
      </c>
    </row>
    <row r="73" spans="1:12" x14ac:dyDescent="0.35">
      <c r="A73" t="s">
        <v>57</v>
      </c>
      <c r="B73">
        <v>70062788</v>
      </c>
      <c r="C73" t="s">
        <v>239</v>
      </c>
      <c r="D73" t="s">
        <v>28</v>
      </c>
      <c r="E73" t="s">
        <v>36</v>
      </c>
      <c r="F73" t="s">
        <v>235</v>
      </c>
      <c r="G73" t="s">
        <v>36</v>
      </c>
      <c r="H73" t="s">
        <v>36</v>
      </c>
      <c r="I73">
        <v>4511453094</v>
      </c>
      <c r="J73" t="s">
        <v>36</v>
      </c>
      <c r="K73" t="s">
        <v>136</v>
      </c>
      <c r="L73" s="7">
        <v>1</v>
      </c>
    </row>
    <row r="74" spans="1:12" x14ac:dyDescent="0.35">
      <c r="A74" t="s">
        <v>57</v>
      </c>
      <c r="B74">
        <v>70062793</v>
      </c>
      <c r="C74" t="s">
        <v>304</v>
      </c>
      <c r="D74" t="s">
        <v>28</v>
      </c>
      <c r="E74" t="s">
        <v>449</v>
      </c>
      <c r="F74" t="s">
        <v>305</v>
      </c>
      <c r="G74" t="s">
        <v>124</v>
      </c>
      <c r="H74" t="s">
        <v>26</v>
      </c>
      <c r="I74">
        <v>4511451200</v>
      </c>
      <c r="J74" t="s">
        <v>36</v>
      </c>
      <c r="K74" t="s">
        <v>110</v>
      </c>
      <c r="L74" s="7">
        <v>2</v>
      </c>
    </row>
    <row r="75" spans="1:12" x14ac:dyDescent="0.35">
      <c r="A75" t="s">
        <v>57</v>
      </c>
      <c r="B75">
        <v>70062793</v>
      </c>
      <c r="C75" t="s">
        <v>304</v>
      </c>
      <c r="D75" t="s">
        <v>28</v>
      </c>
      <c r="E75" t="s">
        <v>449</v>
      </c>
      <c r="F75" t="s">
        <v>305</v>
      </c>
      <c r="G75" t="s">
        <v>159</v>
      </c>
      <c r="H75" t="s">
        <v>26</v>
      </c>
      <c r="I75">
        <v>4511451200</v>
      </c>
      <c r="J75" t="s">
        <v>36</v>
      </c>
      <c r="K75" t="s">
        <v>110</v>
      </c>
      <c r="L75" s="7">
        <v>1</v>
      </c>
    </row>
    <row r="76" spans="1:12" x14ac:dyDescent="0.35">
      <c r="A76" t="s">
        <v>57</v>
      </c>
      <c r="B76">
        <v>70084360</v>
      </c>
      <c r="C76" t="s">
        <v>324</v>
      </c>
      <c r="D76" t="s">
        <v>112</v>
      </c>
      <c r="E76" t="s">
        <v>417</v>
      </c>
      <c r="F76" t="s">
        <v>325</v>
      </c>
      <c r="G76" t="s">
        <v>161</v>
      </c>
      <c r="H76" t="s">
        <v>26</v>
      </c>
      <c r="I76">
        <v>4511455815</v>
      </c>
      <c r="J76" t="s">
        <v>36</v>
      </c>
      <c r="K76" t="s">
        <v>110</v>
      </c>
      <c r="L76" s="7">
        <v>200</v>
      </c>
    </row>
    <row r="77" spans="1:12" x14ac:dyDescent="0.35">
      <c r="A77" t="s">
        <v>57</v>
      </c>
      <c r="B77">
        <v>70111491</v>
      </c>
      <c r="C77" t="s">
        <v>208</v>
      </c>
      <c r="D77" t="s">
        <v>28</v>
      </c>
      <c r="E77" t="s">
        <v>435</v>
      </c>
      <c r="F77" t="s">
        <v>209</v>
      </c>
      <c r="G77" t="s">
        <v>162</v>
      </c>
      <c r="H77" t="s">
        <v>26</v>
      </c>
      <c r="I77">
        <v>4511444068</v>
      </c>
      <c r="J77" t="s">
        <v>36</v>
      </c>
      <c r="K77" t="s">
        <v>50</v>
      </c>
      <c r="L77" s="7">
        <v>1</v>
      </c>
    </row>
    <row r="78" spans="1:12" x14ac:dyDescent="0.35">
      <c r="A78" t="s">
        <v>41</v>
      </c>
      <c r="B78">
        <v>709179</v>
      </c>
      <c r="C78" t="s">
        <v>386</v>
      </c>
      <c r="D78" t="s">
        <v>28</v>
      </c>
      <c r="E78" t="s">
        <v>409</v>
      </c>
      <c r="F78" t="s">
        <v>387</v>
      </c>
      <c r="G78" t="s">
        <v>123</v>
      </c>
      <c r="H78" t="s">
        <v>26</v>
      </c>
      <c r="I78">
        <v>4511456426</v>
      </c>
      <c r="J78" t="s">
        <v>36</v>
      </c>
      <c r="K78" t="s">
        <v>110</v>
      </c>
      <c r="L78" s="7">
        <v>200</v>
      </c>
    </row>
    <row r="79" spans="1:12" x14ac:dyDescent="0.35">
      <c r="A79" t="s">
        <v>41</v>
      </c>
      <c r="B79">
        <v>722283</v>
      </c>
      <c r="C79" t="s">
        <v>130</v>
      </c>
      <c r="D79" t="s">
        <v>131</v>
      </c>
      <c r="E79" t="s">
        <v>416</v>
      </c>
      <c r="F79" t="s">
        <v>216</v>
      </c>
      <c r="G79" t="s">
        <v>38</v>
      </c>
      <c r="H79" t="s">
        <v>26</v>
      </c>
      <c r="I79">
        <v>5500022126</v>
      </c>
      <c r="J79" t="s">
        <v>30</v>
      </c>
      <c r="L79" s="7">
        <v>260</v>
      </c>
    </row>
    <row r="80" spans="1:12" x14ac:dyDescent="0.35">
      <c r="A80" t="s">
        <v>41</v>
      </c>
      <c r="B80">
        <v>722284</v>
      </c>
      <c r="C80" t="s">
        <v>221</v>
      </c>
      <c r="D80" t="s">
        <v>112</v>
      </c>
      <c r="E80" t="s">
        <v>416</v>
      </c>
      <c r="F80" t="s">
        <v>222</v>
      </c>
      <c r="G80" t="s">
        <v>38</v>
      </c>
      <c r="H80" t="s">
        <v>26</v>
      </c>
      <c r="I80">
        <v>5500022126</v>
      </c>
      <c r="J80" t="s">
        <v>30</v>
      </c>
      <c r="L80" s="7">
        <v>0</v>
      </c>
    </row>
    <row r="81" spans="1:12" x14ac:dyDescent="0.35">
      <c r="A81" t="s">
        <v>41</v>
      </c>
      <c r="B81">
        <v>722284</v>
      </c>
      <c r="C81" t="s">
        <v>221</v>
      </c>
      <c r="D81" t="s">
        <v>112</v>
      </c>
      <c r="E81" t="s">
        <v>416</v>
      </c>
      <c r="F81" t="s">
        <v>222</v>
      </c>
      <c r="G81" t="s">
        <v>123</v>
      </c>
      <c r="H81" t="s">
        <v>26</v>
      </c>
      <c r="I81">
        <v>4511454650</v>
      </c>
      <c r="J81" t="s">
        <v>30</v>
      </c>
      <c r="K81" t="s">
        <v>51</v>
      </c>
      <c r="L81" s="7">
        <v>220</v>
      </c>
    </row>
    <row r="82" spans="1:12" x14ac:dyDescent="0.35">
      <c r="A82" t="s">
        <v>41</v>
      </c>
      <c r="B82">
        <v>723754</v>
      </c>
      <c r="C82" t="s">
        <v>144</v>
      </c>
      <c r="D82" t="s">
        <v>111</v>
      </c>
      <c r="E82" t="s">
        <v>411</v>
      </c>
      <c r="F82" t="s">
        <v>244</v>
      </c>
      <c r="G82" t="s">
        <v>123</v>
      </c>
      <c r="H82" t="s">
        <v>26</v>
      </c>
      <c r="I82">
        <v>4511452987</v>
      </c>
      <c r="J82" t="s">
        <v>30</v>
      </c>
      <c r="K82" t="s">
        <v>136</v>
      </c>
      <c r="L82" s="7">
        <v>10</v>
      </c>
    </row>
    <row r="83" spans="1:12" x14ac:dyDescent="0.35">
      <c r="A83" t="s">
        <v>41</v>
      </c>
      <c r="B83">
        <v>735893</v>
      </c>
      <c r="C83" t="s">
        <v>240</v>
      </c>
      <c r="D83" t="s">
        <v>147</v>
      </c>
      <c r="E83" t="s">
        <v>411</v>
      </c>
      <c r="F83" t="s">
        <v>246</v>
      </c>
      <c r="G83" t="s">
        <v>123</v>
      </c>
      <c r="H83" t="s">
        <v>26</v>
      </c>
      <c r="I83">
        <v>4511453105</v>
      </c>
      <c r="J83" t="s">
        <v>36</v>
      </c>
      <c r="K83" t="s">
        <v>110</v>
      </c>
      <c r="L83" s="7">
        <v>11</v>
      </c>
    </row>
    <row r="84" spans="1:12" x14ac:dyDescent="0.35">
      <c r="A84" t="s">
        <v>41</v>
      </c>
      <c r="B84">
        <v>736439</v>
      </c>
      <c r="C84" t="s">
        <v>150</v>
      </c>
      <c r="D84" t="s">
        <v>28</v>
      </c>
      <c r="E84" t="s">
        <v>409</v>
      </c>
      <c r="F84" t="s">
        <v>401</v>
      </c>
      <c r="G84" t="s">
        <v>123</v>
      </c>
      <c r="H84" t="s">
        <v>26</v>
      </c>
      <c r="I84">
        <v>4511453612</v>
      </c>
      <c r="J84" t="s">
        <v>36</v>
      </c>
      <c r="K84" t="s">
        <v>110</v>
      </c>
      <c r="L84" s="7">
        <v>4</v>
      </c>
    </row>
    <row r="85" spans="1:12" x14ac:dyDescent="0.35">
      <c r="A85" t="s">
        <v>41</v>
      </c>
      <c r="B85">
        <v>744011</v>
      </c>
      <c r="C85" t="s">
        <v>212</v>
      </c>
      <c r="D85" t="s">
        <v>28</v>
      </c>
      <c r="E85" t="s">
        <v>420</v>
      </c>
      <c r="F85" t="s">
        <v>213</v>
      </c>
      <c r="G85" t="s">
        <v>419</v>
      </c>
      <c r="H85" t="s">
        <v>26</v>
      </c>
      <c r="I85">
        <v>4511449944</v>
      </c>
      <c r="J85" t="s">
        <v>30</v>
      </c>
      <c r="K85" t="s">
        <v>50</v>
      </c>
      <c r="L85" s="7">
        <v>4</v>
      </c>
    </row>
    <row r="86" spans="1:12" x14ac:dyDescent="0.35">
      <c r="A86" t="s">
        <v>41</v>
      </c>
      <c r="B86">
        <v>750393</v>
      </c>
      <c r="C86" t="s">
        <v>142</v>
      </c>
      <c r="D86" t="s">
        <v>126</v>
      </c>
      <c r="E86" t="s">
        <v>413</v>
      </c>
      <c r="F86" t="s">
        <v>306</v>
      </c>
      <c r="G86" t="s">
        <v>113</v>
      </c>
      <c r="H86" t="s">
        <v>26</v>
      </c>
      <c r="I86">
        <v>4511448169</v>
      </c>
      <c r="J86" t="s">
        <v>30</v>
      </c>
      <c r="K86" t="s">
        <v>110</v>
      </c>
      <c r="L86" s="7">
        <v>8</v>
      </c>
    </row>
    <row r="87" spans="1:12" x14ac:dyDescent="0.35">
      <c r="A87" t="s">
        <v>41</v>
      </c>
      <c r="B87">
        <v>766049</v>
      </c>
      <c r="C87" t="s">
        <v>407</v>
      </c>
      <c r="D87" t="s">
        <v>28</v>
      </c>
      <c r="E87" t="s">
        <v>409</v>
      </c>
      <c r="F87" t="s">
        <v>408</v>
      </c>
      <c r="G87" t="s">
        <v>108</v>
      </c>
      <c r="H87" t="s">
        <v>26</v>
      </c>
      <c r="I87">
        <v>4511448855</v>
      </c>
      <c r="J87" t="s">
        <v>36</v>
      </c>
      <c r="K87" t="s">
        <v>110</v>
      </c>
      <c r="L87" s="7">
        <v>1</v>
      </c>
    </row>
    <row r="88" spans="1:12" x14ac:dyDescent="0.35">
      <c r="A88" t="s">
        <v>41</v>
      </c>
      <c r="B88">
        <v>773993</v>
      </c>
      <c r="C88" t="s">
        <v>332</v>
      </c>
      <c r="D88" t="s">
        <v>112</v>
      </c>
      <c r="E88" t="s">
        <v>417</v>
      </c>
      <c r="F88" t="s">
        <v>333</v>
      </c>
      <c r="G88" t="s">
        <v>124</v>
      </c>
      <c r="H88" t="s">
        <v>26</v>
      </c>
      <c r="I88">
        <v>4511453238</v>
      </c>
      <c r="J88" t="s">
        <v>36</v>
      </c>
      <c r="K88" t="s">
        <v>110</v>
      </c>
      <c r="L88" s="7">
        <v>144</v>
      </c>
    </row>
    <row r="89" spans="1:12" x14ac:dyDescent="0.35">
      <c r="A89" t="s">
        <v>41</v>
      </c>
      <c r="B89">
        <v>776850</v>
      </c>
      <c r="C89" t="s">
        <v>143</v>
      </c>
      <c r="D89" t="s">
        <v>28</v>
      </c>
      <c r="E89" t="s">
        <v>409</v>
      </c>
      <c r="F89" t="s">
        <v>393</v>
      </c>
      <c r="G89" t="s">
        <v>43</v>
      </c>
      <c r="H89" t="s">
        <v>26</v>
      </c>
      <c r="I89">
        <v>4511453003</v>
      </c>
      <c r="J89" t="s">
        <v>36</v>
      </c>
      <c r="K89" t="s">
        <v>110</v>
      </c>
      <c r="L89" s="7">
        <v>2</v>
      </c>
    </row>
    <row r="90" spans="1:12" x14ac:dyDescent="0.35">
      <c r="A90" t="s">
        <v>41</v>
      </c>
      <c r="B90">
        <v>777305</v>
      </c>
      <c r="C90" t="s">
        <v>338</v>
      </c>
      <c r="D90" t="s">
        <v>140</v>
      </c>
      <c r="E90" t="s">
        <v>413</v>
      </c>
      <c r="F90" t="s">
        <v>383</v>
      </c>
      <c r="G90" t="s">
        <v>38</v>
      </c>
      <c r="H90" t="s">
        <v>26</v>
      </c>
      <c r="I90">
        <v>5500022436</v>
      </c>
      <c r="J90" t="s">
        <v>30</v>
      </c>
      <c r="L90" s="7">
        <v>15</v>
      </c>
    </row>
    <row r="91" spans="1:12" x14ac:dyDescent="0.35">
      <c r="A91" t="s">
        <v>41</v>
      </c>
      <c r="B91">
        <v>805227</v>
      </c>
      <c r="C91" t="s">
        <v>340</v>
      </c>
      <c r="D91" t="s">
        <v>28</v>
      </c>
      <c r="E91" t="s">
        <v>424</v>
      </c>
      <c r="F91" t="s">
        <v>341</v>
      </c>
      <c r="G91" t="s">
        <v>108</v>
      </c>
      <c r="H91" t="s">
        <v>26</v>
      </c>
      <c r="I91">
        <v>4511447267</v>
      </c>
      <c r="J91" t="s">
        <v>36</v>
      </c>
      <c r="K91" t="s">
        <v>110</v>
      </c>
      <c r="L91" s="7">
        <v>8</v>
      </c>
    </row>
    <row r="92" spans="1:12" x14ac:dyDescent="0.35">
      <c r="A92" t="s">
        <v>41</v>
      </c>
      <c r="B92">
        <v>805229</v>
      </c>
      <c r="C92" t="s">
        <v>342</v>
      </c>
      <c r="D92" t="s">
        <v>28</v>
      </c>
      <c r="E92" t="s">
        <v>424</v>
      </c>
      <c r="F92" t="s">
        <v>341</v>
      </c>
      <c r="G92" t="s">
        <v>108</v>
      </c>
      <c r="H92" t="s">
        <v>26</v>
      </c>
      <c r="I92">
        <v>4511447267</v>
      </c>
      <c r="J92" t="s">
        <v>36</v>
      </c>
      <c r="K92" t="s">
        <v>110</v>
      </c>
      <c r="L92" s="7">
        <v>5</v>
      </c>
    </row>
    <row r="93" spans="1:12" x14ac:dyDescent="0.35">
      <c r="A93" t="s">
        <v>41</v>
      </c>
      <c r="B93">
        <v>805229</v>
      </c>
      <c r="C93" t="s">
        <v>342</v>
      </c>
      <c r="D93" t="s">
        <v>28</v>
      </c>
      <c r="E93" t="s">
        <v>424</v>
      </c>
      <c r="F93" t="s">
        <v>354</v>
      </c>
      <c r="G93" t="s">
        <v>123</v>
      </c>
      <c r="H93" t="s">
        <v>26</v>
      </c>
      <c r="I93">
        <v>4511451029</v>
      </c>
      <c r="J93" t="s">
        <v>36</v>
      </c>
      <c r="K93" t="s">
        <v>110</v>
      </c>
      <c r="L93" s="7">
        <v>2</v>
      </c>
    </row>
    <row r="94" spans="1:12" x14ac:dyDescent="0.35">
      <c r="A94" t="s">
        <v>41</v>
      </c>
      <c r="B94">
        <v>805274</v>
      </c>
      <c r="C94" t="s">
        <v>343</v>
      </c>
      <c r="D94" t="s">
        <v>28</v>
      </c>
      <c r="E94" t="s">
        <v>424</v>
      </c>
      <c r="F94" t="s">
        <v>341</v>
      </c>
      <c r="G94" t="s">
        <v>108</v>
      </c>
      <c r="H94" t="s">
        <v>26</v>
      </c>
      <c r="I94">
        <v>4511447267</v>
      </c>
      <c r="J94" t="s">
        <v>36</v>
      </c>
      <c r="K94" t="s">
        <v>110</v>
      </c>
      <c r="L94" s="7">
        <v>2</v>
      </c>
    </row>
    <row r="95" spans="1:12" x14ac:dyDescent="0.35">
      <c r="A95" t="s">
        <v>41</v>
      </c>
      <c r="B95">
        <v>805382</v>
      </c>
      <c r="C95" t="s">
        <v>344</v>
      </c>
      <c r="D95" t="s">
        <v>28</v>
      </c>
      <c r="E95" t="s">
        <v>424</v>
      </c>
      <c r="F95" t="s">
        <v>341</v>
      </c>
      <c r="G95" t="s">
        <v>108</v>
      </c>
      <c r="H95" t="s">
        <v>26</v>
      </c>
      <c r="I95">
        <v>4511447267</v>
      </c>
      <c r="J95" t="s">
        <v>36</v>
      </c>
      <c r="K95" t="s">
        <v>110</v>
      </c>
      <c r="L95" s="7">
        <v>2</v>
      </c>
    </row>
    <row r="96" spans="1:12" x14ac:dyDescent="0.35">
      <c r="A96" t="s">
        <v>41</v>
      </c>
      <c r="B96">
        <v>806149</v>
      </c>
      <c r="C96" t="s">
        <v>273</v>
      </c>
      <c r="D96" t="s">
        <v>28</v>
      </c>
      <c r="E96" t="s">
        <v>425</v>
      </c>
      <c r="F96" t="s">
        <v>274</v>
      </c>
      <c r="G96" t="s">
        <v>119</v>
      </c>
      <c r="H96" t="s">
        <v>26</v>
      </c>
      <c r="I96">
        <v>4511449573</v>
      </c>
      <c r="J96" t="s">
        <v>30</v>
      </c>
      <c r="K96" t="s">
        <v>50</v>
      </c>
      <c r="L96" s="7">
        <v>1</v>
      </c>
    </row>
    <row r="97" spans="1:12" x14ac:dyDescent="0.35">
      <c r="A97" t="s">
        <v>41</v>
      </c>
      <c r="B97">
        <v>806591</v>
      </c>
      <c r="C97" t="s">
        <v>388</v>
      </c>
      <c r="D97" t="s">
        <v>28</v>
      </c>
      <c r="E97" t="s">
        <v>409</v>
      </c>
      <c r="F97" t="s">
        <v>387</v>
      </c>
      <c r="G97" t="s">
        <v>123</v>
      </c>
      <c r="H97" t="s">
        <v>26</v>
      </c>
      <c r="I97">
        <v>4511456426</v>
      </c>
      <c r="J97" t="s">
        <v>36</v>
      </c>
      <c r="K97" t="s">
        <v>110</v>
      </c>
      <c r="L97" s="7">
        <v>300</v>
      </c>
    </row>
    <row r="98" spans="1:12" x14ac:dyDescent="0.35">
      <c r="A98" t="s">
        <v>41</v>
      </c>
      <c r="B98">
        <v>806591</v>
      </c>
      <c r="C98" t="s">
        <v>388</v>
      </c>
      <c r="D98" t="s">
        <v>28</v>
      </c>
      <c r="E98" t="s">
        <v>409</v>
      </c>
      <c r="F98" t="s">
        <v>390</v>
      </c>
      <c r="G98" t="s">
        <v>124</v>
      </c>
      <c r="H98" t="s">
        <v>26</v>
      </c>
      <c r="I98">
        <v>4511453208</v>
      </c>
      <c r="J98" t="s">
        <v>36</v>
      </c>
      <c r="K98" t="s">
        <v>110</v>
      </c>
      <c r="L98" s="7">
        <v>201</v>
      </c>
    </row>
    <row r="99" spans="1:12" x14ac:dyDescent="0.35">
      <c r="A99" t="s">
        <v>41</v>
      </c>
      <c r="B99">
        <v>807291</v>
      </c>
      <c r="C99" t="s">
        <v>345</v>
      </c>
      <c r="D99" t="s">
        <v>28</v>
      </c>
      <c r="E99" t="s">
        <v>424</v>
      </c>
      <c r="F99" t="s">
        <v>341</v>
      </c>
      <c r="G99" t="s">
        <v>108</v>
      </c>
      <c r="H99" t="s">
        <v>26</v>
      </c>
      <c r="I99">
        <v>4511447267</v>
      </c>
      <c r="J99" t="s">
        <v>36</v>
      </c>
      <c r="K99" t="s">
        <v>110</v>
      </c>
      <c r="L99" s="7">
        <v>1</v>
      </c>
    </row>
    <row r="100" spans="1:12" x14ac:dyDescent="0.35">
      <c r="A100" t="s">
        <v>41</v>
      </c>
      <c r="B100">
        <v>807801</v>
      </c>
      <c r="C100" t="s">
        <v>334</v>
      </c>
      <c r="D100" t="s">
        <v>28</v>
      </c>
      <c r="E100" t="s">
        <v>417</v>
      </c>
      <c r="F100" t="s">
        <v>335</v>
      </c>
      <c r="G100" t="s">
        <v>124</v>
      </c>
      <c r="H100" t="s">
        <v>26</v>
      </c>
      <c r="I100">
        <v>4511453581</v>
      </c>
      <c r="J100" t="s">
        <v>36</v>
      </c>
      <c r="K100" t="s">
        <v>110</v>
      </c>
      <c r="L100" s="7">
        <v>11</v>
      </c>
    </row>
    <row r="101" spans="1:12" x14ac:dyDescent="0.35">
      <c r="A101" t="s">
        <v>41</v>
      </c>
      <c r="B101">
        <v>811119</v>
      </c>
      <c r="C101" t="s">
        <v>228</v>
      </c>
      <c r="D101" t="s">
        <v>28</v>
      </c>
      <c r="E101" t="s">
        <v>426</v>
      </c>
      <c r="F101" t="s">
        <v>229</v>
      </c>
      <c r="G101" t="s">
        <v>43</v>
      </c>
      <c r="H101" t="s">
        <v>26</v>
      </c>
      <c r="I101">
        <v>4511431526</v>
      </c>
      <c r="J101" t="s">
        <v>30</v>
      </c>
      <c r="K101" t="s">
        <v>50</v>
      </c>
      <c r="L101" s="7">
        <v>1</v>
      </c>
    </row>
    <row r="102" spans="1:12" x14ac:dyDescent="0.35">
      <c r="A102" t="s">
        <v>41</v>
      </c>
      <c r="B102">
        <v>811217</v>
      </c>
      <c r="C102" t="s">
        <v>190</v>
      </c>
      <c r="D102" t="s">
        <v>28</v>
      </c>
      <c r="E102" t="s">
        <v>418</v>
      </c>
      <c r="F102" t="s">
        <v>191</v>
      </c>
      <c r="G102" t="s">
        <v>122</v>
      </c>
      <c r="H102" t="s">
        <v>26</v>
      </c>
      <c r="I102">
        <v>4511448911</v>
      </c>
      <c r="J102" t="s">
        <v>30</v>
      </c>
      <c r="K102" t="s">
        <v>51</v>
      </c>
      <c r="L102" s="7">
        <v>2</v>
      </c>
    </row>
    <row r="103" spans="1:12" x14ac:dyDescent="0.35">
      <c r="A103" t="s">
        <v>41</v>
      </c>
      <c r="B103">
        <v>811217</v>
      </c>
      <c r="C103" t="s">
        <v>190</v>
      </c>
      <c r="D103" t="s">
        <v>28</v>
      </c>
      <c r="E103" t="s">
        <v>418</v>
      </c>
      <c r="F103" t="s">
        <v>198</v>
      </c>
      <c r="G103" t="s">
        <v>108</v>
      </c>
      <c r="H103" t="s">
        <v>26</v>
      </c>
      <c r="I103">
        <v>4511445856</v>
      </c>
      <c r="J103" t="s">
        <v>36</v>
      </c>
      <c r="K103" t="s">
        <v>50</v>
      </c>
      <c r="L103" s="7">
        <v>1</v>
      </c>
    </row>
    <row r="104" spans="1:12" x14ac:dyDescent="0.35">
      <c r="A104" t="s">
        <v>41</v>
      </c>
      <c r="B104">
        <v>821158</v>
      </c>
      <c r="C104" t="s">
        <v>321</v>
      </c>
      <c r="D104" t="s">
        <v>28</v>
      </c>
      <c r="E104" t="s">
        <v>417</v>
      </c>
      <c r="F104" t="s">
        <v>322</v>
      </c>
      <c r="G104" t="s">
        <v>43</v>
      </c>
      <c r="H104" t="s">
        <v>26</v>
      </c>
      <c r="I104">
        <v>4511455813</v>
      </c>
      <c r="J104" t="s">
        <v>36</v>
      </c>
      <c r="K104" t="s">
        <v>110</v>
      </c>
      <c r="L104" s="7">
        <v>1</v>
      </c>
    </row>
    <row r="105" spans="1:12" x14ac:dyDescent="0.35">
      <c r="A105" t="s">
        <v>41</v>
      </c>
      <c r="B105">
        <v>823148</v>
      </c>
      <c r="C105" t="s">
        <v>275</v>
      </c>
      <c r="D105" t="s">
        <v>28</v>
      </c>
      <c r="E105" t="s">
        <v>430</v>
      </c>
      <c r="F105" t="s">
        <v>276</v>
      </c>
      <c r="G105" t="s">
        <v>108</v>
      </c>
      <c r="H105" t="s">
        <v>26</v>
      </c>
      <c r="I105">
        <v>4511452613</v>
      </c>
      <c r="J105" t="s">
        <v>36</v>
      </c>
      <c r="K105" t="s">
        <v>51</v>
      </c>
      <c r="L105" s="7">
        <v>12</v>
      </c>
    </row>
    <row r="106" spans="1:12" x14ac:dyDescent="0.35">
      <c r="A106" t="s">
        <v>41</v>
      </c>
      <c r="B106">
        <v>823148</v>
      </c>
      <c r="C106" t="s">
        <v>275</v>
      </c>
      <c r="D106" t="s">
        <v>28</v>
      </c>
      <c r="E106" t="s">
        <v>430</v>
      </c>
      <c r="F106" t="s">
        <v>276</v>
      </c>
      <c r="G106" t="s">
        <v>122</v>
      </c>
      <c r="H106" t="s">
        <v>26</v>
      </c>
      <c r="I106">
        <v>4511452613</v>
      </c>
      <c r="J106" t="s">
        <v>36</v>
      </c>
      <c r="K106" t="s">
        <v>51</v>
      </c>
      <c r="L106" s="7">
        <v>12</v>
      </c>
    </row>
    <row r="107" spans="1:12" x14ac:dyDescent="0.35">
      <c r="A107" t="s">
        <v>41</v>
      </c>
      <c r="B107">
        <v>824835</v>
      </c>
      <c r="C107" t="s">
        <v>168</v>
      </c>
      <c r="D107" t="s">
        <v>28</v>
      </c>
      <c r="E107" t="s">
        <v>410</v>
      </c>
      <c r="F107" t="s">
        <v>169</v>
      </c>
      <c r="G107" t="s">
        <v>158</v>
      </c>
      <c r="H107" t="s">
        <v>26</v>
      </c>
      <c r="I107">
        <v>4511450980</v>
      </c>
      <c r="J107" t="s">
        <v>36</v>
      </c>
      <c r="K107" t="s">
        <v>136</v>
      </c>
      <c r="L107" s="7">
        <v>1</v>
      </c>
    </row>
    <row r="108" spans="1:12" x14ac:dyDescent="0.35">
      <c r="A108" t="s">
        <v>41</v>
      </c>
      <c r="B108">
        <v>828243</v>
      </c>
      <c r="C108" t="s">
        <v>238</v>
      </c>
      <c r="D108" t="s">
        <v>28</v>
      </c>
      <c r="E108" t="s">
        <v>411</v>
      </c>
      <c r="F108" t="s">
        <v>242</v>
      </c>
      <c r="G108" t="s">
        <v>158</v>
      </c>
      <c r="H108" t="s">
        <v>26</v>
      </c>
      <c r="I108">
        <v>4511453097</v>
      </c>
      <c r="J108" t="s">
        <v>36</v>
      </c>
      <c r="K108" t="s">
        <v>136</v>
      </c>
      <c r="L108" s="7">
        <v>10</v>
      </c>
    </row>
    <row r="109" spans="1:12" x14ac:dyDescent="0.35">
      <c r="A109" t="s">
        <v>41</v>
      </c>
      <c r="B109">
        <v>829084</v>
      </c>
      <c r="C109" t="s">
        <v>152</v>
      </c>
      <c r="D109" t="s">
        <v>28</v>
      </c>
      <c r="E109" t="s">
        <v>432</v>
      </c>
      <c r="F109" t="s">
        <v>153</v>
      </c>
      <c r="G109" t="s">
        <v>139</v>
      </c>
      <c r="H109" t="s">
        <v>26</v>
      </c>
      <c r="I109">
        <v>4511454194</v>
      </c>
      <c r="J109" t="s">
        <v>36</v>
      </c>
      <c r="K109" t="s">
        <v>50</v>
      </c>
      <c r="L109" s="7">
        <v>15</v>
      </c>
    </row>
    <row r="110" spans="1:12" x14ac:dyDescent="0.35">
      <c r="A110" t="s">
        <v>41</v>
      </c>
      <c r="B110">
        <v>833106</v>
      </c>
      <c r="C110" t="s">
        <v>243</v>
      </c>
      <c r="D110" t="s">
        <v>28</v>
      </c>
      <c r="E110" t="s">
        <v>411</v>
      </c>
      <c r="F110" t="s">
        <v>242</v>
      </c>
      <c r="G110" t="s">
        <v>158</v>
      </c>
      <c r="H110" t="s">
        <v>26</v>
      </c>
      <c r="I110">
        <v>4511453097</v>
      </c>
      <c r="J110" t="s">
        <v>36</v>
      </c>
      <c r="K110" t="s">
        <v>136</v>
      </c>
      <c r="L110" s="7">
        <v>7</v>
      </c>
    </row>
    <row r="111" spans="1:12" x14ac:dyDescent="0.35">
      <c r="A111" t="s">
        <v>41</v>
      </c>
      <c r="B111">
        <v>836296</v>
      </c>
      <c r="C111" t="s">
        <v>255</v>
      </c>
      <c r="D111" t="s">
        <v>28</v>
      </c>
      <c r="E111" t="s">
        <v>434</v>
      </c>
      <c r="F111" t="s">
        <v>256</v>
      </c>
      <c r="G111" t="s">
        <v>43</v>
      </c>
      <c r="H111" t="s">
        <v>26</v>
      </c>
      <c r="I111">
        <v>4511443845</v>
      </c>
      <c r="J111" t="s">
        <v>36</v>
      </c>
      <c r="K111" t="s">
        <v>50</v>
      </c>
      <c r="L111" s="7">
        <v>2</v>
      </c>
    </row>
    <row r="112" spans="1:12" x14ac:dyDescent="0.35">
      <c r="A112" t="s">
        <v>41</v>
      </c>
      <c r="B112">
        <v>839498</v>
      </c>
      <c r="C112" t="s">
        <v>286</v>
      </c>
      <c r="D112" t="s">
        <v>28</v>
      </c>
      <c r="E112" t="s">
        <v>435</v>
      </c>
      <c r="F112" t="s">
        <v>287</v>
      </c>
      <c r="G112" t="s">
        <v>108</v>
      </c>
      <c r="H112" t="s">
        <v>26</v>
      </c>
      <c r="I112">
        <v>4511443457</v>
      </c>
      <c r="J112" t="s">
        <v>30</v>
      </c>
      <c r="K112" t="s">
        <v>51</v>
      </c>
      <c r="L112" s="7">
        <v>1</v>
      </c>
    </row>
    <row r="113" spans="1:12" x14ac:dyDescent="0.35">
      <c r="A113" t="s">
        <v>41</v>
      </c>
      <c r="B113">
        <v>840649</v>
      </c>
      <c r="C113" t="s">
        <v>355</v>
      </c>
      <c r="D113" t="s">
        <v>28</v>
      </c>
      <c r="E113" t="s">
        <v>424</v>
      </c>
      <c r="F113" t="s">
        <v>356</v>
      </c>
      <c r="G113" t="s">
        <v>108</v>
      </c>
      <c r="H113" t="s">
        <v>26</v>
      </c>
      <c r="I113">
        <v>4511448595</v>
      </c>
      <c r="J113" t="s">
        <v>36</v>
      </c>
      <c r="K113" t="s">
        <v>51</v>
      </c>
      <c r="L113" s="7">
        <v>3</v>
      </c>
    </row>
    <row r="114" spans="1:12" x14ac:dyDescent="0.35">
      <c r="A114" t="s">
        <v>41</v>
      </c>
      <c r="B114">
        <v>840681</v>
      </c>
      <c r="C114" t="s">
        <v>357</v>
      </c>
      <c r="D114" t="s">
        <v>28</v>
      </c>
      <c r="E114" t="s">
        <v>424</v>
      </c>
      <c r="F114" t="s">
        <v>356</v>
      </c>
      <c r="G114" t="s">
        <v>108</v>
      </c>
      <c r="H114" t="s">
        <v>26</v>
      </c>
      <c r="I114">
        <v>4511448595</v>
      </c>
      <c r="J114" t="s">
        <v>36</v>
      </c>
      <c r="K114" t="s">
        <v>51</v>
      </c>
      <c r="L114" s="7">
        <v>2</v>
      </c>
    </row>
    <row r="115" spans="1:12" x14ac:dyDescent="0.35">
      <c r="A115" t="s">
        <v>41</v>
      </c>
      <c r="B115">
        <v>840720</v>
      </c>
      <c r="C115" t="s">
        <v>360</v>
      </c>
      <c r="D115" t="s">
        <v>28</v>
      </c>
      <c r="E115" t="s">
        <v>424</v>
      </c>
      <c r="F115" t="s">
        <v>361</v>
      </c>
      <c r="G115" t="s">
        <v>108</v>
      </c>
      <c r="H115" t="s">
        <v>26</v>
      </c>
      <c r="I115">
        <v>4511445281</v>
      </c>
      <c r="J115" t="s">
        <v>36</v>
      </c>
      <c r="K115" t="s">
        <v>50</v>
      </c>
      <c r="L115" s="7">
        <v>1</v>
      </c>
    </row>
    <row r="116" spans="1:12" x14ac:dyDescent="0.35">
      <c r="A116" t="s">
        <v>41</v>
      </c>
      <c r="B116">
        <v>842520</v>
      </c>
      <c r="C116" t="s">
        <v>348</v>
      </c>
      <c r="D116" t="s">
        <v>28</v>
      </c>
      <c r="E116" t="s">
        <v>424</v>
      </c>
      <c r="F116" t="s">
        <v>349</v>
      </c>
      <c r="G116" t="s">
        <v>108</v>
      </c>
      <c r="H116" t="s">
        <v>26</v>
      </c>
      <c r="I116">
        <v>4511449170</v>
      </c>
      <c r="J116" t="s">
        <v>36</v>
      </c>
      <c r="K116" t="s">
        <v>51</v>
      </c>
      <c r="L116" s="7">
        <v>1</v>
      </c>
    </row>
    <row r="117" spans="1:12" x14ac:dyDescent="0.35">
      <c r="A117" t="s">
        <v>41</v>
      </c>
      <c r="B117">
        <v>842520</v>
      </c>
      <c r="C117" t="s">
        <v>348</v>
      </c>
      <c r="D117" t="s">
        <v>28</v>
      </c>
      <c r="E117" t="s">
        <v>424</v>
      </c>
      <c r="F117" t="s">
        <v>353</v>
      </c>
      <c r="G117" t="s">
        <v>108</v>
      </c>
      <c r="H117" t="s">
        <v>26</v>
      </c>
      <c r="I117">
        <v>4511449866</v>
      </c>
      <c r="J117" t="s">
        <v>36</v>
      </c>
      <c r="K117" t="s">
        <v>50</v>
      </c>
      <c r="L117" s="7">
        <v>1</v>
      </c>
    </row>
    <row r="118" spans="1:12" x14ac:dyDescent="0.35">
      <c r="A118" t="s">
        <v>41</v>
      </c>
      <c r="B118">
        <v>847424</v>
      </c>
      <c r="C118" t="s">
        <v>315</v>
      </c>
      <c r="D118" t="s">
        <v>28</v>
      </c>
      <c r="E118" t="s">
        <v>417</v>
      </c>
      <c r="F118" t="s">
        <v>316</v>
      </c>
      <c r="G118" t="s">
        <v>108</v>
      </c>
      <c r="H118" t="s">
        <v>26</v>
      </c>
      <c r="I118">
        <v>4511451251</v>
      </c>
      <c r="J118" t="s">
        <v>36</v>
      </c>
      <c r="K118" t="s">
        <v>110</v>
      </c>
      <c r="L118" s="7">
        <v>1</v>
      </c>
    </row>
    <row r="119" spans="1:12" x14ac:dyDescent="0.35">
      <c r="A119" t="s">
        <v>41</v>
      </c>
      <c r="B119">
        <v>862994</v>
      </c>
      <c r="C119" t="s">
        <v>217</v>
      </c>
      <c r="D119" t="s">
        <v>129</v>
      </c>
      <c r="E119" t="s">
        <v>440</v>
      </c>
      <c r="F119" t="s">
        <v>218</v>
      </c>
      <c r="G119" t="s">
        <v>123</v>
      </c>
      <c r="H119" t="s">
        <v>26</v>
      </c>
      <c r="I119">
        <v>4511453076</v>
      </c>
      <c r="J119" t="s">
        <v>36</v>
      </c>
      <c r="K119" t="s">
        <v>110</v>
      </c>
      <c r="L119" s="7">
        <v>4</v>
      </c>
    </row>
    <row r="120" spans="1:12" x14ac:dyDescent="0.35">
      <c r="A120" t="s">
        <v>41</v>
      </c>
      <c r="B120">
        <v>865749</v>
      </c>
      <c r="C120" t="s">
        <v>223</v>
      </c>
      <c r="D120" t="s">
        <v>28</v>
      </c>
      <c r="E120" t="s">
        <v>441</v>
      </c>
      <c r="F120" t="s">
        <v>224</v>
      </c>
      <c r="G120" t="s">
        <v>123</v>
      </c>
      <c r="H120" t="s">
        <v>26</v>
      </c>
      <c r="I120">
        <v>4511453220</v>
      </c>
      <c r="J120" t="s">
        <v>36</v>
      </c>
      <c r="K120" t="s">
        <v>50</v>
      </c>
      <c r="L120" s="7">
        <v>1</v>
      </c>
    </row>
    <row r="121" spans="1:12" x14ac:dyDescent="0.35">
      <c r="A121" t="s">
        <v>41</v>
      </c>
      <c r="B121">
        <v>865760</v>
      </c>
      <c r="C121" t="s">
        <v>225</v>
      </c>
      <c r="D121" t="s">
        <v>28</v>
      </c>
      <c r="E121" t="s">
        <v>441</v>
      </c>
      <c r="F121" t="s">
        <v>224</v>
      </c>
      <c r="G121" t="s">
        <v>123</v>
      </c>
      <c r="H121" t="s">
        <v>26</v>
      </c>
      <c r="I121">
        <v>4511453220</v>
      </c>
      <c r="J121" t="s">
        <v>36</v>
      </c>
      <c r="K121" t="s">
        <v>50</v>
      </c>
      <c r="L121" s="7">
        <v>1</v>
      </c>
    </row>
    <row r="122" spans="1:12" x14ac:dyDescent="0.35">
      <c r="A122" t="s">
        <v>41</v>
      </c>
      <c r="B122">
        <v>866025</v>
      </c>
      <c r="C122" t="s">
        <v>389</v>
      </c>
      <c r="D122" t="s">
        <v>28</v>
      </c>
      <c r="E122" t="s">
        <v>409</v>
      </c>
      <c r="F122" t="s">
        <v>387</v>
      </c>
      <c r="G122" t="s">
        <v>43</v>
      </c>
      <c r="H122" t="s">
        <v>26</v>
      </c>
      <c r="I122">
        <v>4511456426</v>
      </c>
      <c r="J122" t="s">
        <v>36</v>
      </c>
      <c r="K122" t="s">
        <v>110</v>
      </c>
      <c r="L122" s="7">
        <v>5</v>
      </c>
    </row>
    <row r="123" spans="1:12" x14ac:dyDescent="0.35">
      <c r="A123" t="s">
        <v>41</v>
      </c>
      <c r="B123">
        <v>866353</v>
      </c>
      <c r="C123" t="s">
        <v>199</v>
      </c>
      <c r="D123" t="s">
        <v>28</v>
      </c>
      <c r="E123" t="s">
        <v>429</v>
      </c>
      <c r="F123" t="s">
        <v>200</v>
      </c>
      <c r="G123" t="s">
        <v>123</v>
      </c>
      <c r="H123" t="s">
        <v>26</v>
      </c>
      <c r="I123">
        <v>4511453703</v>
      </c>
      <c r="J123" t="s">
        <v>36</v>
      </c>
      <c r="K123" t="s">
        <v>50</v>
      </c>
      <c r="L123" s="7">
        <v>1</v>
      </c>
    </row>
    <row r="124" spans="1:12" x14ac:dyDescent="0.35">
      <c r="A124" t="s">
        <v>41</v>
      </c>
      <c r="B124">
        <v>867867</v>
      </c>
      <c r="C124" t="s">
        <v>282</v>
      </c>
      <c r="D124" t="s">
        <v>28</v>
      </c>
      <c r="E124" t="s">
        <v>434</v>
      </c>
      <c r="F124" t="s">
        <v>283</v>
      </c>
      <c r="G124" t="s">
        <v>43</v>
      </c>
      <c r="H124" t="s">
        <v>26</v>
      </c>
      <c r="I124">
        <v>4511444102</v>
      </c>
      <c r="J124" t="s">
        <v>30</v>
      </c>
      <c r="K124" t="s">
        <v>50</v>
      </c>
      <c r="L124" s="7">
        <v>2</v>
      </c>
    </row>
    <row r="125" spans="1:12" x14ac:dyDescent="0.35">
      <c r="A125" t="s">
        <v>41</v>
      </c>
      <c r="B125">
        <v>867875</v>
      </c>
      <c r="C125" t="s">
        <v>358</v>
      </c>
      <c r="D125" t="s">
        <v>28</v>
      </c>
      <c r="E125" t="s">
        <v>424</v>
      </c>
      <c r="F125" t="s">
        <v>359</v>
      </c>
      <c r="G125" t="s">
        <v>108</v>
      </c>
      <c r="H125" t="s">
        <v>26</v>
      </c>
      <c r="I125">
        <v>4511444507</v>
      </c>
      <c r="J125" t="s">
        <v>30</v>
      </c>
      <c r="K125" t="s">
        <v>51</v>
      </c>
      <c r="L125" s="7">
        <v>4</v>
      </c>
    </row>
    <row r="126" spans="1:12" x14ac:dyDescent="0.35">
      <c r="A126" t="s">
        <v>41</v>
      </c>
      <c r="B126">
        <v>867875</v>
      </c>
      <c r="C126" t="s">
        <v>358</v>
      </c>
      <c r="D126" t="s">
        <v>28</v>
      </c>
      <c r="E126" t="s">
        <v>424</v>
      </c>
      <c r="F126" t="s">
        <v>361</v>
      </c>
      <c r="G126" t="s">
        <v>108</v>
      </c>
      <c r="H126" t="s">
        <v>26</v>
      </c>
      <c r="I126">
        <v>4511445281</v>
      </c>
      <c r="J126" t="s">
        <v>36</v>
      </c>
      <c r="K126" t="s">
        <v>50</v>
      </c>
      <c r="L126" s="7">
        <v>2</v>
      </c>
    </row>
    <row r="127" spans="1:12" x14ac:dyDescent="0.35">
      <c r="A127" t="s">
        <v>41</v>
      </c>
      <c r="B127">
        <v>869012</v>
      </c>
      <c r="C127" t="s">
        <v>173</v>
      </c>
      <c r="D127" t="s">
        <v>28</v>
      </c>
      <c r="E127" t="s">
        <v>442</v>
      </c>
      <c r="F127" t="s">
        <v>174</v>
      </c>
      <c r="G127" t="s">
        <v>108</v>
      </c>
      <c r="H127" t="s">
        <v>26</v>
      </c>
      <c r="I127">
        <v>4511449945</v>
      </c>
      <c r="J127" t="s">
        <v>30</v>
      </c>
      <c r="K127" t="s">
        <v>50</v>
      </c>
      <c r="L127" s="7">
        <v>1</v>
      </c>
    </row>
    <row r="128" spans="1:12" x14ac:dyDescent="0.35">
      <c r="A128" t="s">
        <v>41</v>
      </c>
      <c r="B128">
        <v>869012</v>
      </c>
      <c r="C128" t="s">
        <v>173</v>
      </c>
      <c r="D128" t="s">
        <v>28</v>
      </c>
      <c r="E128" t="s">
        <v>442</v>
      </c>
      <c r="F128" t="s">
        <v>174</v>
      </c>
      <c r="G128" t="s">
        <v>124</v>
      </c>
      <c r="H128" t="s">
        <v>26</v>
      </c>
      <c r="I128">
        <v>4511449945</v>
      </c>
      <c r="J128" t="s">
        <v>30</v>
      </c>
      <c r="K128" t="s">
        <v>50</v>
      </c>
      <c r="L128" s="7">
        <v>1</v>
      </c>
    </row>
    <row r="129" spans="1:12" x14ac:dyDescent="0.35">
      <c r="A129" t="s">
        <v>41</v>
      </c>
      <c r="B129">
        <v>871742</v>
      </c>
      <c r="C129" t="s">
        <v>364</v>
      </c>
      <c r="D129" t="s">
        <v>28</v>
      </c>
      <c r="E129" t="s">
        <v>436</v>
      </c>
      <c r="F129" t="s">
        <v>365</v>
      </c>
      <c r="G129" t="s">
        <v>108</v>
      </c>
      <c r="H129" t="s">
        <v>26</v>
      </c>
      <c r="I129">
        <v>4511443949</v>
      </c>
      <c r="J129" t="s">
        <v>30</v>
      </c>
      <c r="K129" t="s">
        <v>51</v>
      </c>
      <c r="L129" s="7">
        <v>10</v>
      </c>
    </row>
    <row r="130" spans="1:12" x14ac:dyDescent="0.35">
      <c r="A130" t="s">
        <v>41</v>
      </c>
      <c r="B130">
        <v>878996</v>
      </c>
      <c r="C130" t="s">
        <v>284</v>
      </c>
      <c r="D130" t="s">
        <v>28</v>
      </c>
      <c r="E130" t="s">
        <v>434</v>
      </c>
      <c r="F130" t="s">
        <v>285</v>
      </c>
      <c r="G130" t="s">
        <v>123</v>
      </c>
      <c r="H130" t="s">
        <v>26</v>
      </c>
      <c r="I130">
        <v>4511450608</v>
      </c>
      <c r="J130" t="s">
        <v>30</v>
      </c>
      <c r="K130" t="s">
        <v>50</v>
      </c>
      <c r="L130" s="7">
        <v>1</v>
      </c>
    </row>
    <row r="131" spans="1:12" x14ac:dyDescent="0.35">
      <c r="A131" t="s">
        <v>41</v>
      </c>
      <c r="B131">
        <v>879925</v>
      </c>
      <c r="C131" t="s">
        <v>265</v>
      </c>
      <c r="D131" t="s">
        <v>28</v>
      </c>
      <c r="E131" t="s">
        <v>434</v>
      </c>
      <c r="F131" t="s">
        <v>266</v>
      </c>
      <c r="G131" t="s">
        <v>108</v>
      </c>
      <c r="H131" t="s">
        <v>26</v>
      </c>
      <c r="I131">
        <v>4511445560</v>
      </c>
      <c r="J131" t="s">
        <v>30</v>
      </c>
      <c r="K131" t="s">
        <v>51</v>
      </c>
      <c r="L131" s="7">
        <v>18</v>
      </c>
    </row>
    <row r="132" spans="1:12" x14ac:dyDescent="0.35">
      <c r="A132" t="s">
        <v>41</v>
      </c>
      <c r="B132">
        <v>880929</v>
      </c>
      <c r="C132" t="s">
        <v>277</v>
      </c>
      <c r="D132" t="s">
        <v>28</v>
      </c>
      <c r="E132" t="s">
        <v>443</v>
      </c>
      <c r="F132" t="s">
        <v>149</v>
      </c>
      <c r="G132" t="s">
        <v>108</v>
      </c>
      <c r="H132" t="s">
        <v>26</v>
      </c>
      <c r="I132">
        <v>4511443456</v>
      </c>
      <c r="J132" t="s">
        <v>30</v>
      </c>
      <c r="K132" t="s">
        <v>51</v>
      </c>
      <c r="L132" s="7">
        <v>1</v>
      </c>
    </row>
    <row r="133" spans="1:12" x14ac:dyDescent="0.35">
      <c r="A133" t="s">
        <v>41</v>
      </c>
      <c r="B133">
        <v>880970</v>
      </c>
      <c r="C133" t="s">
        <v>278</v>
      </c>
      <c r="D133" t="s">
        <v>28</v>
      </c>
      <c r="E133" t="s">
        <v>443</v>
      </c>
      <c r="F133" t="s">
        <v>149</v>
      </c>
      <c r="G133" t="s">
        <v>108</v>
      </c>
      <c r="H133" t="s">
        <v>26</v>
      </c>
      <c r="I133">
        <v>4511443456</v>
      </c>
      <c r="J133" t="s">
        <v>30</v>
      </c>
      <c r="K133" t="s">
        <v>51</v>
      </c>
      <c r="L133" s="7">
        <v>1</v>
      </c>
    </row>
    <row r="134" spans="1:12" x14ac:dyDescent="0.35">
      <c r="A134" t="s">
        <v>41</v>
      </c>
      <c r="B134">
        <v>880971</v>
      </c>
      <c r="C134" t="s">
        <v>279</v>
      </c>
      <c r="D134" t="s">
        <v>28</v>
      </c>
      <c r="E134" t="s">
        <v>443</v>
      </c>
      <c r="F134" t="s">
        <v>149</v>
      </c>
      <c r="G134" t="s">
        <v>108</v>
      </c>
      <c r="H134" t="s">
        <v>26</v>
      </c>
      <c r="I134">
        <v>4511443456</v>
      </c>
      <c r="J134" t="s">
        <v>30</v>
      </c>
      <c r="K134" t="s">
        <v>51</v>
      </c>
      <c r="L134" s="7">
        <v>1</v>
      </c>
    </row>
    <row r="135" spans="1:12" x14ac:dyDescent="0.35">
      <c r="A135" t="s">
        <v>41</v>
      </c>
      <c r="B135">
        <v>880976</v>
      </c>
      <c r="C135" t="s">
        <v>280</v>
      </c>
      <c r="D135" t="s">
        <v>28</v>
      </c>
      <c r="E135" t="s">
        <v>443</v>
      </c>
      <c r="F135" t="s">
        <v>149</v>
      </c>
      <c r="G135" t="s">
        <v>43</v>
      </c>
      <c r="H135" t="s">
        <v>26</v>
      </c>
      <c r="I135">
        <v>4511443456</v>
      </c>
      <c r="J135" t="s">
        <v>30</v>
      </c>
      <c r="K135" t="s">
        <v>51</v>
      </c>
      <c r="L135" s="7">
        <v>1</v>
      </c>
    </row>
    <row r="136" spans="1:12" x14ac:dyDescent="0.35">
      <c r="A136" t="s">
        <v>41</v>
      </c>
      <c r="B136">
        <v>880979</v>
      </c>
      <c r="C136" t="s">
        <v>281</v>
      </c>
      <c r="D136" t="s">
        <v>28</v>
      </c>
      <c r="E136" t="s">
        <v>443</v>
      </c>
      <c r="F136" t="s">
        <v>149</v>
      </c>
      <c r="G136" t="s">
        <v>43</v>
      </c>
      <c r="H136" t="s">
        <v>26</v>
      </c>
      <c r="I136">
        <v>4511443456</v>
      </c>
      <c r="J136" t="s">
        <v>30</v>
      </c>
      <c r="K136" t="s">
        <v>51</v>
      </c>
      <c r="L136" s="7">
        <v>1</v>
      </c>
    </row>
    <row r="137" spans="1:12" x14ac:dyDescent="0.35">
      <c r="A137" t="s">
        <v>41</v>
      </c>
      <c r="B137">
        <v>880979</v>
      </c>
      <c r="C137" t="s">
        <v>281</v>
      </c>
      <c r="D137" t="s">
        <v>28</v>
      </c>
      <c r="E137" t="s">
        <v>443</v>
      </c>
      <c r="F137" t="s">
        <v>149</v>
      </c>
      <c r="G137" t="s">
        <v>108</v>
      </c>
      <c r="H137" t="s">
        <v>26</v>
      </c>
      <c r="I137">
        <v>4511443456</v>
      </c>
      <c r="J137" t="s">
        <v>30</v>
      </c>
      <c r="K137" t="s">
        <v>51</v>
      </c>
      <c r="L137" s="7">
        <v>1</v>
      </c>
    </row>
    <row r="138" spans="1:12" x14ac:dyDescent="0.35">
      <c r="A138" t="s">
        <v>41</v>
      </c>
      <c r="B138">
        <v>884795</v>
      </c>
      <c r="C138" t="s">
        <v>175</v>
      </c>
      <c r="D138" t="s">
        <v>28</v>
      </c>
      <c r="E138" t="s">
        <v>442</v>
      </c>
      <c r="F138" t="s">
        <v>176</v>
      </c>
      <c r="G138" t="s">
        <v>108</v>
      </c>
      <c r="H138" t="s">
        <v>26</v>
      </c>
      <c r="I138">
        <v>4511449897</v>
      </c>
      <c r="J138" t="s">
        <v>36</v>
      </c>
      <c r="K138" t="s">
        <v>51</v>
      </c>
      <c r="L138" s="7">
        <v>1</v>
      </c>
    </row>
    <row r="139" spans="1:12" x14ac:dyDescent="0.35">
      <c r="A139" t="s">
        <v>41</v>
      </c>
      <c r="B139">
        <v>884797</v>
      </c>
      <c r="C139" t="s">
        <v>350</v>
      </c>
      <c r="D139" t="s">
        <v>28</v>
      </c>
      <c r="E139" t="s">
        <v>424</v>
      </c>
      <c r="F139" t="s">
        <v>349</v>
      </c>
      <c r="G139" t="s">
        <v>108</v>
      </c>
      <c r="H139" t="s">
        <v>26</v>
      </c>
      <c r="I139">
        <v>4511449170</v>
      </c>
      <c r="J139" t="s">
        <v>36</v>
      </c>
      <c r="K139" t="s">
        <v>51</v>
      </c>
      <c r="L139" s="7">
        <v>1</v>
      </c>
    </row>
    <row r="140" spans="1:12" x14ac:dyDescent="0.35">
      <c r="A140" t="s">
        <v>41</v>
      </c>
      <c r="B140">
        <v>884797</v>
      </c>
      <c r="C140" t="s">
        <v>350</v>
      </c>
      <c r="D140" t="s">
        <v>28</v>
      </c>
      <c r="E140" t="s">
        <v>424</v>
      </c>
      <c r="F140" t="s">
        <v>353</v>
      </c>
      <c r="G140" t="s">
        <v>108</v>
      </c>
      <c r="H140" t="s">
        <v>26</v>
      </c>
      <c r="I140">
        <v>4511449866</v>
      </c>
      <c r="J140" t="s">
        <v>36</v>
      </c>
      <c r="K140" t="s">
        <v>50</v>
      </c>
      <c r="L140" s="7">
        <v>1</v>
      </c>
    </row>
    <row r="141" spans="1:12" x14ac:dyDescent="0.35">
      <c r="A141" t="s">
        <v>41</v>
      </c>
      <c r="B141">
        <v>893870</v>
      </c>
      <c r="C141" t="s">
        <v>362</v>
      </c>
      <c r="D141" t="s">
        <v>28</v>
      </c>
      <c r="E141" t="s">
        <v>436</v>
      </c>
      <c r="F141" t="s">
        <v>363</v>
      </c>
      <c r="G141" t="s">
        <v>108</v>
      </c>
      <c r="H141" t="s">
        <v>26</v>
      </c>
      <c r="I141">
        <v>4511449924</v>
      </c>
      <c r="J141" t="s">
        <v>30</v>
      </c>
      <c r="K141" t="s">
        <v>50</v>
      </c>
      <c r="L141" s="7">
        <v>1</v>
      </c>
    </row>
    <row r="142" spans="1:12" x14ac:dyDescent="0.35">
      <c r="A142" t="s">
        <v>41</v>
      </c>
      <c r="B142">
        <v>893870</v>
      </c>
      <c r="C142" t="s">
        <v>362</v>
      </c>
      <c r="D142" t="s">
        <v>28</v>
      </c>
      <c r="E142" t="s">
        <v>436</v>
      </c>
      <c r="F142" t="s">
        <v>365</v>
      </c>
      <c r="G142" t="s">
        <v>108</v>
      </c>
      <c r="H142" t="s">
        <v>26</v>
      </c>
      <c r="I142">
        <v>4511443949</v>
      </c>
      <c r="J142" t="s">
        <v>30</v>
      </c>
      <c r="K142" t="s">
        <v>51</v>
      </c>
      <c r="L142" s="7">
        <v>4</v>
      </c>
    </row>
    <row r="143" spans="1:12" x14ac:dyDescent="0.35">
      <c r="A143" t="s">
        <v>41</v>
      </c>
      <c r="B143">
        <v>894475</v>
      </c>
      <c r="C143" t="s">
        <v>253</v>
      </c>
      <c r="D143" t="s">
        <v>121</v>
      </c>
      <c r="E143" t="s">
        <v>434</v>
      </c>
      <c r="F143" t="s">
        <v>254</v>
      </c>
      <c r="G143" t="s">
        <v>108</v>
      </c>
      <c r="H143" t="s">
        <v>26</v>
      </c>
      <c r="I143">
        <v>4511450724</v>
      </c>
      <c r="J143" t="s">
        <v>36</v>
      </c>
      <c r="K143" t="s">
        <v>51</v>
      </c>
      <c r="L143" s="7">
        <v>6</v>
      </c>
    </row>
    <row r="144" spans="1:12" x14ac:dyDescent="0.35">
      <c r="A144" t="s">
        <v>41</v>
      </c>
      <c r="B144">
        <v>899370</v>
      </c>
      <c r="C144" t="s">
        <v>226</v>
      </c>
      <c r="D144" t="s">
        <v>28</v>
      </c>
      <c r="E144" t="s">
        <v>441</v>
      </c>
      <c r="F144" t="s">
        <v>224</v>
      </c>
      <c r="G144" t="s">
        <v>123</v>
      </c>
      <c r="H144" t="s">
        <v>26</v>
      </c>
      <c r="I144">
        <v>4511453220</v>
      </c>
      <c r="J144" t="s">
        <v>36</v>
      </c>
      <c r="K144" t="s">
        <v>50</v>
      </c>
      <c r="L144" s="7">
        <v>1</v>
      </c>
    </row>
    <row r="145" spans="1:12" x14ac:dyDescent="0.35">
      <c r="A145" t="s">
        <v>41</v>
      </c>
      <c r="B145">
        <v>70015495</v>
      </c>
      <c r="C145" t="s">
        <v>245</v>
      </c>
      <c r="D145" t="s">
        <v>28</v>
      </c>
      <c r="E145" t="s">
        <v>36</v>
      </c>
      <c r="F145" t="s">
        <v>244</v>
      </c>
      <c r="G145" t="s">
        <v>36</v>
      </c>
      <c r="H145" t="s">
        <v>36</v>
      </c>
      <c r="I145">
        <v>4511452987</v>
      </c>
      <c r="J145" t="s">
        <v>36</v>
      </c>
      <c r="K145" t="s">
        <v>136</v>
      </c>
      <c r="L145" s="7">
        <v>3</v>
      </c>
    </row>
    <row r="146" spans="1:12" x14ac:dyDescent="0.35">
      <c r="A146" t="s">
        <v>41</v>
      </c>
      <c r="B146">
        <v>70019176</v>
      </c>
      <c r="C146" t="s">
        <v>227</v>
      </c>
      <c r="D146" t="s">
        <v>28</v>
      </c>
      <c r="E146" t="s">
        <v>441</v>
      </c>
      <c r="F146" t="s">
        <v>224</v>
      </c>
      <c r="G146" t="s">
        <v>123</v>
      </c>
      <c r="H146" t="s">
        <v>26</v>
      </c>
      <c r="I146">
        <v>4511453220</v>
      </c>
      <c r="J146" t="s">
        <v>36</v>
      </c>
      <c r="K146" t="s">
        <v>50</v>
      </c>
      <c r="L146" s="7">
        <v>1</v>
      </c>
    </row>
    <row r="147" spans="1:12" x14ac:dyDescent="0.35">
      <c r="A147" t="s">
        <v>41</v>
      </c>
      <c r="B147">
        <v>70022246</v>
      </c>
      <c r="C147" t="s">
        <v>366</v>
      </c>
      <c r="D147" t="s">
        <v>111</v>
      </c>
      <c r="E147" t="s">
        <v>436</v>
      </c>
      <c r="F147" t="s">
        <v>365</v>
      </c>
      <c r="G147" t="s">
        <v>108</v>
      </c>
      <c r="H147" t="s">
        <v>26</v>
      </c>
      <c r="I147">
        <v>4511443949</v>
      </c>
      <c r="J147" t="s">
        <v>30</v>
      </c>
      <c r="K147" t="s">
        <v>51</v>
      </c>
      <c r="L147" s="7">
        <v>25</v>
      </c>
    </row>
    <row r="148" spans="1:12" x14ac:dyDescent="0.35">
      <c r="A148" t="s">
        <v>41</v>
      </c>
      <c r="B148">
        <v>70022247</v>
      </c>
      <c r="C148" t="s">
        <v>367</v>
      </c>
      <c r="D148" t="s">
        <v>111</v>
      </c>
      <c r="E148" t="s">
        <v>436</v>
      </c>
      <c r="F148" t="s">
        <v>365</v>
      </c>
      <c r="G148" t="s">
        <v>108</v>
      </c>
      <c r="H148" t="s">
        <v>26</v>
      </c>
      <c r="I148">
        <v>4511443949</v>
      </c>
      <c r="J148" t="s">
        <v>30</v>
      </c>
      <c r="K148" t="s">
        <v>51</v>
      </c>
      <c r="L148" s="7">
        <v>40</v>
      </c>
    </row>
    <row r="149" spans="1:12" x14ac:dyDescent="0.35">
      <c r="A149" t="s">
        <v>41</v>
      </c>
      <c r="B149">
        <v>70024167</v>
      </c>
      <c r="C149" t="s">
        <v>182</v>
      </c>
      <c r="D149" t="s">
        <v>28</v>
      </c>
      <c r="E149" t="s">
        <v>442</v>
      </c>
      <c r="F149" t="s">
        <v>183</v>
      </c>
      <c r="G149" t="s">
        <v>124</v>
      </c>
      <c r="H149" t="s">
        <v>26</v>
      </c>
      <c r="I149">
        <v>4511447189</v>
      </c>
      <c r="J149" t="s">
        <v>30</v>
      </c>
      <c r="K149" t="s">
        <v>51</v>
      </c>
      <c r="L149" s="7">
        <v>2</v>
      </c>
    </row>
    <row r="150" spans="1:12" x14ac:dyDescent="0.35">
      <c r="A150" t="s">
        <v>41</v>
      </c>
      <c r="B150">
        <v>70024179</v>
      </c>
      <c r="C150" t="s">
        <v>184</v>
      </c>
      <c r="D150" t="s">
        <v>28</v>
      </c>
      <c r="E150" t="s">
        <v>442</v>
      </c>
      <c r="F150" t="s">
        <v>183</v>
      </c>
      <c r="G150" t="s">
        <v>124</v>
      </c>
      <c r="H150" t="s">
        <v>26</v>
      </c>
      <c r="I150">
        <v>4511447189</v>
      </c>
      <c r="J150" t="s">
        <v>30</v>
      </c>
      <c r="K150" t="s">
        <v>51</v>
      </c>
      <c r="L150" s="7">
        <v>2</v>
      </c>
    </row>
    <row r="151" spans="1:12" x14ac:dyDescent="0.35">
      <c r="A151" t="s">
        <v>41</v>
      </c>
      <c r="B151">
        <v>70025355</v>
      </c>
      <c r="C151" t="s">
        <v>368</v>
      </c>
      <c r="D151" t="s">
        <v>28</v>
      </c>
      <c r="E151" t="s">
        <v>436</v>
      </c>
      <c r="F151" t="s">
        <v>365</v>
      </c>
      <c r="G151" t="s">
        <v>108</v>
      </c>
      <c r="H151" t="s">
        <v>26</v>
      </c>
      <c r="I151">
        <v>4511443949</v>
      </c>
      <c r="J151" t="s">
        <v>30</v>
      </c>
      <c r="K151" t="s">
        <v>51</v>
      </c>
      <c r="L151" s="7">
        <v>14</v>
      </c>
    </row>
    <row r="152" spans="1:12" x14ac:dyDescent="0.35">
      <c r="A152" t="s">
        <v>41</v>
      </c>
      <c r="B152">
        <v>70032264</v>
      </c>
      <c r="C152" t="s">
        <v>177</v>
      </c>
      <c r="D152" t="s">
        <v>28</v>
      </c>
      <c r="E152" t="s">
        <v>36</v>
      </c>
      <c r="F152" t="s">
        <v>176</v>
      </c>
      <c r="G152" t="s">
        <v>36</v>
      </c>
      <c r="H152" t="s">
        <v>36</v>
      </c>
      <c r="I152">
        <v>4511449897</v>
      </c>
      <c r="J152" t="s">
        <v>36</v>
      </c>
      <c r="K152" t="s">
        <v>51</v>
      </c>
      <c r="L152" s="7">
        <v>2</v>
      </c>
    </row>
    <row r="153" spans="1:12" x14ac:dyDescent="0.35">
      <c r="A153" t="s">
        <v>41</v>
      </c>
      <c r="B153">
        <v>70032271</v>
      </c>
      <c r="C153" t="s">
        <v>178</v>
      </c>
      <c r="D153" t="s">
        <v>28</v>
      </c>
      <c r="E153" t="s">
        <v>36</v>
      </c>
      <c r="F153" t="s">
        <v>176</v>
      </c>
      <c r="G153" t="s">
        <v>36</v>
      </c>
      <c r="H153" t="s">
        <v>36</v>
      </c>
      <c r="I153">
        <v>4511449897</v>
      </c>
      <c r="J153" t="s">
        <v>36</v>
      </c>
      <c r="K153" t="s">
        <v>51</v>
      </c>
      <c r="L153" s="7">
        <v>1</v>
      </c>
    </row>
    <row r="154" spans="1:12" x14ac:dyDescent="0.35">
      <c r="A154" t="s">
        <v>41</v>
      </c>
      <c r="B154">
        <v>70032272</v>
      </c>
      <c r="C154" t="s">
        <v>179</v>
      </c>
      <c r="D154" t="s">
        <v>28</v>
      </c>
      <c r="E154" t="s">
        <v>36</v>
      </c>
      <c r="F154" t="s">
        <v>176</v>
      </c>
      <c r="G154" t="s">
        <v>36</v>
      </c>
      <c r="H154" t="s">
        <v>36</v>
      </c>
      <c r="I154">
        <v>4511449897</v>
      </c>
      <c r="J154" t="s">
        <v>36</v>
      </c>
      <c r="K154" t="s">
        <v>51</v>
      </c>
      <c r="L154" s="7">
        <v>1</v>
      </c>
    </row>
    <row r="155" spans="1:12" x14ac:dyDescent="0.35">
      <c r="A155" t="s">
        <v>41</v>
      </c>
      <c r="B155">
        <v>70032277</v>
      </c>
      <c r="C155" t="s">
        <v>180</v>
      </c>
      <c r="D155" t="s">
        <v>28</v>
      </c>
      <c r="E155" t="s">
        <v>36</v>
      </c>
      <c r="F155" t="s">
        <v>176</v>
      </c>
      <c r="G155" t="s">
        <v>36</v>
      </c>
      <c r="H155" t="s">
        <v>36</v>
      </c>
      <c r="I155">
        <v>4511449897</v>
      </c>
      <c r="J155" t="s">
        <v>36</v>
      </c>
      <c r="K155" t="s">
        <v>51</v>
      </c>
      <c r="L155" s="7">
        <v>5</v>
      </c>
    </row>
    <row r="156" spans="1:12" x14ac:dyDescent="0.35">
      <c r="A156" t="s">
        <v>41</v>
      </c>
      <c r="B156">
        <v>70032285</v>
      </c>
      <c r="C156" t="s">
        <v>181</v>
      </c>
      <c r="D156" t="s">
        <v>28</v>
      </c>
      <c r="E156" t="s">
        <v>36</v>
      </c>
      <c r="F156" t="s">
        <v>176</v>
      </c>
      <c r="G156" t="s">
        <v>36</v>
      </c>
      <c r="H156" t="s">
        <v>36</v>
      </c>
      <c r="I156">
        <v>4511449897</v>
      </c>
      <c r="J156" t="s">
        <v>36</v>
      </c>
      <c r="K156" t="s">
        <v>51</v>
      </c>
      <c r="L156" s="7">
        <v>4</v>
      </c>
    </row>
    <row r="157" spans="1:12" x14ac:dyDescent="0.35">
      <c r="A157" t="s">
        <v>41</v>
      </c>
      <c r="B157">
        <v>70040046</v>
      </c>
      <c r="C157" t="s">
        <v>203</v>
      </c>
      <c r="D157" t="s">
        <v>147</v>
      </c>
      <c r="E157" t="s">
        <v>447</v>
      </c>
      <c r="F157" t="s">
        <v>204</v>
      </c>
      <c r="G157" t="s">
        <v>43</v>
      </c>
      <c r="H157" t="s">
        <v>26</v>
      </c>
      <c r="I157">
        <v>4511453257</v>
      </c>
      <c r="J157" t="s">
        <v>30</v>
      </c>
      <c r="K157" t="s">
        <v>51</v>
      </c>
      <c r="L157" s="7">
        <v>2</v>
      </c>
    </row>
    <row r="158" spans="1:12" x14ac:dyDescent="0.35">
      <c r="A158" t="s">
        <v>41</v>
      </c>
      <c r="B158">
        <v>70043991</v>
      </c>
      <c r="C158" t="s">
        <v>384</v>
      </c>
      <c r="D158" t="s">
        <v>28</v>
      </c>
      <c r="E158" t="s">
        <v>413</v>
      </c>
      <c r="F158" t="s">
        <v>383</v>
      </c>
      <c r="G158" t="s">
        <v>38</v>
      </c>
      <c r="H158" t="s">
        <v>26</v>
      </c>
      <c r="I158">
        <v>5500022436</v>
      </c>
      <c r="J158" t="s">
        <v>30</v>
      </c>
      <c r="L158" s="7">
        <v>3</v>
      </c>
    </row>
    <row r="159" spans="1:12" x14ac:dyDescent="0.35">
      <c r="A159" t="s">
        <v>41</v>
      </c>
      <c r="B159">
        <v>70051918</v>
      </c>
      <c r="C159" t="s">
        <v>323</v>
      </c>
      <c r="D159" t="s">
        <v>28</v>
      </c>
      <c r="E159" t="s">
        <v>417</v>
      </c>
      <c r="F159" t="s">
        <v>322</v>
      </c>
      <c r="G159" t="s">
        <v>43</v>
      </c>
      <c r="H159" t="s">
        <v>26</v>
      </c>
      <c r="I159">
        <v>4511455813</v>
      </c>
      <c r="J159" t="s">
        <v>36</v>
      </c>
      <c r="K159" t="s">
        <v>110</v>
      </c>
      <c r="L159" s="7">
        <v>1</v>
      </c>
    </row>
    <row r="160" spans="1:12" x14ac:dyDescent="0.35">
      <c r="A160" t="s">
        <v>41</v>
      </c>
      <c r="B160">
        <v>70055857</v>
      </c>
      <c r="C160" t="s">
        <v>319</v>
      </c>
      <c r="D160" t="s">
        <v>28</v>
      </c>
      <c r="E160" t="s">
        <v>36</v>
      </c>
      <c r="F160" t="s">
        <v>320</v>
      </c>
      <c r="G160" t="s">
        <v>36</v>
      </c>
      <c r="H160" t="s">
        <v>36</v>
      </c>
      <c r="I160">
        <v>4511455751</v>
      </c>
      <c r="J160" t="s">
        <v>36</v>
      </c>
      <c r="K160" t="s">
        <v>50</v>
      </c>
      <c r="L160" s="7">
        <v>1</v>
      </c>
    </row>
    <row r="161" spans="1:12" x14ac:dyDescent="0.35">
      <c r="A161" t="s">
        <v>41</v>
      </c>
      <c r="B161">
        <v>70061899</v>
      </c>
      <c r="C161" t="s">
        <v>257</v>
      </c>
      <c r="D161" t="s">
        <v>28</v>
      </c>
      <c r="E161" t="s">
        <v>434</v>
      </c>
      <c r="F161" t="s">
        <v>258</v>
      </c>
      <c r="G161" t="s">
        <v>108</v>
      </c>
      <c r="H161" t="s">
        <v>26</v>
      </c>
      <c r="I161">
        <v>4511445332</v>
      </c>
      <c r="J161" t="s">
        <v>36</v>
      </c>
      <c r="K161" t="s">
        <v>110</v>
      </c>
      <c r="L161" s="7">
        <v>2</v>
      </c>
    </row>
    <row r="162" spans="1:12" x14ac:dyDescent="0.35">
      <c r="A162" t="s">
        <v>41</v>
      </c>
      <c r="B162">
        <v>70064012</v>
      </c>
      <c r="C162" t="s">
        <v>402</v>
      </c>
      <c r="D162" t="s">
        <v>45</v>
      </c>
      <c r="E162" t="s">
        <v>409</v>
      </c>
      <c r="F162" t="s">
        <v>401</v>
      </c>
      <c r="G162" t="s">
        <v>123</v>
      </c>
      <c r="H162" t="s">
        <v>26</v>
      </c>
      <c r="I162">
        <v>4511453612</v>
      </c>
      <c r="J162" t="s">
        <v>36</v>
      </c>
      <c r="K162" t="s">
        <v>110</v>
      </c>
      <c r="L162" s="7">
        <v>1</v>
      </c>
    </row>
    <row r="163" spans="1:12" x14ac:dyDescent="0.35">
      <c r="A163" t="s">
        <v>41</v>
      </c>
      <c r="B163">
        <v>70068404</v>
      </c>
      <c r="C163" t="s">
        <v>185</v>
      </c>
      <c r="D163" t="s">
        <v>28</v>
      </c>
      <c r="E163" t="s">
        <v>451</v>
      </c>
      <c r="F163" t="s">
        <v>186</v>
      </c>
      <c r="G163" t="s">
        <v>450</v>
      </c>
      <c r="H163" t="s">
        <v>120</v>
      </c>
      <c r="I163">
        <v>4511452724</v>
      </c>
      <c r="J163" t="s">
        <v>36</v>
      </c>
      <c r="K163" t="s">
        <v>136</v>
      </c>
      <c r="L163" s="7">
        <v>2</v>
      </c>
    </row>
    <row r="164" spans="1:12" x14ac:dyDescent="0.35">
      <c r="A164" t="s">
        <v>41</v>
      </c>
      <c r="B164">
        <v>70069183</v>
      </c>
      <c r="C164" t="s">
        <v>339</v>
      </c>
      <c r="D164" t="s">
        <v>28</v>
      </c>
      <c r="E164" t="s">
        <v>413</v>
      </c>
      <c r="F164" t="s">
        <v>383</v>
      </c>
      <c r="G164" t="s">
        <v>38</v>
      </c>
      <c r="H164" t="s">
        <v>26</v>
      </c>
      <c r="I164">
        <v>5500022436</v>
      </c>
      <c r="J164" t="s">
        <v>30</v>
      </c>
      <c r="L164" s="7">
        <v>12</v>
      </c>
    </row>
    <row r="165" spans="1:12" x14ac:dyDescent="0.35">
      <c r="A165" t="s">
        <v>41</v>
      </c>
      <c r="B165">
        <v>70069187</v>
      </c>
      <c r="C165" t="s">
        <v>385</v>
      </c>
      <c r="D165" t="s">
        <v>28</v>
      </c>
      <c r="E165" t="s">
        <v>413</v>
      </c>
      <c r="F165" t="s">
        <v>383</v>
      </c>
      <c r="G165" t="s">
        <v>38</v>
      </c>
      <c r="H165" t="s">
        <v>26</v>
      </c>
      <c r="I165">
        <v>5500022436</v>
      </c>
      <c r="J165" t="s">
        <v>30</v>
      </c>
      <c r="L165" s="7">
        <v>3</v>
      </c>
    </row>
    <row r="166" spans="1:12" x14ac:dyDescent="0.35">
      <c r="A166" t="s">
        <v>41</v>
      </c>
      <c r="B166">
        <v>70070567</v>
      </c>
      <c r="C166" t="s">
        <v>205</v>
      </c>
      <c r="D166" t="s">
        <v>28</v>
      </c>
      <c r="E166" t="s">
        <v>447</v>
      </c>
      <c r="F166" t="s">
        <v>204</v>
      </c>
      <c r="G166" t="s">
        <v>124</v>
      </c>
      <c r="H166" t="s">
        <v>26</v>
      </c>
      <c r="I166">
        <v>4511453257</v>
      </c>
      <c r="J166" t="s">
        <v>30</v>
      </c>
      <c r="K166" t="s">
        <v>51</v>
      </c>
      <c r="L166" s="7">
        <v>2</v>
      </c>
    </row>
    <row r="167" spans="1:12" x14ac:dyDescent="0.35">
      <c r="A167" t="s">
        <v>41</v>
      </c>
      <c r="B167">
        <v>70084356</v>
      </c>
      <c r="C167" t="s">
        <v>374</v>
      </c>
      <c r="D167" t="s">
        <v>112</v>
      </c>
      <c r="E167" t="s">
        <v>417</v>
      </c>
      <c r="F167" t="s">
        <v>375</v>
      </c>
      <c r="G167" t="s">
        <v>123</v>
      </c>
      <c r="H167" t="s">
        <v>26</v>
      </c>
      <c r="I167">
        <v>4511455812</v>
      </c>
      <c r="J167" t="s">
        <v>36</v>
      </c>
      <c r="K167" t="s">
        <v>110</v>
      </c>
      <c r="L167" s="7">
        <v>350</v>
      </c>
    </row>
    <row r="168" spans="1:12" x14ac:dyDescent="0.35">
      <c r="A168" t="s">
        <v>41</v>
      </c>
      <c r="B168">
        <v>70084359</v>
      </c>
      <c r="C168" t="s">
        <v>376</v>
      </c>
      <c r="D168" t="s">
        <v>112</v>
      </c>
      <c r="E168" t="s">
        <v>417</v>
      </c>
      <c r="F168" t="s">
        <v>375</v>
      </c>
      <c r="G168" t="s">
        <v>123</v>
      </c>
      <c r="H168" t="s">
        <v>26</v>
      </c>
      <c r="I168">
        <v>4511455812</v>
      </c>
      <c r="J168" t="s">
        <v>36</v>
      </c>
      <c r="K168" t="s">
        <v>110</v>
      </c>
      <c r="L168" s="7">
        <v>300</v>
      </c>
    </row>
    <row r="169" spans="1:12" x14ac:dyDescent="0.35">
      <c r="A169" t="s">
        <v>41</v>
      </c>
      <c r="B169">
        <v>70084360</v>
      </c>
      <c r="C169" t="s">
        <v>324</v>
      </c>
      <c r="D169" t="s">
        <v>112</v>
      </c>
      <c r="E169" t="s">
        <v>417</v>
      </c>
      <c r="F169" t="s">
        <v>375</v>
      </c>
      <c r="G169" t="s">
        <v>123</v>
      </c>
      <c r="H169" t="s">
        <v>26</v>
      </c>
      <c r="I169">
        <v>4511455812</v>
      </c>
      <c r="J169" t="s">
        <v>36</v>
      </c>
      <c r="K169" t="s">
        <v>110</v>
      </c>
      <c r="L169" s="7">
        <v>300</v>
      </c>
    </row>
    <row r="170" spans="1:12" x14ac:dyDescent="0.35">
      <c r="A170" t="s">
        <v>41</v>
      </c>
      <c r="B170">
        <v>70084363</v>
      </c>
      <c r="C170" t="s">
        <v>377</v>
      </c>
      <c r="D170" t="s">
        <v>112</v>
      </c>
      <c r="E170" t="s">
        <v>417</v>
      </c>
      <c r="F170" t="s">
        <v>375</v>
      </c>
      <c r="G170" t="s">
        <v>123</v>
      </c>
      <c r="H170" t="s">
        <v>26</v>
      </c>
      <c r="I170">
        <v>4511455812</v>
      </c>
      <c r="J170" t="s">
        <v>36</v>
      </c>
      <c r="K170" t="s">
        <v>110</v>
      </c>
      <c r="L170" s="7">
        <v>60</v>
      </c>
    </row>
    <row r="171" spans="1:12" x14ac:dyDescent="0.35">
      <c r="A171" t="s">
        <v>41</v>
      </c>
      <c r="B171">
        <v>70084367</v>
      </c>
      <c r="C171" t="s">
        <v>378</v>
      </c>
      <c r="D171" t="s">
        <v>112</v>
      </c>
      <c r="E171" t="s">
        <v>417</v>
      </c>
      <c r="F171" t="s">
        <v>375</v>
      </c>
      <c r="G171" t="s">
        <v>132</v>
      </c>
      <c r="H171" t="s">
        <v>26</v>
      </c>
      <c r="I171">
        <v>4511455812</v>
      </c>
      <c r="J171" t="s">
        <v>36</v>
      </c>
      <c r="K171" t="s">
        <v>110</v>
      </c>
      <c r="L171" s="7">
        <v>4</v>
      </c>
    </row>
    <row r="172" spans="1:12" x14ac:dyDescent="0.35">
      <c r="A172" t="s">
        <v>41</v>
      </c>
      <c r="B172">
        <v>70084371</v>
      </c>
      <c r="C172" t="s">
        <v>148</v>
      </c>
      <c r="D172" t="s">
        <v>112</v>
      </c>
      <c r="E172" t="s">
        <v>417</v>
      </c>
      <c r="F172" t="s">
        <v>326</v>
      </c>
      <c r="G172" t="s">
        <v>123</v>
      </c>
      <c r="H172" t="s">
        <v>26</v>
      </c>
      <c r="I172">
        <v>4511453644</v>
      </c>
      <c r="J172" t="s">
        <v>36</v>
      </c>
      <c r="K172" t="s">
        <v>110</v>
      </c>
      <c r="L172" s="7">
        <v>5</v>
      </c>
    </row>
    <row r="173" spans="1:12" x14ac:dyDescent="0.35">
      <c r="A173" t="s">
        <v>41</v>
      </c>
      <c r="B173">
        <v>70087184</v>
      </c>
      <c r="C173" t="s">
        <v>302</v>
      </c>
      <c r="D173" t="s">
        <v>28</v>
      </c>
      <c r="E173" t="s">
        <v>36</v>
      </c>
      <c r="F173" t="s">
        <v>303</v>
      </c>
      <c r="G173" t="s">
        <v>36</v>
      </c>
      <c r="H173" t="s">
        <v>36</v>
      </c>
      <c r="I173">
        <v>4511454187</v>
      </c>
      <c r="J173" t="s">
        <v>36</v>
      </c>
      <c r="K173" t="s">
        <v>110</v>
      </c>
      <c r="L173" s="7">
        <v>200</v>
      </c>
    </row>
    <row r="174" spans="1:12" x14ac:dyDescent="0.35">
      <c r="A174" t="s">
        <v>41</v>
      </c>
      <c r="B174">
        <v>70113613</v>
      </c>
      <c r="C174" t="s">
        <v>288</v>
      </c>
      <c r="D174" t="s">
        <v>28</v>
      </c>
      <c r="E174" t="s">
        <v>457</v>
      </c>
      <c r="F174" t="s">
        <v>145</v>
      </c>
      <c r="G174" t="s">
        <v>157</v>
      </c>
      <c r="H174" t="s">
        <v>120</v>
      </c>
      <c r="I174">
        <v>4511453735</v>
      </c>
      <c r="J174" t="s">
        <v>36</v>
      </c>
      <c r="K174" t="s">
        <v>110</v>
      </c>
      <c r="L174" s="7">
        <v>9</v>
      </c>
    </row>
    <row r="175" spans="1:12" x14ac:dyDescent="0.35">
      <c r="A175" t="s">
        <v>41</v>
      </c>
      <c r="B175" t="s">
        <v>369</v>
      </c>
      <c r="C175" t="s">
        <v>370</v>
      </c>
      <c r="D175" t="s">
        <v>28</v>
      </c>
      <c r="E175" t="s">
        <v>436</v>
      </c>
      <c r="F175" t="s">
        <v>371</v>
      </c>
      <c r="G175" t="s">
        <v>123</v>
      </c>
      <c r="H175" t="s">
        <v>26</v>
      </c>
      <c r="I175">
        <v>4511453702</v>
      </c>
      <c r="J175" t="s">
        <v>36</v>
      </c>
      <c r="K175" t="s">
        <v>110</v>
      </c>
      <c r="L175" s="7">
        <v>3</v>
      </c>
    </row>
    <row r="176" spans="1:12" x14ac:dyDescent="0.35">
      <c r="A176" t="s">
        <v>41</v>
      </c>
      <c r="B176" t="s">
        <v>403</v>
      </c>
      <c r="C176" t="s">
        <v>404</v>
      </c>
      <c r="D176" t="s">
        <v>28</v>
      </c>
      <c r="E176" t="s">
        <v>409</v>
      </c>
      <c r="F176" t="s">
        <v>401</v>
      </c>
      <c r="G176" t="s">
        <v>124</v>
      </c>
      <c r="H176" t="s">
        <v>26</v>
      </c>
      <c r="I176">
        <v>4511453612</v>
      </c>
      <c r="J176" t="s">
        <v>36</v>
      </c>
      <c r="K176" t="s">
        <v>110</v>
      </c>
      <c r="L176" s="7">
        <v>34</v>
      </c>
    </row>
    <row r="177" spans="1:12" x14ac:dyDescent="0.35">
      <c r="A177" t="s">
        <v>41</v>
      </c>
      <c r="B177" t="s">
        <v>394</v>
      </c>
      <c r="C177" t="s">
        <v>395</v>
      </c>
      <c r="D177" t="s">
        <v>28</v>
      </c>
      <c r="E177" t="s">
        <v>409</v>
      </c>
      <c r="F177" t="s">
        <v>393</v>
      </c>
      <c r="G177" t="s">
        <v>43</v>
      </c>
      <c r="H177" t="s">
        <v>26</v>
      </c>
      <c r="I177">
        <v>4511453003</v>
      </c>
      <c r="J177" t="s">
        <v>36</v>
      </c>
      <c r="K177" t="s">
        <v>110</v>
      </c>
      <c r="L177" s="7">
        <v>1</v>
      </c>
    </row>
    <row r="178" spans="1:12" x14ac:dyDescent="0.35">
      <c r="J178"/>
    </row>
    <row r="179" spans="1:12" x14ac:dyDescent="0.35">
      <c r="J179"/>
    </row>
    <row r="180" spans="1:12" x14ac:dyDescent="0.35">
      <c r="J180"/>
    </row>
    <row r="181" spans="1:12" x14ac:dyDescent="0.35">
      <c r="J181"/>
    </row>
    <row r="182" spans="1:12" x14ac:dyDescent="0.35">
      <c r="J182"/>
    </row>
    <row r="183" spans="1:12" x14ac:dyDescent="0.35">
      <c r="J183"/>
    </row>
    <row r="184" spans="1:12" x14ac:dyDescent="0.35">
      <c r="J184"/>
    </row>
    <row r="185" spans="1:12" x14ac:dyDescent="0.35">
      <c r="J185"/>
    </row>
    <row r="186" spans="1:12" x14ac:dyDescent="0.35">
      <c r="J186"/>
    </row>
    <row r="187" spans="1:12" x14ac:dyDescent="0.35">
      <c r="J187"/>
    </row>
    <row r="188" spans="1:12" x14ac:dyDescent="0.35">
      <c r="J188"/>
    </row>
    <row r="189" spans="1:12" x14ac:dyDescent="0.35">
      <c r="J189"/>
    </row>
    <row r="190" spans="1:12" x14ac:dyDescent="0.35">
      <c r="J190"/>
    </row>
    <row r="191" spans="1:12" x14ac:dyDescent="0.35">
      <c r="J191"/>
    </row>
    <row r="192" spans="1:12" x14ac:dyDescent="0.35">
      <c r="J192"/>
    </row>
    <row r="193" spans="10:10" x14ac:dyDescent="0.35">
      <c r="J193"/>
    </row>
    <row r="194" spans="10:10" x14ac:dyDescent="0.35">
      <c r="J194"/>
    </row>
    <row r="195" spans="10:10" x14ac:dyDescent="0.35">
      <c r="J195"/>
    </row>
    <row r="196" spans="10:10" x14ac:dyDescent="0.35">
      <c r="J196"/>
    </row>
    <row r="197" spans="10:10" x14ac:dyDescent="0.35">
      <c r="J197"/>
    </row>
    <row r="198" spans="10:10" x14ac:dyDescent="0.35">
      <c r="J198"/>
    </row>
    <row r="199" spans="10:10" x14ac:dyDescent="0.35">
      <c r="J199"/>
    </row>
    <row r="200" spans="10:10" x14ac:dyDescent="0.35">
      <c r="J200"/>
    </row>
    <row r="201" spans="10:10" x14ac:dyDescent="0.35">
      <c r="J201"/>
    </row>
    <row r="202" spans="10:10" x14ac:dyDescent="0.35">
      <c r="J202"/>
    </row>
    <row r="203" spans="10:10" x14ac:dyDescent="0.35">
      <c r="J203"/>
    </row>
    <row r="204" spans="10:10" x14ac:dyDescent="0.35">
      <c r="J204"/>
    </row>
    <row r="205" spans="10:10" x14ac:dyDescent="0.35">
      <c r="J205"/>
    </row>
    <row r="206" spans="10:10" x14ac:dyDescent="0.35">
      <c r="J206"/>
    </row>
    <row r="207" spans="10:10" x14ac:dyDescent="0.35">
      <c r="J207"/>
    </row>
    <row r="208" spans="10:10" x14ac:dyDescent="0.35">
      <c r="J208"/>
    </row>
    <row r="209" spans="10:10" x14ac:dyDescent="0.35">
      <c r="J209"/>
    </row>
    <row r="210" spans="10:10" x14ac:dyDescent="0.35">
      <c r="J210"/>
    </row>
    <row r="211" spans="10:10" x14ac:dyDescent="0.35">
      <c r="J211"/>
    </row>
    <row r="212" spans="10:10" x14ac:dyDescent="0.35">
      <c r="J212"/>
    </row>
    <row r="213" spans="10:10" x14ac:dyDescent="0.35">
      <c r="J213"/>
    </row>
    <row r="214" spans="10:10" x14ac:dyDescent="0.35">
      <c r="J214"/>
    </row>
    <row r="215" spans="10:10" x14ac:dyDescent="0.35">
      <c r="J215"/>
    </row>
    <row r="216" spans="10:10" x14ac:dyDescent="0.35">
      <c r="J216"/>
    </row>
    <row r="217" spans="10:10" x14ac:dyDescent="0.35">
      <c r="J217"/>
    </row>
    <row r="218" spans="10:10" x14ac:dyDescent="0.35">
      <c r="J218"/>
    </row>
    <row r="219" spans="10:10" x14ac:dyDescent="0.35">
      <c r="J219"/>
    </row>
    <row r="220" spans="10:10" x14ac:dyDescent="0.35">
      <c r="J220"/>
    </row>
    <row r="221" spans="10:10" x14ac:dyDescent="0.35">
      <c r="J221"/>
    </row>
    <row r="222" spans="10:10" x14ac:dyDescent="0.35">
      <c r="J222"/>
    </row>
    <row r="223" spans="10:10" x14ac:dyDescent="0.35">
      <c r="J223"/>
    </row>
    <row r="224" spans="10:10" x14ac:dyDescent="0.35">
      <c r="J224"/>
    </row>
    <row r="225" spans="10:10" x14ac:dyDescent="0.35">
      <c r="J225"/>
    </row>
    <row r="226" spans="10:10" x14ac:dyDescent="0.35">
      <c r="J226"/>
    </row>
    <row r="227" spans="10:10" x14ac:dyDescent="0.35">
      <c r="J227"/>
    </row>
    <row r="228" spans="10:10" x14ac:dyDescent="0.35">
      <c r="J228"/>
    </row>
    <row r="229" spans="10:10" x14ac:dyDescent="0.35">
      <c r="J229"/>
    </row>
    <row r="230" spans="10:10" x14ac:dyDescent="0.35">
      <c r="J230"/>
    </row>
    <row r="231" spans="10:10" x14ac:dyDescent="0.35">
      <c r="J231"/>
    </row>
    <row r="232" spans="10:10" x14ac:dyDescent="0.35">
      <c r="J232"/>
    </row>
    <row r="233" spans="10:10" x14ac:dyDescent="0.35">
      <c r="J233"/>
    </row>
    <row r="234" spans="10:10" x14ac:dyDescent="0.35">
      <c r="J234"/>
    </row>
    <row r="235" spans="10:10" x14ac:dyDescent="0.35">
      <c r="J235"/>
    </row>
    <row r="236" spans="10:10" x14ac:dyDescent="0.35">
      <c r="J236"/>
    </row>
    <row r="237" spans="10:10" x14ac:dyDescent="0.35">
      <c r="J237"/>
    </row>
    <row r="238" spans="10:10" x14ac:dyDescent="0.35">
      <c r="J238"/>
    </row>
    <row r="239" spans="10:10" x14ac:dyDescent="0.35">
      <c r="J239"/>
    </row>
    <row r="240" spans="10:10" x14ac:dyDescent="0.35">
      <c r="J240"/>
    </row>
    <row r="241" spans="10:10" x14ac:dyDescent="0.35">
      <c r="J241"/>
    </row>
    <row r="242" spans="10:10" x14ac:dyDescent="0.35">
      <c r="J242"/>
    </row>
    <row r="243" spans="10:10" x14ac:dyDescent="0.35">
      <c r="J243"/>
    </row>
    <row r="244" spans="10:10" x14ac:dyDescent="0.35">
      <c r="J244"/>
    </row>
    <row r="245" spans="10:10" x14ac:dyDescent="0.35">
      <c r="J245"/>
    </row>
    <row r="246" spans="10:10" x14ac:dyDescent="0.35">
      <c r="J246"/>
    </row>
    <row r="247" spans="10:10" x14ac:dyDescent="0.35">
      <c r="J247"/>
    </row>
    <row r="248" spans="10:10" x14ac:dyDescent="0.35">
      <c r="J248"/>
    </row>
    <row r="249" spans="10:10" x14ac:dyDescent="0.35">
      <c r="J249"/>
    </row>
    <row r="250" spans="10:10" x14ac:dyDescent="0.35">
      <c r="J250"/>
    </row>
    <row r="251" spans="10:10" x14ac:dyDescent="0.35">
      <c r="J251"/>
    </row>
    <row r="252" spans="10:10" x14ac:dyDescent="0.35">
      <c r="J252"/>
    </row>
    <row r="253" spans="10:10" x14ac:dyDescent="0.35">
      <c r="J253"/>
    </row>
    <row r="254" spans="10:10" x14ac:dyDescent="0.35">
      <c r="J254"/>
    </row>
    <row r="255" spans="10:10" x14ac:dyDescent="0.35">
      <c r="J255"/>
    </row>
    <row r="256" spans="10:10" x14ac:dyDescent="0.35">
      <c r="J256"/>
    </row>
    <row r="257" spans="10:10" x14ac:dyDescent="0.35">
      <c r="J257"/>
    </row>
    <row r="258" spans="10:10" x14ac:dyDescent="0.35">
      <c r="J258"/>
    </row>
    <row r="259" spans="10:10" x14ac:dyDescent="0.35">
      <c r="J259"/>
    </row>
    <row r="260" spans="10:10" x14ac:dyDescent="0.35">
      <c r="J260"/>
    </row>
    <row r="261" spans="10:10" x14ac:dyDescent="0.35">
      <c r="J261"/>
    </row>
    <row r="262" spans="10:10" x14ac:dyDescent="0.35">
      <c r="J262"/>
    </row>
    <row r="263" spans="10:10" x14ac:dyDescent="0.35">
      <c r="J263"/>
    </row>
    <row r="264" spans="10:10" x14ac:dyDescent="0.35">
      <c r="J264"/>
    </row>
    <row r="265" spans="10:10" x14ac:dyDescent="0.35">
      <c r="J265"/>
    </row>
    <row r="266" spans="10:10" x14ac:dyDescent="0.35">
      <c r="J266"/>
    </row>
    <row r="267" spans="10:10" x14ac:dyDescent="0.35">
      <c r="J267"/>
    </row>
    <row r="268" spans="10:10" x14ac:dyDescent="0.35">
      <c r="J268"/>
    </row>
    <row r="269" spans="10:10" x14ac:dyDescent="0.35">
      <c r="J269"/>
    </row>
    <row r="270" spans="10:10" x14ac:dyDescent="0.35">
      <c r="J270"/>
    </row>
    <row r="271" spans="10:10" x14ac:dyDescent="0.35">
      <c r="J271"/>
    </row>
    <row r="272" spans="10:10" x14ac:dyDescent="0.35">
      <c r="J272"/>
    </row>
    <row r="273" spans="10:10" x14ac:dyDescent="0.35">
      <c r="J273"/>
    </row>
    <row r="274" spans="10:10" x14ac:dyDescent="0.35">
      <c r="J274"/>
    </row>
    <row r="275" spans="10:10" x14ac:dyDescent="0.35">
      <c r="J275"/>
    </row>
    <row r="276" spans="10:10" x14ac:dyDescent="0.35">
      <c r="J276"/>
    </row>
    <row r="277" spans="10:10" x14ac:dyDescent="0.35">
      <c r="J277"/>
    </row>
    <row r="278" spans="10:10" x14ac:dyDescent="0.35">
      <c r="J278"/>
    </row>
    <row r="279" spans="10:10" x14ac:dyDescent="0.35">
      <c r="J279"/>
    </row>
    <row r="280" spans="10:10" x14ac:dyDescent="0.35">
      <c r="J280"/>
    </row>
    <row r="281" spans="10:10" x14ac:dyDescent="0.35">
      <c r="J281"/>
    </row>
    <row r="282" spans="10:10" x14ac:dyDescent="0.35">
      <c r="J282"/>
    </row>
    <row r="283" spans="10:10" x14ac:dyDescent="0.35">
      <c r="J283"/>
    </row>
    <row r="284" spans="10:10" x14ac:dyDescent="0.35">
      <c r="J284"/>
    </row>
    <row r="285" spans="10:10" x14ac:dyDescent="0.35">
      <c r="J285"/>
    </row>
    <row r="286" spans="10:10" x14ac:dyDescent="0.35">
      <c r="J286"/>
    </row>
    <row r="287" spans="10:10" x14ac:dyDescent="0.35">
      <c r="J287"/>
    </row>
    <row r="288" spans="10:10" x14ac:dyDescent="0.35">
      <c r="J288"/>
    </row>
    <row r="289" spans="10:10" x14ac:dyDescent="0.35">
      <c r="J289"/>
    </row>
    <row r="290" spans="10:10" x14ac:dyDescent="0.35">
      <c r="J290"/>
    </row>
    <row r="291" spans="10:10" x14ac:dyDescent="0.35">
      <c r="J291"/>
    </row>
    <row r="292" spans="10:10" x14ac:dyDescent="0.35">
      <c r="J292"/>
    </row>
    <row r="293" spans="10:10" x14ac:dyDescent="0.35">
      <c r="J293"/>
    </row>
    <row r="294" spans="10:10" x14ac:dyDescent="0.35">
      <c r="J294"/>
    </row>
    <row r="295" spans="10:10" x14ac:dyDescent="0.35">
      <c r="J295"/>
    </row>
    <row r="296" spans="10:10" x14ac:dyDescent="0.35">
      <c r="J296"/>
    </row>
    <row r="297" spans="10:10" x14ac:dyDescent="0.35">
      <c r="J297"/>
    </row>
    <row r="298" spans="10:10" x14ac:dyDescent="0.35">
      <c r="J298"/>
    </row>
    <row r="299" spans="10:10" x14ac:dyDescent="0.35">
      <c r="J299"/>
    </row>
    <row r="300" spans="10:10" x14ac:dyDescent="0.35">
      <c r="J300"/>
    </row>
    <row r="301" spans="10:10" x14ac:dyDescent="0.35">
      <c r="J301"/>
    </row>
    <row r="302" spans="10:10" x14ac:dyDescent="0.35">
      <c r="J302"/>
    </row>
    <row r="303" spans="10:10" x14ac:dyDescent="0.35">
      <c r="J303"/>
    </row>
    <row r="304" spans="10:10" x14ac:dyDescent="0.35">
      <c r="J304"/>
    </row>
    <row r="305" spans="10:10" x14ac:dyDescent="0.35">
      <c r="J305"/>
    </row>
    <row r="306" spans="10:10" x14ac:dyDescent="0.35">
      <c r="J306"/>
    </row>
    <row r="307" spans="10:10" x14ac:dyDescent="0.35">
      <c r="J307"/>
    </row>
    <row r="308" spans="10:10" x14ac:dyDescent="0.35">
      <c r="J308"/>
    </row>
    <row r="309" spans="10:10" x14ac:dyDescent="0.35">
      <c r="J309"/>
    </row>
    <row r="310" spans="10:10" x14ac:dyDescent="0.35">
      <c r="J310"/>
    </row>
    <row r="311" spans="10:10" x14ac:dyDescent="0.35">
      <c r="J311"/>
    </row>
    <row r="312" spans="10:10" x14ac:dyDescent="0.35">
      <c r="J312"/>
    </row>
    <row r="313" spans="10:10" x14ac:dyDescent="0.35">
      <c r="J313"/>
    </row>
    <row r="314" spans="10:10" x14ac:dyDescent="0.35">
      <c r="J314"/>
    </row>
    <row r="315" spans="10:10" x14ac:dyDescent="0.35">
      <c r="J315"/>
    </row>
    <row r="316" spans="10:10" x14ac:dyDescent="0.35">
      <c r="J316"/>
    </row>
    <row r="317" spans="10:10" x14ac:dyDescent="0.35">
      <c r="J317"/>
    </row>
    <row r="318" spans="10:10" x14ac:dyDescent="0.35">
      <c r="J318"/>
    </row>
    <row r="319" spans="10:10" x14ac:dyDescent="0.35">
      <c r="J319"/>
    </row>
    <row r="320" spans="10:10" x14ac:dyDescent="0.35">
      <c r="J320"/>
    </row>
    <row r="321" spans="10:10" x14ac:dyDescent="0.35">
      <c r="J321"/>
    </row>
    <row r="322" spans="10:10" x14ac:dyDescent="0.35">
      <c r="J322"/>
    </row>
    <row r="323" spans="10:10" x14ac:dyDescent="0.35">
      <c r="J323"/>
    </row>
    <row r="324" spans="10:10" x14ac:dyDescent="0.35">
      <c r="J324"/>
    </row>
    <row r="325" spans="10:10" x14ac:dyDescent="0.35">
      <c r="J325"/>
    </row>
    <row r="326" spans="10:10" x14ac:dyDescent="0.35">
      <c r="J326"/>
    </row>
    <row r="327" spans="10:10" x14ac:dyDescent="0.35">
      <c r="J327"/>
    </row>
    <row r="328" spans="10:10" x14ac:dyDescent="0.35">
      <c r="J328"/>
    </row>
    <row r="329" spans="10:10" x14ac:dyDescent="0.35">
      <c r="J329"/>
    </row>
    <row r="330" spans="10:10" x14ac:dyDescent="0.35">
      <c r="J330"/>
    </row>
    <row r="331" spans="10:10" x14ac:dyDescent="0.35">
      <c r="J331"/>
    </row>
    <row r="332" spans="10:10" x14ac:dyDescent="0.35">
      <c r="J332"/>
    </row>
    <row r="333" spans="10:10" x14ac:dyDescent="0.35">
      <c r="J333"/>
    </row>
    <row r="334" spans="10:10" x14ac:dyDescent="0.35">
      <c r="J334"/>
    </row>
    <row r="335" spans="10:10" x14ac:dyDescent="0.35">
      <c r="J335"/>
    </row>
    <row r="336" spans="10:10" x14ac:dyDescent="0.35">
      <c r="J336"/>
    </row>
    <row r="337" spans="10:10" x14ac:dyDescent="0.35">
      <c r="J337"/>
    </row>
    <row r="338" spans="10:10" x14ac:dyDescent="0.35">
      <c r="J338"/>
    </row>
    <row r="339" spans="10:10" x14ac:dyDescent="0.35">
      <c r="J339"/>
    </row>
    <row r="340" spans="10:10" x14ac:dyDescent="0.35">
      <c r="J340"/>
    </row>
    <row r="341" spans="10:10" x14ac:dyDescent="0.35">
      <c r="J341"/>
    </row>
    <row r="342" spans="10:10" x14ac:dyDescent="0.35">
      <c r="J342"/>
    </row>
    <row r="343" spans="10:10" x14ac:dyDescent="0.35">
      <c r="J343"/>
    </row>
    <row r="344" spans="10:10" x14ac:dyDescent="0.35">
      <c r="J344"/>
    </row>
    <row r="345" spans="10:10" x14ac:dyDescent="0.35">
      <c r="J345"/>
    </row>
    <row r="346" spans="10:10" x14ac:dyDescent="0.35">
      <c r="J346"/>
    </row>
    <row r="347" spans="10:10" x14ac:dyDescent="0.35">
      <c r="J347"/>
    </row>
    <row r="348" spans="10:10" x14ac:dyDescent="0.35">
      <c r="J348"/>
    </row>
    <row r="349" spans="10:10" x14ac:dyDescent="0.35">
      <c r="J349"/>
    </row>
    <row r="350" spans="10:10" x14ac:dyDescent="0.35">
      <c r="J350"/>
    </row>
    <row r="351" spans="10:10" x14ac:dyDescent="0.35">
      <c r="J351"/>
    </row>
    <row r="352" spans="10:10" x14ac:dyDescent="0.35">
      <c r="J352"/>
    </row>
    <row r="353" spans="10:10" x14ac:dyDescent="0.35">
      <c r="J353"/>
    </row>
    <row r="354" spans="10:10" x14ac:dyDescent="0.35">
      <c r="J354"/>
    </row>
    <row r="355" spans="10:10" x14ac:dyDescent="0.35">
      <c r="J355"/>
    </row>
    <row r="356" spans="10:10" x14ac:dyDescent="0.35">
      <c r="J356"/>
    </row>
    <row r="357" spans="10:10" x14ac:dyDescent="0.35">
      <c r="J357"/>
    </row>
    <row r="358" spans="10:10" x14ac:dyDescent="0.35">
      <c r="J358"/>
    </row>
    <row r="359" spans="10:10" x14ac:dyDescent="0.35">
      <c r="J359"/>
    </row>
    <row r="360" spans="10:10" x14ac:dyDescent="0.35">
      <c r="J360"/>
    </row>
    <row r="361" spans="10:10" x14ac:dyDescent="0.35">
      <c r="J361"/>
    </row>
    <row r="362" spans="10:10" x14ac:dyDescent="0.35">
      <c r="J362"/>
    </row>
    <row r="363" spans="10:10" x14ac:dyDescent="0.35">
      <c r="J363"/>
    </row>
    <row r="364" spans="10:10" x14ac:dyDescent="0.35">
      <c r="J364"/>
    </row>
    <row r="365" spans="10:10" x14ac:dyDescent="0.35">
      <c r="J365"/>
    </row>
    <row r="366" spans="10:10" x14ac:dyDescent="0.35">
      <c r="J366"/>
    </row>
    <row r="367" spans="10:10" x14ac:dyDescent="0.35">
      <c r="J367"/>
    </row>
    <row r="368" spans="10:10" x14ac:dyDescent="0.35">
      <c r="J368"/>
    </row>
    <row r="369" spans="10:10" x14ac:dyDescent="0.35">
      <c r="J369"/>
    </row>
    <row r="370" spans="10:10" x14ac:dyDescent="0.35">
      <c r="J370"/>
    </row>
    <row r="371" spans="10:10" x14ac:dyDescent="0.35">
      <c r="J371"/>
    </row>
    <row r="372" spans="10:10" x14ac:dyDescent="0.35">
      <c r="J372"/>
    </row>
    <row r="373" spans="10:10" x14ac:dyDescent="0.35">
      <c r="J373"/>
    </row>
    <row r="374" spans="10:10" x14ac:dyDescent="0.35">
      <c r="J374"/>
    </row>
    <row r="375" spans="10:10" x14ac:dyDescent="0.35">
      <c r="J375"/>
    </row>
    <row r="376" spans="10:10" x14ac:dyDescent="0.35">
      <c r="J376"/>
    </row>
    <row r="377" spans="10:10" x14ac:dyDescent="0.35">
      <c r="J377"/>
    </row>
    <row r="378" spans="10:10" x14ac:dyDescent="0.35">
      <c r="J378"/>
    </row>
    <row r="379" spans="10:10" x14ac:dyDescent="0.35">
      <c r="J379"/>
    </row>
    <row r="380" spans="10:10" x14ac:dyDescent="0.35">
      <c r="J380"/>
    </row>
    <row r="381" spans="10:10" x14ac:dyDescent="0.35">
      <c r="J381"/>
    </row>
    <row r="382" spans="10:10" x14ac:dyDescent="0.35">
      <c r="J382"/>
    </row>
    <row r="383" spans="10:10" x14ac:dyDescent="0.35">
      <c r="J383"/>
    </row>
    <row r="384" spans="10:10" x14ac:dyDescent="0.35">
      <c r="J384"/>
    </row>
    <row r="385" spans="10:10" x14ac:dyDescent="0.35">
      <c r="J385"/>
    </row>
    <row r="386" spans="10:10" x14ac:dyDescent="0.35">
      <c r="J386"/>
    </row>
    <row r="387" spans="10:10" x14ac:dyDescent="0.35">
      <c r="J387"/>
    </row>
    <row r="388" spans="10:10" x14ac:dyDescent="0.35">
      <c r="J388"/>
    </row>
    <row r="389" spans="10:10" x14ac:dyDescent="0.35">
      <c r="J389"/>
    </row>
    <row r="390" spans="10:10" x14ac:dyDescent="0.35">
      <c r="J390"/>
    </row>
    <row r="391" spans="10:10" x14ac:dyDescent="0.35">
      <c r="J391"/>
    </row>
    <row r="392" spans="10:10" x14ac:dyDescent="0.35">
      <c r="J392"/>
    </row>
    <row r="393" spans="10:10" x14ac:dyDescent="0.35">
      <c r="J393"/>
    </row>
    <row r="394" spans="10:10" x14ac:dyDescent="0.35">
      <c r="J394"/>
    </row>
    <row r="395" spans="10:10" x14ac:dyDescent="0.35">
      <c r="J395"/>
    </row>
    <row r="396" spans="10:10" x14ac:dyDescent="0.35">
      <c r="J396"/>
    </row>
    <row r="397" spans="10:10" x14ac:dyDescent="0.35">
      <c r="J397"/>
    </row>
    <row r="398" spans="10:10" x14ac:dyDescent="0.35">
      <c r="J398"/>
    </row>
    <row r="399" spans="10:10" x14ac:dyDescent="0.35">
      <c r="J399"/>
    </row>
    <row r="400" spans="10:10" x14ac:dyDescent="0.35">
      <c r="J400"/>
    </row>
    <row r="401" spans="10:10" x14ac:dyDescent="0.35">
      <c r="J401"/>
    </row>
    <row r="402" spans="10:10" x14ac:dyDescent="0.35">
      <c r="J402"/>
    </row>
    <row r="403" spans="10:10" x14ac:dyDescent="0.35">
      <c r="J403"/>
    </row>
    <row r="404" spans="10:10" x14ac:dyDescent="0.35">
      <c r="J404"/>
    </row>
    <row r="405" spans="10:10" x14ac:dyDescent="0.35">
      <c r="J405"/>
    </row>
    <row r="406" spans="10:10" x14ac:dyDescent="0.35">
      <c r="J406"/>
    </row>
    <row r="407" spans="10:10" x14ac:dyDescent="0.35">
      <c r="J407"/>
    </row>
    <row r="408" spans="10:10" x14ac:dyDescent="0.35">
      <c r="J408"/>
    </row>
    <row r="409" spans="10:10" x14ac:dyDescent="0.35">
      <c r="J409"/>
    </row>
    <row r="410" spans="10:10" x14ac:dyDescent="0.35">
      <c r="J410"/>
    </row>
    <row r="411" spans="10:10" x14ac:dyDescent="0.35">
      <c r="J411"/>
    </row>
    <row r="412" spans="10:10" x14ac:dyDescent="0.35">
      <c r="J412"/>
    </row>
    <row r="413" spans="10:10" x14ac:dyDescent="0.35">
      <c r="J413"/>
    </row>
    <row r="414" spans="10:10" x14ac:dyDescent="0.35">
      <c r="J414"/>
    </row>
    <row r="415" spans="10:10" x14ac:dyDescent="0.35">
      <c r="J415"/>
    </row>
    <row r="416" spans="10:10" x14ac:dyDescent="0.35">
      <c r="J416"/>
    </row>
    <row r="417" customFormat="1" x14ac:dyDescent="0.35"/>
    <row r="418" customFormat="1" x14ac:dyDescent="0.35"/>
    <row r="419" customFormat="1" x14ac:dyDescent="0.35"/>
    <row r="420" customFormat="1" x14ac:dyDescent="0.35"/>
    <row r="421" customFormat="1" x14ac:dyDescent="0.35"/>
    <row r="422" customFormat="1" x14ac:dyDescent="0.35"/>
    <row r="423" customFormat="1" x14ac:dyDescent="0.35"/>
    <row r="424" customFormat="1" x14ac:dyDescent="0.35"/>
    <row r="425" customFormat="1" x14ac:dyDescent="0.35"/>
    <row r="426" customFormat="1" x14ac:dyDescent="0.35"/>
    <row r="427" customFormat="1" x14ac:dyDescent="0.35"/>
    <row r="428" customFormat="1" x14ac:dyDescent="0.35"/>
    <row r="429" customFormat="1" x14ac:dyDescent="0.35"/>
    <row r="430" customFormat="1" x14ac:dyDescent="0.35"/>
    <row r="431" customFormat="1" x14ac:dyDescent="0.35"/>
    <row r="432" customFormat="1" x14ac:dyDescent="0.35"/>
    <row r="433" customFormat="1" x14ac:dyDescent="0.35"/>
    <row r="434" customFormat="1" x14ac:dyDescent="0.35"/>
    <row r="435" customFormat="1" x14ac:dyDescent="0.35"/>
    <row r="436" customFormat="1" x14ac:dyDescent="0.35"/>
    <row r="437" customFormat="1" x14ac:dyDescent="0.35"/>
    <row r="438" customFormat="1" x14ac:dyDescent="0.35"/>
    <row r="439" customFormat="1" x14ac:dyDescent="0.35"/>
    <row r="440" customFormat="1" x14ac:dyDescent="0.35"/>
    <row r="441" customFormat="1" x14ac:dyDescent="0.35"/>
    <row r="442" customFormat="1" x14ac:dyDescent="0.35"/>
    <row r="443" customFormat="1" x14ac:dyDescent="0.35"/>
    <row r="444" customFormat="1" x14ac:dyDescent="0.35"/>
    <row r="445" customFormat="1" x14ac:dyDescent="0.35"/>
    <row r="446" customFormat="1" x14ac:dyDescent="0.35"/>
    <row r="447" customFormat="1" x14ac:dyDescent="0.35"/>
    <row r="448" customFormat="1" x14ac:dyDescent="0.35"/>
    <row r="449" customFormat="1" x14ac:dyDescent="0.35"/>
    <row r="450" customFormat="1" x14ac:dyDescent="0.35"/>
    <row r="451" customFormat="1" x14ac:dyDescent="0.35"/>
    <row r="452" customFormat="1" x14ac:dyDescent="0.35"/>
    <row r="453" customFormat="1" x14ac:dyDescent="0.35"/>
    <row r="454" customFormat="1" x14ac:dyDescent="0.35"/>
    <row r="455" customFormat="1" x14ac:dyDescent="0.35"/>
    <row r="456" customFormat="1" x14ac:dyDescent="0.35"/>
    <row r="457" customFormat="1" x14ac:dyDescent="0.35"/>
    <row r="458" customFormat="1" x14ac:dyDescent="0.35"/>
    <row r="459" customFormat="1" x14ac:dyDescent="0.35"/>
    <row r="460" customFormat="1" x14ac:dyDescent="0.35"/>
    <row r="461" customFormat="1" x14ac:dyDescent="0.35"/>
    <row r="462" customFormat="1" x14ac:dyDescent="0.35"/>
    <row r="463" customFormat="1" x14ac:dyDescent="0.35"/>
    <row r="464" customFormat="1" x14ac:dyDescent="0.35"/>
    <row r="465" customFormat="1" x14ac:dyDescent="0.35"/>
    <row r="466" customFormat="1" x14ac:dyDescent="0.35"/>
    <row r="467" customFormat="1" x14ac:dyDescent="0.35"/>
    <row r="468" customFormat="1" x14ac:dyDescent="0.35"/>
    <row r="469" customFormat="1" x14ac:dyDescent="0.35"/>
    <row r="470" customFormat="1" x14ac:dyDescent="0.35"/>
    <row r="471" customFormat="1" x14ac:dyDescent="0.35"/>
    <row r="472" customFormat="1" x14ac:dyDescent="0.35"/>
    <row r="473" customFormat="1" x14ac:dyDescent="0.35"/>
    <row r="474" customFormat="1" x14ac:dyDescent="0.35"/>
    <row r="475" customFormat="1" x14ac:dyDescent="0.35"/>
    <row r="476" customFormat="1" x14ac:dyDescent="0.35"/>
    <row r="477" customFormat="1" x14ac:dyDescent="0.35"/>
    <row r="478" customFormat="1" x14ac:dyDescent="0.35"/>
    <row r="479" customFormat="1" x14ac:dyDescent="0.35"/>
    <row r="480" customFormat="1" x14ac:dyDescent="0.35"/>
    <row r="481" customFormat="1" x14ac:dyDescent="0.35"/>
    <row r="482" customFormat="1" x14ac:dyDescent="0.35"/>
    <row r="483" customFormat="1" x14ac:dyDescent="0.35"/>
    <row r="484" customFormat="1" x14ac:dyDescent="0.35"/>
    <row r="485" customFormat="1" x14ac:dyDescent="0.35"/>
    <row r="486" customFormat="1" x14ac:dyDescent="0.35"/>
    <row r="487" customFormat="1" x14ac:dyDescent="0.35"/>
    <row r="488" customFormat="1" x14ac:dyDescent="0.35"/>
    <row r="489" customFormat="1" x14ac:dyDescent="0.35"/>
    <row r="490" customFormat="1" x14ac:dyDescent="0.35"/>
    <row r="491" customFormat="1" x14ac:dyDescent="0.35"/>
    <row r="492" customFormat="1" x14ac:dyDescent="0.35"/>
    <row r="493" customFormat="1" x14ac:dyDescent="0.35"/>
    <row r="494" customFormat="1" x14ac:dyDescent="0.35"/>
    <row r="495" customFormat="1" x14ac:dyDescent="0.35"/>
    <row r="496" customFormat="1" x14ac:dyDescent="0.35"/>
    <row r="497" customFormat="1" x14ac:dyDescent="0.35"/>
    <row r="498" customFormat="1" x14ac:dyDescent="0.35"/>
    <row r="499" customFormat="1" x14ac:dyDescent="0.35"/>
    <row r="500" customFormat="1" x14ac:dyDescent="0.35"/>
    <row r="501" customFormat="1" x14ac:dyDescent="0.35"/>
    <row r="502" customFormat="1" x14ac:dyDescent="0.35"/>
    <row r="503" customFormat="1" x14ac:dyDescent="0.35"/>
    <row r="504" customFormat="1" x14ac:dyDescent="0.35"/>
    <row r="505" customFormat="1" x14ac:dyDescent="0.35"/>
    <row r="506" customFormat="1" x14ac:dyDescent="0.35"/>
    <row r="507" customFormat="1" x14ac:dyDescent="0.35"/>
    <row r="508" customFormat="1" x14ac:dyDescent="0.35"/>
    <row r="509" customFormat="1" x14ac:dyDescent="0.35"/>
    <row r="510" customFormat="1" x14ac:dyDescent="0.35"/>
    <row r="511" customFormat="1" x14ac:dyDescent="0.35"/>
    <row r="512" customFormat="1" x14ac:dyDescent="0.35"/>
    <row r="513" customFormat="1" x14ac:dyDescent="0.35"/>
    <row r="514" customFormat="1" x14ac:dyDescent="0.35"/>
    <row r="515" customFormat="1" x14ac:dyDescent="0.35"/>
    <row r="516" customFormat="1" x14ac:dyDescent="0.35"/>
    <row r="517" customFormat="1" x14ac:dyDescent="0.35"/>
    <row r="518" customFormat="1" x14ac:dyDescent="0.35"/>
    <row r="519" customFormat="1" x14ac:dyDescent="0.35"/>
    <row r="520" customFormat="1" x14ac:dyDescent="0.35"/>
    <row r="521" customFormat="1" x14ac:dyDescent="0.35"/>
    <row r="522" customFormat="1" x14ac:dyDescent="0.35"/>
    <row r="523" customFormat="1" x14ac:dyDescent="0.35"/>
    <row r="524" customFormat="1" x14ac:dyDescent="0.35"/>
    <row r="525" customFormat="1" x14ac:dyDescent="0.35"/>
    <row r="526" customFormat="1" x14ac:dyDescent="0.35"/>
    <row r="527" customFormat="1" x14ac:dyDescent="0.35"/>
    <row r="528" customFormat="1" x14ac:dyDescent="0.35"/>
    <row r="529" customFormat="1" x14ac:dyDescent="0.35"/>
    <row r="530" customFormat="1" x14ac:dyDescent="0.35"/>
    <row r="531" customFormat="1" x14ac:dyDescent="0.35"/>
    <row r="532" customFormat="1" x14ac:dyDescent="0.35"/>
    <row r="533" customFormat="1" x14ac:dyDescent="0.35"/>
    <row r="534" customFormat="1" x14ac:dyDescent="0.35"/>
    <row r="535" customFormat="1" x14ac:dyDescent="0.35"/>
    <row r="536" customFormat="1" x14ac:dyDescent="0.35"/>
    <row r="537" customFormat="1" x14ac:dyDescent="0.35"/>
    <row r="538" customFormat="1" x14ac:dyDescent="0.35"/>
    <row r="539" customFormat="1" x14ac:dyDescent="0.35"/>
    <row r="540" customFormat="1" x14ac:dyDescent="0.35"/>
    <row r="541" customFormat="1" x14ac:dyDescent="0.35"/>
    <row r="542" customFormat="1" x14ac:dyDescent="0.35"/>
    <row r="543" customFormat="1" x14ac:dyDescent="0.35"/>
    <row r="544" customFormat="1" x14ac:dyDescent="0.35"/>
    <row r="545" customFormat="1" x14ac:dyDescent="0.35"/>
    <row r="546" customFormat="1" x14ac:dyDescent="0.35"/>
    <row r="547" customFormat="1" x14ac:dyDescent="0.35"/>
    <row r="548" customFormat="1" x14ac:dyDescent="0.35"/>
    <row r="549" customFormat="1" x14ac:dyDescent="0.35"/>
    <row r="550" customFormat="1" x14ac:dyDescent="0.35"/>
    <row r="551" customFormat="1" x14ac:dyDescent="0.35"/>
    <row r="552" customFormat="1" x14ac:dyDescent="0.35"/>
    <row r="553" customFormat="1" x14ac:dyDescent="0.35"/>
    <row r="554" customFormat="1" x14ac:dyDescent="0.35"/>
    <row r="555" customFormat="1" x14ac:dyDescent="0.35"/>
    <row r="556" customFormat="1" x14ac:dyDescent="0.35"/>
    <row r="557" customFormat="1" x14ac:dyDescent="0.35"/>
    <row r="558" customFormat="1" x14ac:dyDescent="0.35"/>
    <row r="559" customFormat="1" x14ac:dyDescent="0.35"/>
    <row r="560" customFormat="1" x14ac:dyDescent="0.35"/>
    <row r="561" customFormat="1" x14ac:dyDescent="0.35"/>
    <row r="562" customFormat="1" x14ac:dyDescent="0.35"/>
    <row r="563" customFormat="1" x14ac:dyDescent="0.35"/>
    <row r="564" customFormat="1" x14ac:dyDescent="0.35"/>
    <row r="565" customFormat="1" x14ac:dyDescent="0.35"/>
    <row r="566" customFormat="1" x14ac:dyDescent="0.35"/>
    <row r="567" customFormat="1" x14ac:dyDescent="0.35"/>
    <row r="568" customFormat="1" x14ac:dyDescent="0.35"/>
    <row r="569" customFormat="1" x14ac:dyDescent="0.35"/>
    <row r="570" customFormat="1" x14ac:dyDescent="0.35"/>
    <row r="571" customFormat="1" x14ac:dyDescent="0.35"/>
    <row r="572" customFormat="1" x14ac:dyDescent="0.35"/>
    <row r="573" customFormat="1" x14ac:dyDescent="0.35"/>
    <row r="574" customFormat="1" x14ac:dyDescent="0.35"/>
    <row r="575" customFormat="1" x14ac:dyDescent="0.35"/>
    <row r="576" customFormat="1" x14ac:dyDescent="0.35"/>
    <row r="577" customFormat="1" x14ac:dyDescent="0.35"/>
    <row r="578" customFormat="1" x14ac:dyDescent="0.35"/>
    <row r="579" customFormat="1" x14ac:dyDescent="0.35"/>
    <row r="580" customFormat="1" x14ac:dyDescent="0.35"/>
    <row r="581" customFormat="1" x14ac:dyDescent="0.35"/>
    <row r="582" customFormat="1" x14ac:dyDescent="0.35"/>
    <row r="583" customFormat="1" x14ac:dyDescent="0.35"/>
    <row r="584" customFormat="1" x14ac:dyDescent="0.35"/>
    <row r="585" customFormat="1" x14ac:dyDescent="0.35"/>
    <row r="586" customFormat="1" x14ac:dyDescent="0.35"/>
    <row r="587" customFormat="1" x14ac:dyDescent="0.35"/>
    <row r="588" customFormat="1" x14ac:dyDescent="0.35"/>
    <row r="589" customFormat="1" x14ac:dyDescent="0.35"/>
    <row r="590" customFormat="1" x14ac:dyDescent="0.35"/>
    <row r="591" customFormat="1" x14ac:dyDescent="0.35"/>
    <row r="592" customFormat="1" x14ac:dyDescent="0.35"/>
    <row r="593" customFormat="1" x14ac:dyDescent="0.35"/>
    <row r="594" customFormat="1" x14ac:dyDescent="0.35"/>
    <row r="595" customFormat="1" x14ac:dyDescent="0.35"/>
    <row r="596" customFormat="1" x14ac:dyDescent="0.35"/>
    <row r="597" customFormat="1" x14ac:dyDescent="0.35"/>
    <row r="598" customFormat="1" x14ac:dyDescent="0.35"/>
    <row r="599" customFormat="1" x14ac:dyDescent="0.35"/>
    <row r="600" customFormat="1" x14ac:dyDescent="0.35"/>
    <row r="601" customFormat="1" x14ac:dyDescent="0.35"/>
    <row r="602" customFormat="1" x14ac:dyDescent="0.35"/>
    <row r="603" customFormat="1" x14ac:dyDescent="0.35"/>
    <row r="604" customFormat="1" x14ac:dyDescent="0.35"/>
    <row r="605" customFormat="1" x14ac:dyDescent="0.35"/>
    <row r="606" customFormat="1" x14ac:dyDescent="0.35"/>
    <row r="607" customFormat="1" x14ac:dyDescent="0.35"/>
    <row r="608" customFormat="1" x14ac:dyDescent="0.35"/>
    <row r="609" customFormat="1" x14ac:dyDescent="0.35"/>
    <row r="610" customFormat="1" x14ac:dyDescent="0.35"/>
    <row r="611" customFormat="1" x14ac:dyDescent="0.35"/>
    <row r="612" customFormat="1" x14ac:dyDescent="0.35"/>
    <row r="613" customFormat="1" x14ac:dyDescent="0.35"/>
    <row r="614" customFormat="1" x14ac:dyDescent="0.35"/>
    <row r="615" customFormat="1" x14ac:dyDescent="0.35"/>
    <row r="616" customFormat="1" x14ac:dyDescent="0.35"/>
    <row r="617" customFormat="1" x14ac:dyDescent="0.35"/>
    <row r="618" customFormat="1" x14ac:dyDescent="0.35"/>
    <row r="619" customFormat="1" x14ac:dyDescent="0.35"/>
    <row r="620" customFormat="1" x14ac:dyDescent="0.35"/>
    <row r="621" customFormat="1" x14ac:dyDescent="0.35"/>
    <row r="622" customFormat="1" x14ac:dyDescent="0.35"/>
    <row r="623" customFormat="1" x14ac:dyDescent="0.35"/>
    <row r="624" customFormat="1" x14ac:dyDescent="0.35"/>
    <row r="625" customFormat="1" x14ac:dyDescent="0.35"/>
    <row r="626" customFormat="1" x14ac:dyDescent="0.35"/>
    <row r="627" customFormat="1" x14ac:dyDescent="0.35"/>
    <row r="628" customFormat="1" x14ac:dyDescent="0.35"/>
    <row r="629" customFormat="1" x14ac:dyDescent="0.35"/>
    <row r="630" customFormat="1" x14ac:dyDescent="0.35"/>
    <row r="631" customFormat="1" x14ac:dyDescent="0.35"/>
    <row r="632" customFormat="1" x14ac:dyDescent="0.35"/>
    <row r="633" customFormat="1" x14ac:dyDescent="0.35"/>
    <row r="634" customFormat="1" x14ac:dyDescent="0.35"/>
    <row r="635" customFormat="1" x14ac:dyDescent="0.35"/>
    <row r="636" customFormat="1" x14ac:dyDescent="0.35"/>
    <row r="637" customFormat="1" x14ac:dyDescent="0.35"/>
    <row r="638" customFormat="1" x14ac:dyDescent="0.35"/>
    <row r="639" customFormat="1" x14ac:dyDescent="0.35"/>
    <row r="640" customFormat="1" x14ac:dyDescent="0.35"/>
    <row r="641" customFormat="1" x14ac:dyDescent="0.35"/>
    <row r="642" customFormat="1" x14ac:dyDescent="0.35"/>
    <row r="643" customFormat="1" x14ac:dyDescent="0.35"/>
    <row r="644" customFormat="1" x14ac:dyDescent="0.35"/>
    <row r="645" customFormat="1" x14ac:dyDescent="0.35"/>
    <row r="646" customFormat="1" x14ac:dyDescent="0.35"/>
    <row r="647" customFormat="1" x14ac:dyDescent="0.35"/>
    <row r="648" customFormat="1" x14ac:dyDescent="0.35"/>
    <row r="649" customFormat="1" x14ac:dyDescent="0.35"/>
    <row r="650" customFormat="1" x14ac:dyDescent="0.35"/>
    <row r="651" customFormat="1" x14ac:dyDescent="0.35"/>
    <row r="652" customFormat="1" x14ac:dyDescent="0.35"/>
    <row r="653" customFormat="1" x14ac:dyDescent="0.35"/>
    <row r="654" customFormat="1" x14ac:dyDescent="0.35"/>
    <row r="655" customFormat="1" x14ac:dyDescent="0.35"/>
    <row r="656" customFormat="1" x14ac:dyDescent="0.35"/>
    <row r="657" customFormat="1" x14ac:dyDescent="0.35"/>
    <row r="658" customFormat="1" x14ac:dyDescent="0.35"/>
    <row r="659" customFormat="1" x14ac:dyDescent="0.35"/>
    <row r="660" customFormat="1" x14ac:dyDescent="0.35"/>
    <row r="661" customFormat="1" x14ac:dyDescent="0.35"/>
    <row r="662" customFormat="1" x14ac:dyDescent="0.35"/>
    <row r="663" customFormat="1" x14ac:dyDescent="0.35"/>
    <row r="664" customFormat="1" x14ac:dyDescent="0.35"/>
    <row r="665" customFormat="1" x14ac:dyDescent="0.35"/>
    <row r="666" customFormat="1" x14ac:dyDescent="0.35"/>
    <row r="667" customFormat="1" x14ac:dyDescent="0.35"/>
    <row r="668" customFormat="1" x14ac:dyDescent="0.35"/>
    <row r="669" customFormat="1" x14ac:dyDescent="0.35"/>
    <row r="670" customFormat="1" x14ac:dyDescent="0.35"/>
    <row r="671" customFormat="1" x14ac:dyDescent="0.35"/>
    <row r="672" customFormat="1" x14ac:dyDescent="0.35"/>
    <row r="673" customFormat="1" x14ac:dyDescent="0.35"/>
    <row r="674" customFormat="1" x14ac:dyDescent="0.35"/>
    <row r="675" customFormat="1" x14ac:dyDescent="0.35"/>
    <row r="676" customFormat="1" x14ac:dyDescent="0.35"/>
    <row r="677" customFormat="1" x14ac:dyDescent="0.35"/>
    <row r="678" customFormat="1" x14ac:dyDescent="0.35"/>
    <row r="679" customFormat="1" x14ac:dyDescent="0.35"/>
    <row r="680" customFormat="1" x14ac:dyDescent="0.35"/>
    <row r="681" customFormat="1" x14ac:dyDescent="0.35"/>
    <row r="682" customFormat="1" x14ac:dyDescent="0.35"/>
    <row r="683" customFormat="1" x14ac:dyDescent="0.35"/>
    <row r="684" customFormat="1" x14ac:dyDescent="0.35"/>
    <row r="685" customFormat="1" x14ac:dyDescent="0.35"/>
    <row r="686" customFormat="1" x14ac:dyDescent="0.35"/>
    <row r="687" customFormat="1" x14ac:dyDescent="0.35"/>
    <row r="688" customFormat="1" x14ac:dyDescent="0.35"/>
    <row r="689" customFormat="1" x14ac:dyDescent="0.35"/>
    <row r="690" customFormat="1" x14ac:dyDescent="0.35"/>
    <row r="691" customFormat="1" x14ac:dyDescent="0.35"/>
    <row r="692" customFormat="1" x14ac:dyDescent="0.35"/>
    <row r="693" customFormat="1" x14ac:dyDescent="0.35"/>
    <row r="694" customFormat="1" x14ac:dyDescent="0.35"/>
    <row r="695" customFormat="1" x14ac:dyDescent="0.35"/>
    <row r="696" customFormat="1" x14ac:dyDescent="0.35"/>
    <row r="697" customFormat="1" x14ac:dyDescent="0.35"/>
    <row r="698" customFormat="1" x14ac:dyDescent="0.35"/>
    <row r="699" customFormat="1" x14ac:dyDescent="0.35"/>
    <row r="700" customFormat="1" x14ac:dyDescent="0.35"/>
    <row r="701" customFormat="1" x14ac:dyDescent="0.35"/>
    <row r="702" customFormat="1" x14ac:dyDescent="0.35"/>
    <row r="703" customFormat="1" x14ac:dyDescent="0.35"/>
    <row r="704" customFormat="1" x14ac:dyDescent="0.35"/>
    <row r="705" customFormat="1" x14ac:dyDescent="0.35"/>
    <row r="706" customFormat="1" x14ac:dyDescent="0.35"/>
    <row r="707" customFormat="1" x14ac:dyDescent="0.35"/>
    <row r="708" customFormat="1" x14ac:dyDescent="0.35"/>
    <row r="709" customFormat="1" x14ac:dyDescent="0.35"/>
    <row r="710" customFormat="1" x14ac:dyDescent="0.35"/>
    <row r="711" customFormat="1" x14ac:dyDescent="0.35"/>
    <row r="712" customFormat="1" x14ac:dyDescent="0.35"/>
    <row r="713" customFormat="1" x14ac:dyDescent="0.35"/>
    <row r="714" customFormat="1" x14ac:dyDescent="0.35"/>
    <row r="715" customFormat="1" x14ac:dyDescent="0.35"/>
    <row r="716" customFormat="1" x14ac:dyDescent="0.35"/>
    <row r="717" customFormat="1" x14ac:dyDescent="0.35"/>
    <row r="718" customFormat="1" x14ac:dyDescent="0.35"/>
    <row r="719" customFormat="1" x14ac:dyDescent="0.35"/>
    <row r="720" customFormat="1" x14ac:dyDescent="0.35"/>
    <row r="721" customFormat="1" x14ac:dyDescent="0.35"/>
    <row r="722" customFormat="1" x14ac:dyDescent="0.35"/>
    <row r="723" customFormat="1" x14ac:dyDescent="0.35"/>
    <row r="724" customFormat="1" x14ac:dyDescent="0.35"/>
    <row r="725" customFormat="1" x14ac:dyDescent="0.35"/>
    <row r="726" customFormat="1" x14ac:dyDescent="0.35"/>
    <row r="727" customFormat="1" x14ac:dyDescent="0.35"/>
    <row r="728" customFormat="1" x14ac:dyDescent="0.35"/>
    <row r="729" customFormat="1" x14ac:dyDescent="0.35"/>
    <row r="730" customFormat="1" x14ac:dyDescent="0.35"/>
    <row r="731" customFormat="1" x14ac:dyDescent="0.35"/>
    <row r="732" customFormat="1" x14ac:dyDescent="0.35"/>
    <row r="733" customFormat="1" x14ac:dyDescent="0.35"/>
    <row r="734" customFormat="1" x14ac:dyDescent="0.35"/>
    <row r="735" customFormat="1" x14ac:dyDescent="0.35"/>
    <row r="736" customFormat="1" x14ac:dyDescent="0.35"/>
    <row r="737" customFormat="1" x14ac:dyDescent="0.35"/>
    <row r="738" customFormat="1" x14ac:dyDescent="0.35"/>
    <row r="739" customFormat="1" x14ac:dyDescent="0.35"/>
    <row r="740" customFormat="1" x14ac:dyDescent="0.35"/>
    <row r="741" customFormat="1" x14ac:dyDescent="0.35"/>
    <row r="742" customFormat="1" x14ac:dyDescent="0.35"/>
    <row r="743" customFormat="1" x14ac:dyDescent="0.35"/>
    <row r="744" customFormat="1" x14ac:dyDescent="0.35"/>
    <row r="745" customFormat="1" x14ac:dyDescent="0.35"/>
    <row r="746" customFormat="1" x14ac:dyDescent="0.35"/>
    <row r="747" customFormat="1" x14ac:dyDescent="0.35"/>
    <row r="748" customFormat="1" x14ac:dyDescent="0.35"/>
    <row r="749" customFormat="1" x14ac:dyDescent="0.35"/>
    <row r="750" customFormat="1" x14ac:dyDescent="0.35"/>
    <row r="751" customFormat="1" x14ac:dyDescent="0.35"/>
    <row r="752" customFormat="1" x14ac:dyDescent="0.35"/>
    <row r="753" customFormat="1" x14ac:dyDescent="0.35"/>
    <row r="754" customFormat="1" x14ac:dyDescent="0.35"/>
    <row r="755" customFormat="1" x14ac:dyDescent="0.35"/>
    <row r="756" customFormat="1" x14ac:dyDescent="0.35"/>
    <row r="757" customFormat="1" x14ac:dyDescent="0.35"/>
    <row r="758" customFormat="1" x14ac:dyDescent="0.35"/>
    <row r="759" customFormat="1" x14ac:dyDescent="0.35"/>
    <row r="760" customFormat="1" x14ac:dyDescent="0.35"/>
    <row r="761" customFormat="1" x14ac:dyDescent="0.35"/>
    <row r="762" customFormat="1" x14ac:dyDescent="0.35"/>
    <row r="763" customFormat="1" x14ac:dyDescent="0.35"/>
    <row r="764" customFormat="1" x14ac:dyDescent="0.35"/>
    <row r="765" customFormat="1" x14ac:dyDescent="0.35"/>
    <row r="766" customFormat="1" x14ac:dyDescent="0.35"/>
    <row r="767" customFormat="1" x14ac:dyDescent="0.35"/>
    <row r="768" customFormat="1" x14ac:dyDescent="0.35"/>
    <row r="769" customFormat="1" x14ac:dyDescent="0.35"/>
    <row r="770" customFormat="1" x14ac:dyDescent="0.35"/>
    <row r="771" customFormat="1" x14ac:dyDescent="0.35"/>
    <row r="772" customFormat="1" x14ac:dyDescent="0.35"/>
    <row r="773" customFormat="1" x14ac:dyDescent="0.35"/>
    <row r="774" customFormat="1" x14ac:dyDescent="0.35"/>
    <row r="775" customFormat="1" x14ac:dyDescent="0.35"/>
    <row r="776" customFormat="1" x14ac:dyDescent="0.35"/>
    <row r="777" customFormat="1" x14ac:dyDescent="0.35"/>
    <row r="778" customFormat="1" x14ac:dyDescent="0.35"/>
    <row r="779" customFormat="1" x14ac:dyDescent="0.35"/>
    <row r="780" customFormat="1" x14ac:dyDescent="0.35"/>
    <row r="781" customFormat="1" x14ac:dyDescent="0.35"/>
    <row r="782" customFormat="1" x14ac:dyDescent="0.35"/>
    <row r="783" customFormat="1" x14ac:dyDescent="0.35"/>
    <row r="784" customFormat="1" x14ac:dyDescent="0.35"/>
    <row r="785" customFormat="1" x14ac:dyDescent="0.35"/>
    <row r="786" customFormat="1" x14ac:dyDescent="0.35"/>
    <row r="787" customFormat="1" x14ac:dyDescent="0.35"/>
    <row r="788" customFormat="1" x14ac:dyDescent="0.35"/>
    <row r="789" customFormat="1" x14ac:dyDescent="0.35"/>
    <row r="790" customFormat="1" x14ac:dyDescent="0.35"/>
    <row r="791" customFormat="1" x14ac:dyDescent="0.35"/>
    <row r="792" customFormat="1" x14ac:dyDescent="0.35"/>
    <row r="793" customFormat="1" x14ac:dyDescent="0.35"/>
    <row r="794" customFormat="1" x14ac:dyDescent="0.35"/>
    <row r="795" customFormat="1" x14ac:dyDescent="0.35"/>
    <row r="796" customFormat="1" x14ac:dyDescent="0.35"/>
    <row r="797" customFormat="1" x14ac:dyDescent="0.35"/>
    <row r="798" customFormat="1" x14ac:dyDescent="0.35"/>
    <row r="799" customFormat="1" x14ac:dyDescent="0.35"/>
    <row r="800" customFormat="1" x14ac:dyDescent="0.35"/>
    <row r="801" customFormat="1" x14ac:dyDescent="0.35"/>
    <row r="802" customFormat="1" x14ac:dyDescent="0.35"/>
    <row r="803" customFormat="1" x14ac:dyDescent="0.35"/>
    <row r="804" customFormat="1" x14ac:dyDescent="0.35"/>
    <row r="805" customFormat="1" x14ac:dyDescent="0.35"/>
    <row r="806" customFormat="1" x14ac:dyDescent="0.35"/>
    <row r="807" customFormat="1" x14ac:dyDescent="0.35"/>
    <row r="808" customFormat="1" x14ac:dyDescent="0.35"/>
    <row r="809" customFormat="1" x14ac:dyDescent="0.35"/>
    <row r="810" customFormat="1" x14ac:dyDescent="0.35"/>
    <row r="811" customFormat="1" x14ac:dyDescent="0.35"/>
    <row r="812" customFormat="1" x14ac:dyDescent="0.35"/>
    <row r="813" customFormat="1" x14ac:dyDescent="0.35"/>
    <row r="814" customFormat="1" x14ac:dyDescent="0.35"/>
    <row r="815" customFormat="1" x14ac:dyDescent="0.35"/>
    <row r="816" customFormat="1" x14ac:dyDescent="0.35"/>
    <row r="817" customFormat="1" x14ac:dyDescent="0.35"/>
    <row r="818" customFormat="1" x14ac:dyDescent="0.35"/>
    <row r="819" customFormat="1" x14ac:dyDescent="0.35"/>
    <row r="820" customFormat="1" x14ac:dyDescent="0.35"/>
    <row r="821" customFormat="1" x14ac:dyDescent="0.35"/>
    <row r="822" customFormat="1" x14ac:dyDescent="0.35"/>
    <row r="823" customFormat="1" x14ac:dyDescent="0.35"/>
    <row r="824" customFormat="1" x14ac:dyDescent="0.35"/>
    <row r="825" customFormat="1" x14ac:dyDescent="0.35"/>
    <row r="826" customFormat="1" x14ac:dyDescent="0.35"/>
    <row r="827" customFormat="1" x14ac:dyDescent="0.35"/>
    <row r="828" customFormat="1" x14ac:dyDescent="0.35"/>
    <row r="829" customFormat="1" x14ac:dyDescent="0.35"/>
    <row r="830" customFormat="1" x14ac:dyDescent="0.35"/>
    <row r="831" customFormat="1" x14ac:dyDescent="0.35"/>
    <row r="832" customFormat="1" x14ac:dyDescent="0.35"/>
    <row r="833" customFormat="1" x14ac:dyDescent="0.35"/>
    <row r="834" customFormat="1" x14ac:dyDescent="0.35"/>
    <row r="835" customFormat="1" x14ac:dyDescent="0.35"/>
    <row r="836" customFormat="1" x14ac:dyDescent="0.35"/>
    <row r="837" customFormat="1" x14ac:dyDescent="0.35"/>
    <row r="838" customFormat="1" x14ac:dyDescent="0.35"/>
    <row r="839" customFormat="1" x14ac:dyDescent="0.35"/>
    <row r="840" customFormat="1" x14ac:dyDescent="0.35"/>
    <row r="841" customFormat="1" x14ac:dyDescent="0.35"/>
    <row r="842" customFormat="1" x14ac:dyDescent="0.35"/>
    <row r="843" customFormat="1" x14ac:dyDescent="0.35"/>
    <row r="844" customFormat="1" x14ac:dyDescent="0.35"/>
    <row r="845" customFormat="1" x14ac:dyDescent="0.35"/>
    <row r="846" customFormat="1" x14ac:dyDescent="0.35"/>
    <row r="847" customFormat="1" x14ac:dyDescent="0.35"/>
    <row r="848" customFormat="1" x14ac:dyDescent="0.35"/>
    <row r="849" customFormat="1" x14ac:dyDescent="0.35"/>
    <row r="850" customFormat="1" x14ac:dyDescent="0.35"/>
    <row r="851" customFormat="1" x14ac:dyDescent="0.35"/>
    <row r="852" customFormat="1" x14ac:dyDescent="0.35"/>
    <row r="853" customFormat="1" x14ac:dyDescent="0.35"/>
    <row r="854" customFormat="1" x14ac:dyDescent="0.35"/>
    <row r="855" customFormat="1" x14ac:dyDescent="0.35"/>
    <row r="856" customFormat="1" x14ac:dyDescent="0.35"/>
    <row r="857" customFormat="1" x14ac:dyDescent="0.35"/>
    <row r="858" customFormat="1" x14ac:dyDescent="0.35"/>
    <row r="859" customFormat="1" x14ac:dyDescent="0.35"/>
    <row r="860" customFormat="1" x14ac:dyDescent="0.35"/>
    <row r="861" customFormat="1" x14ac:dyDescent="0.35"/>
    <row r="862" customFormat="1" x14ac:dyDescent="0.35"/>
    <row r="863" customFormat="1" x14ac:dyDescent="0.35"/>
    <row r="864" customFormat="1" x14ac:dyDescent="0.35"/>
    <row r="865" customFormat="1" x14ac:dyDescent="0.35"/>
    <row r="866" customFormat="1" x14ac:dyDescent="0.35"/>
    <row r="867" customFormat="1" x14ac:dyDescent="0.35"/>
    <row r="868" customFormat="1" x14ac:dyDescent="0.35"/>
    <row r="869" customFormat="1" x14ac:dyDescent="0.35"/>
    <row r="870" customFormat="1" x14ac:dyDescent="0.35"/>
    <row r="871" customFormat="1" x14ac:dyDescent="0.35"/>
    <row r="872" customFormat="1" x14ac:dyDescent="0.35"/>
    <row r="873" customFormat="1" x14ac:dyDescent="0.35"/>
    <row r="874" customFormat="1" x14ac:dyDescent="0.35"/>
    <row r="875" customFormat="1" x14ac:dyDescent="0.35"/>
    <row r="876" customFormat="1" x14ac:dyDescent="0.35"/>
    <row r="877" customFormat="1" x14ac:dyDescent="0.35"/>
    <row r="878" customFormat="1" x14ac:dyDescent="0.35"/>
    <row r="879" customFormat="1" x14ac:dyDescent="0.35"/>
    <row r="880" customFormat="1" x14ac:dyDescent="0.35"/>
    <row r="881" customFormat="1" x14ac:dyDescent="0.35"/>
    <row r="882" customFormat="1" x14ac:dyDescent="0.35"/>
    <row r="883" customFormat="1" x14ac:dyDescent="0.35"/>
    <row r="884" customFormat="1" x14ac:dyDescent="0.35"/>
    <row r="885" customFormat="1" x14ac:dyDescent="0.35"/>
    <row r="886" customFormat="1" x14ac:dyDescent="0.35"/>
    <row r="887" customFormat="1" x14ac:dyDescent="0.35"/>
    <row r="888" customFormat="1" x14ac:dyDescent="0.35"/>
    <row r="889" customFormat="1" x14ac:dyDescent="0.35"/>
    <row r="890" customFormat="1" x14ac:dyDescent="0.35"/>
    <row r="891" customFormat="1" x14ac:dyDescent="0.35"/>
    <row r="892" customFormat="1" x14ac:dyDescent="0.35"/>
    <row r="893" customFormat="1" x14ac:dyDescent="0.35"/>
    <row r="894" customFormat="1" x14ac:dyDescent="0.35"/>
    <row r="895" customFormat="1" x14ac:dyDescent="0.35"/>
    <row r="896" customFormat="1" x14ac:dyDescent="0.35"/>
    <row r="897" customFormat="1" x14ac:dyDescent="0.35"/>
    <row r="898" customFormat="1" x14ac:dyDescent="0.35"/>
    <row r="899" customFormat="1" x14ac:dyDescent="0.35"/>
    <row r="900" customFormat="1" x14ac:dyDescent="0.35"/>
    <row r="901" customFormat="1" x14ac:dyDescent="0.35"/>
    <row r="902" customFormat="1" x14ac:dyDescent="0.35"/>
    <row r="903" customFormat="1" x14ac:dyDescent="0.35"/>
    <row r="904" customFormat="1" x14ac:dyDescent="0.35"/>
    <row r="905" customFormat="1" x14ac:dyDescent="0.35"/>
    <row r="906" customFormat="1" x14ac:dyDescent="0.35"/>
    <row r="907" customFormat="1" x14ac:dyDescent="0.35"/>
    <row r="908" customFormat="1" x14ac:dyDescent="0.35"/>
    <row r="909" customFormat="1" x14ac:dyDescent="0.35"/>
    <row r="910" customFormat="1" x14ac:dyDescent="0.35"/>
    <row r="911" customFormat="1" x14ac:dyDescent="0.35"/>
    <row r="912" customFormat="1" x14ac:dyDescent="0.35"/>
    <row r="913" customFormat="1" x14ac:dyDescent="0.35"/>
    <row r="914" customFormat="1" x14ac:dyDescent="0.35"/>
    <row r="915" customFormat="1" x14ac:dyDescent="0.35"/>
    <row r="916" customFormat="1" x14ac:dyDescent="0.35"/>
    <row r="917" customFormat="1" x14ac:dyDescent="0.35"/>
    <row r="918" customFormat="1" x14ac:dyDescent="0.35"/>
    <row r="919" customFormat="1" x14ac:dyDescent="0.35"/>
    <row r="920" customFormat="1" x14ac:dyDescent="0.35"/>
    <row r="921" customFormat="1" x14ac:dyDescent="0.35"/>
    <row r="922" customFormat="1" x14ac:dyDescent="0.35"/>
    <row r="923" customFormat="1" x14ac:dyDescent="0.35"/>
    <row r="924" customFormat="1" x14ac:dyDescent="0.35"/>
    <row r="925" customFormat="1" x14ac:dyDescent="0.35"/>
    <row r="926" customFormat="1" x14ac:dyDescent="0.35"/>
    <row r="927" customFormat="1" x14ac:dyDescent="0.35"/>
    <row r="928" customFormat="1" x14ac:dyDescent="0.35"/>
    <row r="929" customFormat="1" x14ac:dyDescent="0.35"/>
    <row r="930" customFormat="1" x14ac:dyDescent="0.35"/>
    <row r="931" customFormat="1" x14ac:dyDescent="0.35"/>
    <row r="932" customFormat="1" x14ac:dyDescent="0.35"/>
    <row r="933" customFormat="1" x14ac:dyDescent="0.35"/>
    <row r="934" customFormat="1" x14ac:dyDescent="0.35"/>
    <row r="935" customFormat="1" x14ac:dyDescent="0.35"/>
    <row r="936" customFormat="1" x14ac:dyDescent="0.35"/>
    <row r="937" customFormat="1" x14ac:dyDescent="0.35"/>
    <row r="938" customFormat="1" x14ac:dyDescent="0.35"/>
    <row r="939" customFormat="1" x14ac:dyDescent="0.35"/>
    <row r="940" customFormat="1" x14ac:dyDescent="0.35"/>
    <row r="941" customFormat="1" x14ac:dyDescent="0.35"/>
    <row r="942" customFormat="1" x14ac:dyDescent="0.35"/>
    <row r="943" customFormat="1" x14ac:dyDescent="0.35"/>
    <row r="944" customFormat="1" x14ac:dyDescent="0.35"/>
    <row r="945" customFormat="1" x14ac:dyDescent="0.35"/>
    <row r="946" customFormat="1" x14ac:dyDescent="0.35"/>
    <row r="947" customFormat="1" x14ac:dyDescent="0.35"/>
    <row r="948" customFormat="1" x14ac:dyDescent="0.35"/>
    <row r="949" customFormat="1" x14ac:dyDescent="0.35"/>
    <row r="950" customFormat="1" x14ac:dyDescent="0.35"/>
    <row r="951" customFormat="1" x14ac:dyDescent="0.35"/>
    <row r="952" customFormat="1" x14ac:dyDescent="0.35"/>
    <row r="953" customFormat="1" x14ac:dyDescent="0.35"/>
    <row r="954" customFormat="1" x14ac:dyDescent="0.35"/>
    <row r="955" customFormat="1" x14ac:dyDescent="0.35"/>
    <row r="956" customFormat="1" x14ac:dyDescent="0.35"/>
    <row r="957" customFormat="1" x14ac:dyDescent="0.35"/>
    <row r="958" customFormat="1" x14ac:dyDescent="0.35"/>
    <row r="959" customFormat="1" x14ac:dyDescent="0.35"/>
    <row r="960" customFormat="1" x14ac:dyDescent="0.35"/>
    <row r="961" customFormat="1" x14ac:dyDescent="0.35"/>
    <row r="962" customFormat="1" x14ac:dyDescent="0.35"/>
    <row r="963" customFormat="1" x14ac:dyDescent="0.35"/>
    <row r="964" customFormat="1" x14ac:dyDescent="0.35"/>
    <row r="965" customFormat="1" x14ac:dyDescent="0.35"/>
    <row r="966" customFormat="1" x14ac:dyDescent="0.35"/>
    <row r="967" customFormat="1" x14ac:dyDescent="0.35"/>
    <row r="968" customFormat="1" x14ac:dyDescent="0.35"/>
    <row r="969" customFormat="1" x14ac:dyDescent="0.35"/>
    <row r="970" customFormat="1" x14ac:dyDescent="0.35"/>
    <row r="971" customFormat="1" x14ac:dyDescent="0.35"/>
    <row r="972" customFormat="1" x14ac:dyDescent="0.35"/>
    <row r="973" customFormat="1" x14ac:dyDescent="0.35"/>
    <row r="974" customFormat="1" x14ac:dyDescent="0.35"/>
    <row r="975" customFormat="1" x14ac:dyDescent="0.35"/>
    <row r="976" customFormat="1" x14ac:dyDescent="0.35"/>
    <row r="977" customFormat="1" x14ac:dyDescent="0.35"/>
    <row r="978" customFormat="1" x14ac:dyDescent="0.35"/>
    <row r="979" customFormat="1" x14ac:dyDescent="0.35"/>
    <row r="980" customFormat="1" x14ac:dyDescent="0.35"/>
    <row r="981" customFormat="1" x14ac:dyDescent="0.35"/>
    <row r="982" customFormat="1" x14ac:dyDescent="0.35"/>
    <row r="983" customFormat="1" x14ac:dyDescent="0.35"/>
    <row r="984" customFormat="1" x14ac:dyDescent="0.35"/>
    <row r="985" customFormat="1" x14ac:dyDescent="0.35"/>
    <row r="986" customFormat="1" x14ac:dyDescent="0.35"/>
    <row r="987" customFormat="1" x14ac:dyDescent="0.35"/>
    <row r="988" customFormat="1" x14ac:dyDescent="0.35"/>
    <row r="989" customFormat="1" x14ac:dyDescent="0.35"/>
    <row r="990" customFormat="1" x14ac:dyDescent="0.35"/>
    <row r="991" customFormat="1" x14ac:dyDescent="0.35"/>
    <row r="992" customFormat="1" x14ac:dyDescent="0.35"/>
    <row r="993" customFormat="1" x14ac:dyDescent="0.35"/>
    <row r="994" customFormat="1" x14ac:dyDescent="0.35"/>
    <row r="995" customFormat="1" x14ac:dyDescent="0.35"/>
    <row r="996" customFormat="1" x14ac:dyDescent="0.35"/>
    <row r="997" customFormat="1" x14ac:dyDescent="0.35"/>
    <row r="998" customFormat="1" x14ac:dyDescent="0.35"/>
    <row r="999" customFormat="1" x14ac:dyDescent="0.35"/>
    <row r="1000" customFormat="1" x14ac:dyDescent="0.35"/>
    <row r="1001" customFormat="1" x14ac:dyDescent="0.35"/>
    <row r="1002" customFormat="1" x14ac:dyDescent="0.35"/>
    <row r="1003" customFormat="1" x14ac:dyDescent="0.35"/>
    <row r="1004" customFormat="1" x14ac:dyDescent="0.35"/>
    <row r="1005" customFormat="1" x14ac:dyDescent="0.35"/>
    <row r="1006" customFormat="1" x14ac:dyDescent="0.35"/>
    <row r="1007" customFormat="1" x14ac:dyDescent="0.35"/>
    <row r="1008" customFormat="1" x14ac:dyDescent="0.35"/>
    <row r="1009" customFormat="1" x14ac:dyDescent="0.35"/>
    <row r="1010" customFormat="1" x14ac:dyDescent="0.35"/>
    <row r="1011" customFormat="1" x14ac:dyDescent="0.35"/>
    <row r="1012" customFormat="1" x14ac:dyDescent="0.35"/>
    <row r="1013" customFormat="1" x14ac:dyDescent="0.35"/>
    <row r="1014" customFormat="1" x14ac:dyDescent="0.35"/>
    <row r="1015" customFormat="1" x14ac:dyDescent="0.35"/>
    <row r="1016" customFormat="1" x14ac:dyDescent="0.35"/>
    <row r="1017" customFormat="1" x14ac:dyDescent="0.35"/>
    <row r="1018" customFormat="1" x14ac:dyDescent="0.35"/>
    <row r="1019" customFormat="1" x14ac:dyDescent="0.35"/>
    <row r="1020" customFormat="1" x14ac:dyDescent="0.35"/>
    <row r="1021" customFormat="1" x14ac:dyDescent="0.35"/>
    <row r="1022" customFormat="1" x14ac:dyDescent="0.35"/>
    <row r="1023" customFormat="1" x14ac:dyDescent="0.35"/>
    <row r="1024" customFormat="1" x14ac:dyDescent="0.35"/>
    <row r="1025" customFormat="1" x14ac:dyDescent="0.35"/>
    <row r="1026" customFormat="1" x14ac:dyDescent="0.35"/>
    <row r="1027" customFormat="1" x14ac:dyDescent="0.35"/>
    <row r="1028" customFormat="1" x14ac:dyDescent="0.35"/>
    <row r="1029" customFormat="1" x14ac:dyDescent="0.35"/>
    <row r="1030" customFormat="1" x14ac:dyDescent="0.35"/>
    <row r="1031" customFormat="1" x14ac:dyDescent="0.35"/>
    <row r="1032" customFormat="1" x14ac:dyDescent="0.35"/>
    <row r="1033" customFormat="1" x14ac:dyDescent="0.35"/>
    <row r="1034" customFormat="1" x14ac:dyDescent="0.35"/>
    <row r="1035" customFormat="1" x14ac:dyDescent="0.35"/>
    <row r="1036" customFormat="1" x14ac:dyDescent="0.35"/>
    <row r="1037" customFormat="1" x14ac:dyDescent="0.35"/>
    <row r="1038" customFormat="1" x14ac:dyDescent="0.35"/>
    <row r="1039" customFormat="1" x14ac:dyDescent="0.35"/>
    <row r="1040" customFormat="1" x14ac:dyDescent="0.35"/>
    <row r="1041" customFormat="1" x14ac:dyDescent="0.35"/>
    <row r="1042" customFormat="1" x14ac:dyDescent="0.35"/>
    <row r="1043" customFormat="1" x14ac:dyDescent="0.35"/>
    <row r="1044" customFormat="1" x14ac:dyDescent="0.35"/>
    <row r="1045" customFormat="1" x14ac:dyDescent="0.35"/>
    <row r="1046" customFormat="1" x14ac:dyDescent="0.35"/>
    <row r="1047" customFormat="1" x14ac:dyDescent="0.35"/>
    <row r="1048" customFormat="1" x14ac:dyDescent="0.35"/>
    <row r="1049" customFormat="1" x14ac:dyDescent="0.35"/>
    <row r="1050" customFormat="1" x14ac:dyDescent="0.35"/>
    <row r="1051" customFormat="1" x14ac:dyDescent="0.35"/>
    <row r="1052" customFormat="1" x14ac:dyDescent="0.35"/>
    <row r="1053" customFormat="1" x14ac:dyDescent="0.35"/>
    <row r="1054" customFormat="1" x14ac:dyDescent="0.35"/>
    <row r="1055" customFormat="1" x14ac:dyDescent="0.35"/>
    <row r="1056" customFormat="1" x14ac:dyDescent="0.35"/>
    <row r="1057" customFormat="1" x14ac:dyDescent="0.35"/>
    <row r="1058" customFormat="1" x14ac:dyDescent="0.35"/>
    <row r="1059" customFormat="1" x14ac:dyDescent="0.35"/>
    <row r="1060" customFormat="1" x14ac:dyDescent="0.35"/>
    <row r="1061" customFormat="1" x14ac:dyDescent="0.35"/>
    <row r="1062" customFormat="1" x14ac:dyDescent="0.35"/>
    <row r="1063" customFormat="1" x14ac:dyDescent="0.35"/>
    <row r="1064" customFormat="1" x14ac:dyDescent="0.35"/>
    <row r="1065" customFormat="1" x14ac:dyDescent="0.35"/>
    <row r="1066" customFormat="1" x14ac:dyDescent="0.35"/>
    <row r="1067" customFormat="1" x14ac:dyDescent="0.35"/>
    <row r="1068" customFormat="1" x14ac:dyDescent="0.35"/>
    <row r="1069" customFormat="1" x14ac:dyDescent="0.35"/>
    <row r="1070" customFormat="1" x14ac:dyDescent="0.35"/>
    <row r="1071" customFormat="1" x14ac:dyDescent="0.35"/>
    <row r="1072" customFormat="1" x14ac:dyDescent="0.35"/>
    <row r="1073" customFormat="1" x14ac:dyDescent="0.35"/>
    <row r="1074" customFormat="1" x14ac:dyDescent="0.35"/>
    <row r="1075" customFormat="1" x14ac:dyDescent="0.35"/>
    <row r="1076" customFormat="1" x14ac:dyDescent="0.35"/>
    <row r="1077" customFormat="1" x14ac:dyDescent="0.35"/>
    <row r="1078" customFormat="1" x14ac:dyDescent="0.35"/>
    <row r="1079" customFormat="1" x14ac:dyDescent="0.35"/>
    <row r="1080" customFormat="1" x14ac:dyDescent="0.35"/>
    <row r="1081" customFormat="1" x14ac:dyDescent="0.35"/>
    <row r="1082" customFormat="1" x14ac:dyDescent="0.35"/>
    <row r="1083" customFormat="1" x14ac:dyDescent="0.35"/>
    <row r="1084" customFormat="1" x14ac:dyDescent="0.35"/>
    <row r="1085" customFormat="1" x14ac:dyDescent="0.35"/>
    <row r="1086" customFormat="1" x14ac:dyDescent="0.35"/>
    <row r="1087" customFormat="1" x14ac:dyDescent="0.35"/>
    <row r="1088" customFormat="1" x14ac:dyDescent="0.35"/>
    <row r="1089" customFormat="1" x14ac:dyDescent="0.35"/>
    <row r="1090" customFormat="1" x14ac:dyDescent="0.35"/>
    <row r="1091" customFormat="1" x14ac:dyDescent="0.35"/>
    <row r="1092" customFormat="1" x14ac:dyDescent="0.35"/>
    <row r="1093" customFormat="1" x14ac:dyDescent="0.35"/>
    <row r="1094" customFormat="1" x14ac:dyDescent="0.35"/>
    <row r="1095" customFormat="1" x14ac:dyDescent="0.35"/>
    <row r="1096" customFormat="1" x14ac:dyDescent="0.35"/>
    <row r="1097" customFormat="1" x14ac:dyDescent="0.35"/>
    <row r="1098" customFormat="1" x14ac:dyDescent="0.35"/>
    <row r="1099" customFormat="1" x14ac:dyDescent="0.35"/>
    <row r="1100" customFormat="1" x14ac:dyDescent="0.35"/>
    <row r="1101" customFormat="1" x14ac:dyDescent="0.35"/>
    <row r="1102" customFormat="1" x14ac:dyDescent="0.35"/>
    <row r="1103" customFormat="1" x14ac:dyDescent="0.35"/>
    <row r="1104" customFormat="1" x14ac:dyDescent="0.35"/>
    <row r="1105" customFormat="1" x14ac:dyDescent="0.35"/>
    <row r="1106" customFormat="1" x14ac:dyDescent="0.35"/>
    <row r="1107" customFormat="1" x14ac:dyDescent="0.35"/>
    <row r="1108" customFormat="1" x14ac:dyDescent="0.35"/>
    <row r="1109" customFormat="1" x14ac:dyDescent="0.35"/>
    <row r="1110" customFormat="1" x14ac:dyDescent="0.35"/>
    <row r="1111" customFormat="1" x14ac:dyDescent="0.35"/>
    <row r="1112" customFormat="1" x14ac:dyDescent="0.35"/>
    <row r="1113" customFormat="1" x14ac:dyDescent="0.35"/>
    <row r="1114" customFormat="1" x14ac:dyDescent="0.35"/>
    <row r="1115" customFormat="1" x14ac:dyDescent="0.35"/>
    <row r="1116" customFormat="1" x14ac:dyDescent="0.35"/>
    <row r="1117" customFormat="1" x14ac:dyDescent="0.35"/>
    <row r="1118" customFormat="1" x14ac:dyDescent="0.35"/>
    <row r="1119" customFormat="1" x14ac:dyDescent="0.35"/>
    <row r="1120" customFormat="1" x14ac:dyDescent="0.35"/>
    <row r="1121" customFormat="1" x14ac:dyDescent="0.35"/>
    <row r="1122" customFormat="1" x14ac:dyDescent="0.35"/>
    <row r="1123" customFormat="1" x14ac:dyDescent="0.35"/>
    <row r="1124" customFormat="1" x14ac:dyDescent="0.35"/>
    <row r="1125" customFormat="1" x14ac:dyDescent="0.35"/>
    <row r="1126" customFormat="1" x14ac:dyDescent="0.35"/>
    <row r="1127" customFormat="1" x14ac:dyDescent="0.35"/>
    <row r="1128" customFormat="1" x14ac:dyDescent="0.35"/>
    <row r="1129" customFormat="1" x14ac:dyDescent="0.35"/>
    <row r="1130" customFormat="1" x14ac:dyDescent="0.35"/>
    <row r="1131" customFormat="1" x14ac:dyDescent="0.35"/>
    <row r="1132" customFormat="1" x14ac:dyDescent="0.35"/>
    <row r="1133" customFormat="1" x14ac:dyDescent="0.35"/>
    <row r="1134" customFormat="1" x14ac:dyDescent="0.35"/>
    <row r="1135" customFormat="1" x14ac:dyDescent="0.35"/>
    <row r="1136" customFormat="1" x14ac:dyDescent="0.35"/>
    <row r="1137" customFormat="1" x14ac:dyDescent="0.35"/>
    <row r="1138" customFormat="1" x14ac:dyDescent="0.35"/>
    <row r="1139" customFormat="1" x14ac:dyDescent="0.35"/>
    <row r="1140" customFormat="1" x14ac:dyDescent="0.35"/>
    <row r="1141" customFormat="1" x14ac:dyDescent="0.35"/>
    <row r="1142" customFormat="1" x14ac:dyDescent="0.35"/>
    <row r="1143" customFormat="1" x14ac:dyDescent="0.35"/>
    <row r="1144" customFormat="1" x14ac:dyDescent="0.35"/>
    <row r="1145" customFormat="1" x14ac:dyDescent="0.35"/>
    <row r="1146" customFormat="1" x14ac:dyDescent="0.35"/>
    <row r="1147" customFormat="1" x14ac:dyDescent="0.35"/>
    <row r="1148" customFormat="1" x14ac:dyDescent="0.35"/>
    <row r="1149" customFormat="1" x14ac:dyDescent="0.35"/>
    <row r="1150" customFormat="1" x14ac:dyDescent="0.35"/>
    <row r="1151" customFormat="1" x14ac:dyDescent="0.35"/>
    <row r="1152" customFormat="1" x14ac:dyDescent="0.35"/>
    <row r="1153" customFormat="1" x14ac:dyDescent="0.35"/>
    <row r="1154" customFormat="1" x14ac:dyDescent="0.35"/>
    <row r="1155" customFormat="1" x14ac:dyDescent="0.35"/>
    <row r="1156" customFormat="1" x14ac:dyDescent="0.35"/>
    <row r="1157" customFormat="1" x14ac:dyDescent="0.35"/>
    <row r="1158" customFormat="1" x14ac:dyDescent="0.35"/>
    <row r="1159" customFormat="1" x14ac:dyDescent="0.35"/>
    <row r="1160" customFormat="1" x14ac:dyDescent="0.35"/>
    <row r="1161" customFormat="1" x14ac:dyDescent="0.35"/>
    <row r="1162" customFormat="1" x14ac:dyDescent="0.35"/>
    <row r="1163" customFormat="1" x14ac:dyDescent="0.35"/>
    <row r="1164" customFormat="1" x14ac:dyDescent="0.35"/>
    <row r="1165" customFormat="1" x14ac:dyDescent="0.35"/>
    <row r="1166" customFormat="1" x14ac:dyDescent="0.35"/>
    <row r="1167" customFormat="1" x14ac:dyDescent="0.35"/>
    <row r="1168" customFormat="1" x14ac:dyDescent="0.35"/>
    <row r="1169" customFormat="1" x14ac:dyDescent="0.35"/>
    <row r="1170" customFormat="1" x14ac:dyDescent="0.35"/>
    <row r="1171" customFormat="1" x14ac:dyDescent="0.35"/>
    <row r="1172" customFormat="1" x14ac:dyDescent="0.35"/>
    <row r="1173" customFormat="1" x14ac:dyDescent="0.35"/>
    <row r="1174" customFormat="1" x14ac:dyDescent="0.35"/>
    <row r="1175" customFormat="1" x14ac:dyDescent="0.35"/>
    <row r="1176" customFormat="1" x14ac:dyDescent="0.35"/>
    <row r="1177" customFormat="1" x14ac:dyDescent="0.35"/>
    <row r="1178" customFormat="1" x14ac:dyDescent="0.35"/>
    <row r="1179" customFormat="1" x14ac:dyDescent="0.35"/>
    <row r="1180" customFormat="1" x14ac:dyDescent="0.35"/>
    <row r="1181" customFormat="1" x14ac:dyDescent="0.35"/>
    <row r="1182" customFormat="1" x14ac:dyDescent="0.35"/>
    <row r="1183" customFormat="1" x14ac:dyDescent="0.35"/>
    <row r="1184" customFormat="1" x14ac:dyDescent="0.35"/>
    <row r="1185" customFormat="1" x14ac:dyDescent="0.35"/>
    <row r="1186" customFormat="1" x14ac:dyDescent="0.35"/>
    <row r="1187" customFormat="1" x14ac:dyDescent="0.35"/>
    <row r="1188" customFormat="1" x14ac:dyDescent="0.35"/>
    <row r="1189" customFormat="1" x14ac:dyDescent="0.35"/>
    <row r="1190" customFormat="1" x14ac:dyDescent="0.35"/>
    <row r="1191" customFormat="1" x14ac:dyDescent="0.35"/>
    <row r="1192" customFormat="1" x14ac:dyDescent="0.35"/>
    <row r="1193" customFormat="1" x14ac:dyDescent="0.35"/>
    <row r="1194" customFormat="1" x14ac:dyDescent="0.35"/>
    <row r="1195" customFormat="1" x14ac:dyDescent="0.35"/>
    <row r="1196" customFormat="1" x14ac:dyDescent="0.35"/>
    <row r="1197" customFormat="1" x14ac:dyDescent="0.35"/>
    <row r="1198" customFormat="1" x14ac:dyDescent="0.35"/>
    <row r="1199" customFormat="1" x14ac:dyDescent="0.35"/>
    <row r="1200" customFormat="1" x14ac:dyDescent="0.35"/>
    <row r="1201" customFormat="1" x14ac:dyDescent="0.35"/>
    <row r="1202" customFormat="1" x14ac:dyDescent="0.35"/>
    <row r="1203" customFormat="1" x14ac:dyDescent="0.35"/>
    <row r="1204" customFormat="1" x14ac:dyDescent="0.35"/>
    <row r="1205" customFormat="1" x14ac:dyDescent="0.35"/>
    <row r="1206" customFormat="1" x14ac:dyDescent="0.35"/>
    <row r="1207" customFormat="1" x14ac:dyDescent="0.35"/>
    <row r="1208" customFormat="1" x14ac:dyDescent="0.35"/>
    <row r="1209" customFormat="1" x14ac:dyDescent="0.35"/>
    <row r="1210" customFormat="1" x14ac:dyDescent="0.35"/>
    <row r="1211" customFormat="1" x14ac:dyDescent="0.35"/>
    <row r="1212" customFormat="1" x14ac:dyDescent="0.35"/>
    <row r="1213" customFormat="1" x14ac:dyDescent="0.35"/>
    <row r="1214" customFormat="1" x14ac:dyDescent="0.35"/>
    <row r="1215" customFormat="1" x14ac:dyDescent="0.35"/>
    <row r="1216" customFormat="1" x14ac:dyDescent="0.35"/>
    <row r="1217" customFormat="1" x14ac:dyDescent="0.35"/>
    <row r="1218" customFormat="1" x14ac:dyDescent="0.35"/>
    <row r="1219" customFormat="1" x14ac:dyDescent="0.35"/>
    <row r="1220" customFormat="1" x14ac:dyDescent="0.35"/>
    <row r="1221" customFormat="1" x14ac:dyDescent="0.35"/>
    <row r="1222" customFormat="1" x14ac:dyDescent="0.35"/>
    <row r="1223" customFormat="1" x14ac:dyDescent="0.35"/>
    <row r="1224" customFormat="1" x14ac:dyDescent="0.35"/>
    <row r="1225" customFormat="1" x14ac:dyDescent="0.35"/>
    <row r="1226" customFormat="1" x14ac:dyDescent="0.35"/>
    <row r="1227" customFormat="1" x14ac:dyDescent="0.35"/>
    <row r="1228" customFormat="1" x14ac:dyDescent="0.35"/>
    <row r="1229" customFormat="1" x14ac:dyDescent="0.35"/>
    <row r="1230" customFormat="1" x14ac:dyDescent="0.35"/>
    <row r="1231" customFormat="1" x14ac:dyDescent="0.35"/>
    <row r="1232" customFormat="1" x14ac:dyDescent="0.35"/>
    <row r="1233" customFormat="1" x14ac:dyDescent="0.35"/>
    <row r="1234" customFormat="1" x14ac:dyDescent="0.35"/>
    <row r="1235" customFormat="1" x14ac:dyDescent="0.35"/>
    <row r="1236" customFormat="1" x14ac:dyDescent="0.35"/>
    <row r="1237" customFormat="1" x14ac:dyDescent="0.35"/>
    <row r="1238" customFormat="1" x14ac:dyDescent="0.35"/>
    <row r="1239" customFormat="1" x14ac:dyDescent="0.35"/>
    <row r="1240" customFormat="1" x14ac:dyDescent="0.35"/>
    <row r="1241" customFormat="1" x14ac:dyDescent="0.35"/>
    <row r="1242" customFormat="1" x14ac:dyDescent="0.35"/>
    <row r="1243" customFormat="1" x14ac:dyDescent="0.35"/>
    <row r="1244" customFormat="1" x14ac:dyDescent="0.35"/>
    <row r="1245" customFormat="1" x14ac:dyDescent="0.35"/>
    <row r="1246" customFormat="1" x14ac:dyDescent="0.35"/>
    <row r="1247" customFormat="1" x14ac:dyDescent="0.35"/>
    <row r="1248" customFormat="1" x14ac:dyDescent="0.35"/>
    <row r="1249" customFormat="1" x14ac:dyDescent="0.35"/>
    <row r="1250" customFormat="1" x14ac:dyDescent="0.35"/>
    <row r="1251" customFormat="1" x14ac:dyDescent="0.35"/>
    <row r="1252" customFormat="1" x14ac:dyDescent="0.35"/>
    <row r="1253" customFormat="1" x14ac:dyDescent="0.35"/>
    <row r="1254" customFormat="1" x14ac:dyDescent="0.35"/>
    <row r="1255" customFormat="1" x14ac:dyDescent="0.35"/>
    <row r="1256" customFormat="1" x14ac:dyDescent="0.35"/>
    <row r="1257" customFormat="1" x14ac:dyDescent="0.35"/>
    <row r="1258" customFormat="1" x14ac:dyDescent="0.35"/>
    <row r="1259" customFormat="1" x14ac:dyDescent="0.35"/>
    <row r="1260" customFormat="1" x14ac:dyDescent="0.35"/>
    <row r="1261" customFormat="1" x14ac:dyDescent="0.35"/>
    <row r="1262" customFormat="1" x14ac:dyDescent="0.35"/>
    <row r="1263" customFormat="1" x14ac:dyDescent="0.35"/>
    <row r="1264" customFormat="1" x14ac:dyDescent="0.35"/>
    <row r="1265" customFormat="1" x14ac:dyDescent="0.35"/>
    <row r="1266" customFormat="1" x14ac:dyDescent="0.35"/>
    <row r="1267" customFormat="1" x14ac:dyDescent="0.35"/>
    <row r="1268" customFormat="1" x14ac:dyDescent="0.35"/>
    <row r="1269" customFormat="1" x14ac:dyDescent="0.35"/>
    <row r="1270" customFormat="1" x14ac:dyDescent="0.35"/>
    <row r="1271" customFormat="1" x14ac:dyDescent="0.35"/>
    <row r="1272" customFormat="1" x14ac:dyDescent="0.35"/>
    <row r="1273" customFormat="1" x14ac:dyDescent="0.35"/>
    <row r="1274" customFormat="1" x14ac:dyDescent="0.35"/>
    <row r="1275" customFormat="1" x14ac:dyDescent="0.35"/>
    <row r="1276" customFormat="1" x14ac:dyDescent="0.35"/>
    <row r="1277" customFormat="1" x14ac:dyDescent="0.35"/>
    <row r="1278" customFormat="1" x14ac:dyDescent="0.35"/>
    <row r="1279" customFormat="1" x14ac:dyDescent="0.35"/>
    <row r="1280" customFormat="1" x14ac:dyDescent="0.35"/>
    <row r="1281" customFormat="1" x14ac:dyDescent="0.35"/>
    <row r="1282" customFormat="1" x14ac:dyDescent="0.35"/>
    <row r="1283" customFormat="1" x14ac:dyDescent="0.35"/>
    <row r="1284" customFormat="1" x14ac:dyDescent="0.35"/>
    <row r="1285" customFormat="1" x14ac:dyDescent="0.35"/>
    <row r="1286" customFormat="1" x14ac:dyDescent="0.35"/>
    <row r="1287" customFormat="1" x14ac:dyDescent="0.35"/>
    <row r="1288" customFormat="1" x14ac:dyDescent="0.35"/>
    <row r="1289" customFormat="1" x14ac:dyDescent="0.35"/>
    <row r="1290" customFormat="1" x14ac:dyDescent="0.35"/>
    <row r="1291" customFormat="1" x14ac:dyDescent="0.35"/>
    <row r="1292" customFormat="1" x14ac:dyDescent="0.35"/>
    <row r="1293" customFormat="1" x14ac:dyDescent="0.35"/>
    <row r="1294" customFormat="1" x14ac:dyDescent="0.35"/>
    <row r="1295" customFormat="1" x14ac:dyDescent="0.35"/>
    <row r="1296" customFormat="1" x14ac:dyDescent="0.35"/>
    <row r="1297" customFormat="1" x14ac:dyDescent="0.35"/>
    <row r="1298" customFormat="1" x14ac:dyDescent="0.35"/>
    <row r="1299" customFormat="1" x14ac:dyDescent="0.35"/>
    <row r="1300" customFormat="1" x14ac:dyDescent="0.35"/>
    <row r="1301" customFormat="1" x14ac:dyDescent="0.35"/>
    <row r="1302" customFormat="1" x14ac:dyDescent="0.35"/>
    <row r="1303" customFormat="1" x14ac:dyDescent="0.35"/>
    <row r="1304" customFormat="1" x14ac:dyDescent="0.35"/>
    <row r="1305" customFormat="1" x14ac:dyDescent="0.35"/>
    <row r="1306" customFormat="1" x14ac:dyDescent="0.35"/>
    <row r="1307" customFormat="1" x14ac:dyDescent="0.35"/>
    <row r="1308" customFormat="1" x14ac:dyDescent="0.35"/>
    <row r="1309" customFormat="1" x14ac:dyDescent="0.35"/>
    <row r="1310" customFormat="1" x14ac:dyDescent="0.35"/>
    <row r="1311" customFormat="1" x14ac:dyDescent="0.35"/>
    <row r="1312" customFormat="1" x14ac:dyDescent="0.35"/>
    <row r="1313" customFormat="1" x14ac:dyDescent="0.35"/>
    <row r="1314" customFormat="1" x14ac:dyDescent="0.35"/>
    <row r="1315" customFormat="1" x14ac:dyDescent="0.35"/>
    <row r="1316" customFormat="1" x14ac:dyDescent="0.35"/>
    <row r="1317" customFormat="1" x14ac:dyDescent="0.35"/>
    <row r="1318" customFormat="1" x14ac:dyDescent="0.35"/>
    <row r="1319" customFormat="1" x14ac:dyDescent="0.35"/>
    <row r="1320" customFormat="1" x14ac:dyDescent="0.35"/>
    <row r="1321" customFormat="1" x14ac:dyDescent="0.35"/>
    <row r="1322" customFormat="1" x14ac:dyDescent="0.35"/>
    <row r="1323" customFormat="1" x14ac:dyDescent="0.35"/>
    <row r="1324" customFormat="1" x14ac:dyDescent="0.35"/>
    <row r="1325" customFormat="1" x14ac:dyDescent="0.35"/>
    <row r="1326" customFormat="1" x14ac:dyDescent="0.35"/>
    <row r="1327" customFormat="1" x14ac:dyDescent="0.35"/>
    <row r="1328" customFormat="1" x14ac:dyDescent="0.35"/>
    <row r="1329" customFormat="1" x14ac:dyDescent="0.35"/>
    <row r="1330" customFormat="1" x14ac:dyDescent="0.35"/>
    <row r="1331" customFormat="1" x14ac:dyDescent="0.35"/>
    <row r="1332" customFormat="1" x14ac:dyDescent="0.35"/>
    <row r="1333" customFormat="1" x14ac:dyDescent="0.35"/>
    <row r="1334" customFormat="1" x14ac:dyDescent="0.35"/>
    <row r="1335" customFormat="1" x14ac:dyDescent="0.35"/>
    <row r="1336" customFormat="1" x14ac:dyDescent="0.35"/>
    <row r="1337" customFormat="1" x14ac:dyDescent="0.35"/>
    <row r="1338" customFormat="1" x14ac:dyDescent="0.35"/>
    <row r="1339" customFormat="1" x14ac:dyDescent="0.35"/>
    <row r="1340" customFormat="1" x14ac:dyDescent="0.35"/>
    <row r="1341" customFormat="1" x14ac:dyDescent="0.35"/>
    <row r="1342" customFormat="1" x14ac:dyDescent="0.35"/>
    <row r="1343" customFormat="1" x14ac:dyDescent="0.35"/>
    <row r="1344" customFormat="1" x14ac:dyDescent="0.35"/>
    <row r="1345" customFormat="1" x14ac:dyDescent="0.35"/>
    <row r="1346" customFormat="1" x14ac:dyDescent="0.35"/>
    <row r="1347" customFormat="1" x14ac:dyDescent="0.35"/>
    <row r="1348" customFormat="1" x14ac:dyDescent="0.35"/>
    <row r="1349" customFormat="1" x14ac:dyDescent="0.35"/>
    <row r="1350" customFormat="1" x14ac:dyDescent="0.35"/>
    <row r="1351" customFormat="1" x14ac:dyDescent="0.35"/>
    <row r="1352" customFormat="1" x14ac:dyDescent="0.35"/>
    <row r="1353" customFormat="1" x14ac:dyDescent="0.35"/>
    <row r="1354" customFormat="1" x14ac:dyDescent="0.35"/>
    <row r="1355" customFormat="1" x14ac:dyDescent="0.35"/>
    <row r="1356" customFormat="1" x14ac:dyDescent="0.35"/>
    <row r="1357" customFormat="1" x14ac:dyDescent="0.35"/>
    <row r="1358" customFormat="1" x14ac:dyDescent="0.35"/>
    <row r="1359" customFormat="1" x14ac:dyDescent="0.35"/>
    <row r="1360" customFormat="1" x14ac:dyDescent="0.35"/>
    <row r="1361" customFormat="1" x14ac:dyDescent="0.35"/>
    <row r="1362" customFormat="1" x14ac:dyDescent="0.35"/>
    <row r="1363" customFormat="1" x14ac:dyDescent="0.35"/>
    <row r="1364" customFormat="1" x14ac:dyDescent="0.35"/>
    <row r="1365" customFormat="1" x14ac:dyDescent="0.35"/>
    <row r="1366" customFormat="1" x14ac:dyDescent="0.35"/>
    <row r="1367" customFormat="1" x14ac:dyDescent="0.35"/>
    <row r="1368" customFormat="1" x14ac:dyDescent="0.35"/>
    <row r="1369" customFormat="1" x14ac:dyDescent="0.35"/>
    <row r="1370" customFormat="1" x14ac:dyDescent="0.35"/>
    <row r="1371" customFormat="1" x14ac:dyDescent="0.35"/>
    <row r="1372" customFormat="1" x14ac:dyDescent="0.35"/>
    <row r="1373" customFormat="1" x14ac:dyDescent="0.35"/>
    <row r="1374" customFormat="1" x14ac:dyDescent="0.35"/>
    <row r="1375" customFormat="1" x14ac:dyDescent="0.35"/>
    <row r="1376" customFormat="1" x14ac:dyDescent="0.35"/>
    <row r="1377" customFormat="1" x14ac:dyDescent="0.35"/>
    <row r="1378" customFormat="1" x14ac:dyDescent="0.35"/>
    <row r="1379" customFormat="1" x14ac:dyDescent="0.35"/>
    <row r="1380" customFormat="1" x14ac:dyDescent="0.35"/>
    <row r="1381" customFormat="1" x14ac:dyDescent="0.35"/>
    <row r="1382" customFormat="1" x14ac:dyDescent="0.35"/>
    <row r="1383" customFormat="1" x14ac:dyDescent="0.35"/>
    <row r="1384" customFormat="1" x14ac:dyDescent="0.35"/>
    <row r="1385" customFormat="1" x14ac:dyDescent="0.35"/>
    <row r="1386" customFormat="1" x14ac:dyDescent="0.35"/>
    <row r="1387" customFormat="1" x14ac:dyDescent="0.35"/>
    <row r="1388" customFormat="1" x14ac:dyDescent="0.35"/>
    <row r="1389" customFormat="1" x14ac:dyDescent="0.35"/>
    <row r="1390" customFormat="1" x14ac:dyDescent="0.35"/>
    <row r="1391" customFormat="1" x14ac:dyDescent="0.35"/>
    <row r="1392" customFormat="1" x14ac:dyDescent="0.35"/>
    <row r="1393" customFormat="1" x14ac:dyDescent="0.35"/>
    <row r="1394" customFormat="1" x14ac:dyDescent="0.35"/>
    <row r="1395" customFormat="1" x14ac:dyDescent="0.35"/>
    <row r="1396" customFormat="1" x14ac:dyDescent="0.35"/>
    <row r="1397" customFormat="1" x14ac:dyDescent="0.35"/>
    <row r="1398" customFormat="1" x14ac:dyDescent="0.35"/>
    <row r="1399" customFormat="1" x14ac:dyDescent="0.35"/>
    <row r="1400" customFormat="1" x14ac:dyDescent="0.35"/>
    <row r="1401" customFormat="1" x14ac:dyDescent="0.35"/>
    <row r="1402" customFormat="1" x14ac:dyDescent="0.35"/>
    <row r="1403" customFormat="1" x14ac:dyDescent="0.35"/>
    <row r="1404" customFormat="1" x14ac:dyDescent="0.35"/>
    <row r="1405" customFormat="1" x14ac:dyDescent="0.35"/>
    <row r="1406" customFormat="1" x14ac:dyDescent="0.35"/>
    <row r="1407" customFormat="1" x14ac:dyDescent="0.35"/>
    <row r="1408" customFormat="1" x14ac:dyDescent="0.35"/>
    <row r="1409" customFormat="1" x14ac:dyDescent="0.35"/>
    <row r="1410" customFormat="1" x14ac:dyDescent="0.35"/>
    <row r="1411" customFormat="1" x14ac:dyDescent="0.35"/>
    <row r="1412" customFormat="1" x14ac:dyDescent="0.35"/>
    <row r="1413" customFormat="1" x14ac:dyDescent="0.35"/>
    <row r="1414" customFormat="1" x14ac:dyDescent="0.35"/>
    <row r="1415" customFormat="1" x14ac:dyDescent="0.35"/>
    <row r="1416" customFormat="1" x14ac:dyDescent="0.35"/>
    <row r="1417" customFormat="1" x14ac:dyDescent="0.35"/>
    <row r="1418" customFormat="1" x14ac:dyDescent="0.35"/>
    <row r="1419" customFormat="1" x14ac:dyDescent="0.35"/>
    <row r="1420" customFormat="1" x14ac:dyDescent="0.35"/>
    <row r="1421" customFormat="1" x14ac:dyDescent="0.35"/>
    <row r="1422" customFormat="1" x14ac:dyDescent="0.35"/>
    <row r="1423" customFormat="1" x14ac:dyDescent="0.35"/>
    <row r="1424" customFormat="1" x14ac:dyDescent="0.35"/>
    <row r="1425" customFormat="1" x14ac:dyDescent="0.35"/>
    <row r="1426" customFormat="1" x14ac:dyDescent="0.35"/>
    <row r="1427" customFormat="1" x14ac:dyDescent="0.35"/>
    <row r="1428" customFormat="1" x14ac:dyDescent="0.35"/>
    <row r="1429" customFormat="1" x14ac:dyDescent="0.35"/>
    <row r="1430" customFormat="1" x14ac:dyDescent="0.35"/>
    <row r="1431" customFormat="1" x14ac:dyDescent="0.35"/>
    <row r="1432" customFormat="1" x14ac:dyDescent="0.35"/>
    <row r="1433" customFormat="1" x14ac:dyDescent="0.35"/>
    <row r="1434" customFormat="1" x14ac:dyDescent="0.35"/>
    <row r="1435" customFormat="1" x14ac:dyDescent="0.35"/>
    <row r="1436" customFormat="1" x14ac:dyDescent="0.35"/>
    <row r="1437" customFormat="1" x14ac:dyDescent="0.35"/>
    <row r="1438" customFormat="1" x14ac:dyDescent="0.35"/>
    <row r="1439" customFormat="1" x14ac:dyDescent="0.35"/>
    <row r="1440" customFormat="1" x14ac:dyDescent="0.35"/>
    <row r="1441" customFormat="1" x14ac:dyDescent="0.35"/>
    <row r="1442" customFormat="1" x14ac:dyDescent="0.35"/>
    <row r="1443" customFormat="1" x14ac:dyDescent="0.35"/>
    <row r="1444" customFormat="1" x14ac:dyDescent="0.35"/>
    <row r="1445" customFormat="1" x14ac:dyDescent="0.35"/>
    <row r="1446" customFormat="1" x14ac:dyDescent="0.35"/>
    <row r="1447" customFormat="1" x14ac:dyDescent="0.35"/>
    <row r="1448" customFormat="1" x14ac:dyDescent="0.35"/>
    <row r="1449" customFormat="1" x14ac:dyDescent="0.35"/>
    <row r="1450" customFormat="1" x14ac:dyDescent="0.35"/>
    <row r="1451" customFormat="1" x14ac:dyDescent="0.35"/>
    <row r="1452" customFormat="1" x14ac:dyDescent="0.35"/>
    <row r="1453" customFormat="1" x14ac:dyDescent="0.35"/>
    <row r="1454" customFormat="1" x14ac:dyDescent="0.35"/>
    <row r="1455" customFormat="1" x14ac:dyDescent="0.35"/>
    <row r="1456" customFormat="1" x14ac:dyDescent="0.35"/>
    <row r="1457" customFormat="1" x14ac:dyDescent="0.35"/>
    <row r="1458" customFormat="1" x14ac:dyDescent="0.35"/>
    <row r="1459" customFormat="1" x14ac:dyDescent="0.35"/>
    <row r="1460" customFormat="1" x14ac:dyDescent="0.35"/>
    <row r="1461" customFormat="1" x14ac:dyDescent="0.35"/>
    <row r="1462" customFormat="1" x14ac:dyDescent="0.35"/>
    <row r="1463" customFormat="1" x14ac:dyDescent="0.35"/>
    <row r="1464" customFormat="1" x14ac:dyDescent="0.35"/>
    <row r="1465" customFormat="1" x14ac:dyDescent="0.35"/>
    <row r="1466" customFormat="1" x14ac:dyDescent="0.35"/>
    <row r="1467" customFormat="1" x14ac:dyDescent="0.35"/>
    <row r="1468" customFormat="1" x14ac:dyDescent="0.35"/>
    <row r="1469" customFormat="1" x14ac:dyDescent="0.35"/>
    <row r="1470" customFormat="1" x14ac:dyDescent="0.35"/>
    <row r="1471" customFormat="1" x14ac:dyDescent="0.35"/>
    <row r="1472" customFormat="1" x14ac:dyDescent="0.35"/>
    <row r="1473" customFormat="1" x14ac:dyDescent="0.35"/>
    <row r="1474" customFormat="1" x14ac:dyDescent="0.35"/>
    <row r="1475" customFormat="1" x14ac:dyDescent="0.35"/>
    <row r="1476" customFormat="1" x14ac:dyDescent="0.35"/>
    <row r="1477" customFormat="1" x14ac:dyDescent="0.35"/>
    <row r="1478" customFormat="1" x14ac:dyDescent="0.35"/>
    <row r="1479" customFormat="1" x14ac:dyDescent="0.35"/>
    <row r="1480" customFormat="1" x14ac:dyDescent="0.35"/>
    <row r="1481" customFormat="1" x14ac:dyDescent="0.35"/>
    <row r="1482" customFormat="1" x14ac:dyDescent="0.35"/>
    <row r="1483" customFormat="1" x14ac:dyDescent="0.35"/>
    <row r="1484" customFormat="1" x14ac:dyDescent="0.35"/>
    <row r="1485" customFormat="1" x14ac:dyDescent="0.35"/>
    <row r="1486" customFormat="1" x14ac:dyDescent="0.35"/>
    <row r="1487" customFormat="1" x14ac:dyDescent="0.35"/>
    <row r="1488" customFormat="1" x14ac:dyDescent="0.35"/>
    <row r="1489" customFormat="1" x14ac:dyDescent="0.35"/>
    <row r="1490" customFormat="1" x14ac:dyDescent="0.35"/>
    <row r="1491" customFormat="1" x14ac:dyDescent="0.35"/>
    <row r="1492" customFormat="1" x14ac:dyDescent="0.35"/>
    <row r="1493" customFormat="1" x14ac:dyDescent="0.35"/>
    <row r="1494" customFormat="1" x14ac:dyDescent="0.35"/>
    <row r="1495" customFormat="1" x14ac:dyDescent="0.35"/>
    <row r="1496" customFormat="1" x14ac:dyDescent="0.35"/>
    <row r="1497" customFormat="1" x14ac:dyDescent="0.35"/>
    <row r="1498" customFormat="1" x14ac:dyDescent="0.35"/>
    <row r="1499" customFormat="1" x14ac:dyDescent="0.35"/>
    <row r="1500" customFormat="1" x14ac:dyDescent="0.35"/>
    <row r="1501" customFormat="1" x14ac:dyDescent="0.35"/>
    <row r="1502" customFormat="1" x14ac:dyDescent="0.35"/>
    <row r="1503" customFormat="1" x14ac:dyDescent="0.35"/>
    <row r="1504" customFormat="1" x14ac:dyDescent="0.35"/>
    <row r="1505" customFormat="1" x14ac:dyDescent="0.35"/>
    <row r="1506" customFormat="1" x14ac:dyDescent="0.35"/>
    <row r="1507" customFormat="1" x14ac:dyDescent="0.35"/>
    <row r="1508" customFormat="1" x14ac:dyDescent="0.35"/>
    <row r="1509" customFormat="1" x14ac:dyDescent="0.35"/>
    <row r="1510" customFormat="1" x14ac:dyDescent="0.35"/>
    <row r="1511" customFormat="1" x14ac:dyDescent="0.35"/>
    <row r="1512" customFormat="1" x14ac:dyDescent="0.35"/>
    <row r="1513" customFormat="1" x14ac:dyDescent="0.35"/>
    <row r="1514" customFormat="1" x14ac:dyDescent="0.35"/>
    <row r="1515" customFormat="1" x14ac:dyDescent="0.35"/>
    <row r="1516" customFormat="1" x14ac:dyDescent="0.35"/>
    <row r="1517" customFormat="1" x14ac:dyDescent="0.35"/>
    <row r="1518" customFormat="1" x14ac:dyDescent="0.35"/>
    <row r="1519" customFormat="1" x14ac:dyDescent="0.35"/>
    <row r="1520" customFormat="1" x14ac:dyDescent="0.35"/>
    <row r="1521" customFormat="1" x14ac:dyDescent="0.35"/>
    <row r="1522" customFormat="1" x14ac:dyDescent="0.35"/>
    <row r="1523" customFormat="1" x14ac:dyDescent="0.35"/>
    <row r="1524" customFormat="1" x14ac:dyDescent="0.35"/>
    <row r="1525" customFormat="1" x14ac:dyDescent="0.35"/>
    <row r="1526" customFormat="1" x14ac:dyDescent="0.35"/>
    <row r="1527" customFormat="1" x14ac:dyDescent="0.35"/>
    <row r="1528" customFormat="1" x14ac:dyDescent="0.35"/>
    <row r="1529" customFormat="1" x14ac:dyDescent="0.35"/>
    <row r="1530" customFormat="1" x14ac:dyDescent="0.35"/>
    <row r="1531" customFormat="1" x14ac:dyDescent="0.35"/>
    <row r="1532" customFormat="1" x14ac:dyDescent="0.35"/>
    <row r="1533" customFormat="1" x14ac:dyDescent="0.35"/>
    <row r="1534" customFormat="1" x14ac:dyDescent="0.35"/>
    <row r="1535" customFormat="1" x14ac:dyDescent="0.35"/>
    <row r="1536" customFormat="1" x14ac:dyDescent="0.35"/>
    <row r="1537" customFormat="1" x14ac:dyDescent="0.35"/>
    <row r="1538" customFormat="1" x14ac:dyDescent="0.35"/>
    <row r="1539" customFormat="1" x14ac:dyDescent="0.35"/>
    <row r="1540" customFormat="1" x14ac:dyDescent="0.35"/>
    <row r="1541" customFormat="1" x14ac:dyDescent="0.35"/>
    <row r="1542" customFormat="1" x14ac:dyDescent="0.35"/>
    <row r="1543" customFormat="1" x14ac:dyDescent="0.35"/>
    <row r="1544" customFormat="1" x14ac:dyDescent="0.35"/>
    <row r="1545" customFormat="1" x14ac:dyDescent="0.35"/>
    <row r="1546" customFormat="1" x14ac:dyDescent="0.35"/>
    <row r="1547" customFormat="1" x14ac:dyDescent="0.35"/>
    <row r="1548" customFormat="1" x14ac:dyDescent="0.35"/>
    <row r="1549" customFormat="1" x14ac:dyDescent="0.35"/>
    <row r="1550" customFormat="1" x14ac:dyDescent="0.35"/>
    <row r="1551" customFormat="1" x14ac:dyDescent="0.35"/>
    <row r="1552" customFormat="1" x14ac:dyDescent="0.35"/>
    <row r="1553" customFormat="1" x14ac:dyDescent="0.35"/>
    <row r="1554" customFormat="1" x14ac:dyDescent="0.35"/>
    <row r="1555" customFormat="1" x14ac:dyDescent="0.35"/>
    <row r="1556" customFormat="1" x14ac:dyDescent="0.35"/>
    <row r="1557" customFormat="1" x14ac:dyDescent="0.35"/>
    <row r="1558" customFormat="1" x14ac:dyDescent="0.35"/>
    <row r="1559" customFormat="1" x14ac:dyDescent="0.35"/>
    <row r="1560" customFormat="1" x14ac:dyDescent="0.35"/>
    <row r="1561" customFormat="1" x14ac:dyDescent="0.35"/>
    <row r="1562" customFormat="1" x14ac:dyDescent="0.35"/>
    <row r="1563" customFormat="1" x14ac:dyDescent="0.35"/>
    <row r="1564" customFormat="1" x14ac:dyDescent="0.35"/>
    <row r="1565" customFormat="1" x14ac:dyDescent="0.35"/>
    <row r="1566" customFormat="1" x14ac:dyDescent="0.35"/>
    <row r="1567" customFormat="1" x14ac:dyDescent="0.35"/>
    <row r="1568" customFormat="1" x14ac:dyDescent="0.35"/>
    <row r="1569" customFormat="1" x14ac:dyDescent="0.35"/>
    <row r="1570" customFormat="1" x14ac:dyDescent="0.35"/>
    <row r="1571" customFormat="1" x14ac:dyDescent="0.35"/>
    <row r="1572" customFormat="1" x14ac:dyDescent="0.35"/>
    <row r="1573" customFormat="1" x14ac:dyDescent="0.35"/>
    <row r="1574" customFormat="1" x14ac:dyDescent="0.35"/>
    <row r="1575" customFormat="1" x14ac:dyDescent="0.35"/>
    <row r="1576" customFormat="1" x14ac:dyDescent="0.35"/>
    <row r="1577" customFormat="1" x14ac:dyDescent="0.35"/>
    <row r="1578" customFormat="1" x14ac:dyDescent="0.35"/>
    <row r="1579" customFormat="1" x14ac:dyDescent="0.35"/>
    <row r="1580" customFormat="1" x14ac:dyDescent="0.35"/>
    <row r="1581" customFormat="1" x14ac:dyDescent="0.35"/>
    <row r="1582" customFormat="1" x14ac:dyDescent="0.35"/>
    <row r="1583" customFormat="1" x14ac:dyDescent="0.35"/>
    <row r="1584" customFormat="1" x14ac:dyDescent="0.35"/>
    <row r="1585" customFormat="1" x14ac:dyDescent="0.35"/>
    <row r="1586" customFormat="1" x14ac:dyDescent="0.35"/>
    <row r="1587" customFormat="1" x14ac:dyDescent="0.35"/>
    <row r="1588" customFormat="1" x14ac:dyDescent="0.35"/>
    <row r="1589" customFormat="1" x14ac:dyDescent="0.35"/>
    <row r="1590" customFormat="1" x14ac:dyDescent="0.35"/>
    <row r="1591" customFormat="1" x14ac:dyDescent="0.35"/>
    <row r="1592" customFormat="1" x14ac:dyDescent="0.35"/>
    <row r="1593" customFormat="1" x14ac:dyDescent="0.35"/>
    <row r="1594" customFormat="1" x14ac:dyDescent="0.35"/>
    <row r="1595" customFormat="1" x14ac:dyDescent="0.35"/>
    <row r="1596" customFormat="1" x14ac:dyDescent="0.35"/>
    <row r="1597" customFormat="1" x14ac:dyDescent="0.35"/>
    <row r="1598" customFormat="1" x14ac:dyDescent="0.35"/>
    <row r="1599" customFormat="1" x14ac:dyDescent="0.35"/>
    <row r="1600" customFormat="1" x14ac:dyDescent="0.35"/>
    <row r="1601" customFormat="1" x14ac:dyDescent="0.35"/>
    <row r="1602" customFormat="1" x14ac:dyDescent="0.35"/>
    <row r="1603" customFormat="1" x14ac:dyDescent="0.35"/>
    <row r="1604" customFormat="1" x14ac:dyDescent="0.35"/>
    <row r="1605" customFormat="1" x14ac:dyDescent="0.35"/>
    <row r="1606" customFormat="1" x14ac:dyDescent="0.35"/>
    <row r="1607" customFormat="1" x14ac:dyDescent="0.35"/>
    <row r="1608" customFormat="1" x14ac:dyDescent="0.35"/>
    <row r="1609" customFormat="1" x14ac:dyDescent="0.35"/>
    <row r="1610" customFormat="1" x14ac:dyDescent="0.35"/>
    <row r="1611" customFormat="1" x14ac:dyDescent="0.35"/>
    <row r="1612" customFormat="1" x14ac:dyDescent="0.35"/>
    <row r="1613" customFormat="1" x14ac:dyDescent="0.35"/>
    <row r="1614" customFormat="1" x14ac:dyDescent="0.35"/>
    <row r="1615" customFormat="1" x14ac:dyDescent="0.35"/>
  </sheetData>
  <conditionalFormatting sqref="K4:K1138">
    <cfRule type="expression" dxfId="1" priority="2">
      <formula>K4="Entrega Tarde"</formula>
    </cfRule>
  </conditionalFormatting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0</xdr:col>
                <xdr:colOff>228600</xdr:colOff>
                <xdr:row>0</xdr:row>
                <xdr:rowOff>19050</xdr:rowOff>
              </from>
              <to>
                <xdr:col>0</xdr:col>
                <xdr:colOff>1822450</xdr:colOff>
                <xdr:row>1</xdr:row>
                <xdr:rowOff>158750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autoLine="0" r:id="rId7">
            <anchor moveWithCells="1">
              <from>
                <xdr:col>1</xdr:col>
                <xdr:colOff>0</xdr:colOff>
                <xdr:row>0</xdr:row>
                <xdr:rowOff>19050</xdr:rowOff>
              </from>
              <to>
                <xdr:col>2</xdr:col>
                <xdr:colOff>381000</xdr:colOff>
                <xdr:row>1</xdr:row>
                <xdr:rowOff>158750</xdr:rowOff>
              </to>
            </anchor>
          </controlPr>
        </control>
      </mc:Choice>
      <mc:Fallback>
        <control shapeId="2050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2:T191"/>
  <sheetViews>
    <sheetView showGridLines="0" topLeftCell="B1" zoomScale="70" zoomScaleNormal="70" workbookViewId="0">
      <pane ySplit="6" topLeftCell="A7" activePane="bottomLeft" state="frozen"/>
      <selection activeCell="B1" sqref="B1"/>
      <selection pane="bottomLeft" activeCell="F1" sqref="F1:F1048576"/>
    </sheetView>
  </sheetViews>
  <sheetFormatPr baseColWidth="10" defaultColWidth="9.1796875" defaultRowHeight="14.5" x14ac:dyDescent="0.35"/>
  <cols>
    <col min="1" max="1" width="58.26953125" hidden="1" customWidth="1"/>
    <col min="2" max="2" width="25.6328125" bestFit="1" customWidth="1"/>
    <col min="3" max="3" width="14.54296875" bestFit="1" customWidth="1"/>
    <col min="4" max="4" width="10.81640625" bestFit="1" customWidth="1"/>
    <col min="5" max="5" width="32.81640625" customWidth="1"/>
    <col min="6" max="6" width="11.1796875" bestFit="1" customWidth="1"/>
    <col min="7" max="7" width="8.6328125" customWidth="1"/>
    <col min="8" max="8" width="10" bestFit="1" customWidth="1"/>
    <col min="9" max="9" width="10" customWidth="1"/>
    <col min="10" max="10" width="13.54296875" bestFit="1" customWidth="1"/>
    <col min="11" max="11" width="12.54296875" bestFit="1" customWidth="1"/>
    <col min="12" max="12" width="15.1796875" customWidth="1"/>
    <col min="13" max="13" width="14.7265625" style="6" customWidth="1"/>
    <col min="14" max="14" width="18.453125" bestFit="1" customWidth="1"/>
    <col min="15" max="15" width="18.7265625" customWidth="1"/>
    <col min="16" max="16" width="14.81640625" bestFit="1" customWidth="1"/>
    <col min="17" max="17" width="29.1796875" bestFit="1" customWidth="1"/>
    <col min="18" max="18" width="15" customWidth="1"/>
    <col min="19" max="19" width="18.7265625" bestFit="1" customWidth="1"/>
    <col min="20" max="20" width="22.26953125" customWidth="1"/>
    <col min="21" max="21" width="13" customWidth="1"/>
    <col min="22" max="22" width="12.453125" customWidth="1"/>
    <col min="23" max="23" width="13.81640625" customWidth="1"/>
    <col min="24" max="24" width="22.26953125" customWidth="1"/>
  </cols>
  <sheetData>
    <row r="2" spans="1:20" x14ac:dyDescent="0.35">
      <c r="B2" s="1" t="s">
        <v>17</v>
      </c>
      <c r="C2" s="4">
        <v>44989</v>
      </c>
    </row>
    <row r="3" spans="1:20" x14ac:dyDescent="0.35">
      <c r="B3" s="1" t="s">
        <v>18</v>
      </c>
      <c r="C3" s="4">
        <v>44993</v>
      </c>
    </row>
    <row r="4" spans="1:20" x14ac:dyDescent="0.35">
      <c r="B4" s="1" t="s">
        <v>19</v>
      </c>
      <c r="C4" s="2" t="s">
        <v>39</v>
      </c>
      <c r="D4" s="3" t="str">
        <f>IF(C4="0001","Montelima",IF(C4="0002","La Huaca",IF(C4="0003","San Vicente",IF(C4="0007","Lobo"))))</f>
        <v>Montelima</v>
      </c>
    </row>
    <row r="6" spans="1:20" x14ac:dyDescent="0.35">
      <c r="A6" t="s">
        <v>16</v>
      </c>
      <c r="B6" t="s">
        <v>0</v>
      </c>
      <c r="C6" t="s">
        <v>2</v>
      </c>
      <c r="D6" t="s">
        <v>14</v>
      </c>
      <c r="E6" t="s">
        <v>1</v>
      </c>
      <c r="F6" s="6" t="s">
        <v>11</v>
      </c>
      <c r="G6" t="s">
        <v>20</v>
      </c>
      <c r="H6" s="5" t="s">
        <v>3</v>
      </c>
      <c r="I6" s="5" t="s">
        <v>31</v>
      </c>
      <c r="J6" t="s">
        <v>8</v>
      </c>
      <c r="K6" t="s">
        <v>33</v>
      </c>
      <c r="L6" t="s">
        <v>10</v>
      </c>
      <c r="M6" s="6" t="s">
        <v>9</v>
      </c>
      <c r="N6" t="s">
        <v>5</v>
      </c>
      <c r="O6" t="s">
        <v>7</v>
      </c>
      <c r="P6" t="s">
        <v>6</v>
      </c>
      <c r="Q6" t="s">
        <v>4</v>
      </c>
      <c r="R6" t="s">
        <v>13</v>
      </c>
      <c r="S6" t="s">
        <v>15</v>
      </c>
      <c r="T6" t="s">
        <v>12</v>
      </c>
    </row>
    <row r="7" spans="1:20" x14ac:dyDescent="0.35">
      <c r="A7" s="7" t="str">
        <f>Ingresos[[#This Row],[Centro]]&amp;Ingresos[[#This Row],[Almacén]]&amp;Ingresos[[#This Row],[Codigo]]&amp;Ingresos[[#This Row],[Pedido]]&amp;Ingresos[[#This Row],[Posición]]</f>
        <v>Agricola del Chira PlantaMontelima70023194451145019610</v>
      </c>
      <c r="B7" t="s">
        <v>27</v>
      </c>
      <c r="C7" t="s">
        <v>29</v>
      </c>
      <c r="D7" s="5">
        <v>70023194</v>
      </c>
      <c r="E7" t="s">
        <v>154</v>
      </c>
      <c r="F7" s="6">
        <v>3</v>
      </c>
      <c r="G7" t="s">
        <v>28</v>
      </c>
      <c r="H7" s="5">
        <v>101</v>
      </c>
      <c r="I7" s="5">
        <v>10</v>
      </c>
      <c r="J7" s="5">
        <v>4511450196</v>
      </c>
      <c r="K7" s="17">
        <v>44989</v>
      </c>
      <c r="L7" t="s">
        <v>155</v>
      </c>
      <c r="M7" s="6">
        <v>5052581363</v>
      </c>
      <c r="N7" t="s">
        <v>165</v>
      </c>
      <c r="O7" s="7" t="str">
        <f>IFERROR(VLOOKUP(Ingresos[[#This Row],[Pedido]],Compradores[],2,FALSE),"")</f>
        <v>JCHEROPA</v>
      </c>
      <c r="P7" s="7" t="str">
        <f>IFERROR(VLOOKUP(Ingresos[[#This Row],[Concatenar]],Detalle_OC[],2,FALSE),"")</f>
        <v>Plan.mtto tr</v>
      </c>
      <c r="Q7" s="7" t="str">
        <f>IFERROR(VLOOKUP(Ingresos[[#This Row],[Concatenar]],Detalle_OC[],3,FALSE),"")</f>
        <v xml:space="preserve">RUEDAMAX EIRL                     </v>
      </c>
      <c r="R7" s="10">
        <f>IFERROR(VLOOKUP(Ingresos[[#This Row],[Concatenar]],Detalle_OC[],4,FALSE),"")</f>
        <v>44995</v>
      </c>
      <c r="S7" s="7" t="str">
        <f>IFERROR(VLOOKUP(Ingresos[[#This Row],[Concatenar]],Detalle_OC[],5,FALSE),"")</f>
        <v>STOCK DE ALMACEN</v>
      </c>
      <c r="T7" s="7" t="str">
        <f>IF(Ingresos[[#This Row],[Fec. Entrega]]&gt;=Ingresos[[#This Row],[Fe.contable]],"",IF(Ingresos[[#This Row],[Fe.contable]]&gt;Ingresos[[#This Row],[Fec. Entrega]],"Entrega Tarde"))</f>
        <v/>
      </c>
    </row>
    <row r="8" spans="1:20" x14ac:dyDescent="0.35">
      <c r="A8" s="7" t="str">
        <f>Ingresos[[#This Row],[Centro]]&amp;Ingresos[[#This Row],[Almacén]]&amp;Ingresos[[#This Row],[Codigo]]&amp;Ingresos[[#This Row],[Pedido]]&amp;Ingresos[[#This Row],[Posición]]</f>
        <v>Agricola del Chira PlantaMontelima70063140451145019620</v>
      </c>
      <c r="B8" t="s">
        <v>27</v>
      </c>
      <c r="C8" t="s">
        <v>29</v>
      </c>
      <c r="D8" s="5">
        <v>70063140</v>
      </c>
      <c r="E8" t="s">
        <v>156</v>
      </c>
      <c r="F8" s="6">
        <v>3</v>
      </c>
      <c r="G8" t="s">
        <v>28</v>
      </c>
      <c r="H8" s="5">
        <v>101</v>
      </c>
      <c r="I8" s="5">
        <v>20</v>
      </c>
      <c r="J8" s="5">
        <v>4511450196</v>
      </c>
      <c r="K8" s="17">
        <v>44989</v>
      </c>
      <c r="L8" t="s">
        <v>155</v>
      </c>
      <c r="M8" s="6">
        <v>5052581363</v>
      </c>
      <c r="N8" t="s">
        <v>165</v>
      </c>
      <c r="O8" s="7" t="str">
        <f>IFERROR(VLOOKUP(Ingresos[[#This Row],[Pedido]],Compradores[],2,FALSE),"")</f>
        <v>JCHEROPA</v>
      </c>
      <c r="P8" s="7" t="str">
        <f>IFERROR(VLOOKUP(Ingresos[[#This Row],[Concatenar]],Detalle_OC[],2,FALSE),"")</f>
        <v>Plan.mtto tr</v>
      </c>
      <c r="Q8" s="7" t="str">
        <f>IFERROR(VLOOKUP(Ingresos[[#This Row],[Concatenar]],Detalle_OC[],3,FALSE),"")</f>
        <v xml:space="preserve">RUEDAMAX EIRL                     </v>
      </c>
      <c r="R8" s="10">
        <f>IFERROR(VLOOKUP(Ingresos[[#This Row],[Concatenar]],Detalle_OC[],4,FALSE),"")</f>
        <v>44995</v>
      </c>
      <c r="S8" s="7" t="str">
        <f>IFERROR(VLOOKUP(Ingresos[[#This Row],[Concatenar]],Detalle_OC[],5,FALSE),"")</f>
        <v>STOCK DE ALMACEN</v>
      </c>
      <c r="T8" s="7" t="str">
        <f>IF(Ingresos[[#This Row],[Fec. Entrega]]&gt;=Ingresos[[#This Row],[Fe.contable]],"",IF(Ingresos[[#This Row],[Fe.contable]]&gt;Ingresos[[#This Row],[Fec. Entrega]],"Entrega Tarde"))</f>
        <v/>
      </c>
    </row>
    <row r="9" spans="1:20" x14ac:dyDescent="0.35">
      <c r="A9" s="7" t="str">
        <f>Ingresos[[#This Row],[Centro]]&amp;Ingresos[[#This Row],[Almacén]]&amp;Ingresos[[#This Row],[Codigo]]&amp;Ingresos[[#This Row],[Pedido]]&amp;Ingresos[[#This Row],[Posición]]</f>
        <v>Bioenergía del Chira PlantaMontelima70045866451145162410</v>
      </c>
      <c r="B9" t="s">
        <v>57</v>
      </c>
      <c r="C9" t="s">
        <v>29</v>
      </c>
      <c r="D9" s="5">
        <v>70045866</v>
      </c>
      <c r="E9" t="s">
        <v>166</v>
      </c>
      <c r="F9" s="6">
        <v>1</v>
      </c>
      <c r="G9" t="s">
        <v>28</v>
      </c>
      <c r="H9" s="5">
        <v>101</v>
      </c>
      <c r="I9" s="5">
        <v>10</v>
      </c>
      <c r="J9" s="5">
        <v>4511451624</v>
      </c>
      <c r="K9" s="17">
        <v>44989</v>
      </c>
      <c r="L9" t="s">
        <v>167</v>
      </c>
      <c r="M9" s="6">
        <v>5052582926</v>
      </c>
      <c r="N9" t="s">
        <v>165</v>
      </c>
      <c r="O9" s="7" t="str">
        <f>IFERROR(VLOOKUP(Ingresos[[#This Row],[Pedido]],Compradores[],2,FALSE),"")</f>
        <v>AAGUILARMO</v>
      </c>
      <c r="P9" s="7" t="str">
        <f>IFERROR(VLOOKUP(Ingresos[[#This Row],[Concatenar]],Detalle_OC[],2,FALSE),"")</f>
        <v/>
      </c>
      <c r="Q9" s="7" t="str">
        <f>IFERROR(VLOOKUP(Ingresos[[#This Row],[Concatenar]],Detalle_OC[],3,FALSE),"")</f>
        <v/>
      </c>
      <c r="R9" s="10" t="str">
        <f>IFERROR(VLOOKUP(Ingresos[[#This Row],[Concatenar]],Detalle_OC[],4,FALSE),"")</f>
        <v/>
      </c>
      <c r="S9" s="7" t="str">
        <f>IFERROR(VLOOKUP(Ingresos[[#This Row],[Concatenar]],Detalle_OC[],5,FALSE),"")</f>
        <v/>
      </c>
      <c r="T9" s="7" t="str">
        <f>IF(Ingresos[[#This Row],[Fec. Entrega]]&gt;=Ingresos[[#This Row],[Fe.contable]],"",IF(Ingresos[[#This Row],[Fe.contable]]&gt;Ingresos[[#This Row],[Fec. Entrega]],"Entrega Tarde"))</f>
        <v/>
      </c>
    </row>
    <row r="10" spans="1:20" x14ac:dyDescent="0.35">
      <c r="A10" s="7" t="str">
        <f>Ingresos[[#This Row],[Centro]]&amp;Ingresos[[#This Row],[Almacén]]&amp;Ingresos[[#This Row],[Codigo]]&amp;Ingresos[[#This Row],[Pedido]]&amp;Ingresos[[#This Row],[Posición]]</f>
        <v>Sucroalcolera del Chira PlantaMontelima824835451145098040</v>
      </c>
      <c r="B10" t="s">
        <v>41</v>
      </c>
      <c r="C10" t="s">
        <v>29</v>
      </c>
      <c r="D10" s="5">
        <v>824835</v>
      </c>
      <c r="E10" t="s">
        <v>168</v>
      </c>
      <c r="F10" s="6">
        <v>1</v>
      </c>
      <c r="G10" t="s">
        <v>28</v>
      </c>
      <c r="H10" s="5">
        <v>101</v>
      </c>
      <c r="I10" s="5">
        <v>40</v>
      </c>
      <c r="J10" s="5">
        <v>4511450980</v>
      </c>
      <c r="K10" s="17">
        <v>44989</v>
      </c>
      <c r="L10" t="s">
        <v>169</v>
      </c>
      <c r="M10" s="6">
        <v>5052583020</v>
      </c>
      <c r="N10" t="s">
        <v>165</v>
      </c>
      <c r="O10" s="7" t="str">
        <f>IFERROR(VLOOKUP(Ingresos[[#This Row],[Pedido]],Compradores[],2,FALSE),"")</f>
        <v>AAGUILARMO</v>
      </c>
      <c r="P10" s="7" t="str">
        <f>IFERROR(VLOOKUP(Ingresos[[#This Row],[Concatenar]],Detalle_OC[],2,FALSE),"")</f>
        <v>Mtto Electri</v>
      </c>
      <c r="Q10" s="7" t="str">
        <f>IFERROR(VLOOKUP(Ingresos[[#This Row],[Concatenar]],Detalle_OC[],3,FALSE),"")</f>
        <v xml:space="preserve">MEKK SOLUCIONES INDUSTRIALES SAC  </v>
      </c>
      <c r="R10" s="10">
        <f>IFERROR(VLOOKUP(Ingresos[[#This Row],[Concatenar]],Detalle_OC[],4,FALSE),"")</f>
        <v>44995</v>
      </c>
      <c r="S10" s="7" t="str">
        <f>IFERROR(VLOOKUP(Ingresos[[#This Row],[Concatenar]],Detalle_OC[],5,FALSE),"")</f>
        <v>STOCK DE ALMACEN</v>
      </c>
      <c r="T10" s="7" t="str">
        <f>IF(Ingresos[[#This Row],[Fec. Entrega]]&gt;=Ingresos[[#This Row],[Fe.contable]],"",IF(Ingresos[[#This Row],[Fe.contable]]&gt;Ingresos[[#This Row],[Fec. Entrega]],"Entrega Tarde"))</f>
        <v/>
      </c>
    </row>
    <row r="11" spans="1:20" x14ac:dyDescent="0.35">
      <c r="A11" s="7" t="str">
        <f>Ingresos[[#This Row],[Centro]]&amp;Ingresos[[#This Row],[Almacén]]&amp;Ingresos[[#This Row],[Codigo]]&amp;Ingresos[[#This Row],[Pedido]]&amp;Ingresos[[#This Row],[Posición]]</f>
        <v>Sucroalcolera del Chira PlantaMontelima894475451145072430</v>
      </c>
      <c r="B11" t="s">
        <v>41</v>
      </c>
      <c r="C11" t="s">
        <v>29</v>
      </c>
      <c r="D11" s="5">
        <v>894475</v>
      </c>
      <c r="E11" t="s">
        <v>253</v>
      </c>
      <c r="F11" s="6">
        <v>3</v>
      </c>
      <c r="G11" t="s">
        <v>121</v>
      </c>
      <c r="H11" s="5">
        <v>101</v>
      </c>
      <c r="I11" s="5">
        <v>30</v>
      </c>
      <c r="J11" s="5">
        <v>4511450724</v>
      </c>
      <c r="K11" s="17">
        <v>44991</v>
      </c>
      <c r="L11" t="s">
        <v>254</v>
      </c>
      <c r="M11" s="6">
        <v>5052584974</v>
      </c>
      <c r="N11" t="s">
        <v>165</v>
      </c>
      <c r="O11" s="7" t="str">
        <f>IFERROR(VLOOKUP(Ingresos[[#This Row],[Pedido]],Compradores[],2,FALSE),"")</f>
        <v>JCHEROPA</v>
      </c>
      <c r="P11" s="7" t="str">
        <f>IFERROR(VLOOKUP(Ingresos[[#This Row],[Concatenar]],Detalle_OC[],2,FALSE),"")</f>
        <v xml:space="preserve">LVILLARF    </v>
      </c>
      <c r="Q11" s="7" t="str">
        <f>IFERROR(VLOOKUP(Ingresos[[#This Row],[Concatenar]],Detalle_OC[],3,FALSE),"")</f>
        <v xml:space="preserve">FACTORIA LIBERTAD SCRL            </v>
      </c>
      <c r="R11" s="10">
        <f>IFERROR(VLOOKUP(Ingresos[[#This Row],[Concatenar]],Detalle_OC[],4,FALSE),"")</f>
        <v>45005</v>
      </c>
      <c r="S11" s="7" t="str">
        <f>IFERROR(VLOOKUP(Ingresos[[#This Row],[Concatenar]],Detalle_OC[],5,FALSE),"")</f>
        <v>STOCK DE ALMACEN</v>
      </c>
      <c r="T11" s="7" t="str">
        <f>IF(Ingresos[[#This Row],[Fec. Entrega]]&gt;=Ingresos[[#This Row],[Fe.contable]],"",IF(Ingresos[[#This Row],[Fe.contable]]&gt;Ingresos[[#This Row],[Fec. Entrega]],"Entrega Tarde"))</f>
        <v/>
      </c>
    </row>
    <row r="12" spans="1:20" x14ac:dyDescent="0.35">
      <c r="A12" s="7" t="str">
        <f>Ingresos[[#This Row],[Centro]]&amp;Ingresos[[#This Row],[Almacén]]&amp;Ingresos[[#This Row],[Codigo]]&amp;Ingresos[[#This Row],[Pedido]]&amp;Ingresos[[#This Row],[Posición]]</f>
        <v>Sucroalcolera del Chira PlantaMontelima894475451145072410</v>
      </c>
      <c r="B12" t="s">
        <v>41</v>
      </c>
      <c r="C12" t="s">
        <v>29</v>
      </c>
      <c r="D12" s="5">
        <v>894475</v>
      </c>
      <c r="E12" t="s">
        <v>253</v>
      </c>
      <c r="F12" s="6">
        <v>3</v>
      </c>
      <c r="G12" t="s">
        <v>121</v>
      </c>
      <c r="H12" s="5">
        <v>101</v>
      </c>
      <c r="I12" s="5">
        <v>10</v>
      </c>
      <c r="J12" s="5">
        <v>4511450724</v>
      </c>
      <c r="K12" s="17">
        <v>44991</v>
      </c>
      <c r="L12" t="s">
        <v>254</v>
      </c>
      <c r="M12" s="6">
        <v>5052584974</v>
      </c>
      <c r="N12" t="s">
        <v>165</v>
      </c>
      <c r="O12" s="7" t="str">
        <f>IFERROR(VLOOKUP(Ingresos[[#This Row],[Pedido]],Compradores[],2,FALSE),"")</f>
        <v>JCHEROPA</v>
      </c>
      <c r="P12" s="7" t="str">
        <f>IFERROR(VLOOKUP(Ingresos[[#This Row],[Concatenar]],Detalle_OC[],2,FALSE),"")</f>
        <v xml:space="preserve">LVILLARF    </v>
      </c>
      <c r="Q12" s="7" t="str">
        <f>IFERROR(VLOOKUP(Ingresos[[#This Row],[Concatenar]],Detalle_OC[],3,FALSE),"")</f>
        <v xml:space="preserve">FACTORIA LIBERTAD SCRL            </v>
      </c>
      <c r="R12" s="10">
        <f>IFERROR(VLOOKUP(Ingresos[[#This Row],[Concatenar]],Detalle_OC[],4,FALSE),"")</f>
        <v>45005</v>
      </c>
      <c r="S12" s="7" t="str">
        <f>IFERROR(VLOOKUP(Ingresos[[#This Row],[Concatenar]],Detalle_OC[],5,FALSE),"")</f>
        <v>STOCK DE ALMACEN</v>
      </c>
      <c r="T12" s="7" t="str">
        <f>IF(Ingresos[[#This Row],[Fec. Entrega]]&gt;=Ingresos[[#This Row],[Fe.contable]],"",IF(Ingresos[[#This Row],[Fe.contable]]&gt;Ingresos[[#This Row],[Fec. Entrega]],"Entrega Tarde"))</f>
        <v/>
      </c>
    </row>
    <row r="13" spans="1:20" x14ac:dyDescent="0.35">
      <c r="A13" s="7" t="str">
        <f>Ingresos[[#This Row],[Centro]]&amp;Ingresos[[#This Row],[Almacén]]&amp;Ingresos[[#This Row],[Codigo]]&amp;Ingresos[[#This Row],[Pedido]]&amp;Ingresos[[#This Row],[Posición]]</f>
        <v>Sucroalcolera del Chira PlantaMontelima836296451144384510</v>
      </c>
      <c r="B13" t="s">
        <v>41</v>
      </c>
      <c r="C13" t="s">
        <v>29</v>
      </c>
      <c r="D13" s="5">
        <v>836296</v>
      </c>
      <c r="E13" t="s">
        <v>255</v>
      </c>
      <c r="F13" s="6">
        <v>2</v>
      </c>
      <c r="G13" t="s">
        <v>28</v>
      </c>
      <c r="H13" s="5">
        <v>101</v>
      </c>
      <c r="I13" s="5">
        <v>10</v>
      </c>
      <c r="J13" s="5">
        <v>4511443845</v>
      </c>
      <c r="K13" s="17">
        <v>44991</v>
      </c>
      <c r="L13" t="s">
        <v>256</v>
      </c>
      <c r="M13" s="6">
        <v>5052584975</v>
      </c>
      <c r="N13" t="s">
        <v>165</v>
      </c>
      <c r="O13" s="7" t="str">
        <f>IFERROR(VLOOKUP(Ingresos[[#This Row],[Pedido]],Compradores[],2,FALSE),"")</f>
        <v>JCHAPARROB</v>
      </c>
      <c r="P13" s="7" t="str">
        <f>IFERROR(VLOOKUP(Ingresos[[#This Row],[Concatenar]],Detalle_OC[],2,FALSE),"")</f>
        <v>Plan.Mant.Su</v>
      </c>
      <c r="Q13" s="7" t="str">
        <f>IFERROR(VLOOKUP(Ingresos[[#This Row],[Concatenar]],Detalle_OC[],3,FALSE),"")</f>
        <v xml:space="preserve">FACTORIA LIBERTAD SCRL            </v>
      </c>
      <c r="R13" s="10">
        <f>IFERROR(VLOOKUP(Ingresos[[#This Row],[Concatenar]],Detalle_OC[],4,FALSE),"")</f>
        <v>45002</v>
      </c>
      <c r="S13" s="7" t="str">
        <f>IFERROR(VLOOKUP(Ingresos[[#This Row],[Concatenar]],Detalle_OC[],5,FALSE),"")</f>
        <v>STOCK DE ALMACEN</v>
      </c>
      <c r="T13" s="7" t="str">
        <f>IF(Ingresos[[#This Row],[Fec. Entrega]]&gt;=Ingresos[[#This Row],[Fe.contable]],"",IF(Ingresos[[#This Row],[Fe.contable]]&gt;Ingresos[[#This Row],[Fec. Entrega]],"Entrega Tarde"))</f>
        <v/>
      </c>
    </row>
    <row r="14" spans="1:20" x14ac:dyDescent="0.35">
      <c r="A14" s="7" t="str">
        <f>Ingresos[[#This Row],[Centro]]&amp;Ingresos[[#This Row],[Almacén]]&amp;Ingresos[[#This Row],[Codigo]]&amp;Ingresos[[#This Row],[Pedido]]&amp;Ingresos[[#This Row],[Posición]]</f>
        <v>Sucroalcolera del Chira PlantaMontelima70061899451144533210</v>
      </c>
      <c r="B14" t="s">
        <v>41</v>
      </c>
      <c r="C14" t="s">
        <v>29</v>
      </c>
      <c r="D14" s="5">
        <v>70061899</v>
      </c>
      <c r="E14" t="s">
        <v>257</v>
      </c>
      <c r="F14" s="6">
        <v>2</v>
      </c>
      <c r="G14" t="s">
        <v>28</v>
      </c>
      <c r="H14" s="5">
        <v>101</v>
      </c>
      <c r="I14" s="5">
        <v>10</v>
      </c>
      <c r="J14" s="5">
        <v>4511445332</v>
      </c>
      <c r="K14" s="17">
        <v>44991</v>
      </c>
      <c r="L14" t="s">
        <v>258</v>
      </c>
      <c r="M14" s="6">
        <v>5052584977</v>
      </c>
      <c r="N14" t="s">
        <v>165</v>
      </c>
      <c r="O14" s="7" t="str">
        <f>IFERROR(VLOOKUP(Ingresos[[#This Row],[Pedido]],Compradores[],2,FALSE),"")</f>
        <v>IRAMOSA</v>
      </c>
      <c r="P14" s="7" t="str">
        <f>IFERROR(VLOOKUP(Ingresos[[#This Row],[Concatenar]],Detalle_OC[],2,FALSE),"")</f>
        <v xml:space="preserve">LVILLARF    </v>
      </c>
      <c r="Q14" s="7" t="str">
        <f>IFERROR(VLOOKUP(Ingresos[[#This Row],[Concatenar]],Detalle_OC[],3,FALSE),"")</f>
        <v xml:space="preserve">FACTORIA LIBERTAD SCRL            </v>
      </c>
      <c r="R14" s="10">
        <f>IFERROR(VLOOKUP(Ingresos[[#This Row],[Concatenar]],Detalle_OC[],4,FALSE),"")</f>
        <v>44997</v>
      </c>
      <c r="S14" s="7" t="str">
        <f>IFERROR(VLOOKUP(Ingresos[[#This Row],[Concatenar]],Detalle_OC[],5,FALSE),"")</f>
        <v>STOCK DE ALMACEN</v>
      </c>
      <c r="T14" s="7" t="str">
        <f>IF(Ingresos[[#This Row],[Fec. Entrega]]&gt;=Ingresos[[#This Row],[Fe.contable]],"",IF(Ingresos[[#This Row],[Fe.contable]]&gt;Ingresos[[#This Row],[Fec. Entrega]],"Entrega Tarde"))</f>
        <v/>
      </c>
    </row>
    <row r="15" spans="1:20" x14ac:dyDescent="0.35">
      <c r="A15" s="7" t="str">
        <f>Ingresos[[#This Row],[Centro]]&amp;Ingresos[[#This Row],[Almacén]]&amp;Ingresos[[#This Row],[Codigo]]&amp;Ingresos[[#This Row],[Pedido]]&amp;Ingresos[[#This Row],[Posición]]</f>
        <v>Sucroalcolera del Chira PlantaMontelima879925451144556020</v>
      </c>
      <c r="B15" t="s">
        <v>41</v>
      </c>
      <c r="C15" t="s">
        <v>29</v>
      </c>
      <c r="D15" s="5">
        <v>879925</v>
      </c>
      <c r="E15" t="s">
        <v>265</v>
      </c>
      <c r="F15" s="6">
        <v>18</v>
      </c>
      <c r="G15" t="s">
        <v>28</v>
      </c>
      <c r="H15" s="5">
        <v>101</v>
      </c>
      <c r="I15" s="5">
        <v>20</v>
      </c>
      <c r="J15" s="5">
        <v>4511445560</v>
      </c>
      <c r="K15" s="17">
        <v>44991</v>
      </c>
      <c r="L15" t="s">
        <v>266</v>
      </c>
      <c r="M15" s="6">
        <v>5052585050</v>
      </c>
      <c r="N15" t="s">
        <v>165</v>
      </c>
      <c r="O15" s="7" t="str">
        <f>IFERROR(VLOOKUP(Ingresos[[#This Row],[Pedido]],Compradores[],2,FALSE),"")</f>
        <v>JCHEROPA</v>
      </c>
      <c r="P15" s="7" t="str">
        <f>IFERROR(VLOOKUP(Ingresos[[#This Row],[Concatenar]],Detalle_OC[],2,FALSE),"")</f>
        <v xml:space="preserve">LVILLARF    </v>
      </c>
      <c r="Q15" s="7" t="str">
        <f>IFERROR(VLOOKUP(Ingresos[[#This Row],[Concatenar]],Detalle_OC[],3,FALSE),"")</f>
        <v xml:space="preserve">FACTORIA LIBERTAD SCRL            </v>
      </c>
      <c r="R15" s="10">
        <f>IFERROR(VLOOKUP(Ingresos[[#This Row],[Concatenar]],Detalle_OC[],4,FALSE),"")</f>
        <v>44974</v>
      </c>
      <c r="S15" s="7" t="str">
        <f>IFERROR(VLOOKUP(Ingresos[[#This Row],[Concatenar]],Detalle_OC[],5,FALSE),"")</f>
        <v>STOCK DE ALMACEN</v>
      </c>
      <c r="T15" s="7" t="str">
        <f>IF(Ingresos[[#This Row],[Fec. Entrega]]&gt;=Ingresos[[#This Row],[Fe.contable]],"",IF(Ingresos[[#This Row],[Fe.contable]]&gt;Ingresos[[#This Row],[Fec. Entrega]],"Entrega Tarde"))</f>
        <v>Entrega Tarde</v>
      </c>
    </row>
    <row r="16" spans="1:20" x14ac:dyDescent="0.35">
      <c r="A16" s="7" t="str">
        <f>Ingresos[[#This Row],[Centro]]&amp;Ingresos[[#This Row],[Almacén]]&amp;Ingresos[[#This Row],[Codigo]]&amp;Ingresos[[#This Row],[Pedido]]&amp;Ingresos[[#This Row],[Posición]]</f>
        <v>Agricola del Chira PlantaMontelima829121451145115020</v>
      </c>
      <c r="B16" t="s">
        <v>27</v>
      </c>
      <c r="C16" t="s">
        <v>29</v>
      </c>
      <c r="D16" s="5">
        <v>829121</v>
      </c>
      <c r="E16" t="s">
        <v>267</v>
      </c>
      <c r="F16" s="6">
        <v>5</v>
      </c>
      <c r="G16" t="s">
        <v>28</v>
      </c>
      <c r="H16" s="5">
        <v>101</v>
      </c>
      <c r="I16" s="5">
        <v>20</v>
      </c>
      <c r="J16" s="5">
        <v>4511451150</v>
      </c>
      <c r="K16" s="17">
        <v>44991</v>
      </c>
      <c r="L16" t="s">
        <v>268</v>
      </c>
      <c r="M16" s="6">
        <v>5052585090</v>
      </c>
      <c r="N16" t="s">
        <v>165</v>
      </c>
      <c r="O16" s="7" t="str">
        <f>IFERROR(VLOOKUP(Ingresos[[#This Row],[Pedido]],Compradores[],2,FALSE),"")</f>
        <v>JCHAPARROB</v>
      </c>
      <c r="P16" s="7" t="str">
        <f>IFERROR(VLOOKUP(Ingresos[[#This Row],[Concatenar]],Detalle_OC[],2,FALSE),"")</f>
        <v>Plan. Mant.C</v>
      </c>
      <c r="Q16" s="7" t="str">
        <f>IFERROR(VLOOKUP(Ingresos[[#This Row],[Concatenar]],Detalle_OC[],3,FALSE),"")</f>
        <v xml:space="preserve">CONTIX SA                         </v>
      </c>
      <c r="R16" s="10">
        <f>IFERROR(VLOOKUP(Ingresos[[#This Row],[Concatenar]],Detalle_OC[],4,FALSE),"")</f>
        <v>45002</v>
      </c>
      <c r="S16" s="7" t="str">
        <f>IFERROR(VLOOKUP(Ingresos[[#This Row],[Concatenar]],Detalle_OC[],5,FALSE),"")</f>
        <v>STOCK DE ALMACEN</v>
      </c>
      <c r="T16" s="7" t="str">
        <f>IF(Ingresos[[#This Row],[Fec. Entrega]]&gt;=Ingresos[[#This Row],[Fe.contable]],"",IF(Ingresos[[#This Row],[Fe.contable]]&gt;Ingresos[[#This Row],[Fec. Entrega]],"Entrega Tarde"))</f>
        <v/>
      </c>
    </row>
    <row r="17" spans="1:20" x14ac:dyDescent="0.35">
      <c r="A17" s="7" t="str">
        <f>Ingresos[[#This Row],[Centro]]&amp;Ingresos[[#This Row],[Almacén]]&amp;Ingresos[[#This Row],[Codigo]]&amp;Ingresos[[#This Row],[Pedido]]&amp;Ingresos[[#This Row],[Posición]]</f>
        <v>Agricola del Chira PlantaMontelima847099451145115010</v>
      </c>
      <c r="B17" t="s">
        <v>27</v>
      </c>
      <c r="C17" t="s">
        <v>29</v>
      </c>
      <c r="D17" s="5">
        <v>847099</v>
      </c>
      <c r="E17" t="s">
        <v>269</v>
      </c>
      <c r="F17" s="6">
        <v>1</v>
      </c>
      <c r="G17" t="s">
        <v>28</v>
      </c>
      <c r="H17" s="5">
        <v>101</v>
      </c>
      <c r="I17" s="5">
        <v>10</v>
      </c>
      <c r="J17" s="5">
        <v>4511451150</v>
      </c>
      <c r="K17" s="17">
        <v>44991</v>
      </c>
      <c r="L17" t="s">
        <v>268</v>
      </c>
      <c r="M17" s="6">
        <v>5052585090</v>
      </c>
      <c r="N17" t="s">
        <v>165</v>
      </c>
      <c r="O17" s="7" t="str">
        <f>IFERROR(VLOOKUP(Ingresos[[#This Row],[Pedido]],Compradores[],2,FALSE),"")</f>
        <v>JCHAPARROB</v>
      </c>
      <c r="P17" s="7" t="str">
        <f>IFERROR(VLOOKUP(Ingresos[[#This Row],[Concatenar]],Detalle_OC[],2,FALSE),"")</f>
        <v>Plan. Mant.C</v>
      </c>
      <c r="Q17" s="7" t="str">
        <f>IFERROR(VLOOKUP(Ingresos[[#This Row],[Concatenar]],Detalle_OC[],3,FALSE),"")</f>
        <v xml:space="preserve">CONTIX SA                         </v>
      </c>
      <c r="R17" s="10">
        <f>IFERROR(VLOOKUP(Ingresos[[#This Row],[Concatenar]],Detalle_OC[],4,FALSE),"")</f>
        <v>45002</v>
      </c>
      <c r="S17" s="7" t="str">
        <f>IFERROR(VLOOKUP(Ingresos[[#This Row],[Concatenar]],Detalle_OC[],5,FALSE),"")</f>
        <v>STOCK DE ALMACEN</v>
      </c>
      <c r="T17" s="7" t="str">
        <f>IF(Ingresos[[#This Row],[Fec. Entrega]]&gt;=Ingresos[[#This Row],[Fe.contable]],"",IF(Ingresos[[#This Row],[Fe.contable]]&gt;Ingresos[[#This Row],[Fec. Entrega]],"Entrega Tarde"))</f>
        <v/>
      </c>
    </row>
    <row r="18" spans="1:20" x14ac:dyDescent="0.35">
      <c r="A18" s="7" t="str">
        <f>Ingresos[[#This Row],[Centro]]&amp;Ingresos[[#This Row],[Almacén]]&amp;Ingresos[[#This Row],[Codigo]]&amp;Ingresos[[#This Row],[Pedido]]&amp;Ingresos[[#This Row],[Posición]]</f>
        <v>Agricola del Chira PlantaMontelima70112244451145169410</v>
      </c>
      <c r="B18" t="s">
        <v>27</v>
      </c>
      <c r="C18" t="s">
        <v>29</v>
      </c>
      <c r="D18" s="5">
        <v>70112244</v>
      </c>
      <c r="E18" t="s">
        <v>270</v>
      </c>
      <c r="F18" s="6">
        <v>2</v>
      </c>
      <c r="G18" t="s">
        <v>28</v>
      </c>
      <c r="H18" s="5">
        <v>101</v>
      </c>
      <c r="I18" s="5">
        <v>10</v>
      </c>
      <c r="J18" s="5">
        <v>4511451694</v>
      </c>
      <c r="K18" s="17">
        <v>44992</v>
      </c>
      <c r="L18" t="s">
        <v>271</v>
      </c>
      <c r="M18" s="6">
        <v>5052585096</v>
      </c>
      <c r="N18" t="s">
        <v>165</v>
      </c>
      <c r="O18" s="7" t="str">
        <f>IFERROR(VLOOKUP(Ingresos[[#This Row],[Pedido]],Compradores[],2,FALSE),"")</f>
        <v>JCHAPARROB</v>
      </c>
      <c r="P18" s="7" t="str">
        <f>IFERROR(VLOOKUP(Ingresos[[#This Row],[Concatenar]],Detalle_OC[],2,FALSE),"")</f>
        <v>Plan. Mant.C</v>
      </c>
      <c r="Q18" s="7" t="str">
        <f>IFERROR(VLOOKUP(Ingresos[[#This Row],[Concatenar]],Detalle_OC[],3,FALSE),"")</f>
        <v xml:space="preserve">IPESA SAC                         </v>
      </c>
      <c r="R18" s="10">
        <f>IFERROR(VLOOKUP(Ingresos[[#This Row],[Concatenar]],Detalle_OC[],4,FALSE),"")</f>
        <v>44995</v>
      </c>
      <c r="S18" s="7" t="str">
        <f>IFERROR(VLOOKUP(Ingresos[[#This Row],[Concatenar]],Detalle_OC[],5,FALSE),"")</f>
        <v>STOCK DE ALMACEN</v>
      </c>
      <c r="T18" s="7" t="str">
        <f>IF(Ingresos[[#This Row],[Fec. Entrega]]&gt;=Ingresos[[#This Row],[Fe.contable]],"",IF(Ingresos[[#This Row],[Fe.contable]]&gt;Ingresos[[#This Row],[Fec. Entrega]],"Entrega Tarde"))</f>
        <v/>
      </c>
    </row>
    <row r="19" spans="1:20" x14ac:dyDescent="0.35">
      <c r="A19" s="7" t="str">
        <f>Ingresos[[#This Row],[Centro]]&amp;Ingresos[[#This Row],[Almacén]]&amp;Ingresos[[#This Row],[Codigo]]&amp;Ingresos[[#This Row],[Pedido]]&amp;Ingresos[[#This Row],[Posición]]</f>
        <v>Agricola del Chira PlantaMontelima70113145451145169420</v>
      </c>
      <c r="B19" t="s">
        <v>27</v>
      </c>
      <c r="C19" t="s">
        <v>29</v>
      </c>
      <c r="D19" s="5">
        <v>70113145</v>
      </c>
      <c r="E19" t="s">
        <v>272</v>
      </c>
      <c r="F19" s="6">
        <v>12</v>
      </c>
      <c r="G19" t="s">
        <v>28</v>
      </c>
      <c r="H19" s="5">
        <v>101</v>
      </c>
      <c r="I19" s="5">
        <v>20</v>
      </c>
      <c r="J19" s="5">
        <v>4511451694</v>
      </c>
      <c r="K19" s="17">
        <v>44992</v>
      </c>
      <c r="L19" t="s">
        <v>271</v>
      </c>
      <c r="M19" s="6">
        <v>5052585096</v>
      </c>
      <c r="N19" t="s">
        <v>165</v>
      </c>
      <c r="O19" s="7" t="str">
        <f>IFERROR(VLOOKUP(Ingresos[[#This Row],[Pedido]],Compradores[],2,FALSE),"")</f>
        <v>JCHAPARROB</v>
      </c>
      <c r="P19" s="7" t="str">
        <f>IFERROR(VLOOKUP(Ingresos[[#This Row],[Concatenar]],Detalle_OC[],2,FALSE),"")</f>
        <v>EMIJAHUANCAG</v>
      </c>
      <c r="Q19" s="7" t="str">
        <f>IFERROR(VLOOKUP(Ingresos[[#This Row],[Concatenar]],Detalle_OC[],3,FALSE),"")</f>
        <v xml:space="preserve">IPESA SAC                         </v>
      </c>
      <c r="R19" s="10">
        <f>IFERROR(VLOOKUP(Ingresos[[#This Row],[Concatenar]],Detalle_OC[],4,FALSE),"")</f>
        <v>44995</v>
      </c>
      <c r="S19" s="7" t="str">
        <f>IFERROR(VLOOKUP(Ingresos[[#This Row],[Concatenar]],Detalle_OC[],5,FALSE),"")</f>
        <v>STOCK DE ALMACEN</v>
      </c>
      <c r="T19" s="7" t="str">
        <f>IF(Ingresos[[#This Row],[Fec. Entrega]]&gt;=Ingresos[[#This Row],[Fe.contable]],"",IF(Ingresos[[#This Row],[Fe.contable]]&gt;Ingresos[[#This Row],[Fec. Entrega]],"Entrega Tarde"))</f>
        <v/>
      </c>
    </row>
    <row r="20" spans="1:20" x14ac:dyDescent="0.35">
      <c r="A20" s="7" t="str">
        <f>Ingresos[[#This Row],[Centro]]&amp;Ingresos[[#This Row],[Almacén]]&amp;Ingresos[[#This Row],[Codigo]]&amp;Ingresos[[#This Row],[Pedido]]&amp;Ingresos[[#This Row],[Posición]]</f>
        <v>Sucroalcolera del Chira PlantaMontelima806149451144957310</v>
      </c>
      <c r="B20" t="s">
        <v>41</v>
      </c>
      <c r="C20" t="s">
        <v>29</v>
      </c>
      <c r="D20" s="5">
        <v>806149</v>
      </c>
      <c r="E20" t="s">
        <v>273</v>
      </c>
      <c r="F20" s="6">
        <v>1</v>
      </c>
      <c r="G20" t="s">
        <v>28</v>
      </c>
      <c r="H20" s="5">
        <v>101</v>
      </c>
      <c r="I20" s="5">
        <v>10</v>
      </c>
      <c r="J20" s="5">
        <v>4511449573</v>
      </c>
      <c r="K20" s="17">
        <v>44991</v>
      </c>
      <c r="L20" t="s">
        <v>274</v>
      </c>
      <c r="M20" s="6">
        <v>5052585200</v>
      </c>
      <c r="N20" t="s">
        <v>165</v>
      </c>
      <c r="O20" s="7" t="str">
        <f>IFERROR(VLOOKUP(Ingresos[[#This Row],[Pedido]],Compradores[],2,FALSE),"")</f>
        <v>JCHAPARROB</v>
      </c>
      <c r="P20" s="7" t="str">
        <f>IFERROR(VLOOKUP(Ingresos[[#This Row],[Concatenar]],Detalle_OC[],2,FALSE),"")</f>
        <v xml:space="preserve">JCOBENASS   </v>
      </c>
      <c r="Q20" s="7" t="str">
        <f>IFERROR(VLOOKUP(Ingresos[[#This Row],[Concatenar]],Detalle_OC[],3,FALSE),"")</f>
        <v xml:space="preserve">MERCK PERUANA SA                  </v>
      </c>
      <c r="R20" s="10">
        <f>IFERROR(VLOOKUP(Ingresos[[#This Row],[Concatenar]],Detalle_OC[],4,FALSE),"")</f>
        <v>44988</v>
      </c>
      <c r="S20" s="7" t="str">
        <f>IFERROR(VLOOKUP(Ingresos[[#This Row],[Concatenar]],Detalle_OC[],5,FALSE),"")</f>
        <v>STOCK DE ALMACEN</v>
      </c>
      <c r="T20" s="7" t="str">
        <f>IF(Ingresos[[#This Row],[Fec. Entrega]]&gt;=Ingresos[[#This Row],[Fe.contable]],"",IF(Ingresos[[#This Row],[Fe.contable]]&gt;Ingresos[[#This Row],[Fec. Entrega]],"Entrega Tarde"))</f>
        <v>Entrega Tarde</v>
      </c>
    </row>
    <row r="21" spans="1:20" x14ac:dyDescent="0.35">
      <c r="A21" s="7" t="str">
        <f>Ingresos[[#This Row],[Centro]]&amp;Ingresos[[#This Row],[Almacén]]&amp;Ingresos[[#This Row],[Codigo]]&amp;Ingresos[[#This Row],[Pedido]]&amp;Ingresos[[#This Row],[Posición]]</f>
        <v>Sucroalcolera del Chira PlantaMontelima823148451145261320</v>
      </c>
      <c r="B21" t="s">
        <v>41</v>
      </c>
      <c r="C21" t="s">
        <v>29</v>
      </c>
      <c r="D21" s="5">
        <v>823148</v>
      </c>
      <c r="E21" t="s">
        <v>275</v>
      </c>
      <c r="F21" s="6">
        <v>12</v>
      </c>
      <c r="G21" t="s">
        <v>28</v>
      </c>
      <c r="H21" s="5">
        <v>101</v>
      </c>
      <c r="I21" s="5">
        <v>20</v>
      </c>
      <c r="J21" s="5">
        <v>4511452613</v>
      </c>
      <c r="K21" s="17">
        <v>44991</v>
      </c>
      <c r="L21" t="s">
        <v>276</v>
      </c>
      <c r="M21" s="6">
        <v>5052585273</v>
      </c>
      <c r="N21" t="s">
        <v>165</v>
      </c>
      <c r="O21" s="7" t="str">
        <f>IFERROR(VLOOKUP(Ingresos[[#This Row],[Pedido]],Compradores[],2,FALSE),"")</f>
        <v>JCHEROPA</v>
      </c>
      <c r="P21" s="7" t="str">
        <f>IFERROR(VLOOKUP(Ingresos[[#This Row],[Concatenar]],Detalle_OC[],2,FALSE),"")</f>
        <v xml:space="preserve">NMARTINEZS  </v>
      </c>
      <c r="Q21" s="7" t="str">
        <f>IFERROR(VLOOKUP(Ingresos[[#This Row],[Concatenar]],Detalle_OC[],3,FALSE),"")</f>
        <v xml:space="preserve">PROCABLES SA                      </v>
      </c>
      <c r="R21" s="10">
        <f>IFERROR(VLOOKUP(Ingresos[[#This Row],[Concatenar]],Detalle_OC[],4,FALSE),"")</f>
        <v>44995</v>
      </c>
      <c r="S21" s="7" t="str">
        <f>IFERROR(VLOOKUP(Ingresos[[#This Row],[Concatenar]],Detalle_OC[],5,FALSE),"")</f>
        <v>STOCK DE ALMACEN</v>
      </c>
      <c r="T21" s="7" t="str">
        <f>IF(Ingresos[[#This Row],[Fec. Entrega]]&gt;=Ingresos[[#This Row],[Fe.contable]],"",IF(Ingresos[[#This Row],[Fe.contable]]&gt;Ingresos[[#This Row],[Fec. Entrega]],"Entrega Tarde"))</f>
        <v/>
      </c>
    </row>
    <row r="22" spans="1:20" x14ac:dyDescent="0.35">
      <c r="A22" s="7" t="str">
        <f>Ingresos[[#This Row],[Centro]]&amp;Ingresos[[#This Row],[Almacén]]&amp;Ingresos[[#This Row],[Codigo]]&amp;Ingresos[[#This Row],[Pedido]]&amp;Ingresos[[#This Row],[Posición]]</f>
        <v>Sucroalcolera del Chira PlantaMontelima823148451145261310</v>
      </c>
      <c r="B22" t="s">
        <v>41</v>
      </c>
      <c r="C22" t="s">
        <v>29</v>
      </c>
      <c r="D22" s="5">
        <v>823148</v>
      </c>
      <c r="E22" t="s">
        <v>275</v>
      </c>
      <c r="F22" s="6">
        <v>12</v>
      </c>
      <c r="G22" t="s">
        <v>28</v>
      </c>
      <c r="H22" s="5">
        <v>101</v>
      </c>
      <c r="I22" s="5">
        <v>10</v>
      </c>
      <c r="J22" s="5">
        <v>4511452613</v>
      </c>
      <c r="K22" s="17">
        <v>44991</v>
      </c>
      <c r="L22" t="s">
        <v>276</v>
      </c>
      <c r="M22" s="6">
        <v>5052585273</v>
      </c>
      <c r="N22" t="s">
        <v>165</v>
      </c>
      <c r="O22" s="7" t="str">
        <f>IFERROR(VLOOKUP(Ingresos[[#This Row],[Pedido]],Compradores[],2,FALSE),"")</f>
        <v>JCHEROPA</v>
      </c>
      <c r="P22" s="7" t="str">
        <f>IFERROR(VLOOKUP(Ingresos[[#This Row],[Concatenar]],Detalle_OC[],2,FALSE),"")</f>
        <v xml:space="preserve">LVILLARF    </v>
      </c>
      <c r="Q22" s="7" t="str">
        <f>IFERROR(VLOOKUP(Ingresos[[#This Row],[Concatenar]],Detalle_OC[],3,FALSE),"")</f>
        <v xml:space="preserve">PROCABLES SA                      </v>
      </c>
      <c r="R22" s="10">
        <f>IFERROR(VLOOKUP(Ingresos[[#This Row],[Concatenar]],Detalle_OC[],4,FALSE),"")</f>
        <v>44995</v>
      </c>
      <c r="S22" s="7" t="str">
        <f>IFERROR(VLOOKUP(Ingresos[[#This Row],[Concatenar]],Detalle_OC[],5,FALSE),"")</f>
        <v>STOCK DE ALMACEN</v>
      </c>
      <c r="T22" s="7" t="str">
        <f>IF(Ingresos[[#This Row],[Fec. Entrega]]&gt;=Ingresos[[#This Row],[Fe.contable]],"",IF(Ingresos[[#This Row],[Fe.contable]]&gt;Ingresos[[#This Row],[Fec. Entrega]],"Entrega Tarde"))</f>
        <v/>
      </c>
    </row>
    <row r="23" spans="1:20" x14ac:dyDescent="0.35">
      <c r="A23" s="7" t="str">
        <f>Ingresos[[#This Row],[Centro]]&amp;Ingresos[[#This Row],[Almacén]]&amp;Ingresos[[#This Row],[Codigo]]&amp;Ingresos[[#This Row],[Pedido]]&amp;Ingresos[[#This Row],[Posición]]</f>
        <v>Sucroalcolera del Chira PlantaMontelima880929451144345630</v>
      </c>
      <c r="B23" t="s">
        <v>41</v>
      </c>
      <c r="C23" t="s">
        <v>29</v>
      </c>
      <c r="D23" s="5">
        <v>880929</v>
      </c>
      <c r="E23" t="s">
        <v>277</v>
      </c>
      <c r="F23" s="6">
        <v>1</v>
      </c>
      <c r="G23" t="s">
        <v>28</v>
      </c>
      <c r="H23" s="5">
        <v>101</v>
      </c>
      <c r="I23" s="5">
        <v>30</v>
      </c>
      <c r="J23" s="5">
        <v>4511443456</v>
      </c>
      <c r="K23" s="17">
        <v>44991</v>
      </c>
      <c r="L23" t="s">
        <v>149</v>
      </c>
      <c r="M23" s="6">
        <v>5052585276</v>
      </c>
      <c r="N23" t="s">
        <v>165</v>
      </c>
      <c r="O23" s="7" t="str">
        <f>IFERROR(VLOOKUP(Ingresos[[#This Row],[Pedido]],Compradores[],2,FALSE),"")</f>
        <v>JCHEROPA</v>
      </c>
      <c r="P23" s="7" t="str">
        <f>IFERROR(VLOOKUP(Ingresos[[#This Row],[Concatenar]],Detalle_OC[],2,FALSE),"")</f>
        <v xml:space="preserve">LVILLARF    </v>
      </c>
      <c r="Q23" s="7" t="str">
        <f>IFERROR(VLOOKUP(Ingresos[[#This Row],[Concatenar]],Detalle_OC[],3,FALSE),"")</f>
        <v xml:space="preserve">HEVVY PUMPS PERU SAC              </v>
      </c>
      <c r="R23" s="10">
        <f>IFERROR(VLOOKUP(Ingresos[[#This Row],[Concatenar]],Detalle_OC[],4,FALSE),"")</f>
        <v>44986</v>
      </c>
      <c r="S23" s="7" t="str">
        <f>IFERROR(VLOOKUP(Ingresos[[#This Row],[Concatenar]],Detalle_OC[],5,FALSE),"")</f>
        <v>STOCK DE ALMACEN</v>
      </c>
      <c r="T23" s="7" t="str">
        <f>IF(Ingresos[[#This Row],[Fec. Entrega]]&gt;=Ingresos[[#This Row],[Fe.contable]],"",IF(Ingresos[[#This Row],[Fe.contable]]&gt;Ingresos[[#This Row],[Fec. Entrega]],"Entrega Tarde"))</f>
        <v>Entrega Tarde</v>
      </c>
    </row>
    <row r="24" spans="1:20" x14ac:dyDescent="0.35">
      <c r="A24" s="7" t="str">
        <f>Ingresos[[#This Row],[Centro]]&amp;Ingresos[[#This Row],[Almacén]]&amp;Ingresos[[#This Row],[Codigo]]&amp;Ingresos[[#This Row],[Pedido]]&amp;Ingresos[[#This Row],[Posición]]</f>
        <v>Sucroalcolera del Chira PlantaMontelima880970451144345620</v>
      </c>
      <c r="B24" t="s">
        <v>41</v>
      </c>
      <c r="C24" t="s">
        <v>29</v>
      </c>
      <c r="D24" s="5">
        <v>880970</v>
      </c>
      <c r="E24" t="s">
        <v>278</v>
      </c>
      <c r="F24" s="6">
        <v>1</v>
      </c>
      <c r="G24" t="s">
        <v>28</v>
      </c>
      <c r="H24" s="5">
        <v>101</v>
      </c>
      <c r="I24" s="5">
        <v>20</v>
      </c>
      <c r="J24" s="5">
        <v>4511443456</v>
      </c>
      <c r="K24" s="17">
        <v>44991</v>
      </c>
      <c r="L24" t="s">
        <v>149</v>
      </c>
      <c r="M24" s="6">
        <v>5052585276</v>
      </c>
      <c r="N24" t="s">
        <v>165</v>
      </c>
      <c r="O24" s="7" t="str">
        <f>IFERROR(VLOOKUP(Ingresos[[#This Row],[Pedido]],Compradores[],2,FALSE),"")</f>
        <v>JCHEROPA</v>
      </c>
      <c r="P24" s="7" t="str">
        <f>IFERROR(VLOOKUP(Ingresos[[#This Row],[Concatenar]],Detalle_OC[],2,FALSE),"")</f>
        <v xml:space="preserve">LVILLARF    </v>
      </c>
      <c r="Q24" s="7" t="str">
        <f>IFERROR(VLOOKUP(Ingresos[[#This Row],[Concatenar]],Detalle_OC[],3,FALSE),"")</f>
        <v xml:space="preserve">HEVVY PUMPS PERU SAC              </v>
      </c>
      <c r="R24" s="10">
        <f>IFERROR(VLOOKUP(Ingresos[[#This Row],[Concatenar]],Detalle_OC[],4,FALSE),"")</f>
        <v>44986</v>
      </c>
      <c r="S24" s="7" t="str">
        <f>IFERROR(VLOOKUP(Ingresos[[#This Row],[Concatenar]],Detalle_OC[],5,FALSE),"")</f>
        <v>STOCK DE ALMACEN</v>
      </c>
      <c r="T24" s="7" t="str">
        <f>IF(Ingresos[[#This Row],[Fec. Entrega]]&gt;=Ingresos[[#This Row],[Fe.contable]],"",IF(Ingresos[[#This Row],[Fe.contable]]&gt;Ingresos[[#This Row],[Fec. Entrega]],"Entrega Tarde"))</f>
        <v>Entrega Tarde</v>
      </c>
    </row>
    <row r="25" spans="1:20" x14ac:dyDescent="0.35">
      <c r="A25" s="7" t="str">
        <f>Ingresos[[#This Row],[Centro]]&amp;Ingresos[[#This Row],[Almacén]]&amp;Ingresos[[#This Row],[Codigo]]&amp;Ingresos[[#This Row],[Pedido]]&amp;Ingresos[[#This Row],[Posición]]</f>
        <v>Sucroalcolera del Chira PlantaMontelima880971451144345660</v>
      </c>
      <c r="B25" t="s">
        <v>41</v>
      </c>
      <c r="C25" t="s">
        <v>29</v>
      </c>
      <c r="D25" s="5">
        <v>880971</v>
      </c>
      <c r="E25" t="s">
        <v>279</v>
      </c>
      <c r="F25" s="6">
        <v>1</v>
      </c>
      <c r="G25" t="s">
        <v>28</v>
      </c>
      <c r="H25" s="5">
        <v>101</v>
      </c>
      <c r="I25" s="5">
        <v>60</v>
      </c>
      <c r="J25" s="5">
        <v>4511443456</v>
      </c>
      <c r="K25" s="17">
        <v>44991</v>
      </c>
      <c r="L25" t="s">
        <v>149</v>
      </c>
      <c r="M25" s="6">
        <v>5052585276</v>
      </c>
      <c r="N25" t="s">
        <v>165</v>
      </c>
      <c r="O25" s="7" t="str">
        <f>IFERROR(VLOOKUP(Ingresos[[#This Row],[Pedido]],Compradores[],2,FALSE),"")</f>
        <v>JCHEROPA</v>
      </c>
      <c r="P25" s="7" t="str">
        <f>IFERROR(VLOOKUP(Ingresos[[#This Row],[Concatenar]],Detalle_OC[],2,FALSE),"")</f>
        <v xml:space="preserve">LVILLARF    </v>
      </c>
      <c r="Q25" s="7" t="str">
        <f>IFERROR(VLOOKUP(Ingresos[[#This Row],[Concatenar]],Detalle_OC[],3,FALSE),"")</f>
        <v xml:space="preserve">HEVVY PUMPS PERU SAC              </v>
      </c>
      <c r="R25" s="10">
        <f>IFERROR(VLOOKUP(Ingresos[[#This Row],[Concatenar]],Detalle_OC[],4,FALSE),"")</f>
        <v>44986</v>
      </c>
      <c r="S25" s="7" t="str">
        <f>IFERROR(VLOOKUP(Ingresos[[#This Row],[Concatenar]],Detalle_OC[],5,FALSE),"")</f>
        <v>STOCK DE ALMACEN</v>
      </c>
      <c r="T25" s="7" t="str">
        <f>IF(Ingresos[[#This Row],[Fec. Entrega]]&gt;=Ingresos[[#This Row],[Fe.contable]],"",IF(Ingresos[[#This Row],[Fe.contable]]&gt;Ingresos[[#This Row],[Fec. Entrega]],"Entrega Tarde"))</f>
        <v>Entrega Tarde</v>
      </c>
    </row>
    <row r="26" spans="1:20" x14ac:dyDescent="0.35">
      <c r="A26" s="7" t="str">
        <f>Ingresos[[#This Row],[Centro]]&amp;Ingresos[[#This Row],[Almacén]]&amp;Ingresos[[#This Row],[Codigo]]&amp;Ingresos[[#This Row],[Pedido]]&amp;Ingresos[[#This Row],[Posición]]</f>
        <v>Sucroalcolera del Chira PlantaMontelima880976451144345650</v>
      </c>
      <c r="B26" t="s">
        <v>41</v>
      </c>
      <c r="C26" t="s">
        <v>29</v>
      </c>
      <c r="D26" s="5">
        <v>880976</v>
      </c>
      <c r="E26" t="s">
        <v>280</v>
      </c>
      <c r="F26" s="6">
        <v>1</v>
      </c>
      <c r="G26" t="s">
        <v>28</v>
      </c>
      <c r="H26" s="5">
        <v>101</v>
      </c>
      <c r="I26" s="5">
        <v>50</v>
      </c>
      <c r="J26" s="5">
        <v>4511443456</v>
      </c>
      <c r="K26" s="17">
        <v>44991</v>
      </c>
      <c r="L26" t="s">
        <v>149</v>
      </c>
      <c r="M26" s="6">
        <v>5052585276</v>
      </c>
      <c r="N26" t="s">
        <v>165</v>
      </c>
      <c r="O26" s="7" t="str">
        <f>IFERROR(VLOOKUP(Ingresos[[#This Row],[Pedido]],Compradores[],2,FALSE),"")</f>
        <v>JCHEROPA</v>
      </c>
      <c r="P26" s="7" t="str">
        <f>IFERROR(VLOOKUP(Ingresos[[#This Row],[Concatenar]],Detalle_OC[],2,FALSE),"")</f>
        <v>Plan.Mant.Su</v>
      </c>
      <c r="Q26" s="7" t="str">
        <f>IFERROR(VLOOKUP(Ingresos[[#This Row],[Concatenar]],Detalle_OC[],3,FALSE),"")</f>
        <v xml:space="preserve">HEVVY PUMPS PERU SAC              </v>
      </c>
      <c r="R26" s="10">
        <f>IFERROR(VLOOKUP(Ingresos[[#This Row],[Concatenar]],Detalle_OC[],4,FALSE),"")</f>
        <v>44986</v>
      </c>
      <c r="S26" s="7" t="str">
        <f>IFERROR(VLOOKUP(Ingresos[[#This Row],[Concatenar]],Detalle_OC[],5,FALSE),"")</f>
        <v>STOCK DE ALMACEN</v>
      </c>
      <c r="T26" s="7" t="str">
        <f>IF(Ingresos[[#This Row],[Fec. Entrega]]&gt;=Ingresos[[#This Row],[Fe.contable]],"",IF(Ingresos[[#This Row],[Fe.contable]]&gt;Ingresos[[#This Row],[Fec. Entrega]],"Entrega Tarde"))</f>
        <v>Entrega Tarde</v>
      </c>
    </row>
    <row r="27" spans="1:20" x14ac:dyDescent="0.35">
      <c r="A27" s="7" t="str">
        <f>Ingresos[[#This Row],[Centro]]&amp;Ingresos[[#This Row],[Almacén]]&amp;Ingresos[[#This Row],[Codigo]]&amp;Ingresos[[#This Row],[Pedido]]&amp;Ingresos[[#This Row],[Posición]]</f>
        <v>Sucroalcolera del Chira PlantaMontelima880979451144345610</v>
      </c>
      <c r="B27" t="s">
        <v>41</v>
      </c>
      <c r="C27" t="s">
        <v>29</v>
      </c>
      <c r="D27" s="5">
        <v>880979</v>
      </c>
      <c r="E27" t="s">
        <v>281</v>
      </c>
      <c r="F27" s="6">
        <v>1</v>
      </c>
      <c r="G27" t="s">
        <v>28</v>
      </c>
      <c r="H27" s="5">
        <v>101</v>
      </c>
      <c r="I27" s="5">
        <v>10</v>
      </c>
      <c r="J27" s="5">
        <v>4511443456</v>
      </c>
      <c r="K27" s="17">
        <v>44991</v>
      </c>
      <c r="L27" t="s">
        <v>149</v>
      </c>
      <c r="M27" s="6">
        <v>5052585276</v>
      </c>
      <c r="N27" t="s">
        <v>165</v>
      </c>
      <c r="O27" s="7" t="str">
        <f>IFERROR(VLOOKUP(Ingresos[[#This Row],[Pedido]],Compradores[],2,FALSE),"")</f>
        <v>JCHEROPA</v>
      </c>
      <c r="P27" s="7" t="str">
        <f>IFERROR(VLOOKUP(Ingresos[[#This Row],[Concatenar]],Detalle_OC[],2,FALSE),"")</f>
        <v xml:space="preserve">LVILLARF    </v>
      </c>
      <c r="Q27" s="7" t="str">
        <f>IFERROR(VLOOKUP(Ingresos[[#This Row],[Concatenar]],Detalle_OC[],3,FALSE),"")</f>
        <v xml:space="preserve">HEVVY PUMPS PERU SAC              </v>
      </c>
      <c r="R27" s="10">
        <f>IFERROR(VLOOKUP(Ingresos[[#This Row],[Concatenar]],Detalle_OC[],4,FALSE),"")</f>
        <v>44986</v>
      </c>
      <c r="S27" s="7" t="str">
        <f>IFERROR(VLOOKUP(Ingresos[[#This Row],[Concatenar]],Detalle_OC[],5,FALSE),"")</f>
        <v>STOCK DE ALMACEN</v>
      </c>
      <c r="T27" s="7" t="str">
        <f>IF(Ingresos[[#This Row],[Fec. Entrega]]&gt;=Ingresos[[#This Row],[Fe.contable]],"",IF(Ingresos[[#This Row],[Fe.contable]]&gt;Ingresos[[#This Row],[Fec. Entrega]],"Entrega Tarde"))</f>
        <v>Entrega Tarde</v>
      </c>
    </row>
    <row r="28" spans="1:20" x14ac:dyDescent="0.35">
      <c r="A28" s="7" t="str">
        <f>Ingresos[[#This Row],[Centro]]&amp;Ingresos[[#This Row],[Almacén]]&amp;Ingresos[[#This Row],[Codigo]]&amp;Ingresos[[#This Row],[Pedido]]&amp;Ingresos[[#This Row],[Posición]]</f>
        <v>Sucroalcolera del Chira PlantaMontelima880979451144345640</v>
      </c>
      <c r="B28" t="s">
        <v>41</v>
      </c>
      <c r="C28" t="s">
        <v>29</v>
      </c>
      <c r="D28" s="5">
        <v>880979</v>
      </c>
      <c r="E28" t="s">
        <v>281</v>
      </c>
      <c r="F28" s="6">
        <v>1</v>
      </c>
      <c r="G28" t="s">
        <v>28</v>
      </c>
      <c r="H28" s="5">
        <v>101</v>
      </c>
      <c r="I28" s="5">
        <v>40</v>
      </c>
      <c r="J28" s="5">
        <v>4511443456</v>
      </c>
      <c r="K28" s="17">
        <v>44991</v>
      </c>
      <c r="L28" t="s">
        <v>149</v>
      </c>
      <c r="M28" s="6">
        <v>5052585276</v>
      </c>
      <c r="N28" t="s">
        <v>165</v>
      </c>
      <c r="O28" s="7" t="str">
        <f>IFERROR(VLOOKUP(Ingresos[[#This Row],[Pedido]],Compradores[],2,FALSE),"")</f>
        <v>JCHEROPA</v>
      </c>
      <c r="P28" s="7" t="str">
        <f>IFERROR(VLOOKUP(Ingresos[[#This Row],[Concatenar]],Detalle_OC[],2,FALSE),"")</f>
        <v>Plan.Mant.Su</v>
      </c>
      <c r="Q28" s="7" t="str">
        <f>IFERROR(VLOOKUP(Ingresos[[#This Row],[Concatenar]],Detalle_OC[],3,FALSE),"")</f>
        <v xml:space="preserve">HEVVY PUMPS PERU SAC              </v>
      </c>
      <c r="R28" s="10">
        <f>IFERROR(VLOOKUP(Ingresos[[#This Row],[Concatenar]],Detalle_OC[],4,FALSE),"")</f>
        <v>44986</v>
      </c>
      <c r="S28" s="7" t="str">
        <f>IFERROR(VLOOKUP(Ingresos[[#This Row],[Concatenar]],Detalle_OC[],5,FALSE),"")</f>
        <v>STOCK DE ALMACEN</v>
      </c>
      <c r="T28" s="7" t="str">
        <f>IF(Ingresos[[#This Row],[Fec. Entrega]]&gt;=Ingresos[[#This Row],[Fe.contable]],"",IF(Ingresos[[#This Row],[Fe.contable]]&gt;Ingresos[[#This Row],[Fec. Entrega]],"Entrega Tarde"))</f>
        <v>Entrega Tarde</v>
      </c>
    </row>
    <row r="29" spans="1:20" x14ac:dyDescent="0.35">
      <c r="A29" s="7" t="str">
        <f>Ingresos[[#This Row],[Centro]]&amp;Ingresos[[#This Row],[Almacén]]&amp;Ingresos[[#This Row],[Codigo]]&amp;Ingresos[[#This Row],[Pedido]]&amp;Ingresos[[#This Row],[Posición]]</f>
        <v>Sucroalcolera del Chira PlantaMontelima839498451144345710</v>
      </c>
      <c r="B29" t="s">
        <v>41</v>
      </c>
      <c r="C29" t="s">
        <v>29</v>
      </c>
      <c r="D29" s="5">
        <v>839498</v>
      </c>
      <c r="E29" t="s">
        <v>286</v>
      </c>
      <c r="F29" s="6">
        <v>1</v>
      </c>
      <c r="G29" t="s">
        <v>28</v>
      </c>
      <c r="H29" s="5">
        <v>101</v>
      </c>
      <c r="I29" s="5">
        <v>10</v>
      </c>
      <c r="J29" s="5">
        <v>4511443457</v>
      </c>
      <c r="K29" s="17">
        <v>44991</v>
      </c>
      <c r="L29" t="s">
        <v>287</v>
      </c>
      <c r="M29" s="6">
        <v>5052585301</v>
      </c>
      <c r="N29" t="s">
        <v>165</v>
      </c>
      <c r="O29" s="7" t="str">
        <f>IFERROR(VLOOKUP(Ingresos[[#This Row],[Pedido]],Compradores[],2,FALSE),"")</f>
        <v>JCHEROPA</v>
      </c>
      <c r="P29" s="7" t="str">
        <f>IFERROR(VLOOKUP(Ingresos[[#This Row],[Concatenar]],Detalle_OC[],2,FALSE),"")</f>
        <v xml:space="preserve">LVILLARF    </v>
      </c>
      <c r="Q29" s="7" t="str">
        <f>IFERROR(VLOOKUP(Ingresos[[#This Row],[Concatenar]],Detalle_OC[],3,FALSE),"")</f>
        <v xml:space="preserve">SPRAYING SYSTEMS PERU SRL         </v>
      </c>
      <c r="R29" s="10">
        <f>IFERROR(VLOOKUP(Ingresos[[#This Row],[Concatenar]],Detalle_OC[],4,FALSE),"")</f>
        <v>44986</v>
      </c>
      <c r="S29" s="7" t="str">
        <f>IFERROR(VLOOKUP(Ingresos[[#This Row],[Concatenar]],Detalle_OC[],5,FALSE),"")</f>
        <v>STOCK DE ALMACEN</v>
      </c>
      <c r="T29" s="7" t="str">
        <f>IF(Ingresos[[#This Row],[Fec. Entrega]]&gt;=Ingresos[[#This Row],[Fe.contable]],"",IF(Ingresos[[#This Row],[Fe.contable]]&gt;Ingresos[[#This Row],[Fec. Entrega]],"Entrega Tarde"))</f>
        <v>Entrega Tarde</v>
      </c>
    </row>
    <row r="30" spans="1:20" x14ac:dyDescent="0.35">
      <c r="A30" s="7" t="str">
        <f>Ingresos[[#This Row],[Centro]]&amp;Ingresos[[#This Row],[Almacén]]&amp;Ingresos[[#This Row],[Codigo]]&amp;Ingresos[[#This Row],[Pedido]]&amp;Ingresos[[#This Row],[Posición]]</f>
        <v>Sucroalcolera del Chira PlantaMontelima70113613451145373510</v>
      </c>
      <c r="B30" t="s">
        <v>41</v>
      </c>
      <c r="C30" t="s">
        <v>29</v>
      </c>
      <c r="D30" s="5">
        <v>70113613</v>
      </c>
      <c r="E30" t="s">
        <v>288</v>
      </c>
      <c r="F30" s="6">
        <v>9</v>
      </c>
      <c r="G30" t="s">
        <v>28</v>
      </c>
      <c r="H30" s="5">
        <v>101</v>
      </c>
      <c r="I30" s="5">
        <v>10</v>
      </c>
      <c r="J30" s="5">
        <v>4511453735</v>
      </c>
      <c r="K30" s="17">
        <v>44992</v>
      </c>
      <c r="L30" t="s">
        <v>145</v>
      </c>
      <c r="M30" s="6">
        <v>5052585644</v>
      </c>
      <c r="N30" t="s">
        <v>165</v>
      </c>
      <c r="O30" s="7" t="str">
        <f>IFERROR(VLOOKUP(Ingresos[[#This Row],[Pedido]],Compradores[],2,FALSE),"")</f>
        <v>IRAMOSA</v>
      </c>
      <c r="P30" s="7" t="str">
        <f>IFERROR(VLOOKUP(Ingresos[[#This Row],[Concatenar]],Detalle_OC[],2,FALSE),"")</f>
        <v>JCALDERONCHU</v>
      </c>
      <c r="Q30" s="7" t="str">
        <f>IFERROR(VLOOKUP(Ingresos[[#This Row],[Concatenar]],Detalle_OC[],3,FALSE),"")</f>
        <v xml:space="preserve">FORMULARIOS PIURA S.A.C           </v>
      </c>
      <c r="R30" s="10">
        <f>IFERROR(VLOOKUP(Ingresos[[#This Row],[Concatenar]],Detalle_OC[],4,FALSE),"")</f>
        <v>45016</v>
      </c>
      <c r="S30" s="7" t="str">
        <f>IFERROR(VLOOKUP(Ingresos[[#This Row],[Concatenar]],Detalle_OC[],5,FALSE),"")</f>
        <v>CENTRO DE COSTO</v>
      </c>
      <c r="T30" s="7" t="str">
        <f>IF(Ingresos[[#This Row],[Fec. Entrega]]&gt;=Ingresos[[#This Row],[Fe.contable]],"",IF(Ingresos[[#This Row],[Fe.contable]]&gt;Ingresos[[#This Row],[Fec. Entrega]],"Entrega Tarde"))</f>
        <v/>
      </c>
    </row>
    <row r="31" spans="1:20" x14ac:dyDescent="0.35">
      <c r="A31" s="7" t="str">
        <f>Ingresos[[#This Row],[Centro]]&amp;Ingresos[[#This Row],[Almacén]]&amp;Ingresos[[#This Row],[Codigo]]&amp;Ingresos[[#This Row],[Pedido]]&amp;Ingresos[[#This Row],[Posición]]</f>
        <v>Agricola del Chira PlantaMontelima718015550002218010</v>
      </c>
      <c r="B31" t="s">
        <v>27</v>
      </c>
      <c r="C31" t="s">
        <v>29</v>
      </c>
      <c r="D31" s="5">
        <v>718015</v>
      </c>
      <c r="E31" t="s">
        <v>137</v>
      </c>
      <c r="F31" s="6">
        <v>110</v>
      </c>
      <c r="G31" t="s">
        <v>28</v>
      </c>
      <c r="H31" s="5">
        <v>101</v>
      </c>
      <c r="I31" s="5">
        <v>10</v>
      </c>
      <c r="J31" s="5">
        <v>5500022180</v>
      </c>
      <c r="K31" s="17">
        <v>44993</v>
      </c>
      <c r="L31" t="s">
        <v>301</v>
      </c>
      <c r="M31" s="6">
        <v>5052586795</v>
      </c>
      <c r="N31" t="s">
        <v>165</v>
      </c>
      <c r="O31" s="7" t="str">
        <f>IFERROR(VLOOKUP(Ingresos[[#This Row],[Pedido]],Compradores[],2,FALSE),"")</f>
        <v/>
      </c>
      <c r="P31" s="7" t="str">
        <f>IFERROR(VLOOKUP(Ingresos[[#This Row],[Concatenar]],Detalle_OC[],2,FALSE),"")</f>
        <v/>
      </c>
      <c r="Q31" s="7" t="str">
        <f>IFERROR(VLOOKUP(Ingresos[[#This Row],[Concatenar]],Detalle_OC[],3,FALSE),"")</f>
        <v/>
      </c>
      <c r="R31" s="10" t="str">
        <f>IFERROR(VLOOKUP(Ingresos[[#This Row],[Concatenar]],Detalle_OC[],4,FALSE),"")</f>
        <v/>
      </c>
      <c r="S31" s="7" t="str">
        <f>IFERROR(VLOOKUP(Ingresos[[#This Row],[Concatenar]],Detalle_OC[],5,FALSE),"")</f>
        <v/>
      </c>
      <c r="T31" s="7" t="str">
        <f>IF(Ingresos[[#This Row],[Fec. Entrega]]&gt;=Ingresos[[#This Row],[Fe.contable]],"",IF(Ingresos[[#This Row],[Fe.contable]]&gt;Ingresos[[#This Row],[Fec. Entrega]],"Entrega Tarde"))</f>
        <v/>
      </c>
    </row>
    <row r="32" spans="1:20" x14ac:dyDescent="0.35">
      <c r="A32" s="7" t="str">
        <f>Ingresos[[#This Row],[Centro]]&amp;Ingresos[[#This Row],[Almacén]]&amp;Ingresos[[#This Row],[Codigo]]&amp;Ingresos[[#This Row],[Pedido]]&amp;Ingresos[[#This Row],[Posición]]</f>
        <v>Agricola del Chira PlantaMontelima72166955000224351400</v>
      </c>
      <c r="B32" t="s">
        <v>27</v>
      </c>
      <c r="C32" t="s">
        <v>29</v>
      </c>
      <c r="D32" s="5">
        <v>721669</v>
      </c>
      <c r="E32" t="s">
        <v>336</v>
      </c>
      <c r="F32" s="6">
        <v>400</v>
      </c>
      <c r="G32" t="s">
        <v>112</v>
      </c>
      <c r="H32" s="5">
        <v>101</v>
      </c>
      <c r="I32" s="5">
        <v>1400</v>
      </c>
      <c r="J32" s="5">
        <v>5500022435</v>
      </c>
      <c r="K32" s="17">
        <v>44993</v>
      </c>
      <c r="L32" t="s">
        <v>337</v>
      </c>
      <c r="M32" s="6">
        <v>5052586946</v>
      </c>
      <c r="N32" t="s">
        <v>165</v>
      </c>
      <c r="O32" s="7" t="str">
        <f>IFERROR(VLOOKUP(Ingresos[[#This Row],[Pedido]],Compradores[],2,FALSE),"")</f>
        <v/>
      </c>
      <c r="P32" s="7" t="str">
        <f>IFERROR(VLOOKUP(Ingresos[[#This Row],[Concatenar]],Detalle_OC[],2,FALSE),"")</f>
        <v xml:space="preserve">            </v>
      </c>
      <c r="Q32" s="7" t="str">
        <f>IFERROR(VLOOKUP(Ingresos[[#This Row],[Concatenar]],Detalle_OC[],3,FALSE),"")</f>
        <v xml:space="preserve">OLYMPUS INDUSTRIAS SRL            </v>
      </c>
      <c r="R32" s="10">
        <f>IFERROR(VLOOKUP(Ingresos[[#This Row],[Concatenar]],Detalle_OC[],4,FALSE),"")</f>
        <v>44664</v>
      </c>
      <c r="S32" s="7" t="str">
        <f>IFERROR(VLOOKUP(Ingresos[[#This Row],[Concatenar]],Detalle_OC[],5,FALSE),"")</f>
        <v>STOCK DE ALMACEN</v>
      </c>
      <c r="T32" s="7" t="str">
        <f>IF(Ingresos[[#This Row],[Fec. Entrega]]&gt;=Ingresos[[#This Row],[Fe.contable]],"",IF(Ingresos[[#This Row],[Fe.contable]]&gt;Ingresos[[#This Row],[Fec. Entrega]],"Entrega Tarde"))</f>
        <v>Entrega Tarde</v>
      </c>
    </row>
    <row r="33" spans="1:20" x14ac:dyDescent="0.35">
      <c r="A33" s="7" t="str">
        <f>Ingresos[[#This Row],[Centro]]&amp;Ingresos[[#This Row],[Almacén]]&amp;Ingresos[[#This Row],[Codigo]]&amp;Ingresos[[#This Row],[Pedido]]&amp;Ingresos[[#This Row],[Posición]]</f>
        <v>Agricola del Chira PlantaMontelima77730555000224351360</v>
      </c>
      <c r="B33" t="s">
        <v>27</v>
      </c>
      <c r="C33" t="s">
        <v>29</v>
      </c>
      <c r="D33" s="5">
        <v>777305</v>
      </c>
      <c r="E33" t="s">
        <v>338</v>
      </c>
      <c r="F33" s="6">
        <v>16</v>
      </c>
      <c r="G33" t="s">
        <v>140</v>
      </c>
      <c r="H33" s="5">
        <v>101</v>
      </c>
      <c r="I33" s="5">
        <v>1360</v>
      </c>
      <c r="J33" s="5">
        <v>5500022435</v>
      </c>
      <c r="K33" s="17">
        <v>44993</v>
      </c>
      <c r="L33" t="s">
        <v>337</v>
      </c>
      <c r="M33" s="6">
        <v>5052586946</v>
      </c>
      <c r="N33" t="s">
        <v>165</v>
      </c>
      <c r="O33" s="7" t="str">
        <f>IFERROR(VLOOKUP(Ingresos[[#This Row],[Pedido]],Compradores[],2,FALSE),"")</f>
        <v/>
      </c>
      <c r="P33" s="7" t="str">
        <f>IFERROR(VLOOKUP(Ingresos[[#This Row],[Concatenar]],Detalle_OC[],2,FALSE),"")</f>
        <v xml:space="preserve">            </v>
      </c>
      <c r="Q33" s="7" t="str">
        <f>IFERROR(VLOOKUP(Ingresos[[#This Row],[Concatenar]],Detalle_OC[],3,FALSE),"")</f>
        <v xml:space="preserve">OLYMPUS INDUSTRIAS SRL            </v>
      </c>
      <c r="R33" s="10">
        <f>IFERROR(VLOOKUP(Ingresos[[#This Row],[Concatenar]],Detalle_OC[],4,FALSE),"")</f>
        <v>44783</v>
      </c>
      <c r="S33" s="7" t="str">
        <f>IFERROR(VLOOKUP(Ingresos[[#This Row],[Concatenar]],Detalle_OC[],5,FALSE),"")</f>
        <v>STOCK DE ALMACEN</v>
      </c>
      <c r="T33" s="7" t="str">
        <f>IF(Ingresos[[#This Row],[Fec. Entrega]]&gt;=Ingresos[[#This Row],[Fe.contable]],"",IF(Ingresos[[#This Row],[Fe.contable]]&gt;Ingresos[[#This Row],[Fec. Entrega]],"Entrega Tarde"))</f>
        <v>Entrega Tarde</v>
      </c>
    </row>
    <row r="34" spans="1:20" x14ac:dyDescent="0.35">
      <c r="A34" s="7" t="str">
        <f>Ingresos[[#This Row],[Centro]]&amp;Ingresos[[#This Row],[Almacén]]&amp;Ingresos[[#This Row],[Codigo]]&amp;Ingresos[[#This Row],[Pedido]]&amp;Ingresos[[#This Row],[Posición]]</f>
        <v>Agricola del Chira PlantaMontelima7006918355000224351690</v>
      </c>
      <c r="B34" t="s">
        <v>27</v>
      </c>
      <c r="C34" t="s">
        <v>29</v>
      </c>
      <c r="D34" s="5">
        <v>70069183</v>
      </c>
      <c r="E34" t="s">
        <v>339</v>
      </c>
      <c r="F34" s="6">
        <v>36</v>
      </c>
      <c r="G34" t="s">
        <v>28</v>
      </c>
      <c r="H34" s="5">
        <v>101</v>
      </c>
      <c r="I34" s="5">
        <v>1690</v>
      </c>
      <c r="J34" s="5">
        <v>5500022435</v>
      </c>
      <c r="K34" s="17">
        <v>44993</v>
      </c>
      <c r="L34" t="s">
        <v>337</v>
      </c>
      <c r="M34" s="6">
        <v>5052586946</v>
      </c>
      <c r="N34" t="s">
        <v>165</v>
      </c>
      <c r="O34" s="7" t="str">
        <f>IFERROR(VLOOKUP(Ingresos[[#This Row],[Pedido]],Compradores[],2,FALSE),"")</f>
        <v/>
      </c>
      <c r="P34" s="7" t="str">
        <f>IFERROR(VLOOKUP(Ingresos[[#This Row],[Concatenar]],Detalle_OC[],2,FALSE),"")</f>
        <v xml:space="preserve">            </v>
      </c>
      <c r="Q34" s="7" t="str">
        <f>IFERROR(VLOOKUP(Ingresos[[#This Row],[Concatenar]],Detalle_OC[],3,FALSE),"")</f>
        <v xml:space="preserve">OLYMPUS INDUSTRIAS SRL            </v>
      </c>
      <c r="R34" s="10">
        <f>IFERROR(VLOOKUP(Ingresos[[#This Row],[Concatenar]],Detalle_OC[],4,FALSE),"")</f>
        <v>44664</v>
      </c>
      <c r="S34" s="7" t="str">
        <f>IFERROR(VLOOKUP(Ingresos[[#This Row],[Concatenar]],Detalle_OC[],5,FALSE),"")</f>
        <v>STOCK DE ALMACEN</v>
      </c>
      <c r="T34" s="7" t="str">
        <f>IF(Ingresos[[#This Row],[Fec. Entrega]]&gt;=Ingresos[[#This Row],[Fe.contable]],"",IF(Ingresos[[#This Row],[Fe.contable]]&gt;Ingresos[[#This Row],[Fec. Entrega]],"Entrega Tarde"))</f>
        <v>Entrega Tarde</v>
      </c>
    </row>
    <row r="35" spans="1:20" x14ac:dyDescent="0.35">
      <c r="A35" s="7" t="str">
        <f>Ingresos[[#This Row],[Centro]]&amp;Ingresos[[#This Row],[Almacén]]&amp;Ingresos[[#This Row],[Codigo]]&amp;Ingresos[[#This Row],[Pedido]]&amp;Ingresos[[#This Row],[Posición]]</f>
        <v>Agricola del Chira PlantaMontelima787785451144536910</v>
      </c>
      <c r="B35" t="s">
        <v>27</v>
      </c>
      <c r="C35" t="s">
        <v>29</v>
      </c>
      <c r="D35" s="5">
        <v>787785</v>
      </c>
      <c r="E35" t="s">
        <v>346</v>
      </c>
      <c r="F35" s="6">
        <v>12</v>
      </c>
      <c r="G35" t="s">
        <v>28</v>
      </c>
      <c r="H35" s="5">
        <v>101</v>
      </c>
      <c r="I35" s="5">
        <v>10</v>
      </c>
      <c r="J35" s="5">
        <v>4511445369</v>
      </c>
      <c r="K35" s="17">
        <v>44993</v>
      </c>
      <c r="L35" t="s">
        <v>347</v>
      </c>
      <c r="M35" s="6">
        <v>5052587130</v>
      </c>
      <c r="N35" t="s">
        <v>165</v>
      </c>
      <c r="O35" s="7" t="str">
        <f>IFERROR(VLOOKUP(Ingresos[[#This Row],[Pedido]],Compradores[],2,FALSE),"")</f>
        <v>JCHEROPA</v>
      </c>
      <c r="P35" s="7" t="str">
        <f>IFERROR(VLOOKUP(Ingresos[[#This Row],[Concatenar]],Detalle_OC[],2,FALSE),"")</f>
        <v xml:space="preserve">DCHERON     </v>
      </c>
      <c r="Q35" s="7" t="str">
        <f>IFERROR(VLOOKUP(Ingresos[[#This Row],[Concatenar]],Detalle_OC[],3,FALSE),"")</f>
        <v xml:space="preserve">NEGOCIOS WALMARC EIRL             </v>
      </c>
      <c r="R35" s="10">
        <f>IFERROR(VLOOKUP(Ingresos[[#This Row],[Concatenar]],Detalle_OC[],4,FALSE),"")</f>
        <v>44977</v>
      </c>
      <c r="S35" s="7" t="str">
        <f>IFERROR(VLOOKUP(Ingresos[[#This Row],[Concatenar]],Detalle_OC[],5,FALSE),"")</f>
        <v>STOCK DE ALMACEN</v>
      </c>
      <c r="T35" s="7" t="str">
        <f>IF(Ingresos[[#This Row],[Fec. Entrega]]&gt;=Ingresos[[#This Row],[Fe.contable]],"",IF(Ingresos[[#This Row],[Fe.contable]]&gt;Ingresos[[#This Row],[Fec. Entrega]],"Entrega Tarde"))</f>
        <v>Entrega Tarde</v>
      </c>
    </row>
    <row r="36" spans="1:20" x14ac:dyDescent="0.35">
      <c r="A36" s="7" t="str">
        <f>Ingresos[[#This Row],[Centro]]&amp;Ingresos[[#This Row],[Almacén]]&amp;Ingresos[[#This Row],[Codigo]]&amp;Ingresos[[#This Row],[Pedido]]&amp;Ingresos[[#This Row],[Posición]]</f>
        <v>Agricola del Chira PlantaMontelima70046835451144423810</v>
      </c>
      <c r="B36" t="s">
        <v>27</v>
      </c>
      <c r="C36" t="s">
        <v>29</v>
      </c>
      <c r="D36" s="5">
        <v>70046835</v>
      </c>
      <c r="E36" t="s">
        <v>351</v>
      </c>
      <c r="F36" s="6">
        <v>2</v>
      </c>
      <c r="G36" t="s">
        <v>28</v>
      </c>
      <c r="H36" s="5">
        <v>101</v>
      </c>
      <c r="I36" s="5">
        <v>10</v>
      </c>
      <c r="J36" s="5">
        <v>4511444238</v>
      </c>
      <c r="K36" s="17">
        <v>44993</v>
      </c>
      <c r="L36" t="s">
        <v>352</v>
      </c>
      <c r="M36" s="6">
        <v>5052587133</v>
      </c>
      <c r="N36" t="s">
        <v>165</v>
      </c>
      <c r="O36" s="7" t="str">
        <f>IFERROR(VLOOKUP(Ingresos[[#This Row],[Pedido]],Compradores[],2,FALSE),"")</f>
        <v>JCHAPARROB</v>
      </c>
      <c r="P36" s="7" t="str">
        <f>IFERROR(VLOOKUP(Ingresos[[#This Row],[Concatenar]],Detalle_OC[],2,FALSE),"")</f>
        <v>Implement ag</v>
      </c>
      <c r="Q36" s="7" t="str">
        <f>IFERROR(VLOOKUP(Ingresos[[#This Row],[Concatenar]],Detalle_OC[],3,FALSE),"")</f>
        <v xml:space="preserve">NEGOCIOS WALMARC EIRL             </v>
      </c>
      <c r="R36" s="10">
        <f>IFERROR(VLOOKUP(Ingresos[[#This Row],[Concatenar]],Detalle_OC[],4,FALSE),"")</f>
        <v>44995</v>
      </c>
      <c r="S36" s="7" t="str">
        <f>IFERROR(VLOOKUP(Ingresos[[#This Row],[Concatenar]],Detalle_OC[],5,FALSE),"")</f>
        <v>STOCK DE ALMACEN</v>
      </c>
      <c r="T36" s="7" t="str">
        <f>IF(Ingresos[[#This Row],[Fec. Entrega]]&gt;=Ingresos[[#This Row],[Fe.contable]],"",IF(Ingresos[[#This Row],[Fe.contable]]&gt;Ingresos[[#This Row],[Fec. Entrega]],"Entrega Tarde"))</f>
        <v/>
      </c>
    </row>
    <row r="37" spans="1:20" x14ac:dyDescent="0.35">
      <c r="A37" s="7" t="str">
        <f>Ingresos[[#This Row],[Centro]]&amp;Ingresos[[#This Row],[Almacén]]&amp;Ingresos[[#This Row],[Codigo]]&amp;Ingresos[[#This Row],[Pedido]]&amp;Ingresos[[#This Row],[Posición]]</f>
        <v>Sucroalcolera del Chira PlantaMontelima70084356451145581250</v>
      </c>
      <c r="B37" t="s">
        <v>41</v>
      </c>
      <c r="C37" t="s">
        <v>29</v>
      </c>
      <c r="D37" s="5">
        <v>70084356</v>
      </c>
      <c r="E37" t="s">
        <v>374</v>
      </c>
      <c r="F37" s="6">
        <v>350</v>
      </c>
      <c r="G37" t="s">
        <v>112</v>
      </c>
      <c r="H37" s="5">
        <v>101</v>
      </c>
      <c r="I37" s="5">
        <v>50</v>
      </c>
      <c r="J37" s="5">
        <v>4511455812</v>
      </c>
      <c r="K37" s="17">
        <v>44993</v>
      </c>
      <c r="L37" t="s">
        <v>375</v>
      </c>
      <c r="M37" s="6">
        <v>5052587159</v>
      </c>
      <c r="N37" t="s">
        <v>165</v>
      </c>
      <c r="O37" s="7" t="str">
        <f>IFERROR(VLOOKUP(Ingresos[[#This Row],[Pedido]],Compradores[],2,FALSE),"")</f>
        <v>IRAMOSA</v>
      </c>
      <c r="P37" s="7" t="str">
        <f>IFERROR(VLOOKUP(Ingresos[[#This Row],[Concatenar]],Detalle_OC[],2,FALSE),"")</f>
        <v>Mtto Mecanic</v>
      </c>
      <c r="Q37" s="7" t="str">
        <f>IFERROR(VLOOKUP(Ingresos[[#This Row],[Concatenar]],Detalle_OC[],3,FALSE),"")</f>
        <v xml:space="preserve">SEDISA SAC                        </v>
      </c>
      <c r="R37" s="10">
        <f>IFERROR(VLOOKUP(Ingresos[[#This Row],[Concatenar]],Detalle_OC[],4,FALSE),"")</f>
        <v>45005</v>
      </c>
      <c r="S37" s="7" t="str">
        <f>IFERROR(VLOOKUP(Ingresos[[#This Row],[Concatenar]],Detalle_OC[],5,FALSE),"")</f>
        <v>STOCK DE ALMACEN</v>
      </c>
      <c r="T37" s="7" t="str">
        <f>IF(Ingresos[[#This Row],[Fec. Entrega]]&gt;=Ingresos[[#This Row],[Fe.contable]],"",IF(Ingresos[[#This Row],[Fe.contable]]&gt;Ingresos[[#This Row],[Fec. Entrega]],"Entrega Tarde"))</f>
        <v/>
      </c>
    </row>
    <row r="38" spans="1:20" x14ac:dyDescent="0.35">
      <c r="A38" s="7" t="str">
        <f>Ingresos[[#This Row],[Centro]]&amp;Ingresos[[#This Row],[Almacén]]&amp;Ingresos[[#This Row],[Codigo]]&amp;Ingresos[[#This Row],[Pedido]]&amp;Ingresos[[#This Row],[Posición]]</f>
        <v>Sucroalcolera del Chira PlantaMontelima70084359451145581280</v>
      </c>
      <c r="B38" t="s">
        <v>41</v>
      </c>
      <c r="C38" t="s">
        <v>29</v>
      </c>
      <c r="D38" s="5">
        <v>70084359</v>
      </c>
      <c r="E38" t="s">
        <v>376</v>
      </c>
      <c r="F38" s="6">
        <v>300</v>
      </c>
      <c r="G38" t="s">
        <v>112</v>
      </c>
      <c r="H38" s="5">
        <v>101</v>
      </c>
      <c r="I38" s="5">
        <v>80</v>
      </c>
      <c r="J38" s="5">
        <v>4511455812</v>
      </c>
      <c r="K38" s="17">
        <v>44993</v>
      </c>
      <c r="L38" t="s">
        <v>375</v>
      </c>
      <c r="M38" s="6">
        <v>5052587159</v>
      </c>
      <c r="N38" t="s">
        <v>165</v>
      </c>
      <c r="O38" s="7" t="str">
        <f>IFERROR(VLOOKUP(Ingresos[[#This Row],[Pedido]],Compradores[],2,FALSE),"")</f>
        <v>IRAMOSA</v>
      </c>
      <c r="P38" s="7" t="str">
        <f>IFERROR(VLOOKUP(Ingresos[[#This Row],[Concatenar]],Detalle_OC[],2,FALSE),"")</f>
        <v>Mtto Mecanic</v>
      </c>
      <c r="Q38" s="7" t="str">
        <f>IFERROR(VLOOKUP(Ingresos[[#This Row],[Concatenar]],Detalle_OC[],3,FALSE),"")</f>
        <v xml:space="preserve">SEDISA SAC                        </v>
      </c>
      <c r="R38" s="10">
        <f>IFERROR(VLOOKUP(Ingresos[[#This Row],[Concatenar]],Detalle_OC[],4,FALSE),"")</f>
        <v>45005</v>
      </c>
      <c r="S38" s="7" t="str">
        <f>IFERROR(VLOOKUP(Ingresos[[#This Row],[Concatenar]],Detalle_OC[],5,FALSE),"")</f>
        <v>STOCK DE ALMACEN</v>
      </c>
      <c r="T38" s="7" t="str">
        <f>IF(Ingresos[[#This Row],[Fec. Entrega]]&gt;=Ingresos[[#This Row],[Fe.contable]],"",IF(Ingresos[[#This Row],[Fe.contable]]&gt;Ingresos[[#This Row],[Fec. Entrega]],"Entrega Tarde"))</f>
        <v/>
      </c>
    </row>
    <row r="39" spans="1:20" x14ac:dyDescent="0.35">
      <c r="A39" s="7" t="str">
        <f>Ingresos[[#This Row],[Centro]]&amp;Ingresos[[#This Row],[Almacén]]&amp;Ingresos[[#This Row],[Codigo]]&amp;Ingresos[[#This Row],[Pedido]]&amp;Ingresos[[#This Row],[Posición]]</f>
        <v>Sucroalcolera del Chira PlantaMontelima70084360451145581270</v>
      </c>
      <c r="B39" t="s">
        <v>41</v>
      </c>
      <c r="C39" t="s">
        <v>29</v>
      </c>
      <c r="D39" s="5">
        <v>70084360</v>
      </c>
      <c r="E39" t="s">
        <v>324</v>
      </c>
      <c r="F39" s="6">
        <v>300</v>
      </c>
      <c r="G39" t="s">
        <v>112</v>
      </c>
      <c r="H39" s="5">
        <v>101</v>
      </c>
      <c r="I39" s="5">
        <v>70</v>
      </c>
      <c r="J39" s="5">
        <v>4511455812</v>
      </c>
      <c r="K39" s="17">
        <v>44993</v>
      </c>
      <c r="L39" t="s">
        <v>375</v>
      </c>
      <c r="M39" s="6">
        <v>5052587159</v>
      </c>
      <c r="N39" t="s">
        <v>165</v>
      </c>
      <c r="O39" s="7" t="str">
        <f>IFERROR(VLOOKUP(Ingresos[[#This Row],[Pedido]],Compradores[],2,FALSE),"")</f>
        <v>IRAMOSA</v>
      </c>
      <c r="P39" s="7" t="str">
        <f>IFERROR(VLOOKUP(Ingresos[[#This Row],[Concatenar]],Detalle_OC[],2,FALSE),"")</f>
        <v>Mtto Mecanic</v>
      </c>
      <c r="Q39" s="7" t="str">
        <f>IFERROR(VLOOKUP(Ingresos[[#This Row],[Concatenar]],Detalle_OC[],3,FALSE),"")</f>
        <v xml:space="preserve">SEDISA SAC                        </v>
      </c>
      <c r="R39" s="10">
        <f>IFERROR(VLOOKUP(Ingresos[[#This Row],[Concatenar]],Detalle_OC[],4,FALSE),"")</f>
        <v>45005</v>
      </c>
      <c r="S39" s="7" t="str">
        <f>IFERROR(VLOOKUP(Ingresos[[#This Row],[Concatenar]],Detalle_OC[],5,FALSE),"")</f>
        <v>STOCK DE ALMACEN</v>
      </c>
      <c r="T39" s="7" t="str">
        <f>IF(Ingresos[[#This Row],[Fec. Entrega]]&gt;=Ingresos[[#This Row],[Fe.contable]],"",IF(Ingresos[[#This Row],[Fe.contable]]&gt;Ingresos[[#This Row],[Fec. Entrega]],"Entrega Tarde"))</f>
        <v/>
      </c>
    </row>
    <row r="40" spans="1:20" x14ac:dyDescent="0.35">
      <c r="A40" s="7" t="str">
        <f>Ingresos[[#This Row],[Centro]]&amp;Ingresos[[#This Row],[Almacén]]&amp;Ingresos[[#This Row],[Codigo]]&amp;Ingresos[[#This Row],[Pedido]]&amp;Ingresos[[#This Row],[Posición]]</f>
        <v>Sucroalcolera del Chira PlantaMontelima70084363451145581240</v>
      </c>
      <c r="B40" t="s">
        <v>41</v>
      </c>
      <c r="C40" t="s">
        <v>29</v>
      </c>
      <c r="D40" s="5">
        <v>70084363</v>
      </c>
      <c r="E40" t="s">
        <v>377</v>
      </c>
      <c r="F40" s="6">
        <v>60</v>
      </c>
      <c r="G40" t="s">
        <v>112</v>
      </c>
      <c r="H40" s="5">
        <v>101</v>
      </c>
      <c r="I40" s="5">
        <v>40</v>
      </c>
      <c r="J40" s="5">
        <v>4511455812</v>
      </c>
      <c r="K40" s="17">
        <v>44993</v>
      </c>
      <c r="L40" t="s">
        <v>375</v>
      </c>
      <c r="M40" s="6">
        <v>5052587159</v>
      </c>
      <c r="N40" t="s">
        <v>165</v>
      </c>
      <c r="O40" s="7" t="str">
        <f>IFERROR(VLOOKUP(Ingresos[[#This Row],[Pedido]],Compradores[],2,FALSE),"")</f>
        <v>IRAMOSA</v>
      </c>
      <c r="P40" s="7" t="str">
        <f>IFERROR(VLOOKUP(Ingresos[[#This Row],[Concatenar]],Detalle_OC[],2,FALSE),"")</f>
        <v>Mtto Mecanic</v>
      </c>
      <c r="Q40" s="7" t="str">
        <f>IFERROR(VLOOKUP(Ingresos[[#This Row],[Concatenar]],Detalle_OC[],3,FALSE),"")</f>
        <v xml:space="preserve">SEDISA SAC                        </v>
      </c>
      <c r="R40" s="10">
        <f>IFERROR(VLOOKUP(Ingresos[[#This Row],[Concatenar]],Detalle_OC[],4,FALSE),"")</f>
        <v>45005</v>
      </c>
      <c r="S40" s="7" t="str">
        <f>IFERROR(VLOOKUP(Ingresos[[#This Row],[Concatenar]],Detalle_OC[],5,FALSE),"")</f>
        <v>STOCK DE ALMACEN</v>
      </c>
      <c r="T40" s="7" t="str">
        <f>IF(Ingresos[[#This Row],[Fec. Entrega]]&gt;=Ingresos[[#This Row],[Fe.contable]],"",IF(Ingresos[[#This Row],[Fe.contable]]&gt;Ingresos[[#This Row],[Fec. Entrega]],"Entrega Tarde"))</f>
        <v/>
      </c>
    </row>
    <row r="41" spans="1:20" x14ac:dyDescent="0.35">
      <c r="A41" s="7" t="str">
        <f>Ingresos[[#This Row],[Centro]]&amp;Ingresos[[#This Row],[Almacén]]&amp;Ingresos[[#This Row],[Codigo]]&amp;Ingresos[[#This Row],[Pedido]]&amp;Ingresos[[#This Row],[Posición]]</f>
        <v>Sucroalcolera del Chira PlantaMontelima70084367451145581210</v>
      </c>
      <c r="B41" t="s">
        <v>41</v>
      </c>
      <c r="C41" t="s">
        <v>29</v>
      </c>
      <c r="D41" s="5">
        <v>70084367</v>
      </c>
      <c r="E41" t="s">
        <v>378</v>
      </c>
      <c r="F41" s="6">
        <v>4</v>
      </c>
      <c r="G41" t="s">
        <v>112</v>
      </c>
      <c r="H41" s="5">
        <v>101</v>
      </c>
      <c r="I41" s="5">
        <v>10</v>
      </c>
      <c r="J41" s="5">
        <v>4511455812</v>
      </c>
      <c r="K41" s="17">
        <v>44993</v>
      </c>
      <c r="L41" t="s">
        <v>375</v>
      </c>
      <c r="M41" s="6">
        <v>5052587159</v>
      </c>
      <c r="N41" t="s">
        <v>165</v>
      </c>
      <c r="O41" s="7" t="str">
        <f>IFERROR(VLOOKUP(Ingresos[[#This Row],[Pedido]],Compradores[],2,FALSE),"")</f>
        <v>IRAMOSA</v>
      </c>
      <c r="P41" s="7" t="str">
        <f>IFERROR(VLOOKUP(Ingresos[[#This Row],[Concatenar]],Detalle_OC[],2,FALSE),"")</f>
        <v xml:space="preserve">JALBUJARC   </v>
      </c>
      <c r="Q41" s="7" t="str">
        <f>IFERROR(VLOOKUP(Ingresos[[#This Row],[Concatenar]],Detalle_OC[],3,FALSE),"")</f>
        <v xml:space="preserve">SEDISA SAC                        </v>
      </c>
      <c r="R41" s="10">
        <f>IFERROR(VLOOKUP(Ingresos[[#This Row],[Concatenar]],Detalle_OC[],4,FALSE),"")</f>
        <v>45005</v>
      </c>
      <c r="S41" s="7" t="str">
        <f>IFERROR(VLOOKUP(Ingresos[[#This Row],[Concatenar]],Detalle_OC[],5,FALSE),"")</f>
        <v>STOCK DE ALMACEN</v>
      </c>
      <c r="T41" s="7" t="str">
        <f>IF(Ingresos[[#This Row],[Fec. Entrega]]&gt;=Ingresos[[#This Row],[Fe.contable]],"",IF(Ingresos[[#This Row],[Fe.contable]]&gt;Ingresos[[#This Row],[Fec. Entrega]],"Entrega Tarde"))</f>
        <v/>
      </c>
    </row>
    <row r="42" spans="1:20" x14ac:dyDescent="0.35">
      <c r="A42" s="7" t="str">
        <f>Ingresos[[#This Row],[Centro]]&amp;Ingresos[[#This Row],[Almacén]]&amp;Ingresos[[#This Row],[Codigo]]&amp;Ingresos[[#This Row],[Pedido]]&amp;Ingresos[[#This Row],[Posición]]</f>
        <v>Agricola del Chira PlantaMontelima70100900451145253120</v>
      </c>
      <c r="B42" t="s">
        <v>27</v>
      </c>
      <c r="C42" t="s">
        <v>29</v>
      </c>
      <c r="D42" s="5">
        <v>70100900</v>
      </c>
      <c r="E42" t="s">
        <v>379</v>
      </c>
      <c r="F42" s="6">
        <v>4</v>
      </c>
      <c r="G42" t="s">
        <v>28</v>
      </c>
      <c r="H42" s="5">
        <v>101</v>
      </c>
      <c r="I42" s="5">
        <v>20</v>
      </c>
      <c r="J42" s="5">
        <v>4511452531</v>
      </c>
      <c r="K42" s="17">
        <v>44993</v>
      </c>
      <c r="L42" t="s">
        <v>380</v>
      </c>
      <c r="M42" s="6">
        <v>5052587192</v>
      </c>
      <c r="N42" t="s">
        <v>165</v>
      </c>
      <c r="O42" s="7" t="str">
        <f>IFERROR(VLOOKUP(Ingresos[[#This Row],[Pedido]],Compradores[],2,FALSE),"")</f>
        <v>IRAMOSA</v>
      </c>
      <c r="P42" s="7" t="str">
        <f>IFERROR(VLOOKUP(Ingresos[[#This Row],[Concatenar]],Detalle_OC[],2,FALSE),"")</f>
        <v>EMIJAHUANCAG</v>
      </c>
      <c r="Q42" s="7" t="str">
        <f>IFERROR(VLOOKUP(Ingresos[[#This Row],[Concatenar]],Detalle_OC[],3,FALSE),"")</f>
        <v xml:space="preserve">JULIO FRANCISCO VEGAS CORONADO    </v>
      </c>
      <c r="R42" s="10">
        <f>IFERROR(VLOOKUP(Ingresos[[#This Row],[Concatenar]],Detalle_OC[],4,FALSE),"")</f>
        <v>44995</v>
      </c>
      <c r="S42" s="7" t="str">
        <f>IFERROR(VLOOKUP(Ingresos[[#This Row],[Concatenar]],Detalle_OC[],5,FALSE),"")</f>
        <v>STOCK DE ALMACEN</v>
      </c>
      <c r="T42" s="7" t="str">
        <f>IF(Ingresos[[#This Row],[Fec. Entrega]]&gt;=Ingresos[[#This Row],[Fe.contable]],"",IF(Ingresos[[#This Row],[Fe.contable]]&gt;Ingresos[[#This Row],[Fec. Entrega]],"Entrega Tarde"))</f>
        <v/>
      </c>
    </row>
    <row r="43" spans="1:20" x14ac:dyDescent="0.35">
      <c r="A43" s="7" t="str">
        <f>Ingresos[[#This Row],[Centro]]&amp;Ingresos[[#This Row],[Almacén]]&amp;Ingresos[[#This Row],[Codigo]]&amp;Ingresos[[#This Row],[Pedido]]&amp;Ingresos[[#This Row],[Posición]]</f>
        <v>Agricola del Chira PlantaMontelimaCS400907   451145253110</v>
      </c>
      <c r="B43" t="s">
        <v>27</v>
      </c>
      <c r="C43" t="s">
        <v>29</v>
      </c>
      <c r="D43" s="5" t="s">
        <v>381</v>
      </c>
      <c r="E43" t="s">
        <v>382</v>
      </c>
      <c r="F43" s="6">
        <v>2</v>
      </c>
      <c r="G43" t="s">
        <v>28</v>
      </c>
      <c r="H43" s="5">
        <v>101</v>
      </c>
      <c r="I43" s="5">
        <v>10</v>
      </c>
      <c r="J43" s="5">
        <v>4511452531</v>
      </c>
      <c r="K43" s="17">
        <v>44993</v>
      </c>
      <c r="L43" t="s">
        <v>380</v>
      </c>
      <c r="M43" s="6">
        <v>5052587192</v>
      </c>
      <c r="N43" t="s">
        <v>165</v>
      </c>
      <c r="O43" s="7" t="str">
        <f>IFERROR(VLOOKUP(Ingresos[[#This Row],[Pedido]],Compradores[],2,FALSE),"")</f>
        <v>IRAMOSA</v>
      </c>
      <c r="P43" s="7" t="str">
        <f>IFERROR(VLOOKUP(Ingresos[[#This Row],[Concatenar]],Detalle_OC[],2,FALSE),"")</f>
        <v xml:space="preserve">ACAMPOSR    </v>
      </c>
      <c r="Q43" s="7" t="str">
        <f>IFERROR(VLOOKUP(Ingresos[[#This Row],[Concatenar]],Detalle_OC[],3,FALSE),"")</f>
        <v xml:space="preserve">JULIO FRANCISCO VEGAS CORONADO    </v>
      </c>
      <c r="R43" s="10">
        <f>IFERROR(VLOOKUP(Ingresos[[#This Row],[Concatenar]],Detalle_OC[],4,FALSE),"")</f>
        <v>44995</v>
      </c>
      <c r="S43" s="7" t="str">
        <f>IFERROR(VLOOKUP(Ingresos[[#This Row],[Concatenar]],Detalle_OC[],5,FALSE),"")</f>
        <v>STOCK DE ALMACEN</v>
      </c>
      <c r="T43" s="7" t="str">
        <f>IF(Ingresos[[#This Row],[Fec. Entrega]]&gt;=Ingresos[[#This Row],[Fe.contable]],"",IF(Ingresos[[#This Row],[Fe.contable]]&gt;Ingresos[[#This Row],[Fec. Entrega]],"Entrega Tarde"))</f>
        <v/>
      </c>
    </row>
    <row r="44" spans="1:20" x14ac:dyDescent="0.35">
      <c r="A44" s="7" t="str">
        <f>Ingresos[[#This Row],[Centro]]&amp;Ingresos[[#This Row],[Almacén]]&amp;Ingresos[[#This Row],[Codigo]]&amp;Ingresos[[#This Row],[Pedido]]&amp;Ingresos[[#This Row],[Posición]]</f>
        <v>Sucroalcolera del Chira PlantaMontelima7773055500022436400</v>
      </c>
      <c r="B44" t="s">
        <v>41</v>
      </c>
      <c r="C44" t="s">
        <v>29</v>
      </c>
      <c r="D44" s="5">
        <v>777305</v>
      </c>
      <c r="E44" t="s">
        <v>338</v>
      </c>
      <c r="F44" s="6">
        <v>15</v>
      </c>
      <c r="G44" t="s">
        <v>140</v>
      </c>
      <c r="H44" s="5">
        <v>101</v>
      </c>
      <c r="I44" s="5">
        <v>400</v>
      </c>
      <c r="J44" s="5">
        <v>5500022436</v>
      </c>
      <c r="K44" s="17">
        <v>44993</v>
      </c>
      <c r="L44" t="s">
        <v>383</v>
      </c>
      <c r="M44" s="6">
        <v>5052587348</v>
      </c>
      <c r="N44" t="s">
        <v>165</v>
      </c>
      <c r="O44" s="7" t="str">
        <f>IFERROR(VLOOKUP(Ingresos[[#This Row],[Pedido]],Compradores[],2,FALSE),"")</f>
        <v/>
      </c>
      <c r="P44" s="7" t="str">
        <f>IFERROR(VLOOKUP(Ingresos[[#This Row],[Concatenar]],Detalle_OC[],2,FALSE),"")</f>
        <v xml:space="preserve">            </v>
      </c>
      <c r="Q44" s="7" t="str">
        <f>IFERROR(VLOOKUP(Ingresos[[#This Row],[Concatenar]],Detalle_OC[],3,FALSE),"")</f>
        <v xml:space="preserve">OLYMPUS INDUSTRIAS SRL            </v>
      </c>
      <c r="R44" s="10">
        <f>IFERROR(VLOOKUP(Ingresos[[#This Row],[Concatenar]],Detalle_OC[],4,FALSE),"")</f>
        <v>44687</v>
      </c>
      <c r="S44" s="7" t="str">
        <f>IFERROR(VLOOKUP(Ingresos[[#This Row],[Concatenar]],Detalle_OC[],5,FALSE),"")</f>
        <v>STOCK DE ALMACEN</v>
      </c>
      <c r="T44" s="7" t="str">
        <f>IF(Ingresos[[#This Row],[Fec. Entrega]]&gt;=Ingresos[[#This Row],[Fe.contable]],"",IF(Ingresos[[#This Row],[Fe.contable]]&gt;Ingresos[[#This Row],[Fec. Entrega]],"Entrega Tarde"))</f>
        <v>Entrega Tarde</v>
      </c>
    </row>
    <row r="45" spans="1:20" x14ac:dyDescent="0.35">
      <c r="A45" s="7" t="str">
        <f>Ingresos[[#This Row],[Centro]]&amp;Ingresos[[#This Row],[Almacén]]&amp;Ingresos[[#This Row],[Codigo]]&amp;Ingresos[[#This Row],[Pedido]]&amp;Ingresos[[#This Row],[Posición]]</f>
        <v>Sucroalcolera del Chira PlantaMontelima700439915500022436580</v>
      </c>
      <c r="B45" t="s">
        <v>41</v>
      </c>
      <c r="C45" t="s">
        <v>29</v>
      </c>
      <c r="D45" s="5">
        <v>70043991</v>
      </c>
      <c r="E45" t="s">
        <v>384</v>
      </c>
      <c r="F45" s="6">
        <v>3</v>
      </c>
      <c r="G45" t="s">
        <v>28</v>
      </c>
      <c r="H45" s="5">
        <v>101</v>
      </c>
      <c r="I45" s="5">
        <v>580</v>
      </c>
      <c r="J45" s="5">
        <v>5500022436</v>
      </c>
      <c r="K45" s="17">
        <v>44993</v>
      </c>
      <c r="L45" t="s">
        <v>383</v>
      </c>
      <c r="M45" s="6">
        <v>5052587348</v>
      </c>
      <c r="N45" t="s">
        <v>165</v>
      </c>
      <c r="O45" s="7" t="str">
        <f>IFERROR(VLOOKUP(Ingresos[[#This Row],[Pedido]],Compradores[],2,FALSE),"")</f>
        <v/>
      </c>
      <c r="P45" s="7" t="str">
        <f>IFERROR(VLOOKUP(Ingresos[[#This Row],[Concatenar]],Detalle_OC[],2,FALSE),"")</f>
        <v xml:space="preserve">            </v>
      </c>
      <c r="Q45" s="7" t="str">
        <f>IFERROR(VLOOKUP(Ingresos[[#This Row],[Concatenar]],Detalle_OC[],3,FALSE),"")</f>
        <v xml:space="preserve">OLYMPUS INDUSTRIAS SRL            </v>
      </c>
      <c r="R45" s="10">
        <f>IFERROR(VLOOKUP(Ingresos[[#This Row],[Concatenar]],Detalle_OC[],4,FALSE),"")</f>
        <v>44658</v>
      </c>
      <c r="S45" s="7" t="str">
        <f>IFERROR(VLOOKUP(Ingresos[[#This Row],[Concatenar]],Detalle_OC[],5,FALSE),"")</f>
        <v>STOCK DE ALMACEN</v>
      </c>
      <c r="T45" s="7" t="str">
        <f>IF(Ingresos[[#This Row],[Fec. Entrega]]&gt;=Ingresos[[#This Row],[Fe.contable]],"",IF(Ingresos[[#This Row],[Fe.contable]]&gt;Ingresos[[#This Row],[Fec. Entrega]],"Entrega Tarde"))</f>
        <v>Entrega Tarde</v>
      </c>
    </row>
    <row r="46" spans="1:20" x14ac:dyDescent="0.35">
      <c r="A46" s="7" t="str">
        <f>Ingresos[[#This Row],[Centro]]&amp;Ingresos[[#This Row],[Almacén]]&amp;Ingresos[[#This Row],[Codigo]]&amp;Ingresos[[#This Row],[Pedido]]&amp;Ingresos[[#This Row],[Posición]]</f>
        <v>Sucroalcolera del Chira PlantaMontelima700691835500022436560</v>
      </c>
      <c r="B46" t="s">
        <v>41</v>
      </c>
      <c r="C46" t="s">
        <v>29</v>
      </c>
      <c r="D46" s="5">
        <v>70069183</v>
      </c>
      <c r="E46" t="s">
        <v>339</v>
      </c>
      <c r="F46" s="6">
        <v>12</v>
      </c>
      <c r="G46" t="s">
        <v>28</v>
      </c>
      <c r="H46" s="5">
        <v>101</v>
      </c>
      <c r="I46" s="5">
        <v>560</v>
      </c>
      <c r="J46" s="5">
        <v>5500022436</v>
      </c>
      <c r="K46" s="17">
        <v>44993</v>
      </c>
      <c r="L46" t="s">
        <v>383</v>
      </c>
      <c r="M46" s="6">
        <v>5052587348</v>
      </c>
      <c r="N46" t="s">
        <v>165</v>
      </c>
      <c r="O46" s="7" t="str">
        <f>IFERROR(VLOOKUP(Ingresos[[#This Row],[Pedido]],Compradores[],2,FALSE),"")</f>
        <v/>
      </c>
      <c r="P46" s="7" t="str">
        <f>IFERROR(VLOOKUP(Ingresos[[#This Row],[Concatenar]],Detalle_OC[],2,FALSE),"")</f>
        <v xml:space="preserve">            </v>
      </c>
      <c r="Q46" s="7" t="str">
        <f>IFERROR(VLOOKUP(Ingresos[[#This Row],[Concatenar]],Detalle_OC[],3,FALSE),"")</f>
        <v xml:space="preserve">OLYMPUS INDUSTRIAS SRL            </v>
      </c>
      <c r="R46" s="10">
        <f>IFERROR(VLOOKUP(Ingresos[[#This Row],[Concatenar]],Detalle_OC[],4,FALSE),"")</f>
        <v>44642</v>
      </c>
      <c r="S46" s="7" t="str">
        <f>IFERROR(VLOOKUP(Ingresos[[#This Row],[Concatenar]],Detalle_OC[],5,FALSE),"")</f>
        <v>STOCK DE ALMACEN</v>
      </c>
      <c r="T46" s="7" t="str">
        <f>IF(Ingresos[[#This Row],[Fec. Entrega]]&gt;=Ingresos[[#This Row],[Fe.contable]],"",IF(Ingresos[[#This Row],[Fe.contable]]&gt;Ingresos[[#This Row],[Fec. Entrega]],"Entrega Tarde"))</f>
        <v>Entrega Tarde</v>
      </c>
    </row>
    <row r="47" spans="1:20" x14ac:dyDescent="0.35">
      <c r="A47" s="7" t="str">
        <f>Ingresos[[#This Row],[Centro]]&amp;Ingresos[[#This Row],[Almacén]]&amp;Ingresos[[#This Row],[Codigo]]&amp;Ingresos[[#This Row],[Pedido]]&amp;Ingresos[[#This Row],[Posición]]</f>
        <v>Sucroalcolera del Chira PlantaMontelima700691875500022436410</v>
      </c>
      <c r="B47" t="s">
        <v>41</v>
      </c>
      <c r="C47" t="s">
        <v>29</v>
      </c>
      <c r="D47" s="5">
        <v>70069187</v>
      </c>
      <c r="E47" t="s">
        <v>385</v>
      </c>
      <c r="F47" s="6">
        <v>3</v>
      </c>
      <c r="G47" t="s">
        <v>28</v>
      </c>
      <c r="H47" s="5">
        <v>101</v>
      </c>
      <c r="I47" s="5">
        <v>410</v>
      </c>
      <c r="J47" s="5">
        <v>5500022436</v>
      </c>
      <c r="K47" s="17">
        <v>44993</v>
      </c>
      <c r="L47" t="s">
        <v>383</v>
      </c>
      <c r="M47" s="6">
        <v>5052587348</v>
      </c>
      <c r="N47" t="s">
        <v>165</v>
      </c>
      <c r="O47" s="7" t="str">
        <f>IFERROR(VLOOKUP(Ingresos[[#This Row],[Pedido]],Compradores[],2,FALSE),"")</f>
        <v/>
      </c>
      <c r="P47" s="7" t="str">
        <f>IFERROR(VLOOKUP(Ingresos[[#This Row],[Concatenar]],Detalle_OC[],2,FALSE),"")</f>
        <v xml:space="preserve">            </v>
      </c>
      <c r="Q47" s="7" t="str">
        <f>IFERROR(VLOOKUP(Ingresos[[#This Row],[Concatenar]],Detalle_OC[],3,FALSE),"")</f>
        <v xml:space="preserve">OLYMPUS INDUSTRIAS SRL            </v>
      </c>
      <c r="R47" s="10">
        <f>IFERROR(VLOOKUP(Ingresos[[#This Row],[Concatenar]],Detalle_OC[],4,FALSE),"")</f>
        <v>44858</v>
      </c>
      <c r="S47" s="7" t="str">
        <f>IFERROR(VLOOKUP(Ingresos[[#This Row],[Concatenar]],Detalle_OC[],5,FALSE),"")</f>
        <v>STOCK DE ALMACEN</v>
      </c>
      <c r="T47" s="7" t="str">
        <f>IF(Ingresos[[#This Row],[Fec. Entrega]]&gt;=Ingresos[[#This Row],[Fe.contable]],"",IF(Ingresos[[#This Row],[Fe.contable]]&gt;Ingresos[[#This Row],[Fec. Entrega]],"Entrega Tarde"))</f>
        <v>Entrega Tarde</v>
      </c>
    </row>
    <row r="48" spans="1:20" x14ac:dyDescent="0.35">
      <c r="A48" s="7" t="str">
        <f>Ingresos[[#This Row],[Centro]]&amp;Ingresos[[#This Row],[Almacén]]&amp;Ingresos[[#This Row],[Codigo]]&amp;Ingresos[[#This Row],[Pedido]]&amp;Ingresos[[#This Row],[Posición]]</f>
        <v>Sucroalcolera del Chira PlantaMontelima709179451145642630</v>
      </c>
      <c r="B48" t="s">
        <v>41</v>
      </c>
      <c r="C48" t="s">
        <v>29</v>
      </c>
      <c r="D48" s="5">
        <v>709179</v>
      </c>
      <c r="E48" t="s">
        <v>386</v>
      </c>
      <c r="F48" s="6">
        <v>200</v>
      </c>
      <c r="G48" t="s">
        <v>28</v>
      </c>
      <c r="H48" s="5">
        <v>101</v>
      </c>
      <c r="I48" s="5">
        <v>30</v>
      </c>
      <c r="J48" s="5">
        <v>4511456426</v>
      </c>
      <c r="K48" s="17">
        <v>44993</v>
      </c>
      <c r="L48" t="s">
        <v>387</v>
      </c>
      <c r="M48" s="6">
        <v>5052587461</v>
      </c>
      <c r="N48" t="s">
        <v>165</v>
      </c>
      <c r="O48" s="7" t="str">
        <f>IFERROR(VLOOKUP(Ingresos[[#This Row],[Pedido]],Compradores[],2,FALSE),"")</f>
        <v>IRAMOSA</v>
      </c>
      <c r="P48" s="7" t="str">
        <f>IFERROR(VLOOKUP(Ingresos[[#This Row],[Concatenar]],Detalle_OC[],2,FALSE),"")</f>
        <v>Mtto Mecanic</v>
      </c>
      <c r="Q48" s="7" t="str">
        <f>IFERROR(VLOOKUP(Ingresos[[#This Row],[Concatenar]],Detalle_OC[],3,FALSE),"")</f>
        <v xml:space="preserve">M&amp;W REPRESENTACIONES SCRL         </v>
      </c>
      <c r="R48" s="10">
        <f>IFERROR(VLOOKUP(Ingresos[[#This Row],[Concatenar]],Detalle_OC[],4,FALSE),"")</f>
        <v>45005</v>
      </c>
      <c r="S48" s="7" t="str">
        <f>IFERROR(VLOOKUP(Ingresos[[#This Row],[Concatenar]],Detalle_OC[],5,FALSE),"")</f>
        <v>STOCK DE ALMACEN</v>
      </c>
      <c r="T48" s="7" t="str">
        <f>IF(Ingresos[[#This Row],[Fec. Entrega]]&gt;=Ingresos[[#This Row],[Fe.contable]],"",IF(Ingresos[[#This Row],[Fe.contable]]&gt;Ingresos[[#This Row],[Fec. Entrega]],"Entrega Tarde"))</f>
        <v/>
      </c>
    </row>
    <row r="49" spans="1:20" x14ac:dyDescent="0.35">
      <c r="A49" s="7" t="str">
        <f>Ingresos[[#This Row],[Centro]]&amp;Ingresos[[#This Row],[Almacén]]&amp;Ingresos[[#This Row],[Codigo]]&amp;Ingresos[[#This Row],[Pedido]]&amp;Ingresos[[#This Row],[Posición]]</f>
        <v>Sucroalcolera del Chira PlantaMontelima806591451145642640</v>
      </c>
      <c r="B49" t="s">
        <v>41</v>
      </c>
      <c r="C49" t="s">
        <v>29</v>
      </c>
      <c r="D49" s="5">
        <v>806591</v>
      </c>
      <c r="E49" t="s">
        <v>388</v>
      </c>
      <c r="F49" s="6">
        <v>300</v>
      </c>
      <c r="G49" t="s">
        <v>28</v>
      </c>
      <c r="H49" s="5">
        <v>101</v>
      </c>
      <c r="I49" s="5">
        <v>40</v>
      </c>
      <c r="J49" s="5">
        <v>4511456426</v>
      </c>
      <c r="K49" s="17">
        <v>44993</v>
      </c>
      <c r="L49" t="s">
        <v>387</v>
      </c>
      <c r="M49" s="6">
        <v>5052587461</v>
      </c>
      <c r="N49" t="s">
        <v>165</v>
      </c>
      <c r="O49" s="7" t="str">
        <f>IFERROR(VLOOKUP(Ingresos[[#This Row],[Pedido]],Compradores[],2,FALSE),"")</f>
        <v>IRAMOSA</v>
      </c>
      <c r="P49" s="7" t="str">
        <f>IFERROR(VLOOKUP(Ingresos[[#This Row],[Concatenar]],Detalle_OC[],2,FALSE),"")</f>
        <v>Mtto Mecanic</v>
      </c>
      <c r="Q49" s="7" t="str">
        <f>IFERROR(VLOOKUP(Ingresos[[#This Row],[Concatenar]],Detalle_OC[],3,FALSE),"")</f>
        <v xml:space="preserve">M&amp;W REPRESENTACIONES SCRL         </v>
      </c>
      <c r="R49" s="10">
        <f>IFERROR(VLOOKUP(Ingresos[[#This Row],[Concatenar]],Detalle_OC[],4,FALSE),"")</f>
        <v>45005</v>
      </c>
      <c r="S49" s="7" t="str">
        <f>IFERROR(VLOOKUP(Ingresos[[#This Row],[Concatenar]],Detalle_OC[],5,FALSE),"")</f>
        <v>STOCK DE ALMACEN</v>
      </c>
      <c r="T49" s="7" t="str">
        <f>IF(Ingresos[[#This Row],[Fec. Entrega]]&gt;=Ingresos[[#This Row],[Fe.contable]],"",IF(Ingresos[[#This Row],[Fe.contable]]&gt;Ingresos[[#This Row],[Fec. Entrega]],"Entrega Tarde"))</f>
        <v/>
      </c>
    </row>
    <row r="50" spans="1:20" x14ac:dyDescent="0.35">
      <c r="A50" s="7" t="str">
        <f>Ingresos[[#This Row],[Centro]]&amp;Ingresos[[#This Row],[Almacén]]&amp;Ingresos[[#This Row],[Codigo]]&amp;Ingresos[[#This Row],[Pedido]]&amp;Ingresos[[#This Row],[Posición]]</f>
        <v>Sucroalcolera del Chira PlantaMontelima866025451145642610</v>
      </c>
      <c r="B50" t="s">
        <v>41</v>
      </c>
      <c r="C50" t="s">
        <v>29</v>
      </c>
      <c r="D50" s="5">
        <v>866025</v>
      </c>
      <c r="E50" t="s">
        <v>389</v>
      </c>
      <c r="F50" s="6">
        <v>5</v>
      </c>
      <c r="G50" t="s">
        <v>28</v>
      </c>
      <c r="H50" s="5">
        <v>101</v>
      </c>
      <c r="I50" s="5">
        <v>10</v>
      </c>
      <c r="J50" s="5">
        <v>4511456426</v>
      </c>
      <c r="K50" s="17">
        <v>44993</v>
      </c>
      <c r="L50" t="s">
        <v>387</v>
      </c>
      <c r="M50" s="6">
        <v>5052587461</v>
      </c>
      <c r="N50" t="s">
        <v>165</v>
      </c>
      <c r="O50" s="7" t="str">
        <f>IFERROR(VLOOKUP(Ingresos[[#This Row],[Pedido]],Compradores[],2,FALSE),"")</f>
        <v>IRAMOSA</v>
      </c>
      <c r="P50" s="7" t="str">
        <f>IFERROR(VLOOKUP(Ingresos[[#This Row],[Concatenar]],Detalle_OC[],2,FALSE),"")</f>
        <v>Plan.Mant.Su</v>
      </c>
      <c r="Q50" s="7" t="str">
        <f>IFERROR(VLOOKUP(Ingresos[[#This Row],[Concatenar]],Detalle_OC[],3,FALSE),"")</f>
        <v xml:space="preserve">M&amp;W REPRESENTACIONES SCRL         </v>
      </c>
      <c r="R50" s="10">
        <f>IFERROR(VLOOKUP(Ingresos[[#This Row],[Concatenar]],Detalle_OC[],4,FALSE),"")</f>
        <v>45005</v>
      </c>
      <c r="S50" s="7" t="str">
        <f>IFERROR(VLOOKUP(Ingresos[[#This Row],[Concatenar]],Detalle_OC[],5,FALSE),"")</f>
        <v>STOCK DE ALMACEN</v>
      </c>
      <c r="T50" s="7" t="str">
        <f>IF(Ingresos[[#This Row],[Fec. Entrega]]&gt;=Ingresos[[#This Row],[Fe.contable]],"",IF(Ingresos[[#This Row],[Fe.contable]]&gt;Ingresos[[#This Row],[Fec. Entrega]],"Entrega Tarde"))</f>
        <v/>
      </c>
    </row>
    <row r="51" spans="1:20" x14ac:dyDescent="0.35">
      <c r="A51" s="7" t="str">
        <f>Ingresos[[#This Row],[Centro]]&amp;Ingresos[[#This Row],[Almacén]]&amp;Ingresos[[#This Row],[Codigo]]&amp;Ingresos[[#This Row],[Pedido]]&amp;Ingresos[[#This Row],[Posición]]</f>
        <v>Sucroalcolera del Chira PlantaMontelima806591451145320810</v>
      </c>
      <c r="B51" t="s">
        <v>41</v>
      </c>
      <c r="C51" t="s">
        <v>29</v>
      </c>
      <c r="D51" s="5">
        <v>806591</v>
      </c>
      <c r="E51" t="s">
        <v>388</v>
      </c>
      <c r="F51" s="6">
        <v>201</v>
      </c>
      <c r="G51" t="s">
        <v>28</v>
      </c>
      <c r="H51" s="5">
        <v>101</v>
      </c>
      <c r="I51" s="5">
        <v>10</v>
      </c>
      <c r="J51" s="5">
        <v>4511453208</v>
      </c>
      <c r="K51" s="17">
        <v>44993</v>
      </c>
      <c r="L51" t="s">
        <v>390</v>
      </c>
      <c r="M51" s="6">
        <v>5052587463</v>
      </c>
      <c r="N51" t="s">
        <v>165</v>
      </c>
      <c r="O51" s="7" t="str">
        <f>IFERROR(VLOOKUP(Ingresos[[#This Row],[Pedido]],Compradores[],2,FALSE),"")</f>
        <v>IRAMOSA</v>
      </c>
      <c r="P51" s="7" t="str">
        <f>IFERROR(VLOOKUP(Ingresos[[#This Row],[Concatenar]],Detalle_OC[],2,FALSE),"")</f>
        <v xml:space="preserve">CVEGAG      </v>
      </c>
      <c r="Q51" s="7" t="str">
        <f>IFERROR(VLOOKUP(Ingresos[[#This Row],[Concatenar]],Detalle_OC[],3,FALSE),"")</f>
        <v xml:space="preserve">M&amp;W REPRESENTACIONES SCRL         </v>
      </c>
      <c r="R51" s="10">
        <f>IFERROR(VLOOKUP(Ingresos[[#This Row],[Concatenar]],Detalle_OC[],4,FALSE),"")</f>
        <v>44995</v>
      </c>
      <c r="S51" s="7" t="str">
        <f>IFERROR(VLOOKUP(Ingresos[[#This Row],[Concatenar]],Detalle_OC[],5,FALSE),"")</f>
        <v>STOCK DE ALMACEN</v>
      </c>
      <c r="T51" s="7" t="str">
        <f>IF(Ingresos[[#This Row],[Fec. Entrega]]&gt;=Ingresos[[#This Row],[Fe.contable]],"",IF(Ingresos[[#This Row],[Fe.contable]]&gt;Ingresos[[#This Row],[Fec. Entrega]],"Entrega Tarde"))</f>
        <v/>
      </c>
    </row>
    <row r="52" spans="1:20" x14ac:dyDescent="0.35">
      <c r="A52" s="7" t="str">
        <f>Ingresos[[#This Row],[Centro]]&amp;Ingresos[[#This Row],[Almacén]]&amp;Ingresos[[#This Row],[Codigo]]&amp;Ingresos[[#This Row],[Pedido]]&amp;Ingresos[[#This Row],[Posición]]</f>
        <v>Agricola del Chira PlantaMontelima886062451145300510</v>
      </c>
      <c r="B52" t="s">
        <v>27</v>
      </c>
      <c r="C52" t="s">
        <v>29</v>
      </c>
      <c r="D52" s="5">
        <v>886062</v>
      </c>
      <c r="E52" t="s">
        <v>391</v>
      </c>
      <c r="F52" s="6">
        <v>2</v>
      </c>
      <c r="G52" t="s">
        <v>28</v>
      </c>
      <c r="H52" s="5">
        <v>101</v>
      </c>
      <c r="I52" s="5">
        <v>10</v>
      </c>
      <c r="J52" s="5">
        <v>4511453005</v>
      </c>
      <c r="K52" s="17">
        <v>44993</v>
      </c>
      <c r="L52" t="s">
        <v>392</v>
      </c>
      <c r="M52" s="6">
        <v>5052587464</v>
      </c>
      <c r="N52" t="s">
        <v>165</v>
      </c>
      <c r="O52" s="7" t="str">
        <f>IFERROR(VLOOKUP(Ingresos[[#This Row],[Pedido]],Compradores[],2,FALSE),"")</f>
        <v>IRAMOSA</v>
      </c>
      <c r="P52" s="7" t="str">
        <f>IFERROR(VLOOKUP(Ingresos[[#This Row],[Concatenar]],Detalle_OC[],2,FALSE),"")</f>
        <v>Plan. Mant.C</v>
      </c>
      <c r="Q52" s="7" t="str">
        <f>IFERROR(VLOOKUP(Ingresos[[#This Row],[Concatenar]],Detalle_OC[],3,FALSE),"")</f>
        <v xml:space="preserve">M&amp;W REPRESENTACIONES SCRL         </v>
      </c>
      <c r="R52" s="10">
        <f>IFERROR(VLOOKUP(Ingresos[[#This Row],[Concatenar]],Detalle_OC[],4,FALSE),"")</f>
        <v>44994</v>
      </c>
      <c r="S52" s="7" t="str">
        <f>IFERROR(VLOOKUP(Ingresos[[#This Row],[Concatenar]],Detalle_OC[],5,FALSE),"")</f>
        <v>STOCK DE ALMACEN</v>
      </c>
      <c r="T52" s="7" t="str">
        <f>IF(Ingresos[[#This Row],[Fec. Entrega]]&gt;=Ingresos[[#This Row],[Fe.contable]],"",IF(Ingresos[[#This Row],[Fe.contable]]&gt;Ingresos[[#This Row],[Fec. Entrega]],"Entrega Tarde"))</f>
        <v/>
      </c>
    </row>
    <row r="53" spans="1:20" x14ac:dyDescent="0.35">
      <c r="A53" s="7" t="str">
        <f>Ingresos[[#This Row],[Centro]]&amp;Ingresos[[#This Row],[Almacén]]&amp;Ingresos[[#This Row],[Codigo]]&amp;Ingresos[[#This Row],[Pedido]]&amp;Ingresos[[#This Row],[Posición]]</f>
        <v>Sucroalcolera del Chira PlantaMontelima776850451145300320</v>
      </c>
      <c r="B53" t="s">
        <v>41</v>
      </c>
      <c r="C53" t="s">
        <v>29</v>
      </c>
      <c r="D53" s="5">
        <v>776850</v>
      </c>
      <c r="E53" t="s">
        <v>143</v>
      </c>
      <c r="F53" s="6">
        <v>2</v>
      </c>
      <c r="G53" t="s">
        <v>28</v>
      </c>
      <c r="H53" s="5">
        <v>101</v>
      </c>
      <c r="I53" s="5">
        <v>20</v>
      </c>
      <c r="J53" s="5">
        <v>4511453003</v>
      </c>
      <c r="K53" s="17">
        <v>44993</v>
      </c>
      <c r="L53" t="s">
        <v>393</v>
      </c>
      <c r="M53" s="6">
        <v>5052587465</v>
      </c>
      <c r="N53" t="s">
        <v>165</v>
      </c>
      <c r="O53" s="7" t="str">
        <f>IFERROR(VLOOKUP(Ingresos[[#This Row],[Pedido]],Compradores[],2,FALSE),"")</f>
        <v>IRAMOSA</v>
      </c>
      <c r="P53" s="7" t="str">
        <f>IFERROR(VLOOKUP(Ingresos[[#This Row],[Concatenar]],Detalle_OC[],2,FALSE),"")</f>
        <v>Plan.Mant.Su</v>
      </c>
      <c r="Q53" s="7" t="str">
        <f>IFERROR(VLOOKUP(Ingresos[[#This Row],[Concatenar]],Detalle_OC[],3,FALSE),"")</f>
        <v xml:space="preserve">M&amp;W REPRESENTACIONES SCRL         </v>
      </c>
      <c r="R53" s="10">
        <f>IFERROR(VLOOKUP(Ingresos[[#This Row],[Concatenar]],Detalle_OC[],4,FALSE),"")</f>
        <v>44995</v>
      </c>
      <c r="S53" s="7" t="str">
        <f>IFERROR(VLOOKUP(Ingresos[[#This Row],[Concatenar]],Detalle_OC[],5,FALSE),"")</f>
        <v>STOCK DE ALMACEN</v>
      </c>
      <c r="T53" s="7" t="str">
        <f>IF(Ingresos[[#This Row],[Fec. Entrega]]&gt;=Ingresos[[#This Row],[Fe.contable]],"",IF(Ingresos[[#This Row],[Fe.contable]]&gt;Ingresos[[#This Row],[Fec. Entrega]],"Entrega Tarde"))</f>
        <v/>
      </c>
    </row>
    <row r="54" spans="1:20" x14ac:dyDescent="0.35">
      <c r="A54" s="7" t="str">
        <f>Ingresos[[#This Row],[Centro]]&amp;Ingresos[[#This Row],[Almacén]]&amp;Ingresos[[#This Row],[Codigo]]&amp;Ingresos[[#This Row],[Pedido]]&amp;Ingresos[[#This Row],[Posición]]</f>
        <v>Sucroalcolera del Chira PlantaMontelimaCS401836   451145300310</v>
      </c>
      <c r="B54" t="s">
        <v>41</v>
      </c>
      <c r="C54" t="s">
        <v>29</v>
      </c>
      <c r="D54" s="5" t="s">
        <v>394</v>
      </c>
      <c r="E54" t="s">
        <v>395</v>
      </c>
      <c r="F54" s="6">
        <v>1</v>
      </c>
      <c r="G54" t="s">
        <v>28</v>
      </c>
      <c r="H54" s="5">
        <v>101</v>
      </c>
      <c r="I54" s="5">
        <v>10</v>
      </c>
      <c r="J54" s="5">
        <v>4511453003</v>
      </c>
      <c r="K54" s="17">
        <v>44993</v>
      </c>
      <c r="L54" t="s">
        <v>393</v>
      </c>
      <c r="M54" s="6">
        <v>5052587465</v>
      </c>
      <c r="N54" t="s">
        <v>165</v>
      </c>
      <c r="O54" s="7" t="str">
        <f>IFERROR(VLOOKUP(Ingresos[[#This Row],[Pedido]],Compradores[],2,FALSE),"")</f>
        <v>IRAMOSA</v>
      </c>
      <c r="P54" s="7" t="str">
        <f>IFERROR(VLOOKUP(Ingresos[[#This Row],[Concatenar]],Detalle_OC[],2,FALSE),"")</f>
        <v>Plan.Mant.Su</v>
      </c>
      <c r="Q54" s="7" t="str">
        <f>IFERROR(VLOOKUP(Ingresos[[#This Row],[Concatenar]],Detalle_OC[],3,FALSE),"")</f>
        <v xml:space="preserve">M&amp;W REPRESENTACIONES SCRL         </v>
      </c>
      <c r="R54" s="10">
        <f>IFERROR(VLOOKUP(Ingresos[[#This Row],[Concatenar]],Detalle_OC[],4,FALSE),"")</f>
        <v>44995</v>
      </c>
      <c r="S54" s="7" t="str">
        <f>IFERROR(VLOOKUP(Ingresos[[#This Row],[Concatenar]],Detalle_OC[],5,FALSE),"")</f>
        <v>STOCK DE ALMACEN</v>
      </c>
      <c r="T54" s="7" t="str">
        <f>IF(Ingresos[[#This Row],[Fec. Entrega]]&gt;=Ingresos[[#This Row],[Fe.contable]],"",IF(Ingresos[[#This Row],[Fe.contable]]&gt;Ingresos[[#This Row],[Fec. Entrega]],"Entrega Tarde"))</f>
        <v/>
      </c>
    </row>
    <row r="55" spans="1:20" x14ac:dyDescent="0.35">
      <c r="A55" s="7" t="str">
        <f>Ingresos[[#This Row],[Centro]]&amp;Ingresos[[#This Row],[Almacén]]&amp;Ingresos[[#This Row],[Codigo]]&amp;Ingresos[[#This Row],[Pedido]]&amp;Ingresos[[#This Row],[Posición]]</f>
        <v>Agricola del Chira PlantaMontelima788247451144992940</v>
      </c>
      <c r="B55" t="s">
        <v>27</v>
      </c>
      <c r="C55" t="s">
        <v>29</v>
      </c>
      <c r="D55" s="5">
        <v>788247</v>
      </c>
      <c r="E55" t="s">
        <v>396</v>
      </c>
      <c r="F55" s="6">
        <v>3</v>
      </c>
      <c r="G55" t="s">
        <v>28</v>
      </c>
      <c r="H55" s="5">
        <v>101</v>
      </c>
      <c r="I55" s="5">
        <v>40</v>
      </c>
      <c r="J55" s="5">
        <v>4511449929</v>
      </c>
      <c r="K55" s="17">
        <v>44993</v>
      </c>
      <c r="L55" t="s">
        <v>397</v>
      </c>
      <c r="M55" s="6">
        <v>5052587466</v>
      </c>
      <c r="N55" t="s">
        <v>165</v>
      </c>
      <c r="O55" s="7" t="str">
        <f>IFERROR(VLOOKUP(Ingresos[[#This Row],[Pedido]],Compradores[],2,FALSE),"")</f>
        <v>AAGUILARMO</v>
      </c>
      <c r="P55" s="7" t="str">
        <f>IFERROR(VLOOKUP(Ingresos[[#This Row],[Concatenar]],Detalle_OC[],2,FALSE),"")</f>
        <v>Plan. Mant.C</v>
      </c>
      <c r="Q55" s="7" t="str">
        <f>IFERROR(VLOOKUP(Ingresos[[#This Row],[Concatenar]],Detalle_OC[],3,FALSE),"")</f>
        <v xml:space="preserve">M&amp;W REPRESENTACIONES SCRL         </v>
      </c>
      <c r="R55" s="10">
        <f>IFERROR(VLOOKUP(Ingresos[[#This Row],[Concatenar]],Detalle_OC[],4,FALSE),"")</f>
        <v>44995</v>
      </c>
      <c r="S55" s="7" t="str">
        <f>IFERROR(VLOOKUP(Ingresos[[#This Row],[Concatenar]],Detalle_OC[],5,FALSE),"")</f>
        <v>STOCK DE ALMACEN</v>
      </c>
      <c r="T55" s="7" t="str">
        <f>IF(Ingresos[[#This Row],[Fec. Entrega]]&gt;=Ingresos[[#This Row],[Fe.contable]],"",IF(Ingresos[[#This Row],[Fe.contable]]&gt;Ingresos[[#This Row],[Fec. Entrega]],"Entrega Tarde"))</f>
        <v/>
      </c>
    </row>
    <row r="56" spans="1:20" x14ac:dyDescent="0.35">
      <c r="A56" s="7" t="str">
        <f>Ingresos[[#This Row],[Centro]]&amp;Ingresos[[#This Row],[Almacén]]&amp;Ingresos[[#This Row],[Codigo]]&amp;Ingresos[[#This Row],[Pedido]]&amp;Ingresos[[#This Row],[Posición]]</f>
        <v>Agricola del Chira PlantaMontelima788249451144992950</v>
      </c>
      <c r="B56" t="s">
        <v>27</v>
      </c>
      <c r="C56" t="s">
        <v>29</v>
      </c>
      <c r="D56" s="5">
        <v>788249</v>
      </c>
      <c r="E56" t="s">
        <v>398</v>
      </c>
      <c r="F56" s="6">
        <v>3</v>
      </c>
      <c r="G56" t="s">
        <v>28</v>
      </c>
      <c r="H56" s="5">
        <v>101</v>
      </c>
      <c r="I56" s="5">
        <v>50</v>
      </c>
      <c r="J56" s="5">
        <v>4511449929</v>
      </c>
      <c r="K56" s="17">
        <v>44993</v>
      </c>
      <c r="L56" t="s">
        <v>397</v>
      </c>
      <c r="M56" s="6">
        <v>5052587466</v>
      </c>
      <c r="N56" t="s">
        <v>165</v>
      </c>
      <c r="O56" s="7" t="str">
        <f>IFERROR(VLOOKUP(Ingresos[[#This Row],[Pedido]],Compradores[],2,FALSE),"")</f>
        <v>AAGUILARMO</v>
      </c>
      <c r="P56" s="7" t="str">
        <f>IFERROR(VLOOKUP(Ingresos[[#This Row],[Concatenar]],Detalle_OC[],2,FALSE),"")</f>
        <v>Plan. Mant.C</v>
      </c>
      <c r="Q56" s="7" t="str">
        <f>IFERROR(VLOOKUP(Ingresos[[#This Row],[Concatenar]],Detalle_OC[],3,FALSE),"")</f>
        <v xml:space="preserve">M&amp;W REPRESENTACIONES SCRL         </v>
      </c>
      <c r="R56" s="10">
        <f>IFERROR(VLOOKUP(Ingresos[[#This Row],[Concatenar]],Detalle_OC[],4,FALSE),"")</f>
        <v>44995</v>
      </c>
      <c r="S56" s="7" t="str">
        <f>IFERROR(VLOOKUP(Ingresos[[#This Row],[Concatenar]],Detalle_OC[],5,FALSE),"")</f>
        <v>STOCK DE ALMACEN</v>
      </c>
      <c r="T56" s="7" t="str">
        <f>IF(Ingresos[[#This Row],[Fec. Entrega]]&gt;=Ingresos[[#This Row],[Fe.contable]],"",IF(Ingresos[[#This Row],[Fe.contable]]&gt;Ingresos[[#This Row],[Fec. Entrega]],"Entrega Tarde"))</f>
        <v/>
      </c>
    </row>
    <row r="57" spans="1:20" x14ac:dyDescent="0.35">
      <c r="A57" s="7" t="str">
        <f>Ingresos[[#This Row],[Centro]]&amp;Ingresos[[#This Row],[Almacén]]&amp;Ingresos[[#This Row],[Codigo]]&amp;Ingresos[[#This Row],[Pedido]]&amp;Ingresos[[#This Row],[Posición]]</f>
        <v>Agricola del Chira PlantaMontelima808835451144992920</v>
      </c>
      <c r="B57" t="s">
        <v>27</v>
      </c>
      <c r="C57" t="s">
        <v>29</v>
      </c>
      <c r="D57" s="5">
        <v>808835</v>
      </c>
      <c r="E57" t="s">
        <v>399</v>
      </c>
      <c r="F57" s="6">
        <v>6</v>
      </c>
      <c r="G57" t="s">
        <v>400</v>
      </c>
      <c r="H57" s="5">
        <v>101</v>
      </c>
      <c r="I57" s="5">
        <v>20</v>
      </c>
      <c r="J57" s="5">
        <v>4511449929</v>
      </c>
      <c r="K57" s="17">
        <v>44993</v>
      </c>
      <c r="L57" t="s">
        <v>397</v>
      </c>
      <c r="M57" s="6">
        <v>5052587466</v>
      </c>
      <c r="N57" t="s">
        <v>165</v>
      </c>
      <c r="O57" s="7" t="str">
        <f>IFERROR(VLOOKUP(Ingresos[[#This Row],[Pedido]],Compradores[],2,FALSE),"")</f>
        <v>AAGUILARMO</v>
      </c>
      <c r="P57" s="7" t="str">
        <f>IFERROR(VLOOKUP(Ingresos[[#This Row],[Concatenar]],Detalle_OC[],2,FALSE),"")</f>
        <v>ALMACÉN GENE</v>
      </c>
      <c r="Q57" s="7" t="str">
        <f>IFERROR(VLOOKUP(Ingresos[[#This Row],[Concatenar]],Detalle_OC[],3,FALSE),"")</f>
        <v xml:space="preserve">M&amp;W REPRESENTACIONES SCRL         </v>
      </c>
      <c r="R57" s="10">
        <f>IFERROR(VLOOKUP(Ingresos[[#This Row],[Concatenar]],Detalle_OC[],4,FALSE),"")</f>
        <v>44995</v>
      </c>
      <c r="S57" s="7" t="str">
        <f>IFERROR(VLOOKUP(Ingresos[[#This Row],[Concatenar]],Detalle_OC[],5,FALSE),"")</f>
        <v>STOCK DE ALMACEN</v>
      </c>
      <c r="T57" s="7" t="str">
        <f>IF(Ingresos[[#This Row],[Fec. Entrega]]&gt;=Ingresos[[#This Row],[Fe.contable]],"",IF(Ingresos[[#This Row],[Fe.contable]]&gt;Ingresos[[#This Row],[Fec. Entrega]],"Entrega Tarde"))</f>
        <v/>
      </c>
    </row>
    <row r="58" spans="1:20" x14ac:dyDescent="0.35">
      <c r="A58" s="7" t="str">
        <f>Ingresos[[#This Row],[Centro]]&amp;Ingresos[[#This Row],[Almacén]]&amp;Ingresos[[#This Row],[Codigo]]&amp;Ingresos[[#This Row],[Pedido]]&amp;Ingresos[[#This Row],[Posición]]</f>
        <v>Sucroalcolera del Chira PlantaMontelima736439451145361230</v>
      </c>
      <c r="B58" t="s">
        <v>41</v>
      </c>
      <c r="C58" t="s">
        <v>29</v>
      </c>
      <c r="D58" s="5">
        <v>736439</v>
      </c>
      <c r="E58" t="s">
        <v>150</v>
      </c>
      <c r="F58" s="6">
        <v>4</v>
      </c>
      <c r="G58" t="s">
        <v>28</v>
      </c>
      <c r="H58" s="5">
        <v>101</v>
      </c>
      <c r="I58" s="5">
        <v>30</v>
      </c>
      <c r="J58" s="5">
        <v>4511453612</v>
      </c>
      <c r="K58" s="17">
        <v>44993</v>
      </c>
      <c r="L58" t="s">
        <v>401</v>
      </c>
      <c r="M58" s="6">
        <v>5052587468</v>
      </c>
      <c r="N58" t="s">
        <v>165</v>
      </c>
      <c r="O58" s="7" t="str">
        <f>IFERROR(VLOOKUP(Ingresos[[#This Row],[Pedido]],Compradores[],2,FALSE),"")</f>
        <v>IRAMOSA</v>
      </c>
      <c r="P58" s="7" t="str">
        <f>IFERROR(VLOOKUP(Ingresos[[#This Row],[Concatenar]],Detalle_OC[],2,FALSE),"")</f>
        <v>Mtto Mecanic</v>
      </c>
      <c r="Q58" s="7" t="str">
        <f>IFERROR(VLOOKUP(Ingresos[[#This Row],[Concatenar]],Detalle_OC[],3,FALSE),"")</f>
        <v xml:space="preserve">M&amp;W REPRESENTACIONES SCRL         </v>
      </c>
      <c r="R58" s="10">
        <f>IFERROR(VLOOKUP(Ingresos[[#This Row],[Concatenar]],Detalle_OC[],4,FALSE),"")</f>
        <v>44995</v>
      </c>
      <c r="S58" s="7" t="str">
        <f>IFERROR(VLOOKUP(Ingresos[[#This Row],[Concatenar]],Detalle_OC[],5,FALSE),"")</f>
        <v>STOCK DE ALMACEN</v>
      </c>
      <c r="T58" s="7" t="str">
        <f>IF(Ingresos[[#This Row],[Fec. Entrega]]&gt;=Ingresos[[#This Row],[Fe.contable]],"",IF(Ingresos[[#This Row],[Fe.contable]]&gt;Ingresos[[#This Row],[Fec. Entrega]],"Entrega Tarde"))</f>
        <v/>
      </c>
    </row>
    <row r="59" spans="1:20" x14ac:dyDescent="0.35">
      <c r="A59" s="7" t="str">
        <f>Ingresos[[#This Row],[Centro]]&amp;Ingresos[[#This Row],[Almacén]]&amp;Ingresos[[#This Row],[Codigo]]&amp;Ingresos[[#This Row],[Pedido]]&amp;Ingresos[[#This Row],[Posición]]</f>
        <v>Sucroalcolera del Chira PlantaMontelima70064012451145361220</v>
      </c>
      <c r="B59" t="s">
        <v>41</v>
      </c>
      <c r="C59" t="s">
        <v>29</v>
      </c>
      <c r="D59" s="5">
        <v>70064012</v>
      </c>
      <c r="E59" t="s">
        <v>402</v>
      </c>
      <c r="F59" s="6">
        <v>1</v>
      </c>
      <c r="G59" t="s">
        <v>45</v>
      </c>
      <c r="H59" s="5">
        <v>101</v>
      </c>
      <c r="I59" s="5">
        <v>20</v>
      </c>
      <c r="J59" s="5">
        <v>4511453612</v>
      </c>
      <c r="K59" s="17">
        <v>44993</v>
      </c>
      <c r="L59" t="s">
        <v>401</v>
      </c>
      <c r="M59" s="6">
        <v>5052587468</v>
      </c>
      <c r="N59" t="s">
        <v>165</v>
      </c>
      <c r="O59" s="7" t="str">
        <f>IFERROR(VLOOKUP(Ingresos[[#This Row],[Pedido]],Compradores[],2,FALSE),"")</f>
        <v>IRAMOSA</v>
      </c>
      <c r="P59" s="7" t="str">
        <f>IFERROR(VLOOKUP(Ingresos[[#This Row],[Concatenar]],Detalle_OC[],2,FALSE),"")</f>
        <v>Mtto Mecanic</v>
      </c>
      <c r="Q59" s="7" t="str">
        <f>IFERROR(VLOOKUP(Ingresos[[#This Row],[Concatenar]],Detalle_OC[],3,FALSE),"")</f>
        <v xml:space="preserve">M&amp;W REPRESENTACIONES SCRL         </v>
      </c>
      <c r="R59" s="10">
        <f>IFERROR(VLOOKUP(Ingresos[[#This Row],[Concatenar]],Detalle_OC[],4,FALSE),"")</f>
        <v>44995</v>
      </c>
      <c r="S59" s="7" t="str">
        <f>IFERROR(VLOOKUP(Ingresos[[#This Row],[Concatenar]],Detalle_OC[],5,FALSE),"")</f>
        <v>STOCK DE ALMACEN</v>
      </c>
      <c r="T59" s="7" t="str">
        <f>IF(Ingresos[[#This Row],[Fec. Entrega]]&gt;=Ingresos[[#This Row],[Fe.contable]],"",IF(Ingresos[[#This Row],[Fe.contable]]&gt;Ingresos[[#This Row],[Fec. Entrega]],"Entrega Tarde"))</f>
        <v/>
      </c>
    </row>
    <row r="60" spans="1:20" x14ac:dyDescent="0.35">
      <c r="A60" s="7" t="str">
        <f>Ingresos[[#This Row],[Centro]]&amp;Ingresos[[#This Row],[Almacén]]&amp;Ingresos[[#This Row],[Codigo]]&amp;Ingresos[[#This Row],[Pedido]]&amp;Ingresos[[#This Row],[Posición]]</f>
        <v>Sucroalcolera del Chira PlantaMontelimaCF20250040 451145361210</v>
      </c>
      <c r="B60" t="s">
        <v>41</v>
      </c>
      <c r="C60" t="s">
        <v>29</v>
      </c>
      <c r="D60" s="5" t="s">
        <v>403</v>
      </c>
      <c r="E60" t="s">
        <v>404</v>
      </c>
      <c r="F60" s="6">
        <v>34</v>
      </c>
      <c r="G60" t="s">
        <v>28</v>
      </c>
      <c r="H60" s="5">
        <v>101</v>
      </c>
      <c r="I60" s="5">
        <v>10</v>
      </c>
      <c r="J60" s="5">
        <v>4511453612</v>
      </c>
      <c r="K60" s="17">
        <v>44993</v>
      </c>
      <c r="L60" t="s">
        <v>401</v>
      </c>
      <c r="M60" s="6">
        <v>5052587468</v>
      </c>
      <c r="N60" t="s">
        <v>165</v>
      </c>
      <c r="O60" s="7" t="str">
        <f>IFERROR(VLOOKUP(Ingresos[[#This Row],[Pedido]],Compradores[],2,FALSE),"")</f>
        <v>IRAMOSA</v>
      </c>
      <c r="P60" s="7" t="str">
        <f>IFERROR(VLOOKUP(Ingresos[[#This Row],[Concatenar]],Detalle_OC[],2,FALSE),"")</f>
        <v xml:space="preserve">CVEGAG      </v>
      </c>
      <c r="Q60" s="7" t="str">
        <f>IFERROR(VLOOKUP(Ingresos[[#This Row],[Concatenar]],Detalle_OC[],3,FALSE),"")</f>
        <v xml:space="preserve">M&amp;W REPRESENTACIONES SCRL         </v>
      </c>
      <c r="R60" s="10">
        <f>IFERROR(VLOOKUP(Ingresos[[#This Row],[Concatenar]],Detalle_OC[],4,FALSE),"")</f>
        <v>44995</v>
      </c>
      <c r="S60" s="7" t="str">
        <f>IFERROR(VLOOKUP(Ingresos[[#This Row],[Concatenar]],Detalle_OC[],5,FALSE),"")</f>
        <v>STOCK DE ALMACEN</v>
      </c>
      <c r="T60" s="7" t="str">
        <f>IF(Ingresos[[#This Row],[Fec. Entrega]]&gt;=Ingresos[[#This Row],[Fe.contable]],"",IF(Ingresos[[#This Row],[Fe.contable]]&gt;Ingresos[[#This Row],[Fec. Entrega]],"Entrega Tarde"))</f>
        <v/>
      </c>
    </row>
    <row r="61" spans="1:20" x14ac:dyDescent="0.35">
      <c r="A61" s="7" t="str">
        <f>Ingresos[[#This Row],[Centro]]&amp;Ingresos[[#This Row],[Almacén]]&amp;Ingresos[[#This Row],[Codigo]]&amp;Ingresos[[#This Row],[Pedido]]&amp;Ingresos[[#This Row],[Posición]]</f>
        <v>Agricola del Chira PlantaMontelima733186451144607820</v>
      </c>
      <c r="B61" t="s">
        <v>27</v>
      </c>
      <c r="C61" t="s">
        <v>29</v>
      </c>
      <c r="D61" s="5">
        <v>733186</v>
      </c>
      <c r="E61" t="s">
        <v>405</v>
      </c>
      <c r="F61" s="6">
        <v>15</v>
      </c>
      <c r="G61" t="s">
        <v>28</v>
      </c>
      <c r="H61" s="5">
        <v>101</v>
      </c>
      <c r="I61" s="5">
        <v>20</v>
      </c>
      <c r="J61" s="5">
        <v>4511446078</v>
      </c>
      <c r="K61" s="17">
        <v>44993</v>
      </c>
      <c r="L61" t="s">
        <v>406</v>
      </c>
      <c r="M61" s="6">
        <v>5052587501</v>
      </c>
      <c r="N61" t="s">
        <v>165</v>
      </c>
      <c r="O61" s="7" t="str">
        <f>IFERROR(VLOOKUP(Ingresos[[#This Row],[Pedido]],Compradores[],2,FALSE),"")</f>
        <v>IRAMOSA</v>
      </c>
      <c r="P61" s="7" t="str">
        <f>IFERROR(VLOOKUP(Ingresos[[#This Row],[Concatenar]],Detalle_OC[],2,FALSE),"")</f>
        <v xml:space="preserve">DZURITA     </v>
      </c>
      <c r="Q61" s="7" t="str">
        <f>IFERROR(VLOOKUP(Ingresos[[#This Row],[Concatenar]],Detalle_OC[],3,FALSE),"")</f>
        <v xml:space="preserve">M&amp;W REPRESENTACIONES SCRL         </v>
      </c>
      <c r="R61" s="10">
        <f>IFERROR(VLOOKUP(Ingresos[[#This Row],[Concatenar]],Detalle_OC[],4,FALSE),"")</f>
        <v>44995</v>
      </c>
      <c r="S61" s="7" t="str">
        <f>IFERROR(VLOOKUP(Ingresos[[#This Row],[Concatenar]],Detalle_OC[],5,FALSE),"")</f>
        <v>CENTRO DE COSTO</v>
      </c>
      <c r="T61" s="7" t="str">
        <f>IF(Ingresos[[#This Row],[Fec. Entrega]]&gt;=Ingresos[[#This Row],[Fe.contable]],"",IF(Ingresos[[#This Row],[Fe.contable]]&gt;Ingresos[[#This Row],[Fec. Entrega]],"Entrega Tarde"))</f>
        <v/>
      </c>
    </row>
    <row r="62" spans="1:20" x14ac:dyDescent="0.35">
      <c r="A62" s="7" t="str">
        <f>Ingresos[[#This Row],[Centro]]&amp;Ingresos[[#This Row],[Almacén]]&amp;Ingresos[[#This Row],[Codigo]]&amp;Ingresos[[#This Row],[Pedido]]&amp;Ingresos[[#This Row],[Posición]]</f>
        <v>Sucroalcolera del Chira PlantaMontelima766049451144885510</v>
      </c>
      <c r="B62" t="s">
        <v>41</v>
      </c>
      <c r="C62" t="s">
        <v>29</v>
      </c>
      <c r="D62" s="5">
        <v>766049</v>
      </c>
      <c r="E62" t="s">
        <v>407</v>
      </c>
      <c r="F62" s="6">
        <v>1</v>
      </c>
      <c r="G62" t="s">
        <v>28</v>
      </c>
      <c r="H62" s="5">
        <v>101</v>
      </c>
      <c r="I62" s="5">
        <v>10</v>
      </c>
      <c r="J62" s="5">
        <v>4511448855</v>
      </c>
      <c r="K62" s="17">
        <v>44993</v>
      </c>
      <c r="L62" t="s">
        <v>408</v>
      </c>
      <c r="M62" s="6">
        <v>5052587506</v>
      </c>
      <c r="N62" t="s">
        <v>165</v>
      </c>
      <c r="O62" s="7" t="str">
        <f>IFERROR(VLOOKUP(Ingresos[[#This Row],[Pedido]],Compradores[],2,FALSE),"")</f>
        <v>IRAMOSA</v>
      </c>
      <c r="P62" s="7" t="str">
        <f>IFERROR(VLOOKUP(Ingresos[[#This Row],[Concatenar]],Detalle_OC[],2,FALSE),"")</f>
        <v xml:space="preserve">LVILLARF    </v>
      </c>
      <c r="Q62" s="7" t="str">
        <f>IFERROR(VLOOKUP(Ingresos[[#This Row],[Concatenar]],Detalle_OC[],3,FALSE),"")</f>
        <v xml:space="preserve">M&amp;W REPRESENTACIONES SCRL         </v>
      </c>
      <c r="R62" s="10">
        <f>IFERROR(VLOOKUP(Ingresos[[#This Row],[Concatenar]],Detalle_OC[],4,FALSE),"")</f>
        <v>44995</v>
      </c>
      <c r="S62" s="7" t="str">
        <f>IFERROR(VLOOKUP(Ingresos[[#This Row],[Concatenar]],Detalle_OC[],5,FALSE),"")</f>
        <v>STOCK DE ALMACEN</v>
      </c>
      <c r="T62" s="7" t="str">
        <f>IF(Ingresos[[#This Row],[Fec. Entrega]]&gt;=Ingresos[[#This Row],[Fe.contable]],"",IF(Ingresos[[#This Row],[Fe.contable]]&gt;Ingresos[[#This Row],[Fec. Entrega]],"Entrega Tarde"))</f>
        <v/>
      </c>
    </row>
    <row r="63" spans="1:20" x14ac:dyDescent="0.35">
      <c r="A63" s="7" t="str">
        <f>Ingresos[[#This Row],[Centro]]&amp;Ingresos[[#This Row],[Almacén]]&amp;Ingresos[[#This Row],[Codigo]]&amp;Ingresos[[#This Row],[Pedido]]&amp;Ingresos[[#This Row],[Posición]]</f>
        <v>Sucroalcolera del Chira PlantaMontelima811217451144891160</v>
      </c>
      <c r="B63" t="s">
        <v>41</v>
      </c>
      <c r="C63" t="s">
        <v>29</v>
      </c>
      <c r="D63" s="5">
        <v>811217</v>
      </c>
      <c r="E63" t="s">
        <v>190</v>
      </c>
      <c r="F63" s="6">
        <v>2</v>
      </c>
      <c r="G63" t="s">
        <v>28</v>
      </c>
      <c r="H63" s="5">
        <v>101</v>
      </c>
      <c r="I63" s="5">
        <v>60</v>
      </c>
      <c r="J63" s="5">
        <v>4511448911</v>
      </c>
      <c r="K63" s="17">
        <v>44991</v>
      </c>
      <c r="L63" t="s">
        <v>191</v>
      </c>
      <c r="M63" s="6">
        <v>5052584012</v>
      </c>
      <c r="N63" t="s">
        <v>192</v>
      </c>
      <c r="O63" s="7" t="str">
        <f>IFERROR(VLOOKUP(Ingresos[[#This Row],[Pedido]],Compradores[],2,FALSE),"")</f>
        <v>JCHEROPA</v>
      </c>
      <c r="P63" s="7" t="str">
        <f>IFERROR(VLOOKUP(Ingresos[[#This Row],[Concatenar]],Detalle_OC[],2,FALSE),"")</f>
        <v xml:space="preserve">NMARTINEZS  </v>
      </c>
      <c r="Q63" s="7" t="str">
        <f>IFERROR(VLOOKUP(Ingresos[[#This Row],[Concatenar]],Detalle_OC[],3,FALSE),"")</f>
        <v xml:space="preserve">DYSMAR EIRL                       </v>
      </c>
      <c r="R63" s="10">
        <f>IFERROR(VLOOKUP(Ingresos[[#This Row],[Concatenar]],Detalle_OC[],4,FALSE),"")</f>
        <v>44981</v>
      </c>
      <c r="S63" s="7" t="str">
        <f>IFERROR(VLOOKUP(Ingresos[[#This Row],[Concatenar]],Detalle_OC[],5,FALSE),"")</f>
        <v>STOCK DE ALMACEN</v>
      </c>
      <c r="T63" s="7" t="str">
        <f>IF(Ingresos[[#This Row],[Fec. Entrega]]&gt;=Ingresos[[#This Row],[Fe.contable]],"",IF(Ingresos[[#This Row],[Fe.contable]]&gt;Ingresos[[#This Row],[Fec. Entrega]],"Entrega Tarde"))</f>
        <v>Entrega Tarde</v>
      </c>
    </row>
    <row r="64" spans="1:20" x14ac:dyDescent="0.35">
      <c r="A64" s="7" t="str">
        <f>Ingresos[[#This Row],[Centro]]&amp;Ingresos[[#This Row],[Almacén]]&amp;Ingresos[[#This Row],[Codigo]]&amp;Ingresos[[#This Row],[Pedido]]&amp;Ingresos[[#This Row],[Posición]]</f>
        <v>Bioenergía del Chira PlantaMontelima70019402451144891210</v>
      </c>
      <c r="B64" t="s">
        <v>57</v>
      </c>
      <c r="C64" t="s">
        <v>29</v>
      </c>
      <c r="D64" s="5">
        <v>70019402</v>
      </c>
      <c r="E64" t="s">
        <v>193</v>
      </c>
      <c r="F64" s="6">
        <v>3</v>
      </c>
      <c r="G64" t="s">
        <v>28</v>
      </c>
      <c r="H64" s="5">
        <v>101</v>
      </c>
      <c r="I64" s="5">
        <v>10</v>
      </c>
      <c r="J64" s="5">
        <v>4511448912</v>
      </c>
      <c r="K64" s="17">
        <v>44991</v>
      </c>
      <c r="L64" t="s">
        <v>194</v>
      </c>
      <c r="M64" s="6">
        <v>5052584013</v>
      </c>
      <c r="N64" t="s">
        <v>192</v>
      </c>
      <c r="O64" s="7" t="str">
        <f>IFERROR(VLOOKUP(Ingresos[[#This Row],[Pedido]],Compradores[],2,FALSE),"")</f>
        <v>JCHEROPA</v>
      </c>
      <c r="P64" s="7" t="str">
        <f>IFERROR(VLOOKUP(Ingresos[[#This Row],[Concatenar]],Detalle_OC[],2,FALSE),"")</f>
        <v/>
      </c>
      <c r="Q64" s="7" t="str">
        <f>IFERROR(VLOOKUP(Ingresos[[#This Row],[Concatenar]],Detalle_OC[],3,FALSE),"")</f>
        <v/>
      </c>
      <c r="R64" s="10" t="str">
        <f>IFERROR(VLOOKUP(Ingresos[[#This Row],[Concatenar]],Detalle_OC[],4,FALSE),"")</f>
        <v/>
      </c>
      <c r="S64" s="7" t="str">
        <f>IFERROR(VLOOKUP(Ingresos[[#This Row],[Concatenar]],Detalle_OC[],5,FALSE),"")</f>
        <v/>
      </c>
      <c r="T64" s="7" t="str">
        <f>IF(Ingresos[[#This Row],[Fec. Entrega]]&gt;=Ingresos[[#This Row],[Fe.contable]],"",IF(Ingresos[[#This Row],[Fe.contable]]&gt;Ingresos[[#This Row],[Fec. Entrega]],"Entrega Tarde"))</f>
        <v/>
      </c>
    </row>
    <row r="65" spans="1:20" x14ac:dyDescent="0.35">
      <c r="A65" s="7" t="str">
        <f>Ingresos[[#This Row],[Centro]]&amp;Ingresos[[#This Row],[Almacén]]&amp;Ingresos[[#This Row],[Codigo]]&amp;Ingresos[[#This Row],[Pedido]]&amp;Ingresos[[#This Row],[Posición]]</f>
        <v>Bioenergía del Chira PlantaMontelima868245451144888310</v>
      </c>
      <c r="B65" t="s">
        <v>57</v>
      </c>
      <c r="C65" t="s">
        <v>29</v>
      </c>
      <c r="D65" s="5">
        <v>868245</v>
      </c>
      <c r="E65" t="s">
        <v>141</v>
      </c>
      <c r="F65" s="6">
        <v>7</v>
      </c>
      <c r="G65" t="s">
        <v>28</v>
      </c>
      <c r="H65" s="5">
        <v>101</v>
      </c>
      <c r="I65" s="5">
        <v>10</v>
      </c>
      <c r="J65" s="5">
        <v>4511448883</v>
      </c>
      <c r="K65" s="17">
        <v>44991</v>
      </c>
      <c r="L65" t="s">
        <v>195</v>
      </c>
      <c r="M65" s="6">
        <v>5052584016</v>
      </c>
      <c r="N65" t="s">
        <v>192</v>
      </c>
      <c r="O65" s="7" t="str">
        <f>IFERROR(VLOOKUP(Ingresos[[#This Row],[Pedido]],Compradores[],2,FALSE),"")</f>
        <v>AAGUILARMO</v>
      </c>
      <c r="P65" s="7" t="str">
        <f>IFERROR(VLOOKUP(Ingresos[[#This Row],[Concatenar]],Detalle_OC[],2,FALSE),"")</f>
        <v>Plan.Mant.Bi</v>
      </c>
      <c r="Q65" s="7" t="str">
        <f>IFERROR(VLOOKUP(Ingresos[[#This Row],[Concatenar]],Detalle_OC[],3,FALSE),"")</f>
        <v xml:space="preserve">DYSMAR EIRL                       </v>
      </c>
      <c r="R65" s="10">
        <f>IFERROR(VLOOKUP(Ingresos[[#This Row],[Concatenar]],Detalle_OC[],4,FALSE),"")</f>
        <v>44986</v>
      </c>
      <c r="S65" s="7" t="str">
        <f>IFERROR(VLOOKUP(Ingresos[[#This Row],[Concatenar]],Detalle_OC[],5,FALSE),"")</f>
        <v>STOCK DE ALMACEN</v>
      </c>
      <c r="T65" s="7" t="str">
        <f>IF(Ingresos[[#This Row],[Fec. Entrega]]&gt;=Ingresos[[#This Row],[Fe.contable]],"",IF(Ingresos[[#This Row],[Fe.contable]]&gt;Ingresos[[#This Row],[Fec. Entrega]],"Entrega Tarde"))</f>
        <v>Entrega Tarde</v>
      </c>
    </row>
    <row r="66" spans="1:20" x14ac:dyDescent="0.35">
      <c r="A66" s="7" t="str">
        <f>Ingresos[[#This Row],[Centro]]&amp;Ingresos[[#This Row],[Almacén]]&amp;Ingresos[[#This Row],[Codigo]]&amp;Ingresos[[#This Row],[Pedido]]&amp;Ingresos[[#This Row],[Posición]]</f>
        <v>Agricola del Chira PlantaMontelima70018803451144658860</v>
      </c>
      <c r="B66" t="s">
        <v>27</v>
      </c>
      <c r="C66" t="s">
        <v>29</v>
      </c>
      <c r="D66" s="5">
        <v>70018803</v>
      </c>
      <c r="E66" t="s">
        <v>196</v>
      </c>
      <c r="F66" s="6">
        <v>1</v>
      </c>
      <c r="G66" t="s">
        <v>28</v>
      </c>
      <c r="H66" s="5">
        <v>101</v>
      </c>
      <c r="I66" s="5">
        <v>60</v>
      </c>
      <c r="J66" s="5">
        <v>4511446588</v>
      </c>
      <c r="K66" s="17">
        <v>44991</v>
      </c>
      <c r="L66" t="s">
        <v>197</v>
      </c>
      <c r="M66" s="6">
        <v>5052584019</v>
      </c>
      <c r="N66" t="s">
        <v>192</v>
      </c>
      <c r="O66" s="7" t="str">
        <f>IFERROR(VLOOKUP(Ingresos[[#This Row],[Pedido]],Compradores[],2,FALSE),"")</f>
        <v>JCHAPARROB</v>
      </c>
      <c r="P66" s="7" t="str">
        <f>IFERROR(VLOOKUP(Ingresos[[#This Row],[Concatenar]],Detalle_OC[],2,FALSE),"")</f>
        <v>Plan. Mant.C</v>
      </c>
      <c r="Q66" s="7" t="str">
        <f>IFERROR(VLOOKUP(Ingresos[[#This Row],[Concatenar]],Detalle_OC[],3,FALSE),"")</f>
        <v xml:space="preserve">DYSMAR EIRL                       </v>
      </c>
      <c r="R66" s="10">
        <f>IFERROR(VLOOKUP(Ingresos[[#This Row],[Concatenar]],Detalle_OC[],4,FALSE),"")</f>
        <v>44977</v>
      </c>
      <c r="S66" s="7" t="str">
        <f>IFERROR(VLOOKUP(Ingresos[[#This Row],[Concatenar]],Detalle_OC[],5,FALSE),"")</f>
        <v>STOCK DE ALMACEN</v>
      </c>
      <c r="T66" s="7" t="str">
        <f>IF(Ingresos[[#This Row],[Fec. Entrega]]&gt;=Ingresos[[#This Row],[Fe.contable]],"",IF(Ingresos[[#This Row],[Fe.contable]]&gt;Ingresos[[#This Row],[Fec. Entrega]],"Entrega Tarde"))</f>
        <v>Entrega Tarde</v>
      </c>
    </row>
    <row r="67" spans="1:20" x14ac:dyDescent="0.35">
      <c r="A67" s="7" t="str">
        <f>Ingresos[[#This Row],[Centro]]&amp;Ingresos[[#This Row],[Almacén]]&amp;Ingresos[[#This Row],[Codigo]]&amp;Ingresos[[#This Row],[Pedido]]&amp;Ingresos[[#This Row],[Posición]]</f>
        <v>Sucroalcolera del Chira PlantaMontelima811217451144585640</v>
      </c>
      <c r="B67" t="s">
        <v>41</v>
      </c>
      <c r="C67" t="s">
        <v>29</v>
      </c>
      <c r="D67" s="5">
        <v>811217</v>
      </c>
      <c r="E67" t="s">
        <v>190</v>
      </c>
      <c r="F67" s="6">
        <v>1</v>
      </c>
      <c r="G67" t="s">
        <v>28</v>
      </c>
      <c r="H67" s="5">
        <v>101</v>
      </c>
      <c r="I67" s="5">
        <v>40</v>
      </c>
      <c r="J67" s="5">
        <v>4511445856</v>
      </c>
      <c r="K67" s="17">
        <v>44991</v>
      </c>
      <c r="L67" t="s">
        <v>198</v>
      </c>
      <c r="M67" s="6">
        <v>5052584073</v>
      </c>
      <c r="N67" t="s">
        <v>192</v>
      </c>
      <c r="O67" s="7" t="str">
        <f>IFERROR(VLOOKUP(Ingresos[[#This Row],[Pedido]],Compradores[],2,FALSE),"")</f>
        <v>JCHAPARROB</v>
      </c>
      <c r="P67" s="7" t="str">
        <f>IFERROR(VLOOKUP(Ingresos[[#This Row],[Concatenar]],Detalle_OC[],2,FALSE),"")</f>
        <v xml:space="preserve">LVILLARF    </v>
      </c>
      <c r="Q67" s="7" t="str">
        <f>IFERROR(VLOOKUP(Ingresos[[#This Row],[Concatenar]],Detalle_OC[],3,FALSE),"")</f>
        <v xml:space="preserve">DYSMAR EIRL                       </v>
      </c>
      <c r="R67" s="10">
        <f>IFERROR(VLOOKUP(Ingresos[[#This Row],[Concatenar]],Detalle_OC[],4,FALSE),"")</f>
        <v>44995</v>
      </c>
      <c r="S67" s="7" t="str">
        <f>IFERROR(VLOOKUP(Ingresos[[#This Row],[Concatenar]],Detalle_OC[],5,FALSE),"")</f>
        <v>STOCK DE ALMACEN</v>
      </c>
      <c r="T67" s="7" t="str">
        <f>IF(Ingresos[[#This Row],[Fec. Entrega]]&gt;=Ingresos[[#This Row],[Fe.contable]],"",IF(Ingresos[[#This Row],[Fe.contable]]&gt;Ingresos[[#This Row],[Fec. Entrega]],"Entrega Tarde"))</f>
        <v/>
      </c>
    </row>
    <row r="68" spans="1:20" x14ac:dyDescent="0.35">
      <c r="A68" s="7" t="str">
        <f>Ingresos[[#This Row],[Centro]]&amp;Ingresos[[#This Row],[Almacén]]&amp;Ingresos[[#This Row],[Codigo]]&amp;Ingresos[[#This Row],[Pedido]]&amp;Ingresos[[#This Row],[Posición]]</f>
        <v>Bioenergía del Chira PlantaMontelima809718451145366110</v>
      </c>
      <c r="B68" t="s">
        <v>57</v>
      </c>
      <c r="C68" t="s">
        <v>29</v>
      </c>
      <c r="D68" s="5">
        <v>809718</v>
      </c>
      <c r="E68" t="s">
        <v>259</v>
      </c>
      <c r="F68" s="6">
        <v>1</v>
      </c>
      <c r="G68" t="s">
        <v>28</v>
      </c>
      <c r="H68" s="5">
        <v>101</v>
      </c>
      <c r="I68" s="5">
        <v>10</v>
      </c>
      <c r="J68" s="5">
        <v>4511453661</v>
      </c>
      <c r="K68" s="17">
        <v>44991</v>
      </c>
      <c r="L68" t="s">
        <v>260</v>
      </c>
      <c r="M68" s="6">
        <v>5052584996</v>
      </c>
      <c r="N68" t="s">
        <v>192</v>
      </c>
      <c r="O68" s="7" t="str">
        <f>IFERROR(VLOOKUP(Ingresos[[#This Row],[Pedido]],Compradores[],2,FALSE),"")</f>
        <v>IRAMOSA</v>
      </c>
      <c r="P68" s="7" t="str">
        <f>IFERROR(VLOOKUP(Ingresos[[#This Row],[Concatenar]],Detalle_OC[],2,FALSE),"")</f>
        <v>Mtto Mecánic</v>
      </c>
      <c r="Q68" s="7" t="str">
        <f>IFERROR(VLOOKUP(Ingresos[[#This Row],[Concatenar]],Detalle_OC[],3,FALSE),"")</f>
        <v xml:space="preserve">DYSMAR EIRL                       </v>
      </c>
      <c r="R68" s="10">
        <f>IFERROR(VLOOKUP(Ingresos[[#This Row],[Concatenar]],Detalle_OC[],4,FALSE),"")</f>
        <v>45000</v>
      </c>
      <c r="S68" s="7" t="str">
        <f>IFERROR(VLOOKUP(Ingresos[[#This Row],[Concatenar]],Detalle_OC[],5,FALSE),"")</f>
        <v>STOCK DE ALMACEN</v>
      </c>
      <c r="T68" s="7" t="str">
        <f>IF(Ingresos[[#This Row],[Fec. Entrega]]&gt;=Ingresos[[#This Row],[Fe.contable]],"",IF(Ingresos[[#This Row],[Fe.contable]]&gt;Ingresos[[#This Row],[Fec. Entrega]],"Entrega Tarde"))</f>
        <v/>
      </c>
    </row>
    <row r="69" spans="1:20" x14ac:dyDescent="0.35">
      <c r="A69" s="7" t="str">
        <f>Ingresos[[#This Row],[Centro]]&amp;Ingresos[[#This Row],[Almacén]]&amp;Ingresos[[#This Row],[Codigo]]&amp;Ingresos[[#This Row],[Pedido]]&amp;Ingresos[[#This Row],[Posición]]</f>
        <v>Agricola del Chira PlantaMontelima736148451144916610</v>
      </c>
      <c r="B69" t="s">
        <v>27</v>
      </c>
      <c r="C69" t="s">
        <v>29</v>
      </c>
      <c r="D69" s="5">
        <v>736148</v>
      </c>
      <c r="E69" t="s">
        <v>261</v>
      </c>
      <c r="F69" s="6">
        <v>2</v>
      </c>
      <c r="G69" t="s">
        <v>28</v>
      </c>
      <c r="H69" s="5">
        <v>101</v>
      </c>
      <c r="I69" s="5">
        <v>10</v>
      </c>
      <c r="J69" s="5">
        <v>4511449166</v>
      </c>
      <c r="K69" s="17">
        <v>44991</v>
      </c>
      <c r="L69" t="s">
        <v>262</v>
      </c>
      <c r="M69" s="6">
        <v>5052584999</v>
      </c>
      <c r="N69" t="s">
        <v>192</v>
      </c>
      <c r="O69" s="7" t="str">
        <f>IFERROR(VLOOKUP(Ingresos[[#This Row],[Pedido]],Compradores[],2,FALSE),"")</f>
        <v>JCHAPARROB</v>
      </c>
      <c r="P69" s="7" t="str">
        <f>IFERROR(VLOOKUP(Ingresos[[#This Row],[Concatenar]],Detalle_OC[],2,FALSE),"")</f>
        <v>EMIJAHUANCAG</v>
      </c>
      <c r="Q69" s="7" t="str">
        <f>IFERROR(VLOOKUP(Ingresos[[#This Row],[Concatenar]],Detalle_OC[],3,FALSE),"")</f>
        <v xml:space="preserve">DYSMAR EIRL                       </v>
      </c>
      <c r="R69" s="10">
        <f>IFERROR(VLOOKUP(Ingresos[[#This Row],[Concatenar]],Detalle_OC[],4,FALSE),"")</f>
        <v>44988</v>
      </c>
      <c r="S69" s="7" t="str">
        <f>IFERROR(VLOOKUP(Ingresos[[#This Row],[Concatenar]],Detalle_OC[],5,FALSE),"")</f>
        <v>STOCK DE ALMACEN</v>
      </c>
      <c r="T69" s="7" t="str">
        <f>IF(Ingresos[[#This Row],[Fec. Entrega]]&gt;=Ingresos[[#This Row],[Fe.contable]],"",IF(Ingresos[[#This Row],[Fe.contable]]&gt;Ingresos[[#This Row],[Fec. Entrega]],"Entrega Tarde"))</f>
        <v>Entrega Tarde</v>
      </c>
    </row>
    <row r="70" spans="1:20" x14ac:dyDescent="0.35">
      <c r="A70" s="7" t="str">
        <f>Ingresos[[#This Row],[Centro]]&amp;Ingresos[[#This Row],[Almacén]]&amp;Ingresos[[#This Row],[Codigo]]&amp;Ingresos[[#This Row],[Pedido]]&amp;Ingresos[[#This Row],[Posición]]</f>
        <v>Agricola del Chira PlantaMontelima70024795451144704510</v>
      </c>
      <c r="B70" t="s">
        <v>27</v>
      </c>
      <c r="C70" t="s">
        <v>29</v>
      </c>
      <c r="D70" s="5">
        <v>70024795</v>
      </c>
      <c r="E70" t="s">
        <v>263</v>
      </c>
      <c r="F70" s="6">
        <v>1</v>
      </c>
      <c r="G70" t="s">
        <v>28</v>
      </c>
      <c r="H70" s="5">
        <v>101</v>
      </c>
      <c r="I70" s="5">
        <v>10</v>
      </c>
      <c r="J70" s="5">
        <v>4511447045</v>
      </c>
      <c r="K70" s="17">
        <v>44991</v>
      </c>
      <c r="L70" t="s">
        <v>264</v>
      </c>
      <c r="M70" s="6">
        <v>5052585020</v>
      </c>
      <c r="N70" t="s">
        <v>192</v>
      </c>
      <c r="O70" s="7" t="str">
        <f>IFERROR(VLOOKUP(Ingresos[[#This Row],[Pedido]],Compradores[],2,FALSE),"")</f>
        <v>IRAMOSA</v>
      </c>
      <c r="P70" s="7" t="str">
        <f>IFERROR(VLOOKUP(Ingresos[[#This Row],[Concatenar]],Detalle_OC[],2,FALSE),"")</f>
        <v xml:space="preserve">creyesy     </v>
      </c>
      <c r="Q70" s="7" t="str">
        <f>IFERROR(VLOOKUP(Ingresos[[#This Row],[Concatenar]],Detalle_OC[],3,FALSE),"")</f>
        <v xml:space="preserve">DYSMAR EIRL                       </v>
      </c>
      <c r="R70" s="10">
        <f>IFERROR(VLOOKUP(Ingresos[[#This Row],[Concatenar]],Detalle_OC[],4,FALSE),"")</f>
        <v>44995</v>
      </c>
      <c r="S70" s="7" t="str">
        <f>IFERROR(VLOOKUP(Ingresos[[#This Row],[Concatenar]],Detalle_OC[],5,FALSE),"")</f>
        <v>STOCK DE ALMACEN</v>
      </c>
      <c r="T70" s="7" t="str">
        <f>IF(Ingresos[[#This Row],[Fec. Entrega]]&gt;=Ingresos[[#This Row],[Fe.contable]],"",IF(Ingresos[[#This Row],[Fe.contable]]&gt;Ingresos[[#This Row],[Fec. Entrega]],"Entrega Tarde"))</f>
        <v/>
      </c>
    </row>
    <row r="71" spans="1:20" x14ac:dyDescent="0.35">
      <c r="A71" s="7" t="str">
        <f>Ingresos[[#This Row],[Centro]]&amp;Ingresos[[#This Row],[Almacén]]&amp;Ingresos[[#This Row],[Codigo]]&amp;Ingresos[[#This Row],[Pedido]]&amp;Ingresos[[#This Row],[Posición]]</f>
        <v>Agricola del Chira PlantaMontelima70038101451144955810</v>
      </c>
      <c r="B71" t="s">
        <v>27</v>
      </c>
      <c r="C71" t="s">
        <v>29</v>
      </c>
      <c r="D71" s="5">
        <v>70038101</v>
      </c>
      <c r="E71" t="s">
        <v>289</v>
      </c>
      <c r="F71" s="6">
        <v>2</v>
      </c>
      <c r="G71" t="s">
        <v>28</v>
      </c>
      <c r="H71" s="5">
        <v>101</v>
      </c>
      <c r="I71" s="5">
        <v>10</v>
      </c>
      <c r="J71" s="5">
        <v>4511449558</v>
      </c>
      <c r="K71" s="17">
        <v>44992</v>
      </c>
      <c r="L71" t="s">
        <v>290</v>
      </c>
      <c r="M71" s="6">
        <v>5052585673</v>
      </c>
      <c r="N71" t="s">
        <v>192</v>
      </c>
      <c r="O71" s="7" t="str">
        <f>IFERROR(VLOOKUP(Ingresos[[#This Row],[Pedido]],Compradores[],2,FALSE),"")</f>
        <v>IRAMOSA</v>
      </c>
      <c r="P71" s="7" t="str">
        <f>IFERROR(VLOOKUP(Ingresos[[#This Row],[Concatenar]],Detalle_OC[],2,FALSE),"")</f>
        <v>Plan.mtto tr</v>
      </c>
      <c r="Q71" s="7" t="str">
        <f>IFERROR(VLOOKUP(Ingresos[[#This Row],[Concatenar]],Detalle_OC[],3,FALSE),"")</f>
        <v xml:space="preserve">STENICA STORE EIRL                </v>
      </c>
      <c r="R71" s="10">
        <f>IFERROR(VLOOKUP(Ingresos[[#This Row],[Concatenar]],Detalle_OC[],4,FALSE),"")</f>
        <v>44995</v>
      </c>
      <c r="S71" s="7" t="str">
        <f>IFERROR(VLOOKUP(Ingresos[[#This Row],[Concatenar]],Detalle_OC[],5,FALSE),"")</f>
        <v>STOCK DE ALMACEN</v>
      </c>
      <c r="T71" s="7" t="str">
        <f>IF(Ingresos[[#This Row],[Fec. Entrega]]&gt;=Ingresos[[#This Row],[Fe.contable]],"",IF(Ingresos[[#This Row],[Fe.contable]]&gt;Ingresos[[#This Row],[Fec. Entrega]],"Entrega Tarde"))</f>
        <v/>
      </c>
    </row>
    <row r="72" spans="1:20" x14ac:dyDescent="0.35">
      <c r="A72" s="7" t="str">
        <f>Ingresos[[#This Row],[Centro]]&amp;Ingresos[[#This Row],[Almacén]]&amp;Ingresos[[#This Row],[Codigo]]&amp;Ingresos[[#This Row],[Pedido]]&amp;Ingresos[[#This Row],[Posición]]</f>
        <v>Agricola del Chira PlantaMontelima841443451144324220</v>
      </c>
      <c r="B72" t="s">
        <v>27</v>
      </c>
      <c r="C72" t="s">
        <v>29</v>
      </c>
      <c r="D72" s="5">
        <v>841443</v>
      </c>
      <c r="E72" t="s">
        <v>291</v>
      </c>
      <c r="F72" s="6">
        <v>1</v>
      </c>
      <c r="G72" t="s">
        <v>28</v>
      </c>
      <c r="H72" s="5">
        <v>101</v>
      </c>
      <c r="I72" s="5">
        <v>20</v>
      </c>
      <c r="J72" s="5">
        <v>4511443242</v>
      </c>
      <c r="K72" s="17">
        <v>44992</v>
      </c>
      <c r="L72" t="s">
        <v>292</v>
      </c>
      <c r="M72" s="6">
        <v>5052585675</v>
      </c>
      <c r="N72" t="s">
        <v>192</v>
      </c>
      <c r="O72" s="7" t="str">
        <f>IFERROR(VLOOKUP(Ingresos[[#This Row],[Pedido]],Compradores[],2,FALSE),"")</f>
        <v>JCHAPARROB</v>
      </c>
      <c r="P72" s="7" t="str">
        <f>IFERROR(VLOOKUP(Ingresos[[#This Row],[Concatenar]],Detalle_OC[],2,FALSE),"")</f>
        <v>Plan. Mant.C</v>
      </c>
      <c r="Q72" s="7" t="str">
        <f>IFERROR(VLOOKUP(Ingresos[[#This Row],[Concatenar]],Detalle_OC[],3,FALSE),"")</f>
        <v xml:space="preserve">STENICA STORE EIRL                </v>
      </c>
      <c r="R72" s="10">
        <f>IFERROR(VLOOKUP(Ingresos[[#This Row],[Concatenar]],Detalle_OC[],4,FALSE),"")</f>
        <v>44981</v>
      </c>
      <c r="S72" s="7" t="str">
        <f>IFERROR(VLOOKUP(Ingresos[[#This Row],[Concatenar]],Detalle_OC[],5,FALSE),"")</f>
        <v>STOCK DE ALMACEN</v>
      </c>
      <c r="T72" s="7" t="str">
        <f>IF(Ingresos[[#This Row],[Fec. Entrega]]&gt;=Ingresos[[#This Row],[Fe.contable]],"",IF(Ingresos[[#This Row],[Fe.contable]]&gt;Ingresos[[#This Row],[Fec. Entrega]],"Entrega Tarde"))</f>
        <v>Entrega Tarde</v>
      </c>
    </row>
    <row r="73" spans="1:20" x14ac:dyDescent="0.35">
      <c r="A73" s="7" t="str">
        <f>Ingresos[[#This Row],[Centro]]&amp;Ingresos[[#This Row],[Almacén]]&amp;Ingresos[[#This Row],[Codigo]]&amp;Ingresos[[#This Row],[Pedido]]&amp;Ingresos[[#This Row],[Posición]]</f>
        <v>Agricola del Chira PlantaMontelima801459451144441510</v>
      </c>
      <c r="B73" t="s">
        <v>27</v>
      </c>
      <c r="C73" t="s">
        <v>29</v>
      </c>
      <c r="D73" s="5">
        <v>801459</v>
      </c>
      <c r="E73" t="s">
        <v>293</v>
      </c>
      <c r="F73" s="6">
        <v>1</v>
      </c>
      <c r="G73" t="s">
        <v>28</v>
      </c>
      <c r="H73" s="5">
        <v>101</v>
      </c>
      <c r="I73" s="5">
        <v>10</v>
      </c>
      <c r="J73" s="5">
        <v>4511444415</v>
      </c>
      <c r="K73" s="17">
        <v>44992</v>
      </c>
      <c r="L73" t="s">
        <v>294</v>
      </c>
      <c r="M73" s="6">
        <v>5052585677</v>
      </c>
      <c r="N73" t="s">
        <v>192</v>
      </c>
      <c r="O73" s="7" t="str">
        <f>IFERROR(VLOOKUP(Ingresos[[#This Row],[Pedido]],Compradores[],2,FALSE),"")</f>
        <v>JCHEROPA</v>
      </c>
      <c r="P73" s="7" t="str">
        <f>IFERROR(VLOOKUP(Ingresos[[#This Row],[Concatenar]],Detalle_OC[],2,FALSE),"")</f>
        <v>Plan. Mant.C</v>
      </c>
      <c r="Q73" s="7" t="str">
        <f>IFERROR(VLOOKUP(Ingresos[[#This Row],[Concatenar]],Detalle_OC[],3,FALSE),"")</f>
        <v xml:space="preserve">STENICA STORE EIRL                </v>
      </c>
      <c r="R73" s="10">
        <f>IFERROR(VLOOKUP(Ingresos[[#This Row],[Concatenar]],Detalle_OC[],4,FALSE),"")</f>
        <v>44986</v>
      </c>
      <c r="S73" s="7" t="str">
        <f>IFERROR(VLOOKUP(Ingresos[[#This Row],[Concatenar]],Detalle_OC[],5,FALSE),"")</f>
        <v>STOCK DE ALMACEN</v>
      </c>
      <c r="T73" s="7" t="str">
        <f>IF(Ingresos[[#This Row],[Fec. Entrega]]&gt;=Ingresos[[#This Row],[Fe.contable]],"",IF(Ingresos[[#This Row],[Fe.contable]]&gt;Ingresos[[#This Row],[Fec. Entrega]],"Entrega Tarde"))</f>
        <v>Entrega Tarde</v>
      </c>
    </row>
    <row r="74" spans="1:20" x14ac:dyDescent="0.35">
      <c r="A74" s="7" t="str">
        <f>Ingresos[[#This Row],[Centro]]&amp;Ingresos[[#This Row],[Almacén]]&amp;Ingresos[[#This Row],[Codigo]]&amp;Ingresos[[#This Row],[Pedido]]&amp;Ingresos[[#This Row],[Posición]]</f>
        <v>Agricola del Chira PlantaMontelima70106622451144441520</v>
      </c>
      <c r="B74" t="s">
        <v>27</v>
      </c>
      <c r="C74" t="s">
        <v>29</v>
      </c>
      <c r="D74" s="5">
        <v>70106622</v>
      </c>
      <c r="E74" t="s">
        <v>295</v>
      </c>
      <c r="F74" s="6">
        <v>1</v>
      </c>
      <c r="G74" t="s">
        <v>28</v>
      </c>
      <c r="H74" s="5">
        <v>101</v>
      </c>
      <c r="I74" s="5">
        <v>20</v>
      </c>
      <c r="J74" s="5">
        <v>4511444415</v>
      </c>
      <c r="K74" s="17">
        <v>44992</v>
      </c>
      <c r="L74" t="s">
        <v>294</v>
      </c>
      <c r="M74" s="6">
        <v>5052585677</v>
      </c>
      <c r="N74" t="s">
        <v>192</v>
      </c>
      <c r="O74" s="7" t="str">
        <f>IFERROR(VLOOKUP(Ingresos[[#This Row],[Pedido]],Compradores[],2,FALSE),"")</f>
        <v>JCHEROPA</v>
      </c>
      <c r="P74" s="7" t="str">
        <f>IFERROR(VLOOKUP(Ingresos[[#This Row],[Concatenar]],Detalle_OC[],2,FALSE),"")</f>
        <v xml:space="preserve">P. VITE     </v>
      </c>
      <c r="Q74" s="7" t="str">
        <f>IFERROR(VLOOKUP(Ingresos[[#This Row],[Concatenar]],Detalle_OC[],3,FALSE),"")</f>
        <v xml:space="preserve">STENICA STORE EIRL                </v>
      </c>
      <c r="R74" s="10">
        <f>IFERROR(VLOOKUP(Ingresos[[#This Row],[Concatenar]],Detalle_OC[],4,FALSE),"")</f>
        <v>44986</v>
      </c>
      <c r="S74" s="7" t="str">
        <f>IFERROR(VLOOKUP(Ingresos[[#This Row],[Concatenar]],Detalle_OC[],5,FALSE),"")</f>
        <v>STOCK DE ALMACEN</v>
      </c>
      <c r="T74" s="7" t="str">
        <f>IF(Ingresos[[#This Row],[Fec. Entrega]]&gt;=Ingresos[[#This Row],[Fe.contable]],"",IF(Ingresos[[#This Row],[Fe.contable]]&gt;Ingresos[[#This Row],[Fec. Entrega]],"Entrega Tarde"))</f>
        <v>Entrega Tarde</v>
      </c>
    </row>
    <row r="75" spans="1:20" x14ac:dyDescent="0.35">
      <c r="A75" s="7" t="str">
        <f>Ingresos[[#This Row],[Centro]]&amp;Ingresos[[#This Row],[Almacén]]&amp;Ingresos[[#This Row],[Codigo]]&amp;Ingresos[[#This Row],[Pedido]]&amp;Ingresos[[#This Row],[Posición]]</f>
        <v>Agricola del Chira PlantaMontelima70106624451144441530</v>
      </c>
      <c r="B75" t="s">
        <v>27</v>
      </c>
      <c r="C75" t="s">
        <v>29</v>
      </c>
      <c r="D75" s="5">
        <v>70106624</v>
      </c>
      <c r="E75" t="s">
        <v>296</v>
      </c>
      <c r="F75" s="6">
        <v>1</v>
      </c>
      <c r="G75" t="s">
        <v>28</v>
      </c>
      <c r="H75" s="5">
        <v>101</v>
      </c>
      <c r="I75" s="5">
        <v>30</v>
      </c>
      <c r="J75" s="5">
        <v>4511444415</v>
      </c>
      <c r="K75" s="17">
        <v>44992</v>
      </c>
      <c r="L75" t="s">
        <v>294</v>
      </c>
      <c r="M75" s="6">
        <v>5052585677</v>
      </c>
      <c r="N75" t="s">
        <v>192</v>
      </c>
      <c r="O75" s="7" t="str">
        <f>IFERROR(VLOOKUP(Ingresos[[#This Row],[Pedido]],Compradores[],2,FALSE),"")</f>
        <v>JCHEROPA</v>
      </c>
      <c r="P75" s="7" t="str">
        <f>IFERROR(VLOOKUP(Ingresos[[#This Row],[Concatenar]],Detalle_OC[],2,FALSE),"")</f>
        <v xml:space="preserve">P.VITE      </v>
      </c>
      <c r="Q75" s="7" t="str">
        <f>IFERROR(VLOOKUP(Ingresos[[#This Row],[Concatenar]],Detalle_OC[],3,FALSE),"")</f>
        <v xml:space="preserve">STENICA STORE EIRL                </v>
      </c>
      <c r="R75" s="10">
        <f>IFERROR(VLOOKUP(Ingresos[[#This Row],[Concatenar]],Detalle_OC[],4,FALSE),"")</f>
        <v>44986</v>
      </c>
      <c r="S75" s="7" t="str">
        <f>IFERROR(VLOOKUP(Ingresos[[#This Row],[Concatenar]],Detalle_OC[],5,FALSE),"")</f>
        <v>STOCK DE ALMACEN</v>
      </c>
      <c r="T75" s="7" t="str">
        <f>IF(Ingresos[[#This Row],[Fec. Entrega]]&gt;=Ingresos[[#This Row],[Fe.contable]],"",IF(Ingresos[[#This Row],[Fe.contable]]&gt;Ingresos[[#This Row],[Fec. Entrega]],"Entrega Tarde"))</f>
        <v>Entrega Tarde</v>
      </c>
    </row>
    <row r="76" spans="1:20" x14ac:dyDescent="0.35">
      <c r="A76" s="7" t="str">
        <f>Ingresos[[#This Row],[Centro]]&amp;Ingresos[[#This Row],[Almacén]]&amp;Ingresos[[#This Row],[Codigo]]&amp;Ingresos[[#This Row],[Pedido]]&amp;Ingresos[[#This Row],[Posición]]</f>
        <v>Agricola del Chira PlantaMontelima865869451144033930</v>
      </c>
      <c r="B76" t="s">
        <v>27</v>
      </c>
      <c r="C76" t="s">
        <v>29</v>
      </c>
      <c r="D76" s="5">
        <v>865869</v>
      </c>
      <c r="E76" t="s">
        <v>297</v>
      </c>
      <c r="F76" s="6">
        <v>1</v>
      </c>
      <c r="G76" t="s">
        <v>28</v>
      </c>
      <c r="H76" s="5">
        <v>101</v>
      </c>
      <c r="I76" s="5">
        <v>30</v>
      </c>
      <c r="J76" s="5">
        <v>4511440339</v>
      </c>
      <c r="K76" s="17">
        <v>44992</v>
      </c>
      <c r="L76" t="s">
        <v>298</v>
      </c>
      <c r="M76" s="6">
        <v>5052585679</v>
      </c>
      <c r="N76" t="s">
        <v>192</v>
      </c>
      <c r="O76" s="7" t="str">
        <f>IFERROR(VLOOKUP(Ingresos[[#This Row],[Pedido]],Compradores[],2,FALSE),"")</f>
        <v>JCHAPARROB</v>
      </c>
      <c r="P76" s="7" t="str">
        <f>IFERROR(VLOOKUP(Ingresos[[#This Row],[Concatenar]],Detalle_OC[],2,FALSE),"")</f>
        <v>Plan. Mant.C</v>
      </c>
      <c r="Q76" s="7" t="str">
        <f>IFERROR(VLOOKUP(Ingresos[[#This Row],[Concatenar]],Detalle_OC[],3,FALSE),"")</f>
        <v xml:space="preserve">STENICA STORE EIRL                </v>
      </c>
      <c r="R76" s="10">
        <f>IFERROR(VLOOKUP(Ingresos[[#This Row],[Concatenar]],Detalle_OC[],4,FALSE),"")</f>
        <v>44993</v>
      </c>
      <c r="S76" s="7" t="str">
        <f>IFERROR(VLOOKUP(Ingresos[[#This Row],[Concatenar]],Detalle_OC[],5,FALSE),"")</f>
        <v>STOCK DE ALMACEN</v>
      </c>
      <c r="T76" s="7" t="str">
        <f>IF(Ingresos[[#This Row],[Fec. Entrega]]&gt;=Ingresos[[#This Row],[Fe.contable]],"",IF(Ingresos[[#This Row],[Fe.contable]]&gt;Ingresos[[#This Row],[Fec. Entrega]],"Entrega Tarde"))</f>
        <v/>
      </c>
    </row>
    <row r="77" spans="1:20" x14ac:dyDescent="0.35">
      <c r="A77" s="7" t="str">
        <f>Ingresos[[#This Row],[Centro]]&amp;Ingresos[[#This Row],[Almacén]]&amp;Ingresos[[#This Row],[Codigo]]&amp;Ingresos[[#This Row],[Pedido]]&amp;Ingresos[[#This Row],[Posición]]</f>
        <v>Agricola del Chira PlantaMontelima70036719451144033910</v>
      </c>
      <c r="B77" t="s">
        <v>27</v>
      </c>
      <c r="C77" t="s">
        <v>29</v>
      </c>
      <c r="D77" s="5">
        <v>70036719</v>
      </c>
      <c r="E77" t="s">
        <v>299</v>
      </c>
      <c r="F77" s="6">
        <v>1</v>
      </c>
      <c r="G77" t="s">
        <v>28</v>
      </c>
      <c r="H77" s="5">
        <v>101</v>
      </c>
      <c r="I77" s="5">
        <v>10</v>
      </c>
      <c r="J77" s="5">
        <v>4511440339</v>
      </c>
      <c r="K77" s="17">
        <v>44992</v>
      </c>
      <c r="L77" t="s">
        <v>298</v>
      </c>
      <c r="M77" s="6">
        <v>5052585679</v>
      </c>
      <c r="N77" t="s">
        <v>192</v>
      </c>
      <c r="O77" s="7" t="str">
        <f>IFERROR(VLOOKUP(Ingresos[[#This Row],[Pedido]],Compradores[],2,FALSE),"")</f>
        <v>JCHAPARROB</v>
      </c>
      <c r="P77" s="7" t="str">
        <f>IFERROR(VLOOKUP(Ingresos[[#This Row],[Concatenar]],Detalle_OC[],2,FALSE),"")</f>
        <v>Plan. Mant.C</v>
      </c>
      <c r="Q77" s="7" t="str">
        <f>IFERROR(VLOOKUP(Ingresos[[#This Row],[Concatenar]],Detalle_OC[],3,FALSE),"")</f>
        <v xml:space="preserve">STENICA STORE EIRL                </v>
      </c>
      <c r="R77" s="10">
        <f>IFERROR(VLOOKUP(Ingresos[[#This Row],[Concatenar]],Detalle_OC[],4,FALSE),"")</f>
        <v>44993</v>
      </c>
      <c r="S77" s="7" t="str">
        <f>IFERROR(VLOOKUP(Ingresos[[#This Row],[Concatenar]],Detalle_OC[],5,FALSE),"")</f>
        <v>STOCK DE ALMACEN</v>
      </c>
      <c r="T77" s="7" t="str">
        <f>IF(Ingresos[[#This Row],[Fec. Entrega]]&gt;=Ingresos[[#This Row],[Fe.contable]],"",IF(Ingresos[[#This Row],[Fe.contable]]&gt;Ingresos[[#This Row],[Fec. Entrega]],"Entrega Tarde"))</f>
        <v/>
      </c>
    </row>
    <row r="78" spans="1:20" x14ac:dyDescent="0.35">
      <c r="A78" s="7" t="str">
        <f>Ingresos[[#This Row],[Centro]]&amp;Ingresos[[#This Row],[Almacén]]&amp;Ingresos[[#This Row],[Codigo]]&amp;Ingresos[[#This Row],[Pedido]]&amp;Ingresos[[#This Row],[Posición]]</f>
        <v>Sucroalcolera del Chira PlantaMontelima70068404451145272410</v>
      </c>
      <c r="B78" t="s">
        <v>41</v>
      </c>
      <c r="C78" t="s">
        <v>29</v>
      </c>
      <c r="D78" s="5">
        <v>70068404</v>
      </c>
      <c r="E78" t="s">
        <v>185</v>
      </c>
      <c r="F78" s="6">
        <v>2</v>
      </c>
      <c r="G78" t="s">
        <v>28</v>
      </c>
      <c r="H78" s="5">
        <v>101</v>
      </c>
      <c r="I78" s="5">
        <v>10</v>
      </c>
      <c r="J78" s="5">
        <v>4511452724</v>
      </c>
      <c r="K78" s="17">
        <v>44991</v>
      </c>
      <c r="L78" t="s">
        <v>186</v>
      </c>
      <c r="M78" s="6">
        <v>5052583601</v>
      </c>
      <c r="N78" t="s">
        <v>187</v>
      </c>
      <c r="O78" s="7" t="str">
        <f>IFERROR(VLOOKUP(Ingresos[[#This Row],[Pedido]],Compradores[],2,FALSE),"")</f>
        <v>AAGUILARMO</v>
      </c>
      <c r="P78" s="7" t="str">
        <f>IFERROR(VLOOKUP(Ingresos[[#This Row],[Concatenar]],Detalle_OC[],2,FALSE),"")</f>
        <v xml:space="preserve">DINGACH     </v>
      </c>
      <c r="Q78" s="7" t="str">
        <f>IFERROR(VLOOKUP(Ingresos[[#This Row],[Concatenar]],Detalle_OC[],3,FALSE),"")</f>
        <v xml:space="preserve">GPS GRV EIRL                      </v>
      </c>
      <c r="R78" s="10">
        <f>IFERROR(VLOOKUP(Ingresos[[#This Row],[Concatenar]],Detalle_OC[],4,FALSE),"")</f>
        <v>44995</v>
      </c>
      <c r="S78" s="7" t="str">
        <f>IFERROR(VLOOKUP(Ingresos[[#This Row],[Concatenar]],Detalle_OC[],5,FALSE),"")</f>
        <v>CENTRO DE COSTO</v>
      </c>
      <c r="T78" s="7" t="str">
        <f>IF(Ingresos[[#This Row],[Fec. Entrega]]&gt;=Ingresos[[#This Row],[Fe.contable]],"",IF(Ingresos[[#This Row],[Fe.contable]]&gt;Ingresos[[#This Row],[Fec. Entrega]],"Entrega Tarde"))</f>
        <v/>
      </c>
    </row>
    <row r="79" spans="1:20" x14ac:dyDescent="0.35">
      <c r="A79" s="7" t="str">
        <f>Ingresos[[#This Row],[Centro]]&amp;Ingresos[[#This Row],[Almacén]]&amp;Ingresos[[#This Row],[Codigo]]&amp;Ingresos[[#This Row],[Pedido]]&amp;Ingresos[[#This Row],[Posición]]</f>
        <v>Agricola del Chira PlantaMontelima70039345451144946610</v>
      </c>
      <c r="B79" t="s">
        <v>27</v>
      </c>
      <c r="C79" t="s">
        <v>29</v>
      </c>
      <c r="D79" s="5">
        <v>70039345</v>
      </c>
      <c r="E79" t="s">
        <v>188</v>
      </c>
      <c r="F79" s="6">
        <v>10</v>
      </c>
      <c r="G79" t="s">
        <v>28</v>
      </c>
      <c r="H79" s="5">
        <v>101</v>
      </c>
      <c r="I79" s="5">
        <v>10</v>
      </c>
      <c r="J79" s="5">
        <v>4511449466</v>
      </c>
      <c r="K79" s="17">
        <v>44991</v>
      </c>
      <c r="L79" t="s">
        <v>189</v>
      </c>
      <c r="M79" s="6">
        <v>5052584011</v>
      </c>
      <c r="N79" t="s">
        <v>187</v>
      </c>
      <c r="O79" s="7" t="str">
        <f>IFERROR(VLOOKUP(Ingresos[[#This Row],[Pedido]],Compradores[],2,FALSE),"")</f>
        <v>IRAMOSA</v>
      </c>
      <c r="P79" s="7" t="str">
        <f>IFERROR(VLOOKUP(Ingresos[[#This Row],[Concatenar]],Detalle_OC[],2,FALSE),"")</f>
        <v>Plan.mtto tr</v>
      </c>
      <c r="Q79" s="7" t="str">
        <f>IFERROR(VLOOKUP(Ingresos[[#This Row],[Concatenar]],Detalle_OC[],3,FALSE),"")</f>
        <v xml:space="preserve">METAL MECANICA NPJ EIRL           </v>
      </c>
      <c r="R79" s="10">
        <f>IFERROR(VLOOKUP(Ingresos[[#This Row],[Concatenar]],Detalle_OC[],4,FALSE),"")</f>
        <v>44995</v>
      </c>
      <c r="S79" s="7" t="str">
        <f>IFERROR(VLOOKUP(Ingresos[[#This Row],[Concatenar]],Detalle_OC[],5,FALSE),"")</f>
        <v>STOCK DE ALMACEN</v>
      </c>
      <c r="T79" s="7" t="str">
        <f>IF(Ingresos[[#This Row],[Fec. Entrega]]&gt;=Ingresos[[#This Row],[Fe.contable]],"",IF(Ingresos[[#This Row],[Fe.contable]]&gt;Ingresos[[#This Row],[Fec. Entrega]],"Entrega Tarde"))</f>
        <v/>
      </c>
    </row>
    <row r="80" spans="1:20" x14ac:dyDescent="0.35">
      <c r="A80" s="7" t="str">
        <f>Ingresos[[#This Row],[Centro]]&amp;Ingresos[[#This Row],[Almacén]]&amp;Ingresos[[#This Row],[Codigo]]&amp;Ingresos[[#This Row],[Pedido]]&amp;Ingresos[[#This Row],[Posición]]</f>
        <v>Sucroalcolera del Chira PlantaMontelima866353451145370310</v>
      </c>
      <c r="B80" t="s">
        <v>41</v>
      </c>
      <c r="C80" t="s">
        <v>29</v>
      </c>
      <c r="D80" s="5">
        <v>866353</v>
      </c>
      <c r="E80" t="s">
        <v>199</v>
      </c>
      <c r="F80" s="6">
        <v>1</v>
      </c>
      <c r="G80" t="s">
        <v>28</v>
      </c>
      <c r="H80" s="5">
        <v>101</v>
      </c>
      <c r="I80" s="5">
        <v>10</v>
      </c>
      <c r="J80" s="5">
        <v>4511453703</v>
      </c>
      <c r="K80" s="17">
        <v>44991</v>
      </c>
      <c r="L80" t="s">
        <v>200</v>
      </c>
      <c r="M80" s="6">
        <v>5052584203</v>
      </c>
      <c r="N80" t="s">
        <v>187</v>
      </c>
      <c r="O80" s="7" t="str">
        <f>IFERROR(VLOOKUP(Ingresos[[#This Row],[Pedido]],Compradores[],2,FALSE),"")</f>
        <v>JCHAPARROB</v>
      </c>
      <c r="P80" s="7" t="str">
        <f>IFERROR(VLOOKUP(Ingresos[[#This Row],[Concatenar]],Detalle_OC[],2,FALSE),"")</f>
        <v>Mtto Mecanic</v>
      </c>
      <c r="Q80" s="7" t="str">
        <f>IFERROR(VLOOKUP(Ingresos[[#This Row],[Concatenar]],Detalle_OC[],3,FALSE),"")</f>
        <v xml:space="preserve">FRUTOS DEL TALLAN SCRL            </v>
      </c>
      <c r="R80" s="10">
        <f>IFERROR(VLOOKUP(Ingresos[[#This Row],[Concatenar]],Detalle_OC[],4,FALSE),"")</f>
        <v>44995</v>
      </c>
      <c r="S80" s="7" t="str">
        <f>IFERROR(VLOOKUP(Ingresos[[#This Row],[Concatenar]],Detalle_OC[],5,FALSE),"")</f>
        <v>STOCK DE ALMACEN</v>
      </c>
      <c r="T80" s="7" t="str">
        <f>IF(Ingresos[[#This Row],[Fec. Entrega]]&gt;=Ingresos[[#This Row],[Fe.contable]],"",IF(Ingresos[[#This Row],[Fe.contable]]&gt;Ingresos[[#This Row],[Fec. Entrega]],"Entrega Tarde"))</f>
        <v/>
      </c>
    </row>
    <row r="81" spans="1:20" x14ac:dyDescent="0.35">
      <c r="A81" s="7" t="str">
        <f>Ingresos[[#This Row],[Centro]]&amp;Ingresos[[#This Row],[Almacén]]&amp;Ingresos[[#This Row],[Codigo]]&amp;Ingresos[[#This Row],[Pedido]]&amp;Ingresos[[#This Row],[Posición]]</f>
        <v>Agricola del Chira PlantaMontelima821619451145370010</v>
      </c>
      <c r="B81" t="s">
        <v>27</v>
      </c>
      <c r="C81" t="s">
        <v>29</v>
      </c>
      <c r="D81" s="5">
        <v>821619</v>
      </c>
      <c r="E81" t="s">
        <v>201</v>
      </c>
      <c r="F81" s="6">
        <v>4</v>
      </c>
      <c r="G81" t="s">
        <v>28</v>
      </c>
      <c r="H81" s="5">
        <v>101</v>
      </c>
      <c r="I81" s="5">
        <v>10</v>
      </c>
      <c r="J81" s="5">
        <v>4511453700</v>
      </c>
      <c r="K81" s="17">
        <v>44991</v>
      </c>
      <c r="L81" t="s">
        <v>202</v>
      </c>
      <c r="M81" s="6">
        <v>5052584204</v>
      </c>
      <c r="N81" t="s">
        <v>187</v>
      </c>
      <c r="O81" s="7" t="str">
        <f>IFERROR(VLOOKUP(Ingresos[[#This Row],[Pedido]],Compradores[],2,FALSE),"")</f>
        <v>JCHAPARROB</v>
      </c>
      <c r="P81" s="7" t="str">
        <f>IFERROR(VLOOKUP(Ingresos[[#This Row],[Concatenar]],Detalle_OC[],2,FALSE),"")</f>
        <v xml:space="preserve">Plan. Mant. </v>
      </c>
      <c r="Q81" s="7" t="str">
        <f>IFERROR(VLOOKUP(Ingresos[[#This Row],[Concatenar]],Detalle_OC[],3,FALSE),"")</f>
        <v xml:space="preserve">FRUTOS DEL TALLAN SCRL            </v>
      </c>
      <c r="R81" s="10">
        <f>IFERROR(VLOOKUP(Ingresos[[#This Row],[Concatenar]],Detalle_OC[],4,FALSE),"")</f>
        <v>44995</v>
      </c>
      <c r="S81" s="7" t="str">
        <f>IFERROR(VLOOKUP(Ingresos[[#This Row],[Concatenar]],Detalle_OC[],5,FALSE),"")</f>
        <v>STOCK DE ALMACEN</v>
      </c>
      <c r="T81" s="7" t="str">
        <f>IF(Ingresos[[#This Row],[Fec. Entrega]]&gt;=Ingresos[[#This Row],[Fe.contable]],"",IF(Ingresos[[#This Row],[Fe.contable]]&gt;Ingresos[[#This Row],[Fec. Entrega]],"Entrega Tarde"))</f>
        <v/>
      </c>
    </row>
    <row r="82" spans="1:20" x14ac:dyDescent="0.35">
      <c r="A82" s="7" t="str">
        <f>Ingresos[[#This Row],[Centro]]&amp;Ingresos[[#This Row],[Almacén]]&amp;Ingresos[[#This Row],[Codigo]]&amp;Ingresos[[#This Row],[Pedido]]&amp;Ingresos[[#This Row],[Posición]]</f>
        <v>Sucroalcolera del Chira PlantaMontelima70040046451145325720</v>
      </c>
      <c r="B82" t="s">
        <v>41</v>
      </c>
      <c r="C82" t="s">
        <v>29</v>
      </c>
      <c r="D82" s="5">
        <v>70040046</v>
      </c>
      <c r="E82" t="s">
        <v>203</v>
      </c>
      <c r="F82" s="6">
        <v>2</v>
      </c>
      <c r="G82" t="s">
        <v>147</v>
      </c>
      <c r="H82" s="5">
        <v>101</v>
      </c>
      <c r="I82" s="5">
        <v>20</v>
      </c>
      <c r="J82" s="5">
        <v>4511453257</v>
      </c>
      <c r="K82" s="17">
        <v>44991</v>
      </c>
      <c r="L82" t="s">
        <v>204</v>
      </c>
      <c r="M82" s="6">
        <v>5052584789</v>
      </c>
      <c r="N82" t="s">
        <v>187</v>
      </c>
      <c r="O82" s="7" t="str">
        <f>IFERROR(VLOOKUP(Ingresos[[#This Row],[Pedido]],Compradores[],2,FALSE),"")</f>
        <v>JCHEROPA</v>
      </c>
      <c r="P82" s="7" t="str">
        <f>IFERROR(VLOOKUP(Ingresos[[#This Row],[Concatenar]],Detalle_OC[],2,FALSE),"")</f>
        <v>Plan.Mant.Su</v>
      </c>
      <c r="Q82" s="7" t="str">
        <f>IFERROR(VLOOKUP(Ingresos[[#This Row],[Concatenar]],Detalle_OC[],3,FALSE),"")</f>
        <v>SUMINISTROS Y DISTRIBUIDORA ANDINA</v>
      </c>
      <c r="R82" s="10">
        <f>IFERROR(VLOOKUP(Ingresos[[#This Row],[Concatenar]],Detalle_OC[],4,FALSE),"")</f>
        <v>44978</v>
      </c>
      <c r="S82" s="7" t="str">
        <f>IFERROR(VLOOKUP(Ingresos[[#This Row],[Concatenar]],Detalle_OC[],5,FALSE),"")</f>
        <v>STOCK DE ALMACEN</v>
      </c>
      <c r="T82" s="7" t="str">
        <f>IF(Ingresos[[#This Row],[Fec. Entrega]]&gt;=Ingresos[[#This Row],[Fe.contable]],"",IF(Ingresos[[#This Row],[Fe.contable]]&gt;Ingresos[[#This Row],[Fec. Entrega]],"Entrega Tarde"))</f>
        <v>Entrega Tarde</v>
      </c>
    </row>
    <row r="83" spans="1:20" x14ac:dyDescent="0.35">
      <c r="A83" s="7" t="str">
        <f>Ingresos[[#This Row],[Centro]]&amp;Ingresos[[#This Row],[Almacén]]&amp;Ingresos[[#This Row],[Codigo]]&amp;Ingresos[[#This Row],[Pedido]]&amp;Ingresos[[#This Row],[Posición]]</f>
        <v>Sucroalcolera del Chira PlantaMontelima70070567451145325710</v>
      </c>
      <c r="B83" t="s">
        <v>41</v>
      </c>
      <c r="C83" t="s">
        <v>29</v>
      </c>
      <c r="D83" s="5">
        <v>70070567</v>
      </c>
      <c r="E83" t="s">
        <v>205</v>
      </c>
      <c r="F83" s="6">
        <v>2</v>
      </c>
      <c r="G83" t="s">
        <v>28</v>
      </c>
      <c r="H83" s="5">
        <v>101</v>
      </c>
      <c r="I83" s="5">
        <v>10</v>
      </c>
      <c r="J83" s="5">
        <v>4511453257</v>
      </c>
      <c r="K83" s="17">
        <v>44991</v>
      </c>
      <c r="L83" t="s">
        <v>204</v>
      </c>
      <c r="M83" s="6">
        <v>5052584789</v>
      </c>
      <c r="N83" t="s">
        <v>187</v>
      </c>
      <c r="O83" s="7" t="str">
        <f>IFERROR(VLOOKUP(Ingresos[[#This Row],[Pedido]],Compradores[],2,FALSE),"")</f>
        <v>JCHEROPA</v>
      </c>
      <c r="P83" s="7" t="str">
        <f>IFERROR(VLOOKUP(Ingresos[[#This Row],[Concatenar]],Detalle_OC[],2,FALSE),"")</f>
        <v xml:space="preserve">CVEGAG      </v>
      </c>
      <c r="Q83" s="7" t="str">
        <f>IFERROR(VLOOKUP(Ingresos[[#This Row],[Concatenar]],Detalle_OC[],3,FALSE),"")</f>
        <v>SUMINISTROS Y DISTRIBUIDORA ANDINA</v>
      </c>
      <c r="R83" s="10">
        <f>IFERROR(VLOOKUP(Ingresos[[#This Row],[Concatenar]],Detalle_OC[],4,FALSE),"")</f>
        <v>44986</v>
      </c>
      <c r="S83" s="7" t="str">
        <f>IFERROR(VLOOKUP(Ingresos[[#This Row],[Concatenar]],Detalle_OC[],5,FALSE),"")</f>
        <v>STOCK DE ALMACEN</v>
      </c>
      <c r="T83" s="7" t="str">
        <f>IF(Ingresos[[#This Row],[Fec. Entrega]]&gt;=Ingresos[[#This Row],[Fe.contable]],"",IF(Ingresos[[#This Row],[Fe.contable]]&gt;Ingresos[[#This Row],[Fec. Entrega]],"Entrega Tarde"))</f>
        <v>Entrega Tarde</v>
      </c>
    </row>
    <row r="84" spans="1:20" x14ac:dyDescent="0.35">
      <c r="A84" s="7" t="str">
        <f>Ingresos[[#This Row],[Centro]]&amp;Ingresos[[#This Row],[Almacén]]&amp;Ingresos[[#This Row],[Codigo]]&amp;Ingresos[[#This Row],[Pedido]]&amp;Ingresos[[#This Row],[Posición]]</f>
        <v>Agricola del Chira PlantaMontelima824529451145057810</v>
      </c>
      <c r="B84" t="s">
        <v>27</v>
      </c>
      <c r="C84" t="s">
        <v>29</v>
      </c>
      <c r="D84" s="5">
        <v>824529</v>
      </c>
      <c r="E84" t="s">
        <v>206</v>
      </c>
      <c r="F84" s="6">
        <v>1</v>
      </c>
      <c r="G84" t="s">
        <v>28</v>
      </c>
      <c r="H84" s="5">
        <v>101</v>
      </c>
      <c r="I84" s="5">
        <v>10</v>
      </c>
      <c r="J84" s="5">
        <v>4511450578</v>
      </c>
      <c r="K84" s="17">
        <v>44991</v>
      </c>
      <c r="L84" t="s">
        <v>207</v>
      </c>
      <c r="M84" s="6">
        <v>5052584820</v>
      </c>
      <c r="N84" t="s">
        <v>187</v>
      </c>
      <c r="O84" s="7" t="str">
        <f>IFERROR(VLOOKUP(Ingresos[[#This Row],[Pedido]],Compradores[],2,FALSE),"")</f>
        <v>IRAMOSA</v>
      </c>
      <c r="P84" s="7" t="str">
        <f>IFERROR(VLOOKUP(Ingresos[[#This Row],[Concatenar]],Detalle_OC[],2,FALSE),"")</f>
        <v>ALMACÉN GENE</v>
      </c>
      <c r="Q84" s="7" t="str">
        <f>IFERROR(VLOOKUP(Ingresos[[#This Row],[Concatenar]],Detalle_OC[],3,FALSE),"")</f>
        <v xml:space="preserve">MEQUIM SA                         </v>
      </c>
      <c r="R84" s="10">
        <f>IFERROR(VLOOKUP(Ingresos[[#This Row],[Concatenar]],Detalle_OC[],4,FALSE),"")</f>
        <v>44988</v>
      </c>
      <c r="S84" s="7" t="str">
        <f>IFERROR(VLOOKUP(Ingresos[[#This Row],[Concatenar]],Detalle_OC[],5,FALSE),"")</f>
        <v>STOCK DE ALMACEN</v>
      </c>
      <c r="T84" s="7" t="str">
        <f>IF(Ingresos[[#This Row],[Fec. Entrega]]&gt;=Ingresos[[#This Row],[Fe.contable]],"",IF(Ingresos[[#This Row],[Fe.contable]]&gt;Ingresos[[#This Row],[Fec. Entrega]],"Entrega Tarde"))</f>
        <v>Entrega Tarde</v>
      </c>
    </row>
    <row r="85" spans="1:20" x14ac:dyDescent="0.35">
      <c r="A85" s="7" t="str">
        <f>Ingresos[[#This Row],[Centro]]&amp;Ingresos[[#This Row],[Almacén]]&amp;Ingresos[[#This Row],[Codigo]]&amp;Ingresos[[#This Row],[Pedido]]&amp;Ingresos[[#This Row],[Posición]]</f>
        <v>Bioenergía del Chira PlantaMontelima70111491451144406810</v>
      </c>
      <c r="B85" t="s">
        <v>57</v>
      </c>
      <c r="C85" t="s">
        <v>29</v>
      </c>
      <c r="D85" s="5">
        <v>70111491</v>
      </c>
      <c r="E85" t="s">
        <v>208</v>
      </c>
      <c r="F85" s="6">
        <v>1</v>
      </c>
      <c r="G85" t="s">
        <v>28</v>
      </c>
      <c r="H85" s="5">
        <v>101</v>
      </c>
      <c r="I85" s="5">
        <v>10</v>
      </c>
      <c r="J85" s="5">
        <v>4511444068</v>
      </c>
      <c r="K85" s="17">
        <v>44991</v>
      </c>
      <c r="L85" t="s">
        <v>209</v>
      </c>
      <c r="M85" s="6">
        <v>5052584821</v>
      </c>
      <c r="N85" t="s">
        <v>187</v>
      </c>
      <c r="O85" s="7" t="str">
        <f>IFERROR(VLOOKUP(Ingresos[[#This Row],[Pedido]],Compradores[],2,FALSE),"")</f>
        <v>JCHAPARROB</v>
      </c>
      <c r="P85" s="7" t="str">
        <f>IFERROR(VLOOKUP(Ingresos[[#This Row],[Concatenar]],Detalle_OC[],2,FALSE),"")</f>
        <v xml:space="preserve">AVASQUEZ    </v>
      </c>
      <c r="Q85" s="7" t="str">
        <f>IFERROR(VLOOKUP(Ingresos[[#This Row],[Concatenar]],Detalle_OC[],3,FALSE),"")</f>
        <v xml:space="preserve">SPRAYING SYSTEMS PERU SRL         </v>
      </c>
      <c r="R85" s="10">
        <f>IFERROR(VLOOKUP(Ingresos[[#This Row],[Concatenar]],Detalle_OC[],4,FALSE),"")</f>
        <v>44993</v>
      </c>
      <c r="S85" s="7" t="str">
        <f>IFERROR(VLOOKUP(Ingresos[[#This Row],[Concatenar]],Detalle_OC[],5,FALSE),"")</f>
        <v>STOCK DE ALMACEN</v>
      </c>
      <c r="T85" s="7" t="str">
        <f>IF(Ingresos[[#This Row],[Fec. Entrega]]&gt;=Ingresos[[#This Row],[Fe.contable]],"",IF(Ingresos[[#This Row],[Fe.contable]]&gt;Ingresos[[#This Row],[Fec. Entrega]],"Entrega Tarde"))</f>
        <v/>
      </c>
    </row>
    <row r="86" spans="1:20" x14ac:dyDescent="0.35">
      <c r="A86" s="7" t="str">
        <f>Ingresos[[#This Row],[Centro]]&amp;Ingresos[[#This Row],[Almacén]]&amp;Ingresos[[#This Row],[Codigo]]&amp;Ingresos[[#This Row],[Pedido]]&amp;Ingresos[[#This Row],[Posición]]</f>
        <v>Bioenergía del Chira PlantaMontelima882698451144345820</v>
      </c>
      <c r="B86" t="s">
        <v>57</v>
      </c>
      <c r="C86" t="s">
        <v>29</v>
      </c>
      <c r="D86" s="5">
        <v>882698</v>
      </c>
      <c r="E86" t="s">
        <v>210</v>
      </c>
      <c r="F86" s="6">
        <v>4</v>
      </c>
      <c r="G86" t="s">
        <v>28</v>
      </c>
      <c r="H86" s="5">
        <v>101</v>
      </c>
      <c r="I86" s="5">
        <v>20</v>
      </c>
      <c r="J86" s="5">
        <v>4511443458</v>
      </c>
      <c r="K86" s="17">
        <v>44991</v>
      </c>
      <c r="L86" t="s">
        <v>211</v>
      </c>
      <c r="M86" s="6">
        <v>5052584822</v>
      </c>
      <c r="N86" t="s">
        <v>187</v>
      </c>
      <c r="O86" s="7" t="str">
        <f>IFERROR(VLOOKUP(Ingresos[[#This Row],[Pedido]],Compradores[],2,FALSE),"")</f>
        <v>JCHEROPA</v>
      </c>
      <c r="P86" s="7" t="str">
        <f>IFERROR(VLOOKUP(Ingresos[[#This Row],[Concatenar]],Detalle_OC[],2,FALSE),"")</f>
        <v>Plan.Mant.Bi</v>
      </c>
      <c r="Q86" s="7" t="str">
        <f>IFERROR(VLOOKUP(Ingresos[[#This Row],[Concatenar]],Detalle_OC[],3,FALSE),"")</f>
        <v xml:space="preserve">SPRAYING SYSTEMS PERU SRL         </v>
      </c>
      <c r="R86" s="10">
        <f>IFERROR(VLOOKUP(Ingresos[[#This Row],[Concatenar]],Detalle_OC[],4,FALSE),"")</f>
        <v>44986</v>
      </c>
      <c r="S86" s="7" t="str">
        <f>IFERROR(VLOOKUP(Ingresos[[#This Row],[Concatenar]],Detalle_OC[],5,FALSE),"")</f>
        <v>STOCK DE ALMACEN</v>
      </c>
      <c r="T86" s="7" t="str">
        <f>IF(Ingresos[[#This Row],[Fec. Entrega]]&gt;=Ingresos[[#This Row],[Fe.contable]],"",IF(Ingresos[[#This Row],[Fe.contable]]&gt;Ingresos[[#This Row],[Fec. Entrega]],"Entrega Tarde"))</f>
        <v>Entrega Tarde</v>
      </c>
    </row>
    <row r="87" spans="1:20" x14ac:dyDescent="0.35">
      <c r="A87" s="7" t="str">
        <f>Ingresos[[#This Row],[Centro]]&amp;Ingresos[[#This Row],[Almacén]]&amp;Ingresos[[#This Row],[Codigo]]&amp;Ingresos[[#This Row],[Pedido]]&amp;Ingresos[[#This Row],[Posición]]</f>
        <v>Bioenergía del Chira PlantaMontelima882698451144345810</v>
      </c>
      <c r="B87" t="s">
        <v>57</v>
      </c>
      <c r="C87" t="s">
        <v>29</v>
      </c>
      <c r="D87" s="5">
        <v>882698</v>
      </c>
      <c r="E87" t="s">
        <v>210</v>
      </c>
      <c r="F87" s="6">
        <v>22</v>
      </c>
      <c r="G87" t="s">
        <v>28</v>
      </c>
      <c r="H87" s="5">
        <v>101</v>
      </c>
      <c r="I87" s="5">
        <v>10</v>
      </c>
      <c r="J87" s="5">
        <v>4511443458</v>
      </c>
      <c r="K87" s="17">
        <v>44991</v>
      </c>
      <c r="L87" t="s">
        <v>211</v>
      </c>
      <c r="M87" s="6">
        <v>5052584822</v>
      </c>
      <c r="N87" t="s">
        <v>187</v>
      </c>
      <c r="O87" s="7" t="str">
        <f>IFERROR(VLOOKUP(Ingresos[[#This Row],[Pedido]],Compradores[],2,FALSE),"")</f>
        <v>JCHEROPA</v>
      </c>
      <c r="P87" s="7" t="str">
        <f>IFERROR(VLOOKUP(Ingresos[[#This Row],[Concatenar]],Detalle_OC[],2,FALSE),"")</f>
        <v>Plan.Mant.Bi</v>
      </c>
      <c r="Q87" s="7" t="str">
        <f>IFERROR(VLOOKUP(Ingresos[[#This Row],[Concatenar]],Detalle_OC[],3,FALSE),"")</f>
        <v xml:space="preserve">SPRAYING SYSTEMS PERU SRL         </v>
      </c>
      <c r="R87" s="10">
        <f>IFERROR(VLOOKUP(Ingresos[[#This Row],[Concatenar]],Detalle_OC[],4,FALSE),"")</f>
        <v>44986</v>
      </c>
      <c r="S87" s="7" t="str">
        <f>IFERROR(VLOOKUP(Ingresos[[#This Row],[Concatenar]],Detalle_OC[],5,FALSE),"")</f>
        <v>STOCK DE ALMACEN</v>
      </c>
      <c r="T87" s="7" t="str">
        <f>IF(Ingresos[[#This Row],[Fec. Entrega]]&gt;=Ingresos[[#This Row],[Fe.contable]],"",IF(Ingresos[[#This Row],[Fe.contable]]&gt;Ingresos[[#This Row],[Fec. Entrega]],"Entrega Tarde"))</f>
        <v>Entrega Tarde</v>
      </c>
    </row>
    <row r="88" spans="1:20" x14ac:dyDescent="0.35">
      <c r="A88" s="7" t="str">
        <f>Ingresos[[#This Row],[Centro]]&amp;Ingresos[[#This Row],[Almacén]]&amp;Ingresos[[#This Row],[Codigo]]&amp;Ingresos[[#This Row],[Pedido]]&amp;Ingresos[[#This Row],[Posición]]</f>
        <v>Sucroalcolera del Chira PlantaMontelima744011451144994410</v>
      </c>
      <c r="B88" t="s">
        <v>41</v>
      </c>
      <c r="C88" t="s">
        <v>29</v>
      </c>
      <c r="D88" s="5">
        <v>744011</v>
      </c>
      <c r="E88" t="s">
        <v>212</v>
      </c>
      <c r="F88" s="6">
        <v>4</v>
      </c>
      <c r="G88" t="s">
        <v>28</v>
      </c>
      <c r="H88" s="5">
        <v>101</v>
      </c>
      <c r="I88" s="5">
        <v>10</v>
      </c>
      <c r="J88" s="5">
        <v>4511449944</v>
      </c>
      <c r="K88" s="17">
        <v>44991</v>
      </c>
      <c r="L88" t="s">
        <v>213</v>
      </c>
      <c r="M88" s="6">
        <v>5052584823</v>
      </c>
      <c r="N88" t="s">
        <v>187</v>
      </c>
      <c r="O88" s="7" t="str">
        <f>IFERROR(VLOOKUP(Ingresos[[#This Row],[Pedido]],Compradores[],2,FALSE),"")</f>
        <v>JCHAPARROB</v>
      </c>
      <c r="P88" s="7" t="str">
        <f>IFERROR(VLOOKUP(Ingresos[[#This Row],[Concatenar]],Detalle_OC[],2,FALSE),"")</f>
        <v xml:space="preserve">dgameros    </v>
      </c>
      <c r="Q88" s="7" t="str">
        <f>IFERROR(VLOOKUP(Ingresos[[#This Row],[Concatenar]],Detalle_OC[],3,FALSE),"")</f>
        <v xml:space="preserve">COMPANIA KAYSER SAC               </v>
      </c>
      <c r="R88" s="10">
        <f>IFERROR(VLOOKUP(Ingresos[[#This Row],[Concatenar]],Detalle_OC[],4,FALSE),"")</f>
        <v>44988</v>
      </c>
      <c r="S88" s="7" t="str">
        <f>IFERROR(VLOOKUP(Ingresos[[#This Row],[Concatenar]],Detalle_OC[],5,FALSE),"")</f>
        <v>STOCK DE ALMACEN</v>
      </c>
      <c r="T88" s="7" t="str">
        <f>IF(Ingresos[[#This Row],[Fec. Entrega]]&gt;=Ingresos[[#This Row],[Fe.contable]],"",IF(Ingresos[[#This Row],[Fe.contable]]&gt;Ingresos[[#This Row],[Fec. Entrega]],"Entrega Tarde"))</f>
        <v>Entrega Tarde</v>
      </c>
    </row>
    <row r="89" spans="1:20" x14ac:dyDescent="0.35">
      <c r="A89" s="7" t="str">
        <f>Ingresos[[#This Row],[Centro]]&amp;Ingresos[[#This Row],[Almacén]]&amp;Ingresos[[#This Row],[Codigo]]&amp;Ingresos[[#This Row],[Pedido]]&amp;Ingresos[[#This Row],[Posición]]</f>
        <v>Agricola del Chira PlantaMontelima70101756451140210310</v>
      </c>
      <c r="B89" t="s">
        <v>27</v>
      </c>
      <c r="C89" t="s">
        <v>29</v>
      </c>
      <c r="D89" s="5">
        <v>70101756</v>
      </c>
      <c r="E89" t="s">
        <v>214</v>
      </c>
      <c r="F89" s="6">
        <v>1</v>
      </c>
      <c r="G89" t="s">
        <v>28</v>
      </c>
      <c r="H89" s="5">
        <v>101</v>
      </c>
      <c r="I89" s="5">
        <v>10</v>
      </c>
      <c r="J89" s="5">
        <v>4511402103</v>
      </c>
      <c r="K89" s="17">
        <v>44991</v>
      </c>
      <c r="L89" t="s">
        <v>215</v>
      </c>
      <c r="M89" s="6">
        <v>5052584824</v>
      </c>
      <c r="N89" t="s">
        <v>187</v>
      </c>
      <c r="O89" s="7" t="str">
        <f>IFERROR(VLOOKUP(Ingresos[[#This Row],[Pedido]],Compradores[],2,FALSE),"")</f>
        <v>JCHAPARROB</v>
      </c>
      <c r="P89" s="7" t="str">
        <f>IFERROR(VLOOKUP(Ingresos[[#This Row],[Concatenar]],Detalle_OC[],2,FALSE),"")</f>
        <v/>
      </c>
      <c r="Q89" s="7" t="str">
        <f>IFERROR(VLOOKUP(Ingresos[[#This Row],[Concatenar]],Detalle_OC[],3,FALSE),"")</f>
        <v/>
      </c>
      <c r="R89" s="10" t="str">
        <f>IFERROR(VLOOKUP(Ingresos[[#This Row],[Concatenar]],Detalle_OC[],4,FALSE),"")</f>
        <v/>
      </c>
      <c r="S89" s="7" t="str">
        <f>IFERROR(VLOOKUP(Ingresos[[#This Row],[Concatenar]],Detalle_OC[],5,FALSE),"")</f>
        <v/>
      </c>
      <c r="T89" s="7" t="str">
        <f>IF(Ingresos[[#This Row],[Fec. Entrega]]&gt;=Ingresos[[#This Row],[Fe.contable]],"",IF(Ingresos[[#This Row],[Fe.contable]]&gt;Ingresos[[#This Row],[Fec. Entrega]],"Entrega Tarde"))</f>
        <v/>
      </c>
    </row>
    <row r="90" spans="1:20" x14ac:dyDescent="0.35">
      <c r="A90" s="7" t="str">
        <f>Ingresos[[#This Row],[Centro]]&amp;Ingresos[[#This Row],[Almacén]]&amp;Ingresos[[#This Row],[Codigo]]&amp;Ingresos[[#This Row],[Pedido]]&amp;Ingresos[[#This Row],[Posición]]</f>
        <v>Sucroalcolera del Chira PlantaMontelima862994451145307610</v>
      </c>
      <c r="B90" t="s">
        <v>41</v>
      </c>
      <c r="C90" t="s">
        <v>29</v>
      </c>
      <c r="D90" s="5">
        <v>862994</v>
      </c>
      <c r="E90" t="s">
        <v>217</v>
      </c>
      <c r="F90" s="6">
        <v>3</v>
      </c>
      <c r="G90" t="s">
        <v>129</v>
      </c>
      <c r="H90" s="5">
        <v>101</v>
      </c>
      <c r="I90" s="5">
        <v>10</v>
      </c>
      <c r="J90" s="5">
        <v>4511453076</v>
      </c>
      <c r="K90" s="17">
        <v>44991</v>
      </c>
      <c r="L90" t="s">
        <v>218</v>
      </c>
      <c r="M90" s="6">
        <v>5052584826</v>
      </c>
      <c r="N90" t="s">
        <v>187</v>
      </c>
      <c r="O90" s="7" t="str">
        <f>IFERROR(VLOOKUP(Ingresos[[#This Row],[Pedido]],Compradores[],2,FALSE),"")</f>
        <v>IRAMOSA</v>
      </c>
      <c r="P90" s="7" t="str">
        <f>IFERROR(VLOOKUP(Ingresos[[#This Row],[Concatenar]],Detalle_OC[],2,FALSE),"")</f>
        <v>Mtto Mecanic</v>
      </c>
      <c r="Q90" s="7" t="str">
        <f>IFERROR(VLOOKUP(Ingresos[[#This Row],[Concatenar]],Detalle_OC[],3,FALSE),"")</f>
        <v xml:space="preserve">SAGER SA SUCURSAL PERU            </v>
      </c>
      <c r="R90" s="10">
        <f>IFERROR(VLOOKUP(Ingresos[[#This Row],[Concatenar]],Detalle_OC[],4,FALSE),"")</f>
        <v>44996</v>
      </c>
      <c r="S90" s="7" t="str">
        <f>IFERROR(VLOOKUP(Ingresos[[#This Row],[Concatenar]],Detalle_OC[],5,FALSE),"")</f>
        <v>STOCK DE ALMACEN</v>
      </c>
      <c r="T90" s="7" t="str">
        <f>IF(Ingresos[[#This Row],[Fec. Entrega]]&gt;=Ingresos[[#This Row],[Fe.contable]],"",IF(Ingresos[[#This Row],[Fe.contable]]&gt;Ingresos[[#This Row],[Fec. Entrega]],"Entrega Tarde"))</f>
        <v/>
      </c>
    </row>
    <row r="91" spans="1:20" x14ac:dyDescent="0.35">
      <c r="A91" s="7" t="str">
        <f>Ingresos[[#This Row],[Centro]]&amp;Ingresos[[#This Row],[Almacén]]&amp;Ingresos[[#This Row],[Codigo]]&amp;Ingresos[[#This Row],[Pedido]]&amp;Ingresos[[#This Row],[Posición]]</f>
        <v>Sucroalcolera del Chira PlantaMontelima862994451145307620</v>
      </c>
      <c r="B91" t="s">
        <v>41</v>
      </c>
      <c r="C91" t="s">
        <v>29</v>
      </c>
      <c r="D91" s="5">
        <v>862994</v>
      </c>
      <c r="E91" t="s">
        <v>217</v>
      </c>
      <c r="F91" s="6">
        <v>1</v>
      </c>
      <c r="G91" t="s">
        <v>129</v>
      </c>
      <c r="H91" s="5">
        <v>101</v>
      </c>
      <c r="I91" s="5">
        <v>20</v>
      </c>
      <c r="J91" s="5">
        <v>4511453076</v>
      </c>
      <c r="K91" s="17">
        <v>44991</v>
      </c>
      <c r="L91" t="s">
        <v>218</v>
      </c>
      <c r="M91" s="6">
        <v>5052584826</v>
      </c>
      <c r="N91" t="s">
        <v>187</v>
      </c>
      <c r="O91" s="7" t="str">
        <f>IFERROR(VLOOKUP(Ingresos[[#This Row],[Pedido]],Compradores[],2,FALSE),"")</f>
        <v>IRAMOSA</v>
      </c>
      <c r="P91" s="7" t="str">
        <f>IFERROR(VLOOKUP(Ingresos[[#This Row],[Concatenar]],Detalle_OC[],2,FALSE),"")</f>
        <v>Mtto Mecanic</v>
      </c>
      <c r="Q91" s="7" t="str">
        <f>IFERROR(VLOOKUP(Ingresos[[#This Row],[Concatenar]],Detalle_OC[],3,FALSE),"")</f>
        <v xml:space="preserve">SAGER SA SUCURSAL PERU            </v>
      </c>
      <c r="R91" s="10">
        <f>IFERROR(VLOOKUP(Ingresos[[#This Row],[Concatenar]],Detalle_OC[],4,FALSE),"")</f>
        <v>44996</v>
      </c>
      <c r="S91" s="7" t="str">
        <f>IFERROR(VLOOKUP(Ingresos[[#This Row],[Concatenar]],Detalle_OC[],5,FALSE),"")</f>
        <v>STOCK DE ALMACEN</v>
      </c>
      <c r="T91" s="7" t="str">
        <f>IF(Ingresos[[#This Row],[Fec. Entrega]]&gt;=Ingresos[[#This Row],[Fe.contable]],"",IF(Ingresos[[#This Row],[Fe.contable]]&gt;Ingresos[[#This Row],[Fec. Entrega]],"Entrega Tarde"))</f>
        <v/>
      </c>
    </row>
    <row r="92" spans="1:20" x14ac:dyDescent="0.35">
      <c r="A92" s="7" t="str">
        <f>Ingresos[[#This Row],[Centro]]&amp;Ingresos[[#This Row],[Almacén]]&amp;Ingresos[[#This Row],[Codigo]]&amp;Ingresos[[#This Row],[Pedido]]&amp;Ingresos[[#This Row],[Posición]]</f>
        <v>Agricola del Chira PlantaMontelima851482451145269420</v>
      </c>
      <c r="B92" t="s">
        <v>27</v>
      </c>
      <c r="C92" t="s">
        <v>29</v>
      </c>
      <c r="D92" s="5">
        <v>851482</v>
      </c>
      <c r="E92" t="s">
        <v>219</v>
      </c>
      <c r="F92" s="6">
        <v>1</v>
      </c>
      <c r="G92" t="s">
        <v>28</v>
      </c>
      <c r="H92" s="5">
        <v>101</v>
      </c>
      <c r="I92" s="5">
        <v>20</v>
      </c>
      <c r="J92" s="5">
        <v>4511452694</v>
      </c>
      <c r="K92" s="17">
        <v>44991</v>
      </c>
      <c r="L92" t="s">
        <v>220</v>
      </c>
      <c r="M92" s="6">
        <v>5052584827</v>
      </c>
      <c r="N92" t="s">
        <v>187</v>
      </c>
      <c r="O92" s="7" t="str">
        <f>IFERROR(VLOOKUP(Ingresos[[#This Row],[Pedido]],Compradores[],2,FALSE),"")</f>
        <v>JCHAPARROB</v>
      </c>
      <c r="P92" s="7" t="str">
        <f>IFERROR(VLOOKUP(Ingresos[[#This Row],[Concatenar]],Detalle_OC[],2,FALSE),"")</f>
        <v>EMIJAHUANCAG</v>
      </c>
      <c r="Q92" s="7" t="str">
        <f>IFERROR(VLOOKUP(Ingresos[[#This Row],[Concatenar]],Detalle_OC[],3,FALSE),"")</f>
        <v xml:space="preserve">PROCABLES SA                      </v>
      </c>
      <c r="R92" s="10">
        <f>IFERROR(VLOOKUP(Ingresos[[#This Row],[Concatenar]],Detalle_OC[],4,FALSE),"")</f>
        <v>45000</v>
      </c>
      <c r="S92" s="7" t="str">
        <f>IFERROR(VLOOKUP(Ingresos[[#This Row],[Concatenar]],Detalle_OC[],5,FALSE),"")</f>
        <v>STOCK DE ALMACEN</v>
      </c>
      <c r="T92" s="7" t="str">
        <f>IF(Ingresos[[#This Row],[Fec. Entrega]]&gt;=Ingresos[[#This Row],[Fe.contable]],"",IF(Ingresos[[#This Row],[Fe.contable]]&gt;Ingresos[[#This Row],[Fec. Entrega]],"Entrega Tarde"))</f>
        <v/>
      </c>
    </row>
    <row r="93" spans="1:20" x14ac:dyDescent="0.35">
      <c r="A93" s="7" t="str">
        <f>Ingresos[[#This Row],[Centro]]&amp;Ingresos[[#This Row],[Almacén]]&amp;Ingresos[[#This Row],[Codigo]]&amp;Ingresos[[#This Row],[Pedido]]&amp;Ingresos[[#This Row],[Posición]]</f>
        <v>Agricola del Chira PlantaMontelima873674451145269410</v>
      </c>
      <c r="B93" t="s">
        <v>27</v>
      </c>
      <c r="C93" t="s">
        <v>29</v>
      </c>
      <c r="D93" s="5">
        <v>873674</v>
      </c>
      <c r="E93" t="s">
        <v>138</v>
      </c>
      <c r="F93" s="6">
        <v>1</v>
      </c>
      <c r="G93" t="s">
        <v>28</v>
      </c>
      <c r="H93" s="5">
        <v>101</v>
      </c>
      <c r="I93" s="5">
        <v>10</v>
      </c>
      <c r="J93" s="5">
        <v>4511452694</v>
      </c>
      <c r="K93" s="17">
        <v>44991</v>
      </c>
      <c r="L93" t="s">
        <v>220</v>
      </c>
      <c r="M93" s="6">
        <v>5052584827</v>
      </c>
      <c r="N93" t="s">
        <v>187</v>
      </c>
      <c r="O93" s="7" t="str">
        <f>IFERROR(VLOOKUP(Ingresos[[#This Row],[Pedido]],Compradores[],2,FALSE),"")</f>
        <v>JCHAPARROB</v>
      </c>
      <c r="P93" s="7" t="str">
        <f>IFERROR(VLOOKUP(Ingresos[[#This Row],[Concatenar]],Detalle_OC[],2,FALSE),"")</f>
        <v>EMIJAHUANCAG</v>
      </c>
      <c r="Q93" s="7" t="str">
        <f>IFERROR(VLOOKUP(Ingresos[[#This Row],[Concatenar]],Detalle_OC[],3,FALSE),"")</f>
        <v xml:space="preserve">PROCABLES SA                      </v>
      </c>
      <c r="R93" s="10">
        <f>IFERROR(VLOOKUP(Ingresos[[#This Row],[Concatenar]],Detalle_OC[],4,FALSE),"")</f>
        <v>45000</v>
      </c>
      <c r="S93" s="7" t="str">
        <f>IFERROR(VLOOKUP(Ingresos[[#This Row],[Concatenar]],Detalle_OC[],5,FALSE),"")</f>
        <v>STOCK DE ALMACEN</v>
      </c>
      <c r="T93" s="7" t="str">
        <f>IF(Ingresos[[#This Row],[Fec. Entrega]]&gt;=Ingresos[[#This Row],[Fe.contable]],"",IF(Ingresos[[#This Row],[Fe.contable]]&gt;Ingresos[[#This Row],[Fec. Entrega]],"Entrega Tarde"))</f>
        <v/>
      </c>
    </row>
    <row r="94" spans="1:20" x14ac:dyDescent="0.35">
      <c r="A94" s="7" t="str">
        <f>Ingresos[[#This Row],[Centro]]&amp;Ingresos[[#This Row],[Almacén]]&amp;Ingresos[[#This Row],[Codigo]]&amp;Ingresos[[#This Row],[Pedido]]&amp;Ingresos[[#This Row],[Posición]]</f>
        <v>Sucroalcolera del Chira PlantaMontelima865749451145322010</v>
      </c>
      <c r="B94" t="s">
        <v>41</v>
      </c>
      <c r="C94" t="s">
        <v>29</v>
      </c>
      <c r="D94" s="5">
        <v>865749</v>
      </c>
      <c r="E94" t="s">
        <v>223</v>
      </c>
      <c r="F94" s="6">
        <v>1</v>
      </c>
      <c r="G94" t="s">
        <v>28</v>
      </c>
      <c r="H94" s="5">
        <v>101</v>
      </c>
      <c r="I94" s="5">
        <v>10</v>
      </c>
      <c r="J94" s="5">
        <v>4511453220</v>
      </c>
      <c r="K94" s="17">
        <v>44991</v>
      </c>
      <c r="L94" t="s">
        <v>224</v>
      </c>
      <c r="M94" s="6">
        <v>5052584829</v>
      </c>
      <c r="N94" t="s">
        <v>187</v>
      </c>
      <c r="O94" s="7" t="str">
        <f>IFERROR(VLOOKUP(Ingresos[[#This Row],[Pedido]],Compradores[],2,FALSE),"")</f>
        <v>JCHAPARROB</v>
      </c>
      <c r="P94" s="7" t="str">
        <f>IFERROR(VLOOKUP(Ingresos[[#This Row],[Concatenar]],Detalle_OC[],2,FALSE),"")</f>
        <v>Mtto Mecanic</v>
      </c>
      <c r="Q94" s="7" t="str">
        <f>IFERROR(VLOOKUP(Ingresos[[#This Row],[Concatenar]],Detalle_OC[],3,FALSE),"")</f>
        <v xml:space="preserve">ORGANIZACIONES BALENO SRLTDA      </v>
      </c>
      <c r="R94" s="10">
        <f>IFERROR(VLOOKUP(Ingresos[[#This Row],[Concatenar]],Detalle_OC[],4,FALSE),"")</f>
        <v>45000</v>
      </c>
      <c r="S94" s="7" t="str">
        <f>IFERROR(VLOOKUP(Ingresos[[#This Row],[Concatenar]],Detalle_OC[],5,FALSE),"")</f>
        <v>STOCK DE ALMACEN</v>
      </c>
      <c r="T94" s="7" t="str">
        <f>IF(Ingresos[[#This Row],[Fec. Entrega]]&gt;=Ingresos[[#This Row],[Fe.contable]],"",IF(Ingresos[[#This Row],[Fe.contable]]&gt;Ingresos[[#This Row],[Fec. Entrega]],"Entrega Tarde"))</f>
        <v/>
      </c>
    </row>
    <row r="95" spans="1:20" x14ac:dyDescent="0.35">
      <c r="A95" s="7" t="str">
        <f>Ingresos[[#This Row],[Centro]]&amp;Ingresos[[#This Row],[Almacén]]&amp;Ingresos[[#This Row],[Codigo]]&amp;Ingresos[[#This Row],[Pedido]]&amp;Ingresos[[#This Row],[Posición]]</f>
        <v>Sucroalcolera del Chira PlantaMontelima865760451145322020</v>
      </c>
      <c r="B95" t="s">
        <v>41</v>
      </c>
      <c r="C95" t="s">
        <v>29</v>
      </c>
      <c r="D95" s="5">
        <v>865760</v>
      </c>
      <c r="E95" t="s">
        <v>225</v>
      </c>
      <c r="F95" s="6">
        <v>1</v>
      </c>
      <c r="G95" t="s">
        <v>28</v>
      </c>
      <c r="H95" s="5">
        <v>101</v>
      </c>
      <c r="I95" s="5">
        <v>20</v>
      </c>
      <c r="J95" s="5">
        <v>4511453220</v>
      </c>
      <c r="K95" s="17">
        <v>44991</v>
      </c>
      <c r="L95" t="s">
        <v>224</v>
      </c>
      <c r="M95" s="6">
        <v>5052584829</v>
      </c>
      <c r="N95" t="s">
        <v>187</v>
      </c>
      <c r="O95" s="7" t="str">
        <f>IFERROR(VLOOKUP(Ingresos[[#This Row],[Pedido]],Compradores[],2,FALSE),"")</f>
        <v>JCHAPARROB</v>
      </c>
      <c r="P95" s="7" t="str">
        <f>IFERROR(VLOOKUP(Ingresos[[#This Row],[Concatenar]],Detalle_OC[],2,FALSE),"")</f>
        <v>Mtto Mecanic</v>
      </c>
      <c r="Q95" s="7" t="str">
        <f>IFERROR(VLOOKUP(Ingresos[[#This Row],[Concatenar]],Detalle_OC[],3,FALSE),"")</f>
        <v xml:space="preserve">ORGANIZACIONES BALENO SRLTDA      </v>
      </c>
      <c r="R95" s="10">
        <f>IFERROR(VLOOKUP(Ingresos[[#This Row],[Concatenar]],Detalle_OC[],4,FALSE),"")</f>
        <v>45000</v>
      </c>
      <c r="S95" s="7" t="str">
        <f>IFERROR(VLOOKUP(Ingresos[[#This Row],[Concatenar]],Detalle_OC[],5,FALSE),"")</f>
        <v>STOCK DE ALMACEN</v>
      </c>
      <c r="T95" s="7" t="str">
        <f>IF(Ingresos[[#This Row],[Fec. Entrega]]&gt;=Ingresos[[#This Row],[Fe.contable]],"",IF(Ingresos[[#This Row],[Fe.contable]]&gt;Ingresos[[#This Row],[Fec. Entrega]],"Entrega Tarde"))</f>
        <v/>
      </c>
    </row>
    <row r="96" spans="1:20" x14ac:dyDescent="0.35">
      <c r="A96" s="7" t="str">
        <f>Ingresos[[#This Row],[Centro]]&amp;Ingresos[[#This Row],[Almacén]]&amp;Ingresos[[#This Row],[Codigo]]&amp;Ingresos[[#This Row],[Pedido]]&amp;Ingresos[[#This Row],[Posición]]</f>
        <v>Sucroalcolera del Chira PlantaMontelima899370451145322030</v>
      </c>
      <c r="B96" t="s">
        <v>41</v>
      </c>
      <c r="C96" t="s">
        <v>29</v>
      </c>
      <c r="D96" s="5">
        <v>899370</v>
      </c>
      <c r="E96" t="s">
        <v>226</v>
      </c>
      <c r="F96" s="6">
        <v>1</v>
      </c>
      <c r="G96" t="s">
        <v>28</v>
      </c>
      <c r="H96" s="5">
        <v>101</v>
      </c>
      <c r="I96" s="5">
        <v>30</v>
      </c>
      <c r="J96" s="5">
        <v>4511453220</v>
      </c>
      <c r="K96" s="17">
        <v>44991</v>
      </c>
      <c r="L96" t="s">
        <v>224</v>
      </c>
      <c r="M96" s="6">
        <v>5052584829</v>
      </c>
      <c r="N96" t="s">
        <v>187</v>
      </c>
      <c r="O96" s="7" t="str">
        <f>IFERROR(VLOOKUP(Ingresos[[#This Row],[Pedido]],Compradores[],2,FALSE),"")</f>
        <v>JCHAPARROB</v>
      </c>
      <c r="P96" s="7" t="str">
        <f>IFERROR(VLOOKUP(Ingresos[[#This Row],[Concatenar]],Detalle_OC[],2,FALSE),"")</f>
        <v>Mtto Mecanic</v>
      </c>
      <c r="Q96" s="7" t="str">
        <f>IFERROR(VLOOKUP(Ingresos[[#This Row],[Concatenar]],Detalle_OC[],3,FALSE),"")</f>
        <v xml:space="preserve">ORGANIZACIONES BALENO SRLTDA      </v>
      </c>
      <c r="R96" s="10">
        <f>IFERROR(VLOOKUP(Ingresos[[#This Row],[Concatenar]],Detalle_OC[],4,FALSE),"")</f>
        <v>45000</v>
      </c>
      <c r="S96" s="7" t="str">
        <f>IFERROR(VLOOKUP(Ingresos[[#This Row],[Concatenar]],Detalle_OC[],5,FALSE),"")</f>
        <v>STOCK DE ALMACEN</v>
      </c>
      <c r="T96" s="7" t="str">
        <f>IF(Ingresos[[#This Row],[Fec. Entrega]]&gt;=Ingresos[[#This Row],[Fe.contable]],"",IF(Ingresos[[#This Row],[Fe.contable]]&gt;Ingresos[[#This Row],[Fec. Entrega]],"Entrega Tarde"))</f>
        <v/>
      </c>
    </row>
    <row r="97" spans="1:20" x14ac:dyDescent="0.35">
      <c r="A97" s="7" t="str">
        <f>Ingresos[[#This Row],[Centro]]&amp;Ingresos[[#This Row],[Almacén]]&amp;Ingresos[[#This Row],[Codigo]]&amp;Ingresos[[#This Row],[Pedido]]&amp;Ingresos[[#This Row],[Posición]]</f>
        <v>Sucroalcolera del Chira PlantaMontelima70019176451145322040</v>
      </c>
      <c r="B97" t="s">
        <v>41</v>
      </c>
      <c r="C97" t="s">
        <v>29</v>
      </c>
      <c r="D97" s="5">
        <v>70019176</v>
      </c>
      <c r="E97" t="s">
        <v>227</v>
      </c>
      <c r="F97" s="6">
        <v>1</v>
      </c>
      <c r="G97" t="s">
        <v>28</v>
      </c>
      <c r="H97" s="5">
        <v>101</v>
      </c>
      <c r="I97" s="5">
        <v>40</v>
      </c>
      <c r="J97" s="5">
        <v>4511453220</v>
      </c>
      <c r="K97" s="17">
        <v>44991</v>
      </c>
      <c r="L97" t="s">
        <v>224</v>
      </c>
      <c r="M97" s="6">
        <v>5052584829</v>
      </c>
      <c r="N97" t="s">
        <v>187</v>
      </c>
      <c r="O97" s="7" t="str">
        <f>IFERROR(VLOOKUP(Ingresos[[#This Row],[Pedido]],Compradores[],2,FALSE),"")</f>
        <v>JCHAPARROB</v>
      </c>
      <c r="P97" s="7" t="str">
        <f>IFERROR(VLOOKUP(Ingresos[[#This Row],[Concatenar]],Detalle_OC[],2,FALSE),"")</f>
        <v>Mtto Mecanic</v>
      </c>
      <c r="Q97" s="7" t="str">
        <f>IFERROR(VLOOKUP(Ingresos[[#This Row],[Concatenar]],Detalle_OC[],3,FALSE),"")</f>
        <v xml:space="preserve">ORGANIZACIONES BALENO SRLTDA      </v>
      </c>
      <c r="R97" s="10">
        <f>IFERROR(VLOOKUP(Ingresos[[#This Row],[Concatenar]],Detalle_OC[],4,FALSE),"")</f>
        <v>45000</v>
      </c>
      <c r="S97" s="7" t="str">
        <f>IFERROR(VLOOKUP(Ingresos[[#This Row],[Concatenar]],Detalle_OC[],5,FALSE),"")</f>
        <v>STOCK DE ALMACEN</v>
      </c>
      <c r="T97" s="7" t="str">
        <f>IF(Ingresos[[#This Row],[Fec. Entrega]]&gt;=Ingresos[[#This Row],[Fe.contable]],"",IF(Ingresos[[#This Row],[Fe.contable]]&gt;Ingresos[[#This Row],[Fec. Entrega]],"Entrega Tarde"))</f>
        <v/>
      </c>
    </row>
    <row r="98" spans="1:20" x14ac:dyDescent="0.35">
      <c r="A98" s="7" t="str">
        <f>Ingresos[[#This Row],[Centro]]&amp;Ingresos[[#This Row],[Almacén]]&amp;Ingresos[[#This Row],[Codigo]]&amp;Ingresos[[#This Row],[Pedido]]&amp;Ingresos[[#This Row],[Posición]]</f>
        <v>Sucroalcolera del Chira PlantaMontelima811119451143152630</v>
      </c>
      <c r="B98" t="s">
        <v>41</v>
      </c>
      <c r="C98" t="s">
        <v>29</v>
      </c>
      <c r="D98" s="5">
        <v>811119</v>
      </c>
      <c r="E98" t="s">
        <v>228</v>
      </c>
      <c r="F98" s="6">
        <v>1</v>
      </c>
      <c r="G98" t="s">
        <v>28</v>
      </c>
      <c r="H98" s="5">
        <v>101</v>
      </c>
      <c r="I98" s="5">
        <v>30</v>
      </c>
      <c r="J98" s="5">
        <v>4511431526</v>
      </c>
      <c r="K98" s="17">
        <v>44991</v>
      </c>
      <c r="L98" t="s">
        <v>229</v>
      </c>
      <c r="M98" s="6">
        <v>5052584852</v>
      </c>
      <c r="N98" t="s">
        <v>187</v>
      </c>
      <c r="O98" s="7" t="str">
        <f>IFERROR(VLOOKUP(Ingresos[[#This Row],[Pedido]],Compradores[],2,FALSE),"")</f>
        <v>JCHAPARROB</v>
      </c>
      <c r="P98" s="7" t="str">
        <f>IFERROR(VLOOKUP(Ingresos[[#This Row],[Concatenar]],Detalle_OC[],2,FALSE),"")</f>
        <v>Plan.Mant.Su</v>
      </c>
      <c r="Q98" s="7" t="str">
        <f>IFERROR(VLOOKUP(Ingresos[[#This Row],[Concatenar]],Detalle_OC[],3,FALSE),"")</f>
        <v xml:space="preserve">WEG PERU SA                       </v>
      </c>
      <c r="R98" s="10">
        <f>IFERROR(VLOOKUP(Ingresos[[#This Row],[Concatenar]],Detalle_OC[],4,FALSE),"")</f>
        <v>44981</v>
      </c>
      <c r="S98" s="7" t="str">
        <f>IFERROR(VLOOKUP(Ingresos[[#This Row],[Concatenar]],Detalle_OC[],5,FALSE),"")</f>
        <v>STOCK DE ALMACEN</v>
      </c>
      <c r="T98" s="7" t="str">
        <f>IF(Ingresos[[#This Row],[Fec. Entrega]]&gt;=Ingresos[[#This Row],[Fe.contable]],"",IF(Ingresos[[#This Row],[Fe.contable]]&gt;Ingresos[[#This Row],[Fec. Entrega]],"Entrega Tarde"))</f>
        <v>Entrega Tarde</v>
      </c>
    </row>
    <row r="99" spans="1:20" x14ac:dyDescent="0.35">
      <c r="A99" s="7" t="str">
        <f>Ingresos[[#This Row],[Centro]]&amp;Ingresos[[#This Row],[Almacén]]&amp;Ingresos[[#This Row],[Codigo]]&amp;Ingresos[[#This Row],[Pedido]]&amp;Ingresos[[#This Row],[Posición]]</f>
        <v>Bioenergía del Chira PlantaMontelima709198451145264510</v>
      </c>
      <c r="B99" t="s">
        <v>57</v>
      </c>
      <c r="C99" t="s">
        <v>29</v>
      </c>
      <c r="D99" s="5">
        <v>709198</v>
      </c>
      <c r="E99" t="s">
        <v>230</v>
      </c>
      <c r="F99" s="6">
        <v>1</v>
      </c>
      <c r="G99" t="s">
        <v>28</v>
      </c>
      <c r="H99" s="5">
        <v>101</v>
      </c>
      <c r="I99" s="5">
        <v>10</v>
      </c>
      <c r="J99" s="5">
        <v>4511452645</v>
      </c>
      <c r="K99" s="17">
        <v>44992</v>
      </c>
      <c r="L99" t="s">
        <v>231</v>
      </c>
      <c r="M99" s="6">
        <v>5052584854</v>
      </c>
      <c r="N99" t="s">
        <v>187</v>
      </c>
      <c r="O99" s="7" t="str">
        <f>IFERROR(VLOOKUP(Ingresos[[#This Row],[Pedido]],Compradores[],2,FALSE),"")</f>
        <v>JCHAPARROB</v>
      </c>
      <c r="P99" s="7" t="str">
        <f>IFERROR(VLOOKUP(Ingresos[[#This Row],[Concatenar]],Detalle_OC[],2,FALSE),"")</f>
        <v xml:space="preserve">ccarrillor  </v>
      </c>
      <c r="Q99" s="7" t="str">
        <f>IFERROR(VLOOKUP(Ingresos[[#This Row],[Concatenar]],Detalle_OC[],3,FALSE),"")</f>
        <v xml:space="preserve">MEKK SOLUCIONES INDUSTRIALES SAC  </v>
      </c>
      <c r="R99" s="10">
        <f>IFERROR(VLOOKUP(Ingresos[[#This Row],[Concatenar]],Detalle_OC[],4,FALSE),"")</f>
        <v>45000</v>
      </c>
      <c r="S99" s="7" t="str">
        <f>IFERROR(VLOOKUP(Ingresos[[#This Row],[Concatenar]],Detalle_OC[],5,FALSE),"")</f>
        <v>STOCK DE ALMACEN</v>
      </c>
      <c r="T99" s="7" t="str">
        <f>IF(Ingresos[[#This Row],[Fec. Entrega]]&gt;=Ingresos[[#This Row],[Fe.contable]],"",IF(Ingresos[[#This Row],[Fe.contable]]&gt;Ingresos[[#This Row],[Fec. Entrega]],"Entrega Tarde"))</f>
        <v/>
      </c>
    </row>
    <row r="100" spans="1:20" x14ac:dyDescent="0.35">
      <c r="A100" s="7" t="str">
        <f>Ingresos[[#This Row],[Centro]]&amp;Ingresos[[#This Row],[Almacén]]&amp;Ingresos[[#This Row],[Codigo]]&amp;Ingresos[[#This Row],[Pedido]]&amp;Ingresos[[#This Row],[Posición]]</f>
        <v>Bioenergía del Chira PlantaMontelima7152724511452995120</v>
      </c>
      <c r="B100" t="s">
        <v>57</v>
      </c>
      <c r="C100" t="s">
        <v>29</v>
      </c>
      <c r="D100" s="5">
        <v>715272</v>
      </c>
      <c r="E100" t="s">
        <v>232</v>
      </c>
      <c r="F100" s="6">
        <v>200</v>
      </c>
      <c r="G100" t="s">
        <v>28</v>
      </c>
      <c r="H100" s="5">
        <v>101</v>
      </c>
      <c r="I100" s="5">
        <v>120</v>
      </c>
      <c r="J100" s="5">
        <v>4511452995</v>
      </c>
      <c r="K100" s="17">
        <v>44991</v>
      </c>
      <c r="L100" t="s">
        <v>233</v>
      </c>
      <c r="M100" s="6">
        <v>5052584871</v>
      </c>
      <c r="N100" t="s">
        <v>187</v>
      </c>
      <c r="O100" s="7" t="str">
        <f>IFERROR(VLOOKUP(Ingresos[[#This Row],[Pedido]],Compradores[],2,FALSE),"")</f>
        <v>AAGUILARMO</v>
      </c>
      <c r="P100" s="7" t="str">
        <f>IFERROR(VLOOKUP(Ingresos[[#This Row],[Concatenar]],Detalle_OC[],2,FALSE),"")</f>
        <v>Plan.Mant.Bi</v>
      </c>
      <c r="Q100" s="7" t="str">
        <f>IFERROR(VLOOKUP(Ingresos[[#This Row],[Concatenar]],Detalle_OC[],3,FALSE),"")</f>
        <v xml:space="preserve">RENSA VENTAS Y SERVICIOS SRL      </v>
      </c>
      <c r="R100" s="10">
        <f>IFERROR(VLOOKUP(Ingresos[[#This Row],[Concatenar]],Detalle_OC[],4,FALSE),"")</f>
        <v>44967</v>
      </c>
      <c r="S100" s="7" t="str">
        <f>IFERROR(VLOOKUP(Ingresos[[#This Row],[Concatenar]],Detalle_OC[],5,FALSE),"")</f>
        <v>STOCK DE ALMACEN</v>
      </c>
      <c r="T100" s="7" t="str">
        <f>IF(Ingresos[[#This Row],[Fec. Entrega]]&gt;=Ingresos[[#This Row],[Fe.contable]],"",IF(Ingresos[[#This Row],[Fe.contable]]&gt;Ingresos[[#This Row],[Fec. Entrega]],"Entrega Tarde"))</f>
        <v>Entrega Tarde</v>
      </c>
    </row>
    <row r="101" spans="1:20" x14ac:dyDescent="0.35">
      <c r="A101" s="7" t="str">
        <f>Ingresos[[#This Row],[Centro]]&amp;Ingresos[[#This Row],[Almacén]]&amp;Ingresos[[#This Row],[Codigo]]&amp;Ingresos[[#This Row],[Pedido]]&amp;Ingresos[[#This Row],[Posición]]</f>
        <v>Bioenergía del Chira PlantaMontelima8600914511452995150</v>
      </c>
      <c r="B101" t="s">
        <v>57</v>
      </c>
      <c r="C101" t="s">
        <v>29</v>
      </c>
      <c r="D101" s="5">
        <v>860091</v>
      </c>
      <c r="E101" t="s">
        <v>234</v>
      </c>
      <c r="F101" s="6">
        <v>15</v>
      </c>
      <c r="G101" t="s">
        <v>28</v>
      </c>
      <c r="H101" s="5">
        <v>101</v>
      </c>
      <c r="I101" s="5">
        <v>150</v>
      </c>
      <c r="J101" s="5">
        <v>4511452995</v>
      </c>
      <c r="K101" s="17">
        <v>44991</v>
      </c>
      <c r="L101" t="s">
        <v>233</v>
      </c>
      <c r="M101" s="6">
        <v>5052584871</v>
      </c>
      <c r="N101" t="s">
        <v>187</v>
      </c>
      <c r="O101" s="7" t="str">
        <f>IFERROR(VLOOKUP(Ingresos[[#This Row],[Pedido]],Compradores[],2,FALSE),"")</f>
        <v>AAGUILARMO</v>
      </c>
      <c r="P101" s="7" t="str">
        <f>IFERROR(VLOOKUP(Ingresos[[#This Row],[Concatenar]],Detalle_OC[],2,FALSE),"")</f>
        <v>Plan.Mant.Bi</v>
      </c>
      <c r="Q101" s="7" t="str">
        <f>IFERROR(VLOOKUP(Ingresos[[#This Row],[Concatenar]],Detalle_OC[],3,FALSE),"")</f>
        <v xml:space="preserve">RENSA VENTAS Y SERVICIOS SRL      </v>
      </c>
      <c r="R101" s="10">
        <f>IFERROR(VLOOKUP(Ingresos[[#This Row],[Concatenar]],Detalle_OC[],4,FALSE),"")</f>
        <v>44968</v>
      </c>
      <c r="S101" s="7" t="str">
        <f>IFERROR(VLOOKUP(Ingresos[[#This Row],[Concatenar]],Detalle_OC[],5,FALSE),"")</f>
        <v>STOCK DE ALMACEN</v>
      </c>
      <c r="T101" s="7" t="str">
        <f>IF(Ingresos[[#This Row],[Fec. Entrega]]&gt;=Ingresos[[#This Row],[Fe.contable]],"",IF(Ingresos[[#This Row],[Fe.contable]]&gt;Ingresos[[#This Row],[Fec. Entrega]],"Entrega Tarde"))</f>
        <v>Entrega Tarde</v>
      </c>
    </row>
    <row r="102" spans="1:20" x14ac:dyDescent="0.35">
      <c r="A102" s="7" t="str">
        <f>Ingresos[[#This Row],[Centro]]&amp;Ingresos[[#This Row],[Almacén]]&amp;Ingresos[[#This Row],[Codigo]]&amp;Ingresos[[#This Row],[Pedido]]&amp;Ingresos[[#This Row],[Posición]]</f>
        <v>Bioenergía del Chira PlantaMontelima752729451145309460</v>
      </c>
      <c r="B102" t="s">
        <v>57</v>
      </c>
      <c r="C102" t="s">
        <v>29</v>
      </c>
      <c r="D102" s="5">
        <v>752729</v>
      </c>
      <c r="E102" t="s">
        <v>146</v>
      </c>
      <c r="F102" s="6">
        <v>22</v>
      </c>
      <c r="G102" t="s">
        <v>28</v>
      </c>
      <c r="H102" s="5">
        <v>101</v>
      </c>
      <c r="I102" s="5">
        <v>60</v>
      </c>
      <c r="J102" s="5">
        <v>4511453094</v>
      </c>
      <c r="K102" s="17">
        <v>44991</v>
      </c>
      <c r="L102" t="s">
        <v>235</v>
      </c>
      <c r="M102" s="6">
        <v>5052584874</v>
      </c>
      <c r="N102" t="s">
        <v>187</v>
      </c>
      <c r="O102" s="7" t="str">
        <f>IFERROR(VLOOKUP(Ingresos[[#This Row],[Pedido]],Compradores[],2,FALSE),"")</f>
        <v>AAGUILARMO</v>
      </c>
      <c r="P102" s="7" t="str">
        <f>IFERROR(VLOOKUP(Ingresos[[#This Row],[Concatenar]],Detalle_OC[],2,FALSE),"")</f>
        <v>Mtto Eléctri</v>
      </c>
      <c r="Q102" s="7" t="str">
        <f>IFERROR(VLOOKUP(Ingresos[[#This Row],[Concatenar]],Detalle_OC[],3,FALSE),"")</f>
        <v xml:space="preserve">RENSA VENTAS Y SERVICIOS SRL      </v>
      </c>
      <c r="R102" s="10">
        <f>IFERROR(VLOOKUP(Ingresos[[#This Row],[Concatenar]],Detalle_OC[],4,FALSE),"")</f>
        <v>45002</v>
      </c>
      <c r="S102" s="7" t="str">
        <f>IFERROR(VLOOKUP(Ingresos[[#This Row],[Concatenar]],Detalle_OC[],5,FALSE),"")</f>
        <v>STOCK DE ALMACEN</v>
      </c>
      <c r="T102" s="7" t="str">
        <f>IF(Ingresos[[#This Row],[Fec. Entrega]]&gt;=Ingresos[[#This Row],[Fe.contable]],"",IF(Ingresos[[#This Row],[Fe.contable]]&gt;Ingresos[[#This Row],[Fec. Entrega]],"Entrega Tarde"))</f>
        <v/>
      </c>
    </row>
    <row r="103" spans="1:20" x14ac:dyDescent="0.35">
      <c r="A103" s="7" t="str">
        <f>Ingresos[[#This Row],[Centro]]&amp;Ingresos[[#This Row],[Almacén]]&amp;Ingresos[[#This Row],[Codigo]]&amp;Ingresos[[#This Row],[Pedido]]&amp;Ingresos[[#This Row],[Posición]]</f>
        <v>Bioenergía del Chira PlantaMontelima798919451145309450</v>
      </c>
      <c r="B103" t="s">
        <v>57</v>
      </c>
      <c r="C103" t="s">
        <v>29</v>
      </c>
      <c r="D103" s="5">
        <v>798919</v>
      </c>
      <c r="E103" t="s">
        <v>236</v>
      </c>
      <c r="F103" s="6">
        <v>16</v>
      </c>
      <c r="G103" t="s">
        <v>28</v>
      </c>
      <c r="H103" s="5">
        <v>101</v>
      </c>
      <c r="I103" s="5">
        <v>50</v>
      </c>
      <c r="J103" s="5">
        <v>4511453094</v>
      </c>
      <c r="K103" s="17">
        <v>44991</v>
      </c>
      <c r="L103" t="s">
        <v>235</v>
      </c>
      <c r="M103" s="6">
        <v>5052584874</v>
      </c>
      <c r="N103" t="s">
        <v>187</v>
      </c>
      <c r="O103" s="7" t="str">
        <f>IFERROR(VLOOKUP(Ingresos[[#This Row],[Pedido]],Compradores[],2,FALSE),"")</f>
        <v>AAGUILARMO</v>
      </c>
      <c r="P103" s="7" t="str">
        <f>IFERROR(VLOOKUP(Ingresos[[#This Row],[Concatenar]],Detalle_OC[],2,FALSE),"")</f>
        <v>Mtto Eléctri</v>
      </c>
      <c r="Q103" s="7" t="str">
        <f>IFERROR(VLOOKUP(Ingresos[[#This Row],[Concatenar]],Detalle_OC[],3,FALSE),"")</f>
        <v xml:space="preserve">RENSA VENTAS Y SERVICIOS SRL      </v>
      </c>
      <c r="R103" s="10">
        <f>IFERROR(VLOOKUP(Ingresos[[#This Row],[Concatenar]],Detalle_OC[],4,FALSE),"")</f>
        <v>45002</v>
      </c>
      <c r="S103" s="7" t="str">
        <f>IFERROR(VLOOKUP(Ingresos[[#This Row],[Concatenar]],Detalle_OC[],5,FALSE),"")</f>
        <v>STOCK DE ALMACEN</v>
      </c>
      <c r="T103" s="7" t="str">
        <f>IF(Ingresos[[#This Row],[Fec. Entrega]]&gt;=Ingresos[[#This Row],[Fe.contable]],"",IF(Ingresos[[#This Row],[Fe.contable]]&gt;Ingresos[[#This Row],[Fec. Entrega]],"Entrega Tarde"))</f>
        <v/>
      </c>
    </row>
    <row r="104" spans="1:20" x14ac:dyDescent="0.35">
      <c r="A104" s="7" t="str">
        <f>Ingresos[[#This Row],[Centro]]&amp;Ingresos[[#This Row],[Almacén]]&amp;Ingresos[[#This Row],[Codigo]]&amp;Ingresos[[#This Row],[Pedido]]&amp;Ingresos[[#This Row],[Posición]]</f>
        <v>Bioenergía del Chira PlantaMontelima814788451145309440</v>
      </c>
      <c r="B104" t="s">
        <v>57</v>
      </c>
      <c r="C104" t="s">
        <v>29</v>
      </c>
      <c r="D104" s="5">
        <v>814788</v>
      </c>
      <c r="E104" t="s">
        <v>237</v>
      </c>
      <c r="F104" s="6">
        <v>48</v>
      </c>
      <c r="G104" t="s">
        <v>28</v>
      </c>
      <c r="H104" s="5">
        <v>101</v>
      </c>
      <c r="I104" s="5">
        <v>40</v>
      </c>
      <c r="J104" s="5">
        <v>4511453094</v>
      </c>
      <c r="K104" s="17">
        <v>44991</v>
      </c>
      <c r="L104" t="s">
        <v>235</v>
      </c>
      <c r="M104" s="6">
        <v>5052584874</v>
      </c>
      <c r="N104" t="s">
        <v>187</v>
      </c>
      <c r="O104" s="7" t="str">
        <f>IFERROR(VLOOKUP(Ingresos[[#This Row],[Pedido]],Compradores[],2,FALSE),"")</f>
        <v>AAGUILARMO</v>
      </c>
      <c r="P104" s="7" t="str">
        <f>IFERROR(VLOOKUP(Ingresos[[#This Row],[Concatenar]],Detalle_OC[],2,FALSE),"")</f>
        <v xml:space="preserve">CVEGAG      </v>
      </c>
      <c r="Q104" s="7" t="str">
        <f>IFERROR(VLOOKUP(Ingresos[[#This Row],[Concatenar]],Detalle_OC[],3,FALSE),"")</f>
        <v xml:space="preserve">RENSA VENTAS Y SERVICIOS SRL      </v>
      </c>
      <c r="R104" s="10">
        <f>IFERROR(VLOOKUP(Ingresos[[#This Row],[Concatenar]],Detalle_OC[],4,FALSE),"")</f>
        <v>45002</v>
      </c>
      <c r="S104" s="7" t="str">
        <f>IFERROR(VLOOKUP(Ingresos[[#This Row],[Concatenar]],Detalle_OC[],5,FALSE),"")</f>
        <v>STOCK DE ALMACEN</v>
      </c>
      <c r="T104" s="7" t="str">
        <f>IF(Ingresos[[#This Row],[Fec. Entrega]]&gt;=Ingresos[[#This Row],[Fe.contable]],"",IF(Ingresos[[#This Row],[Fe.contable]]&gt;Ingresos[[#This Row],[Fec. Entrega]],"Entrega Tarde"))</f>
        <v/>
      </c>
    </row>
    <row r="105" spans="1:20" x14ac:dyDescent="0.35">
      <c r="A105" s="7" t="str">
        <f>Ingresos[[#This Row],[Centro]]&amp;Ingresos[[#This Row],[Almacén]]&amp;Ingresos[[#This Row],[Codigo]]&amp;Ingresos[[#This Row],[Pedido]]&amp;Ingresos[[#This Row],[Posición]]</f>
        <v>Bioenergía del Chira PlantaMontelima828243451145309420</v>
      </c>
      <c r="B105" t="s">
        <v>57</v>
      </c>
      <c r="C105" t="s">
        <v>29</v>
      </c>
      <c r="D105" s="5">
        <v>828243</v>
      </c>
      <c r="E105" t="s">
        <v>238</v>
      </c>
      <c r="F105" s="6">
        <v>8</v>
      </c>
      <c r="G105" t="s">
        <v>28</v>
      </c>
      <c r="H105" s="5">
        <v>101</v>
      </c>
      <c r="I105" s="5">
        <v>20</v>
      </c>
      <c r="J105" s="5">
        <v>4511453094</v>
      </c>
      <c r="K105" s="17">
        <v>44991</v>
      </c>
      <c r="L105" t="s">
        <v>235</v>
      </c>
      <c r="M105" s="6">
        <v>5052584874</v>
      </c>
      <c r="N105" t="s">
        <v>187</v>
      </c>
      <c r="O105" s="7" t="str">
        <f>IFERROR(VLOOKUP(Ingresos[[#This Row],[Pedido]],Compradores[],2,FALSE),"")</f>
        <v>AAGUILARMO</v>
      </c>
      <c r="P105" s="7" t="str">
        <f>IFERROR(VLOOKUP(Ingresos[[#This Row],[Concatenar]],Detalle_OC[],2,FALSE),"")</f>
        <v xml:space="preserve">CVEGAG      </v>
      </c>
      <c r="Q105" s="7" t="str">
        <f>IFERROR(VLOOKUP(Ingresos[[#This Row],[Concatenar]],Detalle_OC[],3,FALSE),"")</f>
        <v xml:space="preserve">RENSA VENTAS Y SERVICIOS SRL      </v>
      </c>
      <c r="R105" s="10">
        <f>IFERROR(VLOOKUP(Ingresos[[#This Row],[Concatenar]],Detalle_OC[],4,FALSE),"")</f>
        <v>45002</v>
      </c>
      <c r="S105" s="7" t="str">
        <f>IFERROR(VLOOKUP(Ingresos[[#This Row],[Concatenar]],Detalle_OC[],5,FALSE),"")</f>
        <v>STOCK DE ALMACEN</v>
      </c>
      <c r="T105" s="7" t="str">
        <f>IF(Ingresos[[#This Row],[Fec. Entrega]]&gt;=Ingresos[[#This Row],[Fe.contable]],"",IF(Ingresos[[#This Row],[Fe.contable]]&gt;Ingresos[[#This Row],[Fec. Entrega]],"Entrega Tarde"))</f>
        <v/>
      </c>
    </row>
    <row r="106" spans="1:20" x14ac:dyDescent="0.35">
      <c r="A106" s="7" t="str">
        <f>Ingresos[[#This Row],[Centro]]&amp;Ingresos[[#This Row],[Almacén]]&amp;Ingresos[[#This Row],[Codigo]]&amp;Ingresos[[#This Row],[Pedido]]&amp;Ingresos[[#This Row],[Posición]]</f>
        <v>Bioenergía del Chira PlantaMontelima70062788451145309430</v>
      </c>
      <c r="B106" t="s">
        <v>57</v>
      </c>
      <c r="C106" t="s">
        <v>29</v>
      </c>
      <c r="D106" s="5">
        <v>70062788</v>
      </c>
      <c r="E106" t="s">
        <v>239</v>
      </c>
      <c r="F106" s="6">
        <v>1</v>
      </c>
      <c r="G106" t="s">
        <v>28</v>
      </c>
      <c r="H106" s="5">
        <v>101</v>
      </c>
      <c r="I106" s="5">
        <v>30</v>
      </c>
      <c r="J106" s="5">
        <v>4511453094</v>
      </c>
      <c r="K106" s="17">
        <v>44991</v>
      </c>
      <c r="L106" t="s">
        <v>235</v>
      </c>
      <c r="M106" s="6">
        <v>5052584874</v>
      </c>
      <c r="N106" t="s">
        <v>187</v>
      </c>
      <c r="O106" s="7" t="str">
        <f>IFERROR(VLOOKUP(Ingresos[[#This Row],[Pedido]],Compradores[],2,FALSE),"")</f>
        <v>AAGUILARMO</v>
      </c>
      <c r="P106" s="7" t="str">
        <f>IFERROR(VLOOKUP(Ingresos[[#This Row],[Concatenar]],Detalle_OC[],2,FALSE),"")</f>
        <v/>
      </c>
      <c r="Q106" s="7" t="str">
        <f>IFERROR(VLOOKUP(Ingresos[[#This Row],[Concatenar]],Detalle_OC[],3,FALSE),"")</f>
        <v/>
      </c>
      <c r="R106" s="10" t="str">
        <f>IFERROR(VLOOKUP(Ingresos[[#This Row],[Concatenar]],Detalle_OC[],4,FALSE),"")</f>
        <v/>
      </c>
      <c r="S106" s="7" t="str">
        <f>IFERROR(VLOOKUP(Ingresos[[#This Row],[Concatenar]],Detalle_OC[],5,FALSE),"")</f>
        <v/>
      </c>
      <c r="T106" s="7" t="str">
        <f>IF(Ingresos[[#This Row],[Fec. Entrega]]&gt;=Ingresos[[#This Row],[Fe.contable]],"",IF(Ingresos[[#This Row],[Fe.contable]]&gt;Ingresos[[#This Row],[Fec. Entrega]],"Entrega Tarde"))</f>
        <v/>
      </c>
    </row>
    <row r="107" spans="1:20" x14ac:dyDescent="0.35">
      <c r="A107" s="7" t="str">
        <f>Ingresos[[#This Row],[Centro]]&amp;Ingresos[[#This Row],[Almacén]]&amp;Ingresos[[#This Row],[Codigo]]&amp;Ingresos[[#This Row],[Pedido]]&amp;Ingresos[[#This Row],[Posición]]</f>
        <v>Bioenergía del Chira PlantaMontelima735893451145310910</v>
      </c>
      <c r="B107" t="s">
        <v>57</v>
      </c>
      <c r="C107" t="s">
        <v>29</v>
      </c>
      <c r="D107" s="5">
        <v>735893</v>
      </c>
      <c r="E107" t="s">
        <v>240</v>
      </c>
      <c r="F107" s="6">
        <v>7</v>
      </c>
      <c r="G107" t="s">
        <v>147</v>
      </c>
      <c r="H107" s="5">
        <v>101</v>
      </c>
      <c r="I107" s="5">
        <v>10</v>
      </c>
      <c r="J107" s="5">
        <v>4511453109</v>
      </c>
      <c r="K107" s="17">
        <v>44991</v>
      </c>
      <c r="L107" t="s">
        <v>241</v>
      </c>
      <c r="M107" s="6">
        <v>5052584875</v>
      </c>
      <c r="N107" t="s">
        <v>187</v>
      </c>
      <c r="O107" s="7" t="str">
        <f>IFERROR(VLOOKUP(Ingresos[[#This Row],[Pedido]],Compradores[],2,FALSE),"")</f>
        <v>IRAMOSA</v>
      </c>
      <c r="P107" s="7" t="str">
        <f>IFERROR(VLOOKUP(Ingresos[[#This Row],[Concatenar]],Detalle_OC[],2,FALSE),"")</f>
        <v>Mtto Mecánic</v>
      </c>
      <c r="Q107" s="7" t="str">
        <f>IFERROR(VLOOKUP(Ingresos[[#This Row],[Concatenar]],Detalle_OC[],3,FALSE),"")</f>
        <v xml:space="preserve">RENSA VENTAS Y SERVICIOS SRL      </v>
      </c>
      <c r="R107" s="10">
        <f>IFERROR(VLOOKUP(Ingresos[[#This Row],[Concatenar]],Detalle_OC[],4,FALSE),"")</f>
        <v>44995</v>
      </c>
      <c r="S107" s="7" t="str">
        <f>IFERROR(VLOOKUP(Ingresos[[#This Row],[Concatenar]],Detalle_OC[],5,FALSE),"")</f>
        <v>STOCK DE ALMACEN</v>
      </c>
      <c r="T107" s="7" t="str">
        <f>IF(Ingresos[[#This Row],[Fec. Entrega]]&gt;=Ingresos[[#This Row],[Fe.contable]],"",IF(Ingresos[[#This Row],[Fe.contable]]&gt;Ingresos[[#This Row],[Fec. Entrega]],"Entrega Tarde"))</f>
        <v/>
      </c>
    </row>
    <row r="108" spans="1:20" x14ac:dyDescent="0.35">
      <c r="A108" s="7" t="str">
        <f>Ingresos[[#This Row],[Centro]]&amp;Ingresos[[#This Row],[Almacén]]&amp;Ingresos[[#This Row],[Codigo]]&amp;Ingresos[[#This Row],[Pedido]]&amp;Ingresos[[#This Row],[Posición]]</f>
        <v>Sucroalcolera del Chira PlantaMontelima828243451145309720</v>
      </c>
      <c r="B108" t="s">
        <v>41</v>
      </c>
      <c r="C108" t="s">
        <v>29</v>
      </c>
      <c r="D108" s="5">
        <v>828243</v>
      </c>
      <c r="E108" t="s">
        <v>238</v>
      </c>
      <c r="F108" s="6">
        <v>10</v>
      </c>
      <c r="G108" t="s">
        <v>28</v>
      </c>
      <c r="H108" s="5">
        <v>101</v>
      </c>
      <c r="I108" s="5">
        <v>20</v>
      </c>
      <c r="J108" s="5">
        <v>4511453097</v>
      </c>
      <c r="K108" s="17">
        <v>44991</v>
      </c>
      <c r="L108" t="s">
        <v>242</v>
      </c>
      <c r="M108" s="6">
        <v>5052584876</v>
      </c>
      <c r="N108" t="s">
        <v>187</v>
      </c>
      <c r="O108" s="7" t="str">
        <f>IFERROR(VLOOKUP(Ingresos[[#This Row],[Pedido]],Compradores[],2,FALSE),"")</f>
        <v>AAGUILARMO</v>
      </c>
      <c r="P108" s="7" t="str">
        <f>IFERROR(VLOOKUP(Ingresos[[#This Row],[Concatenar]],Detalle_OC[],2,FALSE),"")</f>
        <v>Mtto Electri</v>
      </c>
      <c r="Q108" s="7" t="str">
        <f>IFERROR(VLOOKUP(Ingresos[[#This Row],[Concatenar]],Detalle_OC[],3,FALSE),"")</f>
        <v xml:space="preserve">RENSA VENTAS Y SERVICIOS SRL      </v>
      </c>
      <c r="R108" s="10">
        <f>IFERROR(VLOOKUP(Ingresos[[#This Row],[Concatenar]],Detalle_OC[],4,FALSE),"")</f>
        <v>45002</v>
      </c>
      <c r="S108" s="7" t="str">
        <f>IFERROR(VLOOKUP(Ingresos[[#This Row],[Concatenar]],Detalle_OC[],5,FALSE),"")</f>
        <v>STOCK DE ALMACEN</v>
      </c>
      <c r="T108" s="7" t="str">
        <f>IF(Ingresos[[#This Row],[Fec. Entrega]]&gt;=Ingresos[[#This Row],[Fe.contable]],"",IF(Ingresos[[#This Row],[Fe.contable]]&gt;Ingresos[[#This Row],[Fec. Entrega]],"Entrega Tarde"))</f>
        <v/>
      </c>
    </row>
    <row r="109" spans="1:20" x14ac:dyDescent="0.35">
      <c r="A109" s="7" t="str">
        <f>Ingresos[[#This Row],[Centro]]&amp;Ingresos[[#This Row],[Almacén]]&amp;Ingresos[[#This Row],[Codigo]]&amp;Ingresos[[#This Row],[Pedido]]&amp;Ingresos[[#This Row],[Posición]]</f>
        <v>Sucroalcolera del Chira PlantaMontelima833106451145309730</v>
      </c>
      <c r="B109" t="s">
        <v>41</v>
      </c>
      <c r="C109" t="s">
        <v>29</v>
      </c>
      <c r="D109" s="5">
        <v>833106</v>
      </c>
      <c r="E109" t="s">
        <v>243</v>
      </c>
      <c r="F109" s="6">
        <v>3</v>
      </c>
      <c r="G109" t="s">
        <v>28</v>
      </c>
      <c r="H109" s="5">
        <v>101</v>
      </c>
      <c r="I109" s="5">
        <v>30</v>
      </c>
      <c r="J109" s="5">
        <v>4511453097</v>
      </c>
      <c r="K109" s="17">
        <v>44991</v>
      </c>
      <c r="L109" t="s">
        <v>242</v>
      </c>
      <c r="M109" s="6">
        <v>5052584876</v>
      </c>
      <c r="N109" t="s">
        <v>187</v>
      </c>
      <c r="O109" s="7" t="str">
        <f>IFERROR(VLOOKUP(Ingresos[[#This Row],[Pedido]],Compradores[],2,FALSE),"")</f>
        <v>AAGUILARMO</v>
      </c>
      <c r="P109" s="7" t="str">
        <f>IFERROR(VLOOKUP(Ingresos[[#This Row],[Concatenar]],Detalle_OC[],2,FALSE),"")</f>
        <v>Mtto Electri</v>
      </c>
      <c r="Q109" s="7" t="str">
        <f>IFERROR(VLOOKUP(Ingresos[[#This Row],[Concatenar]],Detalle_OC[],3,FALSE),"")</f>
        <v xml:space="preserve">RENSA VENTAS Y SERVICIOS SRL      </v>
      </c>
      <c r="R109" s="10">
        <f>IFERROR(VLOOKUP(Ingresos[[#This Row],[Concatenar]],Detalle_OC[],4,FALSE),"")</f>
        <v>45002</v>
      </c>
      <c r="S109" s="7" t="str">
        <f>IFERROR(VLOOKUP(Ingresos[[#This Row],[Concatenar]],Detalle_OC[],5,FALSE),"")</f>
        <v>STOCK DE ALMACEN</v>
      </c>
      <c r="T109" s="7" t="str">
        <f>IF(Ingresos[[#This Row],[Fec. Entrega]]&gt;=Ingresos[[#This Row],[Fe.contable]],"",IF(Ingresos[[#This Row],[Fe.contable]]&gt;Ingresos[[#This Row],[Fec. Entrega]],"Entrega Tarde"))</f>
        <v/>
      </c>
    </row>
    <row r="110" spans="1:20" x14ac:dyDescent="0.35">
      <c r="A110" s="7" t="str">
        <f>Ingresos[[#This Row],[Centro]]&amp;Ingresos[[#This Row],[Almacén]]&amp;Ingresos[[#This Row],[Codigo]]&amp;Ingresos[[#This Row],[Pedido]]&amp;Ingresos[[#This Row],[Posición]]</f>
        <v>Sucroalcolera del Chira PlantaMontelima833106451145309710</v>
      </c>
      <c r="B110" t="s">
        <v>41</v>
      </c>
      <c r="C110" t="s">
        <v>29</v>
      </c>
      <c r="D110" s="5">
        <v>833106</v>
      </c>
      <c r="E110" t="s">
        <v>243</v>
      </c>
      <c r="F110" s="6">
        <v>4</v>
      </c>
      <c r="G110" t="s">
        <v>28</v>
      </c>
      <c r="H110" s="5">
        <v>101</v>
      </c>
      <c r="I110" s="5">
        <v>10</v>
      </c>
      <c r="J110" s="5">
        <v>4511453097</v>
      </c>
      <c r="K110" s="17">
        <v>44991</v>
      </c>
      <c r="L110" t="s">
        <v>242</v>
      </c>
      <c r="M110" s="6">
        <v>5052584876</v>
      </c>
      <c r="N110" t="s">
        <v>187</v>
      </c>
      <c r="O110" s="7" t="str">
        <f>IFERROR(VLOOKUP(Ingresos[[#This Row],[Pedido]],Compradores[],2,FALSE),"")</f>
        <v>AAGUILARMO</v>
      </c>
      <c r="P110" s="7" t="str">
        <f>IFERROR(VLOOKUP(Ingresos[[#This Row],[Concatenar]],Detalle_OC[],2,FALSE),"")</f>
        <v>Mtto Electri</v>
      </c>
      <c r="Q110" s="7" t="str">
        <f>IFERROR(VLOOKUP(Ingresos[[#This Row],[Concatenar]],Detalle_OC[],3,FALSE),"")</f>
        <v xml:space="preserve">RENSA VENTAS Y SERVICIOS SRL      </v>
      </c>
      <c r="R110" s="10">
        <f>IFERROR(VLOOKUP(Ingresos[[#This Row],[Concatenar]],Detalle_OC[],4,FALSE),"")</f>
        <v>45002</v>
      </c>
      <c r="S110" s="7" t="str">
        <f>IFERROR(VLOOKUP(Ingresos[[#This Row],[Concatenar]],Detalle_OC[],5,FALSE),"")</f>
        <v>STOCK DE ALMACEN</v>
      </c>
      <c r="T110" s="7" t="str">
        <f>IF(Ingresos[[#This Row],[Fec. Entrega]]&gt;=Ingresos[[#This Row],[Fe.contable]],"",IF(Ingresos[[#This Row],[Fe.contable]]&gt;Ingresos[[#This Row],[Fec. Entrega]],"Entrega Tarde"))</f>
        <v/>
      </c>
    </row>
    <row r="111" spans="1:20" x14ac:dyDescent="0.35">
      <c r="A111" s="7" t="str">
        <f>Ingresos[[#This Row],[Centro]]&amp;Ingresos[[#This Row],[Almacén]]&amp;Ingresos[[#This Row],[Codigo]]&amp;Ingresos[[#This Row],[Pedido]]&amp;Ingresos[[#This Row],[Posición]]</f>
        <v>Sucroalcolera del Chira PlantaMontelima723754451145298710</v>
      </c>
      <c r="B111" t="s">
        <v>41</v>
      </c>
      <c r="C111" t="s">
        <v>29</v>
      </c>
      <c r="D111" s="5">
        <v>723754</v>
      </c>
      <c r="E111" t="s">
        <v>144</v>
      </c>
      <c r="F111" s="6">
        <v>10</v>
      </c>
      <c r="G111" t="s">
        <v>111</v>
      </c>
      <c r="H111" s="5">
        <v>101</v>
      </c>
      <c r="I111" s="5">
        <v>10</v>
      </c>
      <c r="J111" s="5">
        <v>4511452987</v>
      </c>
      <c r="K111" s="17">
        <v>44991</v>
      </c>
      <c r="L111" t="s">
        <v>244</v>
      </c>
      <c r="M111" s="6">
        <v>5052584878</v>
      </c>
      <c r="N111" t="s">
        <v>187</v>
      </c>
      <c r="O111" s="7" t="str">
        <f>IFERROR(VLOOKUP(Ingresos[[#This Row],[Pedido]],Compradores[],2,FALSE),"")</f>
        <v>AAGUILARMO</v>
      </c>
      <c r="P111" s="7" t="str">
        <f>IFERROR(VLOOKUP(Ingresos[[#This Row],[Concatenar]],Detalle_OC[],2,FALSE),"")</f>
        <v>Mtto Mecanic</v>
      </c>
      <c r="Q111" s="7" t="str">
        <f>IFERROR(VLOOKUP(Ingresos[[#This Row],[Concatenar]],Detalle_OC[],3,FALSE),"")</f>
        <v xml:space="preserve">RENSA VENTAS Y SERVICIOS SRL      </v>
      </c>
      <c r="R111" s="10">
        <f>IFERROR(VLOOKUP(Ingresos[[#This Row],[Concatenar]],Detalle_OC[],4,FALSE),"")</f>
        <v>44986</v>
      </c>
      <c r="S111" s="7" t="str">
        <f>IFERROR(VLOOKUP(Ingresos[[#This Row],[Concatenar]],Detalle_OC[],5,FALSE),"")</f>
        <v>STOCK DE ALMACEN</v>
      </c>
      <c r="T111" s="7" t="str">
        <f>IF(Ingresos[[#This Row],[Fec. Entrega]]&gt;=Ingresos[[#This Row],[Fe.contable]],"",IF(Ingresos[[#This Row],[Fe.contable]]&gt;Ingresos[[#This Row],[Fec. Entrega]],"Entrega Tarde"))</f>
        <v>Entrega Tarde</v>
      </c>
    </row>
    <row r="112" spans="1:20" x14ac:dyDescent="0.35">
      <c r="A112" s="7" t="str">
        <f>Ingresos[[#This Row],[Centro]]&amp;Ingresos[[#This Row],[Almacén]]&amp;Ingresos[[#This Row],[Codigo]]&amp;Ingresos[[#This Row],[Pedido]]&amp;Ingresos[[#This Row],[Posición]]</f>
        <v>Sucroalcolera del Chira PlantaMontelima700154954511452987140</v>
      </c>
      <c r="B112" t="s">
        <v>41</v>
      </c>
      <c r="C112" t="s">
        <v>29</v>
      </c>
      <c r="D112" s="5">
        <v>70015495</v>
      </c>
      <c r="E112" t="s">
        <v>245</v>
      </c>
      <c r="F112" s="6">
        <v>3</v>
      </c>
      <c r="G112" t="s">
        <v>28</v>
      </c>
      <c r="H112" s="5">
        <v>101</v>
      </c>
      <c r="I112" s="5">
        <v>140</v>
      </c>
      <c r="J112" s="5">
        <v>4511452987</v>
      </c>
      <c r="K112" s="17">
        <v>44991</v>
      </c>
      <c r="L112" t="s">
        <v>244</v>
      </c>
      <c r="M112" s="6">
        <v>5052584878</v>
      </c>
      <c r="N112" t="s">
        <v>187</v>
      </c>
      <c r="O112" s="7" t="str">
        <f>IFERROR(VLOOKUP(Ingresos[[#This Row],[Pedido]],Compradores[],2,FALSE),"")</f>
        <v>AAGUILARMO</v>
      </c>
      <c r="P112" s="7" t="str">
        <f>IFERROR(VLOOKUP(Ingresos[[#This Row],[Concatenar]],Detalle_OC[],2,FALSE),"")</f>
        <v/>
      </c>
      <c r="Q112" s="7" t="str">
        <f>IFERROR(VLOOKUP(Ingresos[[#This Row],[Concatenar]],Detalle_OC[],3,FALSE),"")</f>
        <v/>
      </c>
      <c r="R112" s="10" t="str">
        <f>IFERROR(VLOOKUP(Ingresos[[#This Row],[Concatenar]],Detalle_OC[],4,FALSE),"")</f>
        <v/>
      </c>
      <c r="S112" s="7" t="str">
        <f>IFERROR(VLOOKUP(Ingresos[[#This Row],[Concatenar]],Detalle_OC[],5,FALSE),"")</f>
        <v/>
      </c>
      <c r="T112" s="7" t="str">
        <f>IF(Ingresos[[#This Row],[Fec. Entrega]]&gt;=Ingresos[[#This Row],[Fe.contable]],"",IF(Ingresos[[#This Row],[Fe.contable]]&gt;Ingresos[[#This Row],[Fec. Entrega]],"Entrega Tarde"))</f>
        <v/>
      </c>
    </row>
    <row r="113" spans="1:20" x14ac:dyDescent="0.35">
      <c r="A113" s="7" t="str">
        <f>Ingresos[[#This Row],[Centro]]&amp;Ingresos[[#This Row],[Almacén]]&amp;Ingresos[[#This Row],[Codigo]]&amp;Ingresos[[#This Row],[Pedido]]&amp;Ingresos[[#This Row],[Posición]]</f>
        <v>Sucroalcolera del Chira PlantaMontelima735893451145310510</v>
      </c>
      <c r="B113" t="s">
        <v>41</v>
      </c>
      <c r="C113" t="s">
        <v>29</v>
      </c>
      <c r="D113" s="5">
        <v>735893</v>
      </c>
      <c r="E113" t="s">
        <v>240</v>
      </c>
      <c r="F113" s="6">
        <v>11</v>
      </c>
      <c r="G113" t="s">
        <v>147</v>
      </c>
      <c r="H113" s="5">
        <v>101</v>
      </c>
      <c r="I113" s="5">
        <v>10</v>
      </c>
      <c r="J113" s="5">
        <v>4511453105</v>
      </c>
      <c r="K113" s="17">
        <v>44991</v>
      </c>
      <c r="L113" t="s">
        <v>246</v>
      </c>
      <c r="M113" s="6">
        <v>5052584879</v>
      </c>
      <c r="N113" t="s">
        <v>187</v>
      </c>
      <c r="O113" s="7" t="str">
        <f>IFERROR(VLOOKUP(Ingresos[[#This Row],[Pedido]],Compradores[],2,FALSE),"")</f>
        <v>IRAMOSA</v>
      </c>
      <c r="P113" s="7" t="str">
        <f>IFERROR(VLOOKUP(Ingresos[[#This Row],[Concatenar]],Detalle_OC[],2,FALSE),"")</f>
        <v>Mtto Mecanic</v>
      </c>
      <c r="Q113" s="7" t="str">
        <f>IFERROR(VLOOKUP(Ingresos[[#This Row],[Concatenar]],Detalle_OC[],3,FALSE),"")</f>
        <v xml:space="preserve">RENSA VENTAS Y SERVICIOS SRL      </v>
      </c>
      <c r="R113" s="10">
        <f>IFERROR(VLOOKUP(Ingresos[[#This Row],[Concatenar]],Detalle_OC[],4,FALSE),"")</f>
        <v>44995</v>
      </c>
      <c r="S113" s="7" t="str">
        <f>IFERROR(VLOOKUP(Ingresos[[#This Row],[Concatenar]],Detalle_OC[],5,FALSE),"")</f>
        <v>STOCK DE ALMACEN</v>
      </c>
      <c r="T113" s="7" t="str">
        <f>IF(Ingresos[[#This Row],[Fec. Entrega]]&gt;=Ingresos[[#This Row],[Fe.contable]],"",IF(Ingresos[[#This Row],[Fe.contable]]&gt;Ingresos[[#This Row],[Fec. Entrega]],"Entrega Tarde"))</f>
        <v/>
      </c>
    </row>
    <row r="114" spans="1:20" x14ac:dyDescent="0.35">
      <c r="A114" s="7" t="str">
        <f>Ingresos[[#This Row],[Centro]]&amp;Ingresos[[#This Row],[Almacén]]&amp;Ingresos[[#This Row],[Codigo]]&amp;Ingresos[[#This Row],[Pedido]]&amp;Ingresos[[#This Row],[Posición]]</f>
        <v>Agricola del Chira PlantaMontelima70046281451145318810</v>
      </c>
      <c r="B114" t="s">
        <v>27</v>
      </c>
      <c r="C114" t="s">
        <v>29</v>
      </c>
      <c r="D114" s="5">
        <v>70046281</v>
      </c>
      <c r="E114" t="s">
        <v>247</v>
      </c>
      <c r="F114" s="6">
        <v>225</v>
      </c>
      <c r="G114" t="s">
        <v>28</v>
      </c>
      <c r="H114" s="5">
        <v>101</v>
      </c>
      <c r="I114" s="5">
        <v>10</v>
      </c>
      <c r="J114" s="5">
        <v>4511453188</v>
      </c>
      <c r="K114" s="17">
        <v>44991</v>
      </c>
      <c r="L114" t="s">
        <v>248</v>
      </c>
      <c r="M114" s="6">
        <v>5052584940</v>
      </c>
      <c r="N114" t="s">
        <v>187</v>
      </c>
      <c r="O114" s="7" t="str">
        <f>IFERROR(VLOOKUP(Ingresos[[#This Row],[Pedido]],Compradores[],2,FALSE),"")</f>
        <v>AAGUILARMO</v>
      </c>
      <c r="P114" s="7" t="str">
        <f>IFERROR(VLOOKUP(Ingresos[[#This Row],[Concatenar]],Detalle_OC[],2,FALSE),"")</f>
        <v xml:space="preserve">CCARRILLO   </v>
      </c>
      <c r="Q114" s="7" t="str">
        <f>IFERROR(VLOOKUP(Ingresos[[#This Row],[Concatenar]],Detalle_OC[],3,FALSE),"")</f>
        <v xml:space="preserve">RENSA VENTAS Y SERVICIOS SRL      </v>
      </c>
      <c r="R114" s="10">
        <f>IFERROR(VLOOKUP(Ingresos[[#This Row],[Concatenar]],Detalle_OC[],4,FALSE),"")</f>
        <v>45013</v>
      </c>
      <c r="S114" s="7" t="str">
        <f>IFERROR(VLOOKUP(Ingresos[[#This Row],[Concatenar]],Detalle_OC[],5,FALSE),"")</f>
        <v>STOCK DE ALMACEN</v>
      </c>
      <c r="T114" s="7" t="str">
        <f>IF(Ingresos[[#This Row],[Fec. Entrega]]&gt;=Ingresos[[#This Row],[Fe.contable]],"",IF(Ingresos[[#This Row],[Fe.contable]]&gt;Ingresos[[#This Row],[Fec. Entrega]],"Entrega Tarde"))</f>
        <v/>
      </c>
    </row>
    <row r="115" spans="1:20" x14ac:dyDescent="0.35">
      <c r="A115" s="7" t="str">
        <f>Ingresos[[#This Row],[Centro]]&amp;Ingresos[[#This Row],[Almacén]]&amp;Ingresos[[#This Row],[Codigo]]&amp;Ingresos[[#This Row],[Pedido]]&amp;Ingresos[[#This Row],[Posición]]</f>
        <v>Agricola del Chira PlantaMontelima70046281451145318830</v>
      </c>
      <c r="B115" t="s">
        <v>27</v>
      </c>
      <c r="C115" t="s">
        <v>29</v>
      </c>
      <c r="D115" s="5">
        <v>70046281</v>
      </c>
      <c r="E115" t="s">
        <v>247</v>
      </c>
      <c r="F115" s="6">
        <v>200</v>
      </c>
      <c r="G115" t="s">
        <v>28</v>
      </c>
      <c r="H115" s="5">
        <v>101</v>
      </c>
      <c r="I115" s="5">
        <v>30</v>
      </c>
      <c r="J115" s="5">
        <v>4511453188</v>
      </c>
      <c r="K115" s="17">
        <v>44991</v>
      </c>
      <c r="L115" t="s">
        <v>248</v>
      </c>
      <c r="M115" s="6">
        <v>5052584940</v>
      </c>
      <c r="N115" t="s">
        <v>187</v>
      </c>
      <c r="O115" s="7" t="str">
        <f>IFERROR(VLOOKUP(Ingresos[[#This Row],[Pedido]],Compradores[],2,FALSE),"")</f>
        <v>AAGUILARMO</v>
      </c>
      <c r="P115" s="7" t="str">
        <f>IFERROR(VLOOKUP(Ingresos[[#This Row],[Concatenar]],Detalle_OC[],2,FALSE),"")</f>
        <v/>
      </c>
      <c r="Q115" s="7" t="str">
        <f>IFERROR(VLOOKUP(Ingresos[[#This Row],[Concatenar]],Detalle_OC[],3,FALSE),"")</f>
        <v/>
      </c>
      <c r="R115" s="10" t="str">
        <f>IFERROR(VLOOKUP(Ingresos[[#This Row],[Concatenar]],Detalle_OC[],4,FALSE),"")</f>
        <v/>
      </c>
      <c r="S115" s="7" t="str">
        <f>IFERROR(VLOOKUP(Ingresos[[#This Row],[Concatenar]],Detalle_OC[],5,FALSE),"")</f>
        <v/>
      </c>
      <c r="T115" s="7" t="str">
        <f>IF(Ingresos[[#This Row],[Fec. Entrega]]&gt;=Ingresos[[#This Row],[Fe.contable]],"",IF(Ingresos[[#This Row],[Fe.contable]]&gt;Ingresos[[#This Row],[Fec. Entrega]],"Entrega Tarde"))</f>
        <v/>
      </c>
    </row>
    <row r="116" spans="1:20" x14ac:dyDescent="0.35">
      <c r="A116" s="7" t="str">
        <f>Ingresos[[#This Row],[Centro]]&amp;Ingresos[[#This Row],[Almacén]]&amp;Ingresos[[#This Row],[Codigo]]&amp;Ingresos[[#This Row],[Pedido]]&amp;Ingresos[[#This Row],[Posición]]</f>
        <v>Agricola del Chira PlantaMontelima70046281451145318820</v>
      </c>
      <c r="B116" t="s">
        <v>27</v>
      </c>
      <c r="C116" t="s">
        <v>29</v>
      </c>
      <c r="D116" s="5">
        <v>70046281</v>
      </c>
      <c r="E116" t="s">
        <v>247</v>
      </c>
      <c r="F116" s="6">
        <v>66</v>
      </c>
      <c r="G116" t="s">
        <v>28</v>
      </c>
      <c r="H116" s="5">
        <v>101</v>
      </c>
      <c r="I116" s="5">
        <v>20</v>
      </c>
      <c r="J116" s="5">
        <v>4511453188</v>
      </c>
      <c r="K116" s="17">
        <v>44991</v>
      </c>
      <c r="L116" t="s">
        <v>248</v>
      </c>
      <c r="M116" s="6">
        <v>5052584940</v>
      </c>
      <c r="N116" t="s">
        <v>187</v>
      </c>
      <c r="O116" s="7" t="str">
        <f>IFERROR(VLOOKUP(Ingresos[[#This Row],[Pedido]],Compradores[],2,FALSE),"")</f>
        <v>AAGUILARMO</v>
      </c>
      <c r="P116" s="7" t="str">
        <f>IFERROR(VLOOKUP(Ingresos[[#This Row],[Concatenar]],Detalle_OC[],2,FALSE),"")</f>
        <v xml:space="preserve">CVEGAG      </v>
      </c>
      <c r="Q116" s="7" t="str">
        <f>IFERROR(VLOOKUP(Ingresos[[#This Row],[Concatenar]],Detalle_OC[],3,FALSE),"")</f>
        <v xml:space="preserve">RENSA VENTAS Y SERVICIOS SRL      </v>
      </c>
      <c r="R116" s="10">
        <f>IFERROR(VLOOKUP(Ingresos[[#This Row],[Concatenar]],Detalle_OC[],4,FALSE),"")</f>
        <v>45013</v>
      </c>
      <c r="S116" s="7" t="str">
        <f>IFERROR(VLOOKUP(Ingresos[[#This Row],[Concatenar]],Detalle_OC[],5,FALSE),"")</f>
        <v>STOCK DE ALMACEN</v>
      </c>
      <c r="T116" s="7" t="str">
        <f>IF(Ingresos[[#This Row],[Fec. Entrega]]&gt;=Ingresos[[#This Row],[Fe.contable]],"",IF(Ingresos[[#This Row],[Fe.contable]]&gt;Ingresos[[#This Row],[Fec. Entrega]],"Entrega Tarde"))</f>
        <v/>
      </c>
    </row>
    <row r="117" spans="1:20" x14ac:dyDescent="0.35">
      <c r="A117" s="7" t="str">
        <f>Ingresos[[#This Row],[Centro]]&amp;Ingresos[[#This Row],[Almacén]]&amp;Ingresos[[#This Row],[Codigo]]&amp;Ingresos[[#This Row],[Pedido]]&amp;Ingresos[[#This Row],[Posición]]</f>
        <v>Agricola del Chira PlantaMontelima746375451145298540</v>
      </c>
      <c r="B117" t="s">
        <v>27</v>
      </c>
      <c r="C117" t="s">
        <v>29</v>
      </c>
      <c r="D117" s="5">
        <v>746375</v>
      </c>
      <c r="E117" t="s">
        <v>249</v>
      </c>
      <c r="F117" s="6">
        <v>19</v>
      </c>
      <c r="G117" t="s">
        <v>111</v>
      </c>
      <c r="H117" s="5">
        <v>101</v>
      </c>
      <c r="I117" s="5">
        <v>40</v>
      </c>
      <c r="J117" s="5">
        <v>4511452985</v>
      </c>
      <c r="K117" s="17">
        <v>44991</v>
      </c>
      <c r="L117" t="s">
        <v>250</v>
      </c>
      <c r="M117" s="6">
        <v>5052584962</v>
      </c>
      <c r="N117" t="s">
        <v>187</v>
      </c>
      <c r="O117" s="7" t="str">
        <f>IFERROR(VLOOKUP(Ingresos[[#This Row],[Pedido]],Compradores[],2,FALSE),"")</f>
        <v>AAGUILARMO</v>
      </c>
      <c r="P117" s="7" t="str">
        <f>IFERROR(VLOOKUP(Ingresos[[#This Row],[Concatenar]],Detalle_OC[],2,FALSE),"")</f>
        <v>Plan. Mant.C</v>
      </c>
      <c r="Q117" s="7" t="str">
        <f>IFERROR(VLOOKUP(Ingresos[[#This Row],[Concatenar]],Detalle_OC[],3,FALSE),"")</f>
        <v xml:space="preserve">RENSA VENTAS Y SERVICIOS SRL      </v>
      </c>
      <c r="R117" s="10">
        <f>IFERROR(VLOOKUP(Ingresos[[#This Row],[Concatenar]],Detalle_OC[],4,FALSE),"")</f>
        <v>45002</v>
      </c>
      <c r="S117" s="7" t="str">
        <f>IFERROR(VLOOKUP(Ingresos[[#This Row],[Concatenar]],Detalle_OC[],5,FALSE),"")</f>
        <v>STOCK DE ALMACEN</v>
      </c>
      <c r="T117" s="7" t="str">
        <f>IF(Ingresos[[#This Row],[Fec. Entrega]]&gt;=Ingresos[[#This Row],[Fe.contable]],"",IF(Ingresos[[#This Row],[Fe.contable]]&gt;Ingresos[[#This Row],[Fec. Entrega]],"Entrega Tarde"))</f>
        <v/>
      </c>
    </row>
    <row r="118" spans="1:20" x14ac:dyDescent="0.35">
      <c r="A118" s="7" t="str">
        <f>Ingresos[[#This Row],[Centro]]&amp;Ingresos[[#This Row],[Almacén]]&amp;Ingresos[[#This Row],[Codigo]]&amp;Ingresos[[#This Row],[Pedido]]&amp;Ingresos[[#This Row],[Posición]]</f>
        <v>Agricola del Chira PlantaMontelima798917451145298550</v>
      </c>
      <c r="B118" t="s">
        <v>27</v>
      </c>
      <c r="C118" t="s">
        <v>29</v>
      </c>
      <c r="D118" s="5">
        <v>798917</v>
      </c>
      <c r="E118" t="s">
        <v>251</v>
      </c>
      <c r="F118" s="6">
        <v>1</v>
      </c>
      <c r="G118" t="s">
        <v>28</v>
      </c>
      <c r="H118" s="5">
        <v>101</v>
      </c>
      <c r="I118" s="5">
        <v>50</v>
      </c>
      <c r="J118" s="5">
        <v>4511452985</v>
      </c>
      <c r="K118" s="17">
        <v>44991</v>
      </c>
      <c r="L118" t="s">
        <v>250</v>
      </c>
      <c r="M118" s="6">
        <v>5052584962</v>
      </c>
      <c r="N118" t="s">
        <v>187</v>
      </c>
      <c r="O118" s="7" t="str">
        <f>IFERROR(VLOOKUP(Ingresos[[#This Row],[Pedido]],Compradores[],2,FALSE),"")</f>
        <v>AAGUILARMO</v>
      </c>
      <c r="P118" s="7" t="str">
        <f>IFERROR(VLOOKUP(Ingresos[[#This Row],[Concatenar]],Detalle_OC[],2,FALSE),"")</f>
        <v/>
      </c>
      <c r="Q118" s="7" t="str">
        <f>IFERROR(VLOOKUP(Ingresos[[#This Row],[Concatenar]],Detalle_OC[],3,FALSE),"")</f>
        <v/>
      </c>
      <c r="R118" s="10" t="str">
        <f>IFERROR(VLOOKUP(Ingresos[[#This Row],[Concatenar]],Detalle_OC[],4,FALSE),"")</f>
        <v/>
      </c>
      <c r="S118" s="7" t="str">
        <f>IFERROR(VLOOKUP(Ingresos[[#This Row],[Concatenar]],Detalle_OC[],5,FALSE),"")</f>
        <v/>
      </c>
      <c r="T118" s="7" t="str">
        <f>IF(Ingresos[[#This Row],[Fec. Entrega]]&gt;=Ingresos[[#This Row],[Fe.contable]],"",IF(Ingresos[[#This Row],[Fe.contable]]&gt;Ingresos[[#This Row],[Fec. Entrega]],"Entrega Tarde"))</f>
        <v/>
      </c>
    </row>
    <row r="119" spans="1:20" x14ac:dyDescent="0.35">
      <c r="A119" s="7" t="str">
        <f>Ingresos[[#This Row],[Centro]]&amp;Ingresos[[#This Row],[Almacén]]&amp;Ingresos[[#This Row],[Codigo]]&amp;Ingresos[[#This Row],[Pedido]]&amp;Ingresos[[#This Row],[Posición]]</f>
        <v>Agricola del Chira PlantaMontelima798917451145298560</v>
      </c>
      <c r="B119" t="s">
        <v>27</v>
      </c>
      <c r="C119" t="s">
        <v>29</v>
      </c>
      <c r="D119" s="5">
        <v>798917</v>
      </c>
      <c r="E119" t="s">
        <v>251</v>
      </c>
      <c r="F119" s="6">
        <v>1</v>
      </c>
      <c r="G119" t="s">
        <v>28</v>
      </c>
      <c r="H119" s="5">
        <v>101</v>
      </c>
      <c r="I119" s="5">
        <v>60</v>
      </c>
      <c r="J119" s="5">
        <v>4511452985</v>
      </c>
      <c r="K119" s="17">
        <v>44991</v>
      </c>
      <c r="L119" t="s">
        <v>250</v>
      </c>
      <c r="M119" s="6">
        <v>5052584962</v>
      </c>
      <c r="N119" t="s">
        <v>187</v>
      </c>
      <c r="O119" s="7" t="str">
        <f>IFERROR(VLOOKUP(Ingresos[[#This Row],[Pedido]],Compradores[],2,FALSE),"")</f>
        <v>AAGUILARMO</v>
      </c>
      <c r="P119" s="7" t="str">
        <f>IFERROR(VLOOKUP(Ingresos[[#This Row],[Concatenar]],Detalle_OC[],2,FALSE),"")</f>
        <v/>
      </c>
      <c r="Q119" s="7" t="str">
        <f>IFERROR(VLOOKUP(Ingresos[[#This Row],[Concatenar]],Detalle_OC[],3,FALSE),"")</f>
        <v/>
      </c>
      <c r="R119" s="10" t="str">
        <f>IFERROR(VLOOKUP(Ingresos[[#This Row],[Concatenar]],Detalle_OC[],4,FALSE),"")</f>
        <v/>
      </c>
      <c r="S119" s="7" t="str">
        <f>IFERROR(VLOOKUP(Ingresos[[#This Row],[Concatenar]],Detalle_OC[],5,FALSE),"")</f>
        <v/>
      </c>
      <c r="T119" s="7" t="str">
        <f>IF(Ingresos[[#This Row],[Fec. Entrega]]&gt;=Ingresos[[#This Row],[Fe.contable]],"",IF(Ingresos[[#This Row],[Fe.contable]]&gt;Ingresos[[#This Row],[Fec. Entrega]],"Entrega Tarde"))</f>
        <v/>
      </c>
    </row>
    <row r="120" spans="1:20" x14ac:dyDescent="0.35">
      <c r="A120" s="7" t="str">
        <f>Ingresos[[#This Row],[Centro]]&amp;Ingresos[[#This Row],[Almacén]]&amp;Ingresos[[#This Row],[Codigo]]&amp;Ingresos[[#This Row],[Pedido]]&amp;Ingresos[[#This Row],[Posición]]</f>
        <v>Agricola del Chira PlantaMontelima70047981451145298590</v>
      </c>
      <c r="B120" t="s">
        <v>27</v>
      </c>
      <c r="C120" t="s">
        <v>29</v>
      </c>
      <c r="D120" s="5">
        <v>70047981</v>
      </c>
      <c r="E120" t="s">
        <v>252</v>
      </c>
      <c r="F120" s="6">
        <v>10</v>
      </c>
      <c r="G120" t="s">
        <v>28</v>
      </c>
      <c r="H120" s="5">
        <v>101</v>
      </c>
      <c r="I120" s="5">
        <v>90</v>
      </c>
      <c r="J120" s="5">
        <v>4511452985</v>
      </c>
      <c r="K120" s="17">
        <v>44991</v>
      </c>
      <c r="L120" t="s">
        <v>250</v>
      </c>
      <c r="M120" s="6">
        <v>5052584962</v>
      </c>
      <c r="N120" t="s">
        <v>187</v>
      </c>
      <c r="O120" s="7" t="str">
        <f>IFERROR(VLOOKUP(Ingresos[[#This Row],[Pedido]],Compradores[],2,FALSE),"")</f>
        <v>AAGUILARMO</v>
      </c>
      <c r="P120" s="7" t="str">
        <f>IFERROR(VLOOKUP(Ingresos[[#This Row],[Concatenar]],Detalle_OC[],2,FALSE),"")</f>
        <v/>
      </c>
      <c r="Q120" s="7" t="str">
        <f>IFERROR(VLOOKUP(Ingresos[[#This Row],[Concatenar]],Detalle_OC[],3,FALSE),"")</f>
        <v/>
      </c>
      <c r="R120" s="10" t="str">
        <f>IFERROR(VLOOKUP(Ingresos[[#This Row],[Concatenar]],Detalle_OC[],4,FALSE),"")</f>
        <v/>
      </c>
      <c r="S120" s="7" t="str">
        <f>IFERROR(VLOOKUP(Ingresos[[#This Row],[Concatenar]],Detalle_OC[],5,FALSE),"")</f>
        <v/>
      </c>
      <c r="T120" s="7" t="str">
        <f>IF(Ingresos[[#This Row],[Fec. Entrega]]&gt;=Ingresos[[#This Row],[Fe.contable]],"",IF(Ingresos[[#This Row],[Fe.contable]]&gt;Ingresos[[#This Row],[Fec. Entrega]],"Entrega Tarde"))</f>
        <v/>
      </c>
    </row>
    <row r="121" spans="1:20" x14ac:dyDescent="0.35">
      <c r="A121" s="7" t="str">
        <f>Ingresos[[#This Row],[Centro]]&amp;Ingresos[[#This Row],[Almacén]]&amp;Ingresos[[#This Row],[Codigo]]&amp;Ingresos[[#This Row],[Pedido]]&amp;Ingresos[[#This Row],[Posición]]</f>
        <v>Agricola del Chira PlantaMontelima70047981451145298580</v>
      </c>
      <c r="B121" t="s">
        <v>27</v>
      </c>
      <c r="C121" t="s">
        <v>29</v>
      </c>
      <c r="D121" s="5">
        <v>70047981</v>
      </c>
      <c r="E121" t="s">
        <v>252</v>
      </c>
      <c r="F121" s="6">
        <v>20</v>
      </c>
      <c r="G121" t="s">
        <v>28</v>
      </c>
      <c r="H121" s="5">
        <v>101</v>
      </c>
      <c r="I121" s="5">
        <v>80</v>
      </c>
      <c r="J121" s="5">
        <v>4511452985</v>
      </c>
      <c r="K121" s="17">
        <v>44991</v>
      </c>
      <c r="L121" t="s">
        <v>250</v>
      </c>
      <c r="M121" s="6">
        <v>5052584962</v>
      </c>
      <c r="N121" t="s">
        <v>187</v>
      </c>
      <c r="O121" s="7" t="str">
        <f>IFERROR(VLOOKUP(Ingresos[[#This Row],[Pedido]],Compradores[],2,FALSE),"")</f>
        <v>AAGUILARMO</v>
      </c>
      <c r="P121" s="7" t="str">
        <f>IFERROR(VLOOKUP(Ingresos[[#This Row],[Concatenar]],Detalle_OC[],2,FALSE),"")</f>
        <v/>
      </c>
      <c r="Q121" s="7" t="str">
        <f>IFERROR(VLOOKUP(Ingresos[[#This Row],[Concatenar]],Detalle_OC[],3,FALSE),"")</f>
        <v/>
      </c>
      <c r="R121" s="10" t="str">
        <f>IFERROR(VLOOKUP(Ingresos[[#This Row],[Concatenar]],Detalle_OC[],4,FALSE),"")</f>
        <v/>
      </c>
      <c r="S121" s="7" t="str">
        <f>IFERROR(VLOOKUP(Ingresos[[#This Row],[Concatenar]],Detalle_OC[],5,FALSE),"")</f>
        <v/>
      </c>
      <c r="T121" s="7" t="str">
        <f>IF(Ingresos[[#This Row],[Fec. Entrega]]&gt;=Ingresos[[#This Row],[Fe.contable]],"",IF(Ingresos[[#This Row],[Fe.contable]]&gt;Ingresos[[#This Row],[Fec. Entrega]],"Entrega Tarde"))</f>
        <v/>
      </c>
    </row>
    <row r="122" spans="1:20" x14ac:dyDescent="0.35">
      <c r="A122" s="7" t="str">
        <f>Ingresos[[#This Row],[Centro]]&amp;Ingresos[[#This Row],[Almacén]]&amp;Ingresos[[#This Row],[Codigo]]&amp;Ingresos[[#This Row],[Pedido]]&amp;Ingresos[[#This Row],[Posición]]</f>
        <v>Agricola del Chira PlantaMontelima70100392550002409310</v>
      </c>
      <c r="B122" t="s">
        <v>27</v>
      </c>
      <c r="C122" t="s">
        <v>29</v>
      </c>
      <c r="D122" s="5">
        <v>70100392</v>
      </c>
      <c r="E122" t="s">
        <v>300</v>
      </c>
      <c r="F122" s="6">
        <v>300</v>
      </c>
      <c r="G122" t="s">
        <v>28</v>
      </c>
      <c r="H122" s="5">
        <v>101</v>
      </c>
      <c r="I122" s="5">
        <v>10</v>
      </c>
      <c r="J122" s="5">
        <v>5500024093</v>
      </c>
      <c r="K122" s="17">
        <v>44991</v>
      </c>
      <c r="L122" t="s">
        <v>151</v>
      </c>
      <c r="M122" s="6">
        <v>5052586738</v>
      </c>
      <c r="N122" t="s">
        <v>187</v>
      </c>
      <c r="O122" s="7" t="str">
        <f>IFERROR(VLOOKUP(Ingresos[[#This Row],[Pedido]],Compradores[],2,FALSE),"")</f>
        <v/>
      </c>
      <c r="P122" s="7" t="str">
        <f>IFERROR(VLOOKUP(Ingresos[[#This Row],[Concatenar]],Detalle_OC[],2,FALSE),"")</f>
        <v xml:space="preserve">            </v>
      </c>
      <c r="Q122" s="7" t="str">
        <f>IFERROR(VLOOKUP(Ingresos[[#This Row],[Concatenar]],Detalle_OC[],3,FALSE),"")</f>
        <v xml:space="preserve">JEAN ANDREE LIZAMA ARICA          </v>
      </c>
      <c r="R122" s="10">
        <f>IFERROR(VLOOKUP(Ingresos[[#This Row],[Concatenar]],Detalle_OC[],4,FALSE),"")</f>
        <v>44860</v>
      </c>
      <c r="S122" s="7" t="str">
        <f>IFERROR(VLOOKUP(Ingresos[[#This Row],[Concatenar]],Detalle_OC[],5,FALSE),"")</f>
        <v>STOCK DE ALMACEN</v>
      </c>
      <c r="T122" s="7" t="str">
        <f>IF(Ingresos[[#This Row],[Fec. Entrega]]&gt;=Ingresos[[#This Row],[Fe.contable]],"",IF(Ingresos[[#This Row],[Fe.contable]]&gt;Ingresos[[#This Row],[Fec. Entrega]],"Entrega Tarde"))</f>
        <v>Entrega Tarde</v>
      </c>
    </row>
    <row r="123" spans="1:20" x14ac:dyDescent="0.35">
      <c r="A123" s="7" t="str">
        <f>Ingresos[[#This Row],[Centro]]&amp;Ingresos[[#This Row],[Almacén]]&amp;Ingresos[[#This Row],[Codigo]]&amp;Ingresos[[#This Row],[Pedido]]&amp;Ingresos[[#This Row],[Posición]]</f>
        <v>Sucroalcolera del Chira PlantaParada fábrica805227451144726750</v>
      </c>
      <c r="B123" t="s">
        <v>41</v>
      </c>
      <c r="C123" t="s">
        <v>64</v>
      </c>
      <c r="D123" s="5">
        <v>805227</v>
      </c>
      <c r="E123" t="s">
        <v>340</v>
      </c>
      <c r="F123" s="6">
        <v>8</v>
      </c>
      <c r="G123" t="s">
        <v>28</v>
      </c>
      <c r="H123" s="5">
        <v>101</v>
      </c>
      <c r="I123" s="5">
        <v>50</v>
      </c>
      <c r="J123" s="5">
        <v>4511447267</v>
      </c>
      <c r="K123" s="17">
        <v>44993</v>
      </c>
      <c r="L123" t="s">
        <v>341</v>
      </c>
      <c r="M123" s="6">
        <v>5052587128</v>
      </c>
      <c r="N123" t="s">
        <v>187</v>
      </c>
      <c r="O123" s="7" t="str">
        <f>IFERROR(VLOOKUP(Ingresos[[#This Row],[Pedido]],Compradores[],2,FALSE),"")</f>
        <v>IRAMOSA</v>
      </c>
      <c r="P123" s="7" t="str">
        <f>IFERROR(VLOOKUP(Ingresos[[#This Row],[Concatenar]],Detalle_OC[],2,FALSE),"")</f>
        <v xml:space="preserve">LVILLARF    </v>
      </c>
      <c r="Q123" s="7" t="str">
        <f>IFERROR(VLOOKUP(Ingresos[[#This Row],[Concatenar]],Detalle_OC[],3,FALSE),"")</f>
        <v xml:space="preserve">CASEB HNOS SAC                    </v>
      </c>
      <c r="R123" s="10">
        <f>IFERROR(VLOOKUP(Ingresos[[#This Row],[Concatenar]],Detalle_OC[],4,FALSE),"")</f>
        <v>44995</v>
      </c>
      <c r="S123" s="7" t="str">
        <f>IFERROR(VLOOKUP(Ingresos[[#This Row],[Concatenar]],Detalle_OC[],5,FALSE),"")</f>
        <v>STOCK DE ALMACEN</v>
      </c>
      <c r="T123" s="7" t="str">
        <f>IF(Ingresos[[#This Row],[Fec. Entrega]]&gt;=Ingresos[[#This Row],[Fe.contable]],"",IF(Ingresos[[#This Row],[Fe.contable]]&gt;Ingresos[[#This Row],[Fec. Entrega]],"Entrega Tarde"))</f>
        <v/>
      </c>
    </row>
    <row r="124" spans="1:20" x14ac:dyDescent="0.35">
      <c r="A124" s="7" t="str">
        <f>Ingresos[[#This Row],[Centro]]&amp;Ingresos[[#This Row],[Almacén]]&amp;Ingresos[[#This Row],[Codigo]]&amp;Ingresos[[#This Row],[Pedido]]&amp;Ingresos[[#This Row],[Posición]]</f>
        <v>Sucroalcolera del Chira PlantaParada fábrica805229451144726740</v>
      </c>
      <c r="B124" t="s">
        <v>41</v>
      </c>
      <c r="C124" t="s">
        <v>64</v>
      </c>
      <c r="D124" s="5">
        <v>805229</v>
      </c>
      <c r="E124" t="s">
        <v>342</v>
      </c>
      <c r="F124" s="6">
        <v>5</v>
      </c>
      <c r="G124" t="s">
        <v>28</v>
      </c>
      <c r="H124" s="5">
        <v>101</v>
      </c>
      <c r="I124" s="5">
        <v>40</v>
      </c>
      <c r="J124" s="5">
        <v>4511447267</v>
      </c>
      <c r="K124" s="17">
        <v>44993</v>
      </c>
      <c r="L124" t="s">
        <v>341</v>
      </c>
      <c r="M124" s="6">
        <v>5052587128</v>
      </c>
      <c r="N124" t="s">
        <v>187</v>
      </c>
      <c r="O124" s="7" t="str">
        <f>IFERROR(VLOOKUP(Ingresos[[#This Row],[Pedido]],Compradores[],2,FALSE),"")</f>
        <v>IRAMOSA</v>
      </c>
      <c r="P124" s="7" t="str">
        <f>IFERROR(VLOOKUP(Ingresos[[#This Row],[Concatenar]],Detalle_OC[],2,FALSE),"")</f>
        <v xml:space="preserve">LVILLARF    </v>
      </c>
      <c r="Q124" s="7" t="str">
        <f>IFERROR(VLOOKUP(Ingresos[[#This Row],[Concatenar]],Detalle_OC[],3,FALSE),"")</f>
        <v xml:space="preserve">CASEB HNOS SAC                    </v>
      </c>
      <c r="R124" s="10">
        <f>IFERROR(VLOOKUP(Ingresos[[#This Row],[Concatenar]],Detalle_OC[],4,FALSE),"")</f>
        <v>44995</v>
      </c>
      <c r="S124" s="7" t="str">
        <f>IFERROR(VLOOKUP(Ingresos[[#This Row],[Concatenar]],Detalle_OC[],5,FALSE),"")</f>
        <v>STOCK DE ALMACEN</v>
      </c>
      <c r="T124" s="7" t="str">
        <f>IF(Ingresos[[#This Row],[Fec. Entrega]]&gt;=Ingresos[[#This Row],[Fe.contable]],"",IF(Ingresos[[#This Row],[Fe.contable]]&gt;Ingresos[[#This Row],[Fec. Entrega]],"Entrega Tarde"))</f>
        <v/>
      </c>
    </row>
    <row r="125" spans="1:20" x14ac:dyDescent="0.35">
      <c r="A125" s="7" t="str">
        <f>Ingresos[[#This Row],[Centro]]&amp;Ingresos[[#This Row],[Almacén]]&amp;Ingresos[[#This Row],[Codigo]]&amp;Ingresos[[#This Row],[Pedido]]&amp;Ingresos[[#This Row],[Posición]]</f>
        <v>Sucroalcolera del Chira PlantaParada fábrica805274451144726730</v>
      </c>
      <c r="B125" t="s">
        <v>41</v>
      </c>
      <c r="C125" t="s">
        <v>64</v>
      </c>
      <c r="D125" s="5">
        <v>805274</v>
      </c>
      <c r="E125" t="s">
        <v>343</v>
      </c>
      <c r="F125" s="6">
        <v>2</v>
      </c>
      <c r="G125" t="s">
        <v>28</v>
      </c>
      <c r="H125" s="5">
        <v>101</v>
      </c>
      <c r="I125" s="5">
        <v>30</v>
      </c>
      <c r="J125" s="5">
        <v>4511447267</v>
      </c>
      <c r="K125" s="17">
        <v>44993</v>
      </c>
      <c r="L125" t="s">
        <v>341</v>
      </c>
      <c r="M125" s="6">
        <v>5052587128</v>
      </c>
      <c r="N125" t="s">
        <v>187</v>
      </c>
      <c r="O125" s="7" t="str">
        <f>IFERROR(VLOOKUP(Ingresos[[#This Row],[Pedido]],Compradores[],2,FALSE),"")</f>
        <v>IRAMOSA</v>
      </c>
      <c r="P125" s="7" t="str">
        <f>IFERROR(VLOOKUP(Ingresos[[#This Row],[Concatenar]],Detalle_OC[],2,FALSE),"")</f>
        <v xml:space="preserve">LVILLARF    </v>
      </c>
      <c r="Q125" s="7" t="str">
        <f>IFERROR(VLOOKUP(Ingresos[[#This Row],[Concatenar]],Detalle_OC[],3,FALSE),"")</f>
        <v xml:space="preserve">CASEB HNOS SAC                    </v>
      </c>
      <c r="R125" s="10">
        <f>IFERROR(VLOOKUP(Ingresos[[#This Row],[Concatenar]],Detalle_OC[],4,FALSE),"")</f>
        <v>44995</v>
      </c>
      <c r="S125" s="7" t="str">
        <f>IFERROR(VLOOKUP(Ingresos[[#This Row],[Concatenar]],Detalle_OC[],5,FALSE),"")</f>
        <v>STOCK DE ALMACEN</v>
      </c>
      <c r="T125" s="7" t="str">
        <f>IF(Ingresos[[#This Row],[Fec. Entrega]]&gt;=Ingresos[[#This Row],[Fe.contable]],"",IF(Ingresos[[#This Row],[Fe.contable]]&gt;Ingresos[[#This Row],[Fec. Entrega]],"Entrega Tarde"))</f>
        <v/>
      </c>
    </row>
    <row r="126" spans="1:20" x14ac:dyDescent="0.35">
      <c r="A126" s="7" t="str">
        <f>Ingresos[[#This Row],[Centro]]&amp;Ingresos[[#This Row],[Almacén]]&amp;Ingresos[[#This Row],[Codigo]]&amp;Ingresos[[#This Row],[Pedido]]&amp;Ingresos[[#This Row],[Posición]]</f>
        <v>Sucroalcolera del Chira PlantaParada fábrica805382451144726720</v>
      </c>
      <c r="B126" t="s">
        <v>41</v>
      </c>
      <c r="C126" t="s">
        <v>64</v>
      </c>
      <c r="D126" s="5">
        <v>805382</v>
      </c>
      <c r="E126" t="s">
        <v>344</v>
      </c>
      <c r="F126" s="6">
        <v>1</v>
      </c>
      <c r="G126" t="s">
        <v>28</v>
      </c>
      <c r="H126" s="5">
        <v>101</v>
      </c>
      <c r="I126" s="5">
        <v>20</v>
      </c>
      <c r="J126" s="5">
        <v>4511447267</v>
      </c>
      <c r="K126" s="17">
        <v>44993</v>
      </c>
      <c r="L126" t="s">
        <v>341</v>
      </c>
      <c r="M126" s="6">
        <v>5052587128</v>
      </c>
      <c r="N126" t="s">
        <v>187</v>
      </c>
      <c r="O126" s="7" t="str">
        <f>IFERROR(VLOOKUP(Ingresos[[#This Row],[Pedido]],Compradores[],2,FALSE),"")</f>
        <v>IRAMOSA</v>
      </c>
      <c r="P126" s="7" t="str">
        <f>IFERROR(VLOOKUP(Ingresos[[#This Row],[Concatenar]],Detalle_OC[],2,FALSE),"")</f>
        <v xml:space="preserve">LVILLARF    </v>
      </c>
      <c r="Q126" s="7" t="str">
        <f>IFERROR(VLOOKUP(Ingresos[[#This Row],[Concatenar]],Detalle_OC[],3,FALSE),"")</f>
        <v xml:space="preserve">CASEB HNOS SAC                    </v>
      </c>
      <c r="R126" s="10">
        <f>IFERROR(VLOOKUP(Ingresos[[#This Row],[Concatenar]],Detalle_OC[],4,FALSE),"")</f>
        <v>44995</v>
      </c>
      <c r="S126" s="7" t="str">
        <f>IFERROR(VLOOKUP(Ingresos[[#This Row],[Concatenar]],Detalle_OC[],5,FALSE),"")</f>
        <v>STOCK DE ALMACEN</v>
      </c>
      <c r="T126" s="7" t="str">
        <f>IF(Ingresos[[#This Row],[Fec. Entrega]]&gt;=Ingresos[[#This Row],[Fe.contable]],"",IF(Ingresos[[#This Row],[Fe.contable]]&gt;Ingresos[[#This Row],[Fec. Entrega]],"Entrega Tarde"))</f>
        <v/>
      </c>
    </row>
    <row r="127" spans="1:20" x14ac:dyDescent="0.35">
      <c r="A127" s="7" t="str">
        <f>Ingresos[[#This Row],[Centro]]&amp;Ingresos[[#This Row],[Almacén]]&amp;Ingresos[[#This Row],[Codigo]]&amp;Ingresos[[#This Row],[Pedido]]&amp;Ingresos[[#This Row],[Posición]]</f>
        <v>Sucroalcolera del Chira PlantaParada fábrica805382451144726710</v>
      </c>
      <c r="B127" t="s">
        <v>41</v>
      </c>
      <c r="C127" t="s">
        <v>64</v>
      </c>
      <c r="D127" s="5">
        <v>805382</v>
      </c>
      <c r="E127" t="s">
        <v>344</v>
      </c>
      <c r="F127" s="6">
        <v>1</v>
      </c>
      <c r="G127" t="s">
        <v>28</v>
      </c>
      <c r="H127" s="5">
        <v>101</v>
      </c>
      <c r="I127" s="5">
        <v>10</v>
      </c>
      <c r="J127" s="5">
        <v>4511447267</v>
      </c>
      <c r="K127" s="17">
        <v>44993</v>
      </c>
      <c r="L127" t="s">
        <v>341</v>
      </c>
      <c r="M127" s="6">
        <v>5052587128</v>
      </c>
      <c r="N127" t="s">
        <v>187</v>
      </c>
      <c r="O127" s="7" t="str">
        <f>IFERROR(VLOOKUP(Ingresos[[#This Row],[Pedido]],Compradores[],2,FALSE),"")</f>
        <v>IRAMOSA</v>
      </c>
      <c r="P127" s="7" t="str">
        <f>IFERROR(VLOOKUP(Ingresos[[#This Row],[Concatenar]],Detalle_OC[],2,FALSE),"")</f>
        <v xml:space="preserve">LVILLARF    </v>
      </c>
      <c r="Q127" s="7" t="str">
        <f>IFERROR(VLOOKUP(Ingresos[[#This Row],[Concatenar]],Detalle_OC[],3,FALSE),"")</f>
        <v xml:space="preserve">CASEB HNOS SAC                    </v>
      </c>
      <c r="R127" s="10">
        <f>IFERROR(VLOOKUP(Ingresos[[#This Row],[Concatenar]],Detalle_OC[],4,FALSE),"")</f>
        <v>44995</v>
      </c>
      <c r="S127" s="7" t="str">
        <f>IFERROR(VLOOKUP(Ingresos[[#This Row],[Concatenar]],Detalle_OC[],5,FALSE),"")</f>
        <v>STOCK DE ALMACEN</v>
      </c>
      <c r="T127" s="7" t="str">
        <f>IF(Ingresos[[#This Row],[Fec. Entrega]]&gt;=Ingresos[[#This Row],[Fe.contable]],"",IF(Ingresos[[#This Row],[Fe.contable]]&gt;Ingresos[[#This Row],[Fec. Entrega]],"Entrega Tarde"))</f>
        <v/>
      </c>
    </row>
    <row r="128" spans="1:20" x14ac:dyDescent="0.35">
      <c r="A128" s="7" t="str">
        <f>Ingresos[[#This Row],[Centro]]&amp;Ingresos[[#This Row],[Almacén]]&amp;Ingresos[[#This Row],[Codigo]]&amp;Ingresos[[#This Row],[Pedido]]&amp;Ingresos[[#This Row],[Posición]]</f>
        <v>Sucroalcolera del Chira PlantaParada fábrica807291451144726760</v>
      </c>
      <c r="B128" t="s">
        <v>41</v>
      </c>
      <c r="C128" t="s">
        <v>64</v>
      </c>
      <c r="D128" s="5">
        <v>807291</v>
      </c>
      <c r="E128" t="s">
        <v>345</v>
      </c>
      <c r="F128" s="6">
        <v>1</v>
      </c>
      <c r="G128" t="s">
        <v>28</v>
      </c>
      <c r="H128" s="5">
        <v>101</v>
      </c>
      <c r="I128" s="5">
        <v>60</v>
      </c>
      <c r="J128" s="5">
        <v>4511447267</v>
      </c>
      <c r="K128" s="17">
        <v>44993</v>
      </c>
      <c r="L128" t="s">
        <v>341</v>
      </c>
      <c r="M128" s="6">
        <v>5052587128</v>
      </c>
      <c r="N128" t="s">
        <v>187</v>
      </c>
      <c r="O128" s="7" t="str">
        <f>IFERROR(VLOOKUP(Ingresos[[#This Row],[Pedido]],Compradores[],2,FALSE),"")</f>
        <v>IRAMOSA</v>
      </c>
      <c r="P128" s="7" t="str">
        <f>IFERROR(VLOOKUP(Ingresos[[#This Row],[Concatenar]],Detalle_OC[],2,FALSE),"")</f>
        <v xml:space="preserve">LVILLARF    </v>
      </c>
      <c r="Q128" s="7" t="str">
        <f>IFERROR(VLOOKUP(Ingresos[[#This Row],[Concatenar]],Detalle_OC[],3,FALSE),"")</f>
        <v xml:space="preserve">CASEB HNOS SAC                    </v>
      </c>
      <c r="R128" s="10">
        <f>IFERROR(VLOOKUP(Ingresos[[#This Row],[Concatenar]],Detalle_OC[],4,FALSE),"")</f>
        <v>44995</v>
      </c>
      <c r="S128" s="7" t="str">
        <f>IFERROR(VLOOKUP(Ingresos[[#This Row],[Concatenar]],Detalle_OC[],5,FALSE),"")</f>
        <v>STOCK DE ALMACEN</v>
      </c>
      <c r="T128" s="7" t="str">
        <f>IF(Ingresos[[#This Row],[Fec. Entrega]]&gt;=Ingresos[[#This Row],[Fe.contable]],"",IF(Ingresos[[#This Row],[Fe.contable]]&gt;Ingresos[[#This Row],[Fec. Entrega]],"Entrega Tarde"))</f>
        <v/>
      </c>
    </row>
    <row r="129" spans="1:20" x14ac:dyDescent="0.35">
      <c r="A129" s="7" t="str">
        <f>Ingresos[[#This Row],[Centro]]&amp;Ingresos[[#This Row],[Almacén]]&amp;Ingresos[[#This Row],[Codigo]]&amp;Ingresos[[#This Row],[Pedido]]&amp;Ingresos[[#This Row],[Posición]]</f>
        <v>Sucroalcolera del Chira PlantaMontelima842520451144917040</v>
      </c>
      <c r="B129" t="s">
        <v>41</v>
      </c>
      <c r="C129" t="s">
        <v>29</v>
      </c>
      <c r="D129" s="5">
        <v>842520</v>
      </c>
      <c r="E129" t="s">
        <v>348</v>
      </c>
      <c r="F129" s="6">
        <v>1</v>
      </c>
      <c r="G129" t="s">
        <v>28</v>
      </c>
      <c r="H129" s="5">
        <v>101</v>
      </c>
      <c r="I129" s="5">
        <v>40</v>
      </c>
      <c r="J129" s="5">
        <v>4511449170</v>
      </c>
      <c r="K129" s="17">
        <v>44993</v>
      </c>
      <c r="L129" t="s">
        <v>349</v>
      </c>
      <c r="M129" s="6">
        <v>5052587132</v>
      </c>
      <c r="N129" t="s">
        <v>187</v>
      </c>
      <c r="O129" s="7" t="str">
        <f>IFERROR(VLOOKUP(Ingresos[[#This Row],[Pedido]],Compradores[],2,FALSE),"")</f>
        <v>JCHEROPA</v>
      </c>
      <c r="P129" s="7" t="str">
        <f>IFERROR(VLOOKUP(Ingresos[[#This Row],[Concatenar]],Detalle_OC[],2,FALSE),"")</f>
        <v xml:space="preserve">LVILLARF    </v>
      </c>
      <c r="Q129" s="7" t="str">
        <f>IFERROR(VLOOKUP(Ingresos[[#This Row],[Concatenar]],Detalle_OC[],3,FALSE),"")</f>
        <v xml:space="preserve">CASEB HNOS SAC                    </v>
      </c>
      <c r="R129" s="10">
        <f>IFERROR(VLOOKUP(Ingresos[[#This Row],[Concatenar]],Detalle_OC[],4,FALSE),"")</f>
        <v>45036</v>
      </c>
      <c r="S129" s="7" t="str">
        <f>IFERROR(VLOOKUP(Ingresos[[#This Row],[Concatenar]],Detalle_OC[],5,FALSE),"")</f>
        <v>STOCK DE ALMACEN</v>
      </c>
      <c r="T129" s="7" t="str">
        <f>IF(Ingresos[[#This Row],[Fec. Entrega]]&gt;=Ingresos[[#This Row],[Fe.contable]],"",IF(Ingresos[[#This Row],[Fe.contable]]&gt;Ingresos[[#This Row],[Fec. Entrega]],"Entrega Tarde"))</f>
        <v/>
      </c>
    </row>
    <row r="130" spans="1:20" x14ac:dyDescent="0.35">
      <c r="A130" s="7" t="str">
        <f>Ingresos[[#This Row],[Centro]]&amp;Ingresos[[#This Row],[Almacén]]&amp;Ingresos[[#This Row],[Codigo]]&amp;Ingresos[[#This Row],[Pedido]]&amp;Ingresos[[#This Row],[Posición]]</f>
        <v>Sucroalcolera del Chira PlantaMontelima884797451144917020</v>
      </c>
      <c r="B130" t="s">
        <v>41</v>
      </c>
      <c r="C130" t="s">
        <v>29</v>
      </c>
      <c r="D130" s="5">
        <v>884797</v>
      </c>
      <c r="E130" t="s">
        <v>350</v>
      </c>
      <c r="F130" s="6">
        <v>1</v>
      </c>
      <c r="G130" t="s">
        <v>28</v>
      </c>
      <c r="H130" s="5">
        <v>101</v>
      </c>
      <c r="I130" s="5">
        <v>20</v>
      </c>
      <c r="J130" s="5">
        <v>4511449170</v>
      </c>
      <c r="K130" s="17">
        <v>44993</v>
      </c>
      <c r="L130" t="s">
        <v>349</v>
      </c>
      <c r="M130" s="6">
        <v>5052587132</v>
      </c>
      <c r="N130" t="s">
        <v>187</v>
      </c>
      <c r="O130" s="7" t="str">
        <f>IFERROR(VLOOKUP(Ingresos[[#This Row],[Pedido]],Compradores[],2,FALSE),"")</f>
        <v>JCHEROPA</v>
      </c>
      <c r="P130" s="7" t="str">
        <f>IFERROR(VLOOKUP(Ingresos[[#This Row],[Concatenar]],Detalle_OC[],2,FALSE),"")</f>
        <v xml:space="preserve">LVILLARF    </v>
      </c>
      <c r="Q130" s="7" t="str">
        <f>IFERROR(VLOOKUP(Ingresos[[#This Row],[Concatenar]],Detalle_OC[],3,FALSE),"")</f>
        <v xml:space="preserve">CASEB HNOS SAC                    </v>
      </c>
      <c r="R130" s="10">
        <f>IFERROR(VLOOKUP(Ingresos[[#This Row],[Concatenar]],Detalle_OC[],4,FALSE),"")</f>
        <v>45036</v>
      </c>
      <c r="S130" s="7" t="str">
        <f>IFERROR(VLOOKUP(Ingresos[[#This Row],[Concatenar]],Detalle_OC[],5,FALSE),"")</f>
        <v>STOCK DE ALMACEN</v>
      </c>
      <c r="T130" s="7" t="str">
        <f>IF(Ingresos[[#This Row],[Fec. Entrega]]&gt;=Ingresos[[#This Row],[Fe.contable]],"",IF(Ingresos[[#This Row],[Fe.contable]]&gt;Ingresos[[#This Row],[Fec. Entrega]],"Entrega Tarde"))</f>
        <v/>
      </c>
    </row>
    <row r="131" spans="1:20" x14ac:dyDescent="0.35">
      <c r="A131" s="7" t="str">
        <f>Ingresos[[#This Row],[Centro]]&amp;Ingresos[[#This Row],[Almacén]]&amp;Ingresos[[#This Row],[Codigo]]&amp;Ingresos[[#This Row],[Pedido]]&amp;Ingresos[[#This Row],[Posición]]</f>
        <v>Sucroalcolera del Chira PlantaMontelima842520451144986610</v>
      </c>
      <c r="B131" t="s">
        <v>41</v>
      </c>
      <c r="C131" t="s">
        <v>29</v>
      </c>
      <c r="D131" s="5">
        <v>842520</v>
      </c>
      <c r="E131" t="s">
        <v>348</v>
      </c>
      <c r="F131" s="6">
        <v>1</v>
      </c>
      <c r="G131" t="s">
        <v>28</v>
      </c>
      <c r="H131" s="5">
        <v>101</v>
      </c>
      <c r="I131" s="5">
        <v>10</v>
      </c>
      <c r="J131" s="5">
        <v>4511449866</v>
      </c>
      <c r="K131" s="17">
        <v>44993</v>
      </c>
      <c r="L131" t="s">
        <v>353</v>
      </c>
      <c r="M131" s="6">
        <v>5052587134</v>
      </c>
      <c r="N131" t="s">
        <v>187</v>
      </c>
      <c r="O131" s="7" t="str">
        <f>IFERROR(VLOOKUP(Ingresos[[#This Row],[Pedido]],Compradores[],2,FALSE),"")</f>
        <v>JCHAPARROB</v>
      </c>
      <c r="P131" s="7" t="str">
        <f>IFERROR(VLOOKUP(Ingresos[[#This Row],[Concatenar]],Detalle_OC[],2,FALSE),"")</f>
        <v xml:space="preserve">LVILLARF    </v>
      </c>
      <c r="Q131" s="7" t="str">
        <f>IFERROR(VLOOKUP(Ingresos[[#This Row],[Concatenar]],Detalle_OC[],3,FALSE),"")</f>
        <v xml:space="preserve">CASEB HNOS SAC                    </v>
      </c>
      <c r="R131" s="10">
        <f>IFERROR(VLOOKUP(Ingresos[[#This Row],[Concatenar]],Detalle_OC[],4,FALSE),"")</f>
        <v>44995</v>
      </c>
      <c r="S131" s="7" t="str">
        <f>IFERROR(VLOOKUP(Ingresos[[#This Row],[Concatenar]],Detalle_OC[],5,FALSE),"")</f>
        <v>STOCK DE ALMACEN</v>
      </c>
      <c r="T131" s="7" t="str">
        <f>IF(Ingresos[[#This Row],[Fec. Entrega]]&gt;=Ingresos[[#This Row],[Fe.contable]],"",IF(Ingresos[[#This Row],[Fe.contable]]&gt;Ingresos[[#This Row],[Fec. Entrega]],"Entrega Tarde"))</f>
        <v/>
      </c>
    </row>
    <row r="132" spans="1:20" x14ac:dyDescent="0.35">
      <c r="A132" s="7" t="str">
        <f>Ingresos[[#This Row],[Centro]]&amp;Ingresos[[#This Row],[Almacén]]&amp;Ingresos[[#This Row],[Codigo]]&amp;Ingresos[[#This Row],[Pedido]]&amp;Ingresos[[#This Row],[Posición]]</f>
        <v>Sucroalcolera del Chira PlantaMontelima884797451144986620</v>
      </c>
      <c r="B132" t="s">
        <v>41</v>
      </c>
      <c r="C132" t="s">
        <v>29</v>
      </c>
      <c r="D132" s="5">
        <v>884797</v>
      </c>
      <c r="E132" t="s">
        <v>350</v>
      </c>
      <c r="F132" s="6">
        <v>1</v>
      </c>
      <c r="G132" t="s">
        <v>28</v>
      </c>
      <c r="H132" s="5">
        <v>101</v>
      </c>
      <c r="I132" s="5">
        <v>20</v>
      </c>
      <c r="J132" s="5">
        <v>4511449866</v>
      </c>
      <c r="K132" s="17">
        <v>44993</v>
      </c>
      <c r="L132" t="s">
        <v>353</v>
      </c>
      <c r="M132" s="6">
        <v>5052587134</v>
      </c>
      <c r="N132" t="s">
        <v>187</v>
      </c>
      <c r="O132" s="7" t="str">
        <f>IFERROR(VLOOKUP(Ingresos[[#This Row],[Pedido]],Compradores[],2,FALSE),"")</f>
        <v>JCHAPARROB</v>
      </c>
      <c r="P132" s="7" t="str">
        <f>IFERROR(VLOOKUP(Ingresos[[#This Row],[Concatenar]],Detalle_OC[],2,FALSE),"")</f>
        <v xml:space="preserve">LVILLARF    </v>
      </c>
      <c r="Q132" s="7" t="str">
        <f>IFERROR(VLOOKUP(Ingresos[[#This Row],[Concatenar]],Detalle_OC[],3,FALSE),"")</f>
        <v xml:space="preserve">CASEB HNOS SAC                    </v>
      </c>
      <c r="R132" s="10">
        <f>IFERROR(VLOOKUP(Ingresos[[#This Row],[Concatenar]],Detalle_OC[],4,FALSE),"")</f>
        <v>44995</v>
      </c>
      <c r="S132" s="7" t="str">
        <f>IFERROR(VLOOKUP(Ingresos[[#This Row],[Concatenar]],Detalle_OC[],5,FALSE),"")</f>
        <v>STOCK DE ALMACEN</v>
      </c>
      <c r="T132" s="7" t="str">
        <f>IF(Ingresos[[#This Row],[Fec. Entrega]]&gt;=Ingresos[[#This Row],[Fe.contable]],"",IF(Ingresos[[#This Row],[Fe.contable]]&gt;Ingresos[[#This Row],[Fec. Entrega]],"Entrega Tarde"))</f>
        <v/>
      </c>
    </row>
    <row r="133" spans="1:20" x14ac:dyDescent="0.35">
      <c r="A133" s="7" t="str">
        <f>Ingresos[[#This Row],[Centro]]&amp;Ingresos[[#This Row],[Almacén]]&amp;Ingresos[[#This Row],[Codigo]]&amp;Ingresos[[#This Row],[Pedido]]&amp;Ingresos[[#This Row],[Posición]]</f>
        <v>Sucroalcolera del Chira PlantaMontelima805229451145102910</v>
      </c>
      <c r="B133" t="s">
        <v>41</v>
      </c>
      <c r="C133" t="s">
        <v>29</v>
      </c>
      <c r="D133" s="5">
        <v>805229</v>
      </c>
      <c r="E133" t="s">
        <v>342</v>
      </c>
      <c r="F133" s="6">
        <v>2</v>
      </c>
      <c r="G133" t="s">
        <v>28</v>
      </c>
      <c r="H133" s="5">
        <v>101</v>
      </c>
      <c r="I133" s="5">
        <v>10</v>
      </c>
      <c r="J133" s="5">
        <v>4511451029</v>
      </c>
      <c r="K133" s="17">
        <v>44993</v>
      </c>
      <c r="L133" t="s">
        <v>354</v>
      </c>
      <c r="M133" s="6">
        <v>5052587137</v>
      </c>
      <c r="N133" t="s">
        <v>187</v>
      </c>
      <c r="O133" s="7" t="str">
        <f>IFERROR(VLOOKUP(Ingresos[[#This Row],[Pedido]],Compradores[],2,FALSE),"")</f>
        <v>IRAMOSA</v>
      </c>
      <c r="P133" s="7" t="str">
        <f>IFERROR(VLOOKUP(Ingresos[[#This Row],[Concatenar]],Detalle_OC[],2,FALSE),"")</f>
        <v>Mtto Mecanic</v>
      </c>
      <c r="Q133" s="7" t="str">
        <f>IFERROR(VLOOKUP(Ingresos[[#This Row],[Concatenar]],Detalle_OC[],3,FALSE),"")</f>
        <v xml:space="preserve">CASEB HNOS SAC                    </v>
      </c>
      <c r="R133" s="10">
        <f>IFERROR(VLOOKUP(Ingresos[[#This Row],[Concatenar]],Detalle_OC[],4,FALSE),"")</f>
        <v>45009</v>
      </c>
      <c r="S133" s="7" t="str">
        <f>IFERROR(VLOOKUP(Ingresos[[#This Row],[Concatenar]],Detalle_OC[],5,FALSE),"")</f>
        <v>STOCK DE ALMACEN</v>
      </c>
      <c r="T133" s="7" t="str">
        <f>IF(Ingresos[[#This Row],[Fec. Entrega]]&gt;=Ingresos[[#This Row],[Fe.contable]],"",IF(Ingresos[[#This Row],[Fe.contable]]&gt;Ingresos[[#This Row],[Fec. Entrega]],"Entrega Tarde"))</f>
        <v/>
      </c>
    </row>
    <row r="134" spans="1:20" x14ac:dyDescent="0.35">
      <c r="A134" s="7" t="str">
        <f>Ingresos[[#This Row],[Centro]]&amp;Ingresos[[#This Row],[Almacén]]&amp;Ingresos[[#This Row],[Codigo]]&amp;Ingresos[[#This Row],[Pedido]]&amp;Ingresos[[#This Row],[Posición]]</f>
        <v>Sucroalcolera del Chira PlantaMontelima840649451144859530</v>
      </c>
      <c r="B134" t="s">
        <v>41</v>
      </c>
      <c r="C134" t="s">
        <v>29</v>
      </c>
      <c r="D134" s="5">
        <v>840649</v>
      </c>
      <c r="E134" t="s">
        <v>355</v>
      </c>
      <c r="F134" s="6">
        <v>3</v>
      </c>
      <c r="G134" t="s">
        <v>28</v>
      </c>
      <c r="H134" s="5">
        <v>101</v>
      </c>
      <c r="I134" s="5">
        <v>30</v>
      </c>
      <c r="J134" s="5">
        <v>4511448595</v>
      </c>
      <c r="K134" s="17">
        <v>44993</v>
      </c>
      <c r="L134" t="s">
        <v>356</v>
      </c>
      <c r="M134" s="6">
        <v>5052587138</v>
      </c>
      <c r="N134" t="s">
        <v>187</v>
      </c>
      <c r="O134" s="7" t="str">
        <f>IFERROR(VLOOKUP(Ingresos[[#This Row],[Pedido]],Compradores[],2,FALSE),"")</f>
        <v>JCHEROPA</v>
      </c>
      <c r="P134" s="7" t="str">
        <f>IFERROR(VLOOKUP(Ingresos[[#This Row],[Concatenar]],Detalle_OC[],2,FALSE),"")</f>
        <v xml:space="preserve">LVILLARF    </v>
      </c>
      <c r="Q134" s="7" t="str">
        <f>IFERROR(VLOOKUP(Ingresos[[#This Row],[Concatenar]],Detalle_OC[],3,FALSE),"")</f>
        <v xml:space="preserve">CASEB HNOS SAC                    </v>
      </c>
      <c r="R134" s="10">
        <f>IFERROR(VLOOKUP(Ingresos[[#This Row],[Concatenar]],Detalle_OC[],4,FALSE),"")</f>
        <v>45015</v>
      </c>
      <c r="S134" s="7" t="str">
        <f>IFERROR(VLOOKUP(Ingresos[[#This Row],[Concatenar]],Detalle_OC[],5,FALSE),"")</f>
        <v>STOCK DE ALMACEN</v>
      </c>
      <c r="T134" s="7" t="str">
        <f>IF(Ingresos[[#This Row],[Fec. Entrega]]&gt;=Ingresos[[#This Row],[Fe.contable]],"",IF(Ingresos[[#This Row],[Fe.contable]]&gt;Ingresos[[#This Row],[Fec. Entrega]],"Entrega Tarde"))</f>
        <v/>
      </c>
    </row>
    <row r="135" spans="1:20" x14ac:dyDescent="0.35">
      <c r="A135" s="7" t="str">
        <f>Ingresos[[#This Row],[Centro]]&amp;Ingresos[[#This Row],[Almacén]]&amp;Ingresos[[#This Row],[Codigo]]&amp;Ingresos[[#This Row],[Pedido]]&amp;Ingresos[[#This Row],[Posición]]</f>
        <v>Sucroalcolera del Chira PlantaMontelima840681451144859510</v>
      </c>
      <c r="B135" t="s">
        <v>41</v>
      </c>
      <c r="C135" t="s">
        <v>29</v>
      </c>
      <c r="D135" s="5">
        <v>840681</v>
      </c>
      <c r="E135" t="s">
        <v>357</v>
      </c>
      <c r="F135" s="6">
        <v>2</v>
      </c>
      <c r="G135" t="s">
        <v>28</v>
      </c>
      <c r="H135" s="5">
        <v>101</v>
      </c>
      <c r="I135" s="5">
        <v>10</v>
      </c>
      <c r="J135" s="5">
        <v>4511448595</v>
      </c>
      <c r="K135" s="17">
        <v>44993</v>
      </c>
      <c r="L135" t="s">
        <v>356</v>
      </c>
      <c r="M135" s="6">
        <v>5052587138</v>
      </c>
      <c r="N135" t="s">
        <v>187</v>
      </c>
      <c r="O135" s="7" t="str">
        <f>IFERROR(VLOOKUP(Ingresos[[#This Row],[Pedido]],Compradores[],2,FALSE),"")</f>
        <v>JCHEROPA</v>
      </c>
      <c r="P135" s="7" t="str">
        <f>IFERROR(VLOOKUP(Ingresos[[#This Row],[Concatenar]],Detalle_OC[],2,FALSE),"")</f>
        <v xml:space="preserve">LVILLARF    </v>
      </c>
      <c r="Q135" s="7" t="str">
        <f>IFERROR(VLOOKUP(Ingresos[[#This Row],[Concatenar]],Detalle_OC[],3,FALSE),"")</f>
        <v xml:space="preserve">CASEB HNOS SAC                    </v>
      </c>
      <c r="R135" s="10">
        <f>IFERROR(VLOOKUP(Ingresos[[#This Row],[Concatenar]],Detalle_OC[],4,FALSE),"")</f>
        <v>45015</v>
      </c>
      <c r="S135" s="7" t="str">
        <f>IFERROR(VLOOKUP(Ingresos[[#This Row],[Concatenar]],Detalle_OC[],5,FALSE),"")</f>
        <v>STOCK DE ALMACEN</v>
      </c>
      <c r="T135" s="7" t="str">
        <f>IF(Ingresos[[#This Row],[Fec. Entrega]]&gt;=Ingresos[[#This Row],[Fe.contable]],"",IF(Ingresos[[#This Row],[Fe.contable]]&gt;Ingresos[[#This Row],[Fec. Entrega]],"Entrega Tarde"))</f>
        <v/>
      </c>
    </row>
    <row r="136" spans="1:20" x14ac:dyDescent="0.35">
      <c r="A136" s="7" t="str">
        <f>Ingresos[[#This Row],[Centro]]&amp;Ingresos[[#This Row],[Almacén]]&amp;Ingresos[[#This Row],[Codigo]]&amp;Ingresos[[#This Row],[Pedido]]&amp;Ingresos[[#This Row],[Posición]]</f>
        <v>Sucroalcolera del Chira PlantaMontelima867875451144450710</v>
      </c>
      <c r="B136" t="s">
        <v>41</v>
      </c>
      <c r="C136" t="s">
        <v>29</v>
      </c>
      <c r="D136" s="5">
        <v>867875</v>
      </c>
      <c r="E136" t="s">
        <v>358</v>
      </c>
      <c r="F136" s="6">
        <v>4</v>
      </c>
      <c r="G136" t="s">
        <v>28</v>
      </c>
      <c r="H136" s="5">
        <v>101</v>
      </c>
      <c r="I136" s="5">
        <v>10</v>
      </c>
      <c r="J136" s="5">
        <v>4511444507</v>
      </c>
      <c r="K136" s="17">
        <v>44993</v>
      </c>
      <c r="L136" t="s">
        <v>359</v>
      </c>
      <c r="M136" s="6">
        <v>5052587139</v>
      </c>
      <c r="N136" t="s">
        <v>187</v>
      </c>
      <c r="O136" s="7" t="str">
        <f>IFERROR(VLOOKUP(Ingresos[[#This Row],[Pedido]],Compradores[],2,FALSE),"")</f>
        <v>JCHEROPA</v>
      </c>
      <c r="P136" s="7" t="str">
        <f>IFERROR(VLOOKUP(Ingresos[[#This Row],[Concatenar]],Detalle_OC[],2,FALSE),"")</f>
        <v xml:space="preserve">LVILLARF    </v>
      </c>
      <c r="Q136" s="7" t="str">
        <f>IFERROR(VLOOKUP(Ingresos[[#This Row],[Concatenar]],Detalle_OC[],3,FALSE),"")</f>
        <v xml:space="preserve">CASEB HNOS SAC                    </v>
      </c>
      <c r="R136" s="10">
        <f>IFERROR(VLOOKUP(Ingresos[[#This Row],[Concatenar]],Detalle_OC[],4,FALSE),"")</f>
        <v>44981</v>
      </c>
      <c r="S136" s="7" t="str">
        <f>IFERROR(VLOOKUP(Ingresos[[#This Row],[Concatenar]],Detalle_OC[],5,FALSE),"")</f>
        <v>STOCK DE ALMACEN</v>
      </c>
      <c r="T136" s="7" t="str">
        <f>IF(Ingresos[[#This Row],[Fec. Entrega]]&gt;=Ingresos[[#This Row],[Fe.contable]],"",IF(Ingresos[[#This Row],[Fe.contable]]&gt;Ingresos[[#This Row],[Fec. Entrega]],"Entrega Tarde"))</f>
        <v>Entrega Tarde</v>
      </c>
    </row>
    <row r="137" spans="1:20" x14ac:dyDescent="0.35">
      <c r="A137" s="7" t="str">
        <f>Ingresos[[#This Row],[Centro]]&amp;Ingresos[[#This Row],[Almacén]]&amp;Ingresos[[#This Row],[Codigo]]&amp;Ingresos[[#This Row],[Pedido]]&amp;Ingresos[[#This Row],[Posición]]</f>
        <v>Sucroalcolera del Chira PlantaMontelima840720451144528120</v>
      </c>
      <c r="B137" t="s">
        <v>41</v>
      </c>
      <c r="C137" t="s">
        <v>29</v>
      </c>
      <c r="D137" s="5">
        <v>840720</v>
      </c>
      <c r="E137" t="s">
        <v>360</v>
      </c>
      <c r="F137" s="6">
        <v>1</v>
      </c>
      <c r="G137" t="s">
        <v>28</v>
      </c>
      <c r="H137" s="5">
        <v>101</v>
      </c>
      <c r="I137" s="5">
        <v>20</v>
      </c>
      <c r="J137" s="5">
        <v>4511445281</v>
      </c>
      <c r="K137" s="17">
        <v>44993</v>
      </c>
      <c r="L137" t="s">
        <v>361</v>
      </c>
      <c r="M137" s="6">
        <v>5052587150</v>
      </c>
      <c r="N137" t="s">
        <v>187</v>
      </c>
      <c r="O137" s="7" t="str">
        <f>IFERROR(VLOOKUP(Ingresos[[#This Row],[Pedido]],Compradores[],2,FALSE),"")</f>
        <v>JCHAPARROB</v>
      </c>
      <c r="P137" s="7" t="str">
        <f>IFERROR(VLOOKUP(Ingresos[[#This Row],[Concatenar]],Detalle_OC[],2,FALSE),"")</f>
        <v xml:space="preserve">LVILLARF    </v>
      </c>
      <c r="Q137" s="7" t="str">
        <f>IFERROR(VLOOKUP(Ingresos[[#This Row],[Concatenar]],Detalle_OC[],3,FALSE),"")</f>
        <v xml:space="preserve">CASEB HNOS SAC                    </v>
      </c>
      <c r="R137" s="10">
        <f>IFERROR(VLOOKUP(Ingresos[[#This Row],[Concatenar]],Detalle_OC[],4,FALSE),"")</f>
        <v>44993</v>
      </c>
      <c r="S137" s="7" t="str">
        <f>IFERROR(VLOOKUP(Ingresos[[#This Row],[Concatenar]],Detalle_OC[],5,FALSE),"")</f>
        <v>STOCK DE ALMACEN</v>
      </c>
      <c r="T137" s="7" t="str">
        <f>IF(Ingresos[[#This Row],[Fec. Entrega]]&gt;=Ingresos[[#This Row],[Fe.contable]],"",IF(Ingresos[[#This Row],[Fe.contable]]&gt;Ingresos[[#This Row],[Fec. Entrega]],"Entrega Tarde"))</f>
        <v/>
      </c>
    </row>
    <row r="138" spans="1:20" x14ac:dyDescent="0.35">
      <c r="A138" s="7" t="str">
        <f>Ingresos[[#This Row],[Centro]]&amp;Ingresos[[#This Row],[Almacén]]&amp;Ingresos[[#This Row],[Codigo]]&amp;Ingresos[[#This Row],[Pedido]]&amp;Ingresos[[#This Row],[Posición]]</f>
        <v>Sucroalcolera del Chira PlantaMontelima867875451144528110</v>
      </c>
      <c r="B138" t="s">
        <v>41</v>
      </c>
      <c r="C138" t="s">
        <v>29</v>
      </c>
      <c r="D138" s="5">
        <v>867875</v>
      </c>
      <c r="E138" t="s">
        <v>358</v>
      </c>
      <c r="F138" s="6">
        <v>2</v>
      </c>
      <c r="G138" t="s">
        <v>28</v>
      </c>
      <c r="H138" s="5">
        <v>101</v>
      </c>
      <c r="I138" s="5">
        <v>10</v>
      </c>
      <c r="J138" s="5">
        <v>4511445281</v>
      </c>
      <c r="K138" s="17">
        <v>44993</v>
      </c>
      <c r="L138" t="s">
        <v>361</v>
      </c>
      <c r="M138" s="6">
        <v>5052587150</v>
      </c>
      <c r="N138" t="s">
        <v>187</v>
      </c>
      <c r="O138" s="7" t="str">
        <f>IFERROR(VLOOKUP(Ingresos[[#This Row],[Pedido]],Compradores[],2,FALSE),"")</f>
        <v>JCHAPARROB</v>
      </c>
      <c r="P138" s="7" t="str">
        <f>IFERROR(VLOOKUP(Ingresos[[#This Row],[Concatenar]],Detalle_OC[],2,FALSE),"")</f>
        <v xml:space="preserve">LVILLARF    </v>
      </c>
      <c r="Q138" s="7" t="str">
        <f>IFERROR(VLOOKUP(Ingresos[[#This Row],[Concatenar]],Detalle_OC[],3,FALSE),"")</f>
        <v xml:space="preserve">CASEB HNOS SAC                    </v>
      </c>
      <c r="R138" s="10">
        <f>IFERROR(VLOOKUP(Ingresos[[#This Row],[Concatenar]],Detalle_OC[],4,FALSE),"")</f>
        <v>44993</v>
      </c>
      <c r="S138" s="7" t="str">
        <f>IFERROR(VLOOKUP(Ingresos[[#This Row],[Concatenar]],Detalle_OC[],5,FALSE),"")</f>
        <v>STOCK DE ALMACEN</v>
      </c>
      <c r="T138" s="7" t="str">
        <f>IF(Ingresos[[#This Row],[Fec. Entrega]]&gt;=Ingresos[[#This Row],[Fe.contable]],"",IF(Ingresos[[#This Row],[Fe.contable]]&gt;Ingresos[[#This Row],[Fec. Entrega]],"Entrega Tarde"))</f>
        <v/>
      </c>
    </row>
    <row r="139" spans="1:20" x14ac:dyDescent="0.35">
      <c r="A139" s="7" t="str">
        <f>Ingresos[[#This Row],[Centro]]&amp;Ingresos[[#This Row],[Almacén]]&amp;Ingresos[[#This Row],[Codigo]]&amp;Ingresos[[#This Row],[Pedido]]&amp;Ingresos[[#This Row],[Posición]]</f>
        <v>Sucroalcolera del Chira PlantaMontelima893870451144992410</v>
      </c>
      <c r="B139" t="s">
        <v>41</v>
      </c>
      <c r="C139" t="s">
        <v>29</v>
      </c>
      <c r="D139" s="5">
        <v>893870</v>
      </c>
      <c r="E139" t="s">
        <v>362</v>
      </c>
      <c r="F139" s="6">
        <v>1</v>
      </c>
      <c r="G139" t="s">
        <v>28</v>
      </c>
      <c r="H139" s="5">
        <v>101</v>
      </c>
      <c r="I139" s="5">
        <v>10</v>
      </c>
      <c r="J139" s="5">
        <v>4511449924</v>
      </c>
      <c r="K139" s="17">
        <v>44993</v>
      </c>
      <c r="L139" t="s">
        <v>363</v>
      </c>
      <c r="M139" s="6">
        <v>5052587152</v>
      </c>
      <c r="N139" t="s">
        <v>187</v>
      </c>
      <c r="O139" s="7" t="str">
        <f>IFERROR(VLOOKUP(Ingresos[[#This Row],[Pedido]],Compradores[],2,FALSE),"")</f>
        <v>JCHAPARROB</v>
      </c>
      <c r="P139" s="7" t="str">
        <f>IFERROR(VLOOKUP(Ingresos[[#This Row],[Concatenar]],Detalle_OC[],2,FALSE),"")</f>
        <v xml:space="preserve">LVILLARF    </v>
      </c>
      <c r="Q139" s="7" t="str">
        <f>IFERROR(VLOOKUP(Ingresos[[#This Row],[Concatenar]],Detalle_OC[],3,FALSE),"")</f>
        <v xml:space="preserve">PRODUCTOS CAUCHO S.R.L.           </v>
      </c>
      <c r="R139" s="10">
        <f>IFERROR(VLOOKUP(Ingresos[[#This Row],[Concatenar]],Detalle_OC[],4,FALSE),"")</f>
        <v>44991</v>
      </c>
      <c r="S139" s="7" t="str">
        <f>IFERROR(VLOOKUP(Ingresos[[#This Row],[Concatenar]],Detalle_OC[],5,FALSE),"")</f>
        <v>STOCK DE ALMACEN</v>
      </c>
      <c r="T139" s="7" t="str">
        <f>IF(Ingresos[[#This Row],[Fec. Entrega]]&gt;=Ingresos[[#This Row],[Fe.contable]],"",IF(Ingresos[[#This Row],[Fe.contable]]&gt;Ingresos[[#This Row],[Fec. Entrega]],"Entrega Tarde"))</f>
        <v>Entrega Tarde</v>
      </c>
    </row>
    <row r="140" spans="1:20" x14ac:dyDescent="0.35">
      <c r="A140" s="7" t="str">
        <f>Ingresos[[#This Row],[Centro]]&amp;Ingresos[[#This Row],[Almacén]]&amp;Ingresos[[#This Row],[Codigo]]&amp;Ingresos[[#This Row],[Pedido]]&amp;Ingresos[[#This Row],[Posición]]</f>
        <v>Sucroalcolera del Chira PlantaMontelima8717424511443949110</v>
      </c>
      <c r="B140" t="s">
        <v>41</v>
      </c>
      <c r="C140" t="s">
        <v>29</v>
      </c>
      <c r="D140" s="5">
        <v>871742</v>
      </c>
      <c r="E140" t="s">
        <v>364</v>
      </c>
      <c r="F140" s="6">
        <v>10</v>
      </c>
      <c r="G140" t="s">
        <v>28</v>
      </c>
      <c r="H140" s="5">
        <v>101</v>
      </c>
      <c r="I140" s="5">
        <v>110</v>
      </c>
      <c r="J140" s="5">
        <v>4511443949</v>
      </c>
      <c r="K140" s="17">
        <v>44993</v>
      </c>
      <c r="L140" t="s">
        <v>365</v>
      </c>
      <c r="M140" s="6">
        <v>5052587153</v>
      </c>
      <c r="N140" t="s">
        <v>187</v>
      </c>
      <c r="O140" s="7" t="str">
        <f>IFERROR(VLOOKUP(Ingresos[[#This Row],[Pedido]],Compradores[],2,FALSE),"")</f>
        <v>JCHEROPA</v>
      </c>
      <c r="P140" s="7" t="str">
        <f>IFERROR(VLOOKUP(Ingresos[[#This Row],[Concatenar]],Detalle_OC[],2,FALSE),"")</f>
        <v xml:space="preserve">LVILLARF    </v>
      </c>
      <c r="Q140" s="7" t="str">
        <f>IFERROR(VLOOKUP(Ingresos[[#This Row],[Concatenar]],Detalle_OC[],3,FALSE),"")</f>
        <v xml:space="preserve">PRODUCTOS CAUCHO S.R.L.           </v>
      </c>
      <c r="R140" s="10">
        <f>IFERROR(VLOOKUP(Ingresos[[#This Row],[Concatenar]],Detalle_OC[],4,FALSE),"")</f>
        <v>44986</v>
      </c>
      <c r="S140" s="7" t="str">
        <f>IFERROR(VLOOKUP(Ingresos[[#This Row],[Concatenar]],Detalle_OC[],5,FALSE),"")</f>
        <v>STOCK DE ALMACEN</v>
      </c>
      <c r="T140" s="7" t="str">
        <f>IF(Ingresos[[#This Row],[Fec. Entrega]]&gt;=Ingresos[[#This Row],[Fe.contable]],"",IF(Ingresos[[#This Row],[Fe.contable]]&gt;Ingresos[[#This Row],[Fec. Entrega]],"Entrega Tarde"))</f>
        <v>Entrega Tarde</v>
      </c>
    </row>
    <row r="141" spans="1:20" x14ac:dyDescent="0.35">
      <c r="A141" s="7" t="str">
        <f>Ingresos[[#This Row],[Centro]]&amp;Ingresos[[#This Row],[Almacén]]&amp;Ingresos[[#This Row],[Codigo]]&amp;Ingresos[[#This Row],[Pedido]]&amp;Ingresos[[#This Row],[Posición]]</f>
        <v>Sucroalcolera del Chira PlantaMontelima8938704511443949100</v>
      </c>
      <c r="B141" t="s">
        <v>41</v>
      </c>
      <c r="C141" t="s">
        <v>29</v>
      </c>
      <c r="D141" s="5">
        <v>893870</v>
      </c>
      <c r="E141" t="s">
        <v>362</v>
      </c>
      <c r="F141" s="6">
        <v>4</v>
      </c>
      <c r="G141" t="s">
        <v>28</v>
      </c>
      <c r="H141" s="5">
        <v>101</v>
      </c>
      <c r="I141" s="5">
        <v>100</v>
      </c>
      <c r="J141" s="5">
        <v>4511443949</v>
      </c>
      <c r="K141" s="17">
        <v>44993</v>
      </c>
      <c r="L141" t="s">
        <v>365</v>
      </c>
      <c r="M141" s="6">
        <v>5052587153</v>
      </c>
      <c r="N141" t="s">
        <v>187</v>
      </c>
      <c r="O141" s="7" t="str">
        <f>IFERROR(VLOOKUP(Ingresos[[#This Row],[Pedido]],Compradores[],2,FALSE),"")</f>
        <v>JCHEROPA</v>
      </c>
      <c r="P141" s="7" t="str">
        <f>IFERROR(VLOOKUP(Ingresos[[#This Row],[Concatenar]],Detalle_OC[],2,FALSE),"")</f>
        <v xml:space="preserve">LVILLARF    </v>
      </c>
      <c r="Q141" s="7" t="str">
        <f>IFERROR(VLOOKUP(Ingresos[[#This Row],[Concatenar]],Detalle_OC[],3,FALSE),"")</f>
        <v xml:space="preserve">PRODUCTOS CAUCHO S.R.L.           </v>
      </c>
      <c r="R141" s="10">
        <f>IFERROR(VLOOKUP(Ingresos[[#This Row],[Concatenar]],Detalle_OC[],4,FALSE),"")</f>
        <v>44986</v>
      </c>
      <c r="S141" s="7" t="str">
        <f>IFERROR(VLOOKUP(Ingresos[[#This Row],[Concatenar]],Detalle_OC[],5,FALSE),"")</f>
        <v>STOCK DE ALMACEN</v>
      </c>
      <c r="T141" s="7" t="str">
        <f>IF(Ingresos[[#This Row],[Fec. Entrega]]&gt;=Ingresos[[#This Row],[Fe.contable]],"",IF(Ingresos[[#This Row],[Fe.contable]]&gt;Ingresos[[#This Row],[Fec. Entrega]],"Entrega Tarde"))</f>
        <v>Entrega Tarde</v>
      </c>
    </row>
    <row r="142" spans="1:20" x14ac:dyDescent="0.35">
      <c r="A142" s="7" t="str">
        <f>Ingresos[[#This Row],[Centro]]&amp;Ingresos[[#This Row],[Almacén]]&amp;Ingresos[[#This Row],[Codigo]]&amp;Ingresos[[#This Row],[Pedido]]&amp;Ingresos[[#This Row],[Posición]]</f>
        <v>Sucroalcolera del Chira PlantaMontelima70022246451144394920</v>
      </c>
      <c r="B142" t="s">
        <v>41</v>
      </c>
      <c r="C142" t="s">
        <v>29</v>
      </c>
      <c r="D142" s="5">
        <v>70022246</v>
      </c>
      <c r="E142" t="s">
        <v>366</v>
      </c>
      <c r="F142" s="6">
        <v>25</v>
      </c>
      <c r="G142" t="s">
        <v>111</v>
      </c>
      <c r="H142" s="5">
        <v>101</v>
      </c>
      <c r="I142" s="5">
        <v>20</v>
      </c>
      <c r="J142" s="5">
        <v>4511443949</v>
      </c>
      <c r="K142" s="17">
        <v>44993</v>
      </c>
      <c r="L142" t="s">
        <v>365</v>
      </c>
      <c r="M142" s="6">
        <v>5052587153</v>
      </c>
      <c r="N142" t="s">
        <v>187</v>
      </c>
      <c r="O142" s="7" t="str">
        <f>IFERROR(VLOOKUP(Ingresos[[#This Row],[Pedido]],Compradores[],2,FALSE),"")</f>
        <v>JCHEROPA</v>
      </c>
      <c r="P142" s="7" t="str">
        <f>IFERROR(VLOOKUP(Ingresos[[#This Row],[Concatenar]],Detalle_OC[],2,FALSE),"")</f>
        <v xml:space="preserve">LVILLARF    </v>
      </c>
      <c r="Q142" s="7" t="str">
        <f>IFERROR(VLOOKUP(Ingresos[[#This Row],[Concatenar]],Detalle_OC[],3,FALSE),"")</f>
        <v xml:space="preserve">PRODUCTOS CAUCHO S.R.L.           </v>
      </c>
      <c r="R142" s="10">
        <f>IFERROR(VLOOKUP(Ingresos[[#This Row],[Concatenar]],Detalle_OC[],4,FALSE),"")</f>
        <v>44986</v>
      </c>
      <c r="S142" s="7" t="str">
        <f>IFERROR(VLOOKUP(Ingresos[[#This Row],[Concatenar]],Detalle_OC[],5,FALSE),"")</f>
        <v>STOCK DE ALMACEN</v>
      </c>
      <c r="T142" s="7" t="str">
        <f>IF(Ingresos[[#This Row],[Fec. Entrega]]&gt;=Ingresos[[#This Row],[Fe.contable]],"",IF(Ingresos[[#This Row],[Fe.contable]]&gt;Ingresos[[#This Row],[Fec. Entrega]],"Entrega Tarde"))</f>
        <v>Entrega Tarde</v>
      </c>
    </row>
    <row r="143" spans="1:20" x14ac:dyDescent="0.35">
      <c r="A143" s="7" t="str">
        <f>Ingresos[[#This Row],[Centro]]&amp;Ingresos[[#This Row],[Almacén]]&amp;Ingresos[[#This Row],[Codigo]]&amp;Ingresos[[#This Row],[Pedido]]&amp;Ingresos[[#This Row],[Posición]]</f>
        <v>Sucroalcolera del Chira PlantaMontelima70022247451144394980</v>
      </c>
      <c r="B143" t="s">
        <v>41</v>
      </c>
      <c r="C143" t="s">
        <v>29</v>
      </c>
      <c r="D143" s="5">
        <v>70022247</v>
      </c>
      <c r="E143" t="s">
        <v>367</v>
      </c>
      <c r="F143" s="6">
        <v>40</v>
      </c>
      <c r="G143" t="s">
        <v>111</v>
      </c>
      <c r="H143" s="5">
        <v>101</v>
      </c>
      <c r="I143" s="5">
        <v>80</v>
      </c>
      <c r="J143" s="5">
        <v>4511443949</v>
      </c>
      <c r="K143" s="17">
        <v>44993</v>
      </c>
      <c r="L143" t="s">
        <v>365</v>
      </c>
      <c r="M143" s="6">
        <v>5052587153</v>
      </c>
      <c r="N143" t="s">
        <v>187</v>
      </c>
      <c r="O143" s="7" t="str">
        <f>IFERROR(VLOOKUP(Ingresos[[#This Row],[Pedido]],Compradores[],2,FALSE),"")</f>
        <v>JCHEROPA</v>
      </c>
      <c r="P143" s="7" t="str">
        <f>IFERROR(VLOOKUP(Ingresos[[#This Row],[Concatenar]],Detalle_OC[],2,FALSE),"")</f>
        <v xml:space="preserve">LVILLARF    </v>
      </c>
      <c r="Q143" s="7" t="str">
        <f>IFERROR(VLOOKUP(Ingresos[[#This Row],[Concatenar]],Detalle_OC[],3,FALSE),"")</f>
        <v xml:space="preserve">PRODUCTOS CAUCHO S.R.L.           </v>
      </c>
      <c r="R143" s="10">
        <f>IFERROR(VLOOKUP(Ingresos[[#This Row],[Concatenar]],Detalle_OC[],4,FALSE),"")</f>
        <v>44986</v>
      </c>
      <c r="S143" s="7" t="str">
        <f>IFERROR(VLOOKUP(Ingresos[[#This Row],[Concatenar]],Detalle_OC[],5,FALSE),"")</f>
        <v>STOCK DE ALMACEN</v>
      </c>
      <c r="T143" s="7" t="str">
        <f>IF(Ingresos[[#This Row],[Fec. Entrega]]&gt;=Ingresos[[#This Row],[Fe.contable]],"",IF(Ingresos[[#This Row],[Fe.contable]]&gt;Ingresos[[#This Row],[Fec. Entrega]],"Entrega Tarde"))</f>
        <v>Entrega Tarde</v>
      </c>
    </row>
    <row r="144" spans="1:20" x14ac:dyDescent="0.35">
      <c r="A144" s="7" t="str">
        <f>Ingresos[[#This Row],[Centro]]&amp;Ingresos[[#This Row],[Almacén]]&amp;Ingresos[[#This Row],[Codigo]]&amp;Ingresos[[#This Row],[Pedido]]&amp;Ingresos[[#This Row],[Posición]]</f>
        <v>Sucroalcolera del Chira PlantaMontelima70025355451144394960</v>
      </c>
      <c r="B144" t="s">
        <v>41</v>
      </c>
      <c r="C144" t="s">
        <v>29</v>
      </c>
      <c r="D144" s="5">
        <v>70025355</v>
      </c>
      <c r="E144" t="s">
        <v>368</v>
      </c>
      <c r="F144" s="6">
        <v>14</v>
      </c>
      <c r="G144" t="s">
        <v>28</v>
      </c>
      <c r="H144" s="5">
        <v>101</v>
      </c>
      <c r="I144" s="5">
        <v>60</v>
      </c>
      <c r="J144" s="5">
        <v>4511443949</v>
      </c>
      <c r="K144" s="17">
        <v>44993</v>
      </c>
      <c r="L144" t="s">
        <v>365</v>
      </c>
      <c r="M144" s="6">
        <v>5052587153</v>
      </c>
      <c r="N144" t="s">
        <v>187</v>
      </c>
      <c r="O144" s="7" t="str">
        <f>IFERROR(VLOOKUP(Ingresos[[#This Row],[Pedido]],Compradores[],2,FALSE),"")</f>
        <v>JCHEROPA</v>
      </c>
      <c r="P144" s="7" t="str">
        <f>IFERROR(VLOOKUP(Ingresos[[#This Row],[Concatenar]],Detalle_OC[],2,FALSE),"")</f>
        <v xml:space="preserve">LVILLARF    </v>
      </c>
      <c r="Q144" s="7" t="str">
        <f>IFERROR(VLOOKUP(Ingresos[[#This Row],[Concatenar]],Detalle_OC[],3,FALSE),"")</f>
        <v xml:space="preserve">PRODUCTOS CAUCHO S.R.L.           </v>
      </c>
      <c r="R144" s="10">
        <f>IFERROR(VLOOKUP(Ingresos[[#This Row],[Concatenar]],Detalle_OC[],4,FALSE),"")</f>
        <v>44986</v>
      </c>
      <c r="S144" s="7" t="str">
        <f>IFERROR(VLOOKUP(Ingresos[[#This Row],[Concatenar]],Detalle_OC[],5,FALSE),"")</f>
        <v>STOCK DE ALMACEN</v>
      </c>
      <c r="T144" s="7" t="str">
        <f>IF(Ingresos[[#This Row],[Fec. Entrega]]&gt;=Ingresos[[#This Row],[Fe.contable]],"",IF(Ingresos[[#This Row],[Fe.contable]]&gt;Ingresos[[#This Row],[Fec. Entrega]],"Entrega Tarde"))</f>
        <v>Entrega Tarde</v>
      </c>
    </row>
    <row r="145" spans="1:20" x14ac:dyDescent="0.35">
      <c r="A145" s="7" t="str">
        <f>Ingresos[[#This Row],[Centro]]&amp;Ingresos[[#This Row],[Almacén]]&amp;Ingresos[[#This Row],[Codigo]]&amp;Ingresos[[#This Row],[Pedido]]&amp;Ingresos[[#This Row],[Posición]]</f>
        <v>Sucroalcolera del Chira PlantaMontelimaCEP55942683451145370210</v>
      </c>
      <c r="B145" t="s">
        <v>41</v>
      </c>
      <c r="C145" t="s">
        <v>29</v>
      </c>
      <c r="D145" s="5" t="s">
        <v>369</v>
      </c>
      <c r="E145" t="s">
        <v>370</v>
      </c>
      <c r="F145" s="6">
        <v>2</v>
      </c>
      <c r="G145" t="s">
        <v>28</v>
      </c>
      <c r="H145" s="5">
        <v>101</v>
      </c>
      <c r="I145" s="5">
        <v>10</v>
      </c>
      <c r="J145" s="5">
        <v>4511453702</v>
      </c>
      <c r="K145" s="17">
        <v>44993</v>
      </c>
      <c r="L145" t="s">
        <v>371</v>
      </c>
      <c r="M145" s="6">
        <v>5052587155</v>
      </c>
      <c r="N145" t="s">
        <v>187</v>
      </c>
      <c r="O145" s="7" t="str">
        <f>IFERROR(VLOOKUP(Ingresos[[#This Row],[Pedido]],Compradores[],2,FALSE),"")</f>
        <v>IRAMOSA</v>
      </c>
      <c r="P145" s="7" t="str">
        <f>IFERROR(VLOOKUP(Ingresos[[#This Row],[Concatenar]],Detalle_OC[],2,FALSE),"")</f>
        <v>Mtto Mecanic</v>
      </c>
      <c r="Q145" s="7" t="str">
        <f>IFERROR(VLOOKUP(Ingresos[[#This Row],[Concatenar]],Detalle_OC[],3,FALSE),"")</f>
        <v xml:space="preserve">PRODUCTOS CAUCHO S.R.L.           </v>
      </c>
      <c r="R145" s="10">
        <f>IFERROR(VLOOKUP(Ingresos[[#This Row],[Concatenar]],Detalle_OC[],4,FALSE),"")</f>
        <v>45000</v>
      </c>
      <c r="S145" s="7" t="str">
        <f>IFERROR(VLOOKUP(Ingresos[[#This Row],[Concatenar]],Detalle_OC[],5,FALSE),"")</f>
        <v>STOCK DE ALMACEN</v>
      </c>
      <c r="T145" s="7" t="str">
        <f>IF(Ingresos[[#This Row],[Fec. Entrega]]&gt;=Ingresos[[#This Row],[Fe.contable]],"",IF(Ingresos[[#This Row],[Fe.contable]]&gt;Ingresos[[#This Row],[Fec. Entrega]],"Entrega Tarde"))</f>
        <v/>
      </c>
    </row>
    <row r="146" spans="1:20" x14ac:dyDescent="0.35">
      <c r="A146" s="7" t="str">
        <f>Ingresos[[#This Row],[Centro]]&amp;Ingresos[[#This Row],[Almacén]]&amp;Ingresos[[#This Row],[Codigo]]&amp;Ingresos[[#This Row],[Pedido]]&amp;Ingresos[[#This Row],[Posición]]</f>
        <v>Sucroalcolera del Chira PlantaMontelimaCEP55942683451145370220</v>
      </c>
      <c r="B146" t="s">
        <v>41</v>
      </c>
      <c r="C146" t="s">
        <v>29</v>
      </c>
      <c r="D146" s="5" t="s">
        <v>369</v>
      </c>
      <c r="E146" t="s">
        <v>370</v>
      </c>
      <c r="F146" s="6">
        <v>1</v>
      </c>
      <c r="G146" t="s">
        <v>28</v>
      </c>
      <c r="H146" s="5">
        <v>101</v>
      </c>
      <c r="I146" s="5">
        <v>20</v>
      </c>
      <c r="J146" s="5">
        <v>4511453702</v>
      </c>
      <c r="K146" s="17">
        <v>44993</v>
      </c>
      <c r="L146" t="s">
        <v>371</v>
      </c>
      <c r="M146" s="6">
        <v>5052587155</v>
      </c>
      <c r="N146" t="s">
        <v>187</v>
      </c>
      <c r="O146" s="7" t="str">
        <f>IFERROR(VLOOKUP(Ingresos[[#This Row],[Pedido]],Compradores[],2,FALSE),"")</f>
        <v>IRAMOSA</v>
      </c>
      <c r="P146" s="7" t="str">
        <f>IFERROR(VLOOKUP(Ingresos[[#This Row],[Concatenar]],Detalle_OC[],2,FALSE),"")</f>
        <v>Mtto Mecanic</v>
      </c>
      <c r="Q146" s="7" t="str">
        <f>IFERROR(VLOOKUP(Ingresos[[#This Row],[Concatenar]],Detalle_OC[],3,FALSE),"")</f>
        <v xml:space="preserve">PRODUCTOS CAUCHO S.R.L.           </v>
      </c>
      <c r="R146" s="10">
        <f>IFERROR(VLOOKUP(Ingresos[[#This Row],[Concatenar]],Detalle_OC[],4,FALSE),"")</f>
        <v>45000</v>
      </c>
      <c r="S146" s="7" t="str">
        <f>IFERROR(VLOOKUP(Ingresos[[#This Row],[Concatenar]],Detalle_OC[],5,FALSE),"")</f>
        <v>STOCK DE ALMACEN</v>
      </c>
      <c r="T146" s="7" t="str">
        <f>IF(Ingresos[[#This Row],[Fec. Entrega]]&gt;=Ingresos[[#This Row],[Fe.contable]],"",IF(Ingresos[[#This Row],[Fe.contable]]&gt;Ingresos[[#This Row],[Fec. Entrega]],"Entrega Tarde"))</f>
        <v/>
      </c>
    </row>
    <row r="147" spans="1:20" x14ac:dyDescent="0.35">
      <c r="A147" s="7" t="str">
        <f>Ingresos[[#This Row],[Centro]]&amp;Ingresos[[#This Row],[Almacén]]&amp;Ingresos[[#This Row],[Codigo]]&amp;Ingresos[[#This Row],[Pedido]]&amp;Ingresos[[#This Row],[Posición]]</f>
        <v>Sucroalcolera del Chira PlantaMontelima829084451145419410</v>
      </c>
      <c r="B147" t="s">
        <v>41</v>
      </c>
      <c r="C147" t="s">
        <v>29</v>
      </c>
      <c r="D147" s="5">
        <v>829084</v>
      </c>
      <c r="E147" t="s">
        <v>152</v>
      </c>
      <c r="F147" s="6">
        <v>15</v>
      </c>
      <c r="G147" t="s">
        <v>28</v>
      </c>
      <c r="H147" s="5">
        <v>101</v>
      </c>
      <c r="I147" s="5">
        <v>10</v>
      </c>
      <c r="J147" s="5">
        <v>4511454194</v>
      </c>
      <c r="K147" s="17">
        <v>44989</v>
      </c>
      <c r="L147" t="s">
        <v>153</v>
      </c>
      <c r="M147" s="6">
        <v>5052581343</v>
      </c>
      <c r="N147" t="s">
        <v>164</v>
      </c>
      <c r="O147" s="7" t="str">
        <f>IFERROR(VLOOKUP(Ingresos[[#This Row],[Pedido]],Compradores[],2,FALSE),"")</f>
        <v>JCHAPARROB</v>
      </c>
      <c r="P147" s="7" t="str">
        <f>IFERROR(VLOOKUP(Ingresos[[#This Row],[Concatenar]],Detalle_OC[],2,FALSE),"")</f>
        <v xml:space="preserve">ASANDOVAL   </v>
      </c>
      <c r="Q147" s="7" t="str">
        <f>IFERROR(VLOOKUP(Ingresos[[#This Row],[Concatenar]],Detalle_OC[],3,FALSE),"")</f>
        <v xml:space="preserve">AGRICOLA DEL CHIRA SA             </v>
      </c>
      <c r="R147" s="10">
        <f>IFERROR(VLOOKUP(Ingresos[[#This Row],[Concatenar]],Detalle_OC[],4,FALSE),"")</f>
        <v>45016</v>
      </c>
      <c r="S147" s="7" t="str">
        <f>IFERROR(VLOOKUP(Ingresos[[#This Row],[Concatenar]],Detalle_OC[],5,FALSE),"")</f>
        <v>STOCK DE ALMACEN</v>
      </c>
      <c r="T147" s="7" t="str">
        <f>IF(Ingresos[[#This Row],[Fec. Entrega]]&gt;=Ingresos[[#This Row],[Fe.contable]],"",IF(Ingresos[[#This Row],[Fe.contable]]&gt;Ingresos[[#This Row],[Fec. Entrega]],"Entrega Tarde"))</f>
        <v/>
      </c>
    </row>
    <row r="148" spans="1:20" x14ac:dyDescent="0.35">
      <c r="A148" s="7" t="str">
        <f>Ingresos[[#This Row],[Centro]]&amp;Ingresos[[#This Row],[Almacén]]&amp;Ingresos[[#This Row],[Codigo]]&amp;Ingresos[[#This Row],[Pedido]]&amp;Ingresos[[#This Row],[Posición]]</f>
        <v>Agricola del Chira PlantaMontelima722278451141631410</v>
      </c>
      <c r="B148" t="s">
        <v>27</v>
      </c>
      <c r="C148" t="s">
        <v>29</v>
      </c>
      <c r="D148" s="5">
        <v>722278</v>
      </c>
      <c r="E148" t="s">
        <v>170</v>
      </c>
      <c r="F148" s="6">
        <v>10</v>
      </c>
      <c r="G148" t="s">
        <v>131</v>
      </c>
      <c r="H148" s="5">
        <v>101</v>
      </c>
      <c r="I148" s="5">
        <v>10</v>
      </c>
      <c r="J148" s="5">
        <v>4511416314</v>
      </c>
      <c r="K148" s="17">
        <v>44991</v>
      </c>
      <c r="L148" t="s">
        <v>171</v>
      </c>
      <c r="M148" s="6">
        <v>5052583258</v>
      </c>
      <c r="N148" t="s">
        <v>172</v>
      </c>
      <c r="O148" s="7" t="str">
        <f>IFERROR(VLOOKUP(Ingresos[[#This Row],[Pedido]],Compradores[],2,FALSE),"")</f>
        <v>JCHAPARROB</v>
      </c>
      <c r="P148" s="7" t="str">
        <f>IFERROR(VLOOKUP(Ingresos[[#This Row],[Concatenar]],Detalle_OC[],2,FALSE),"")</f>
        <v/>
      </c>
      <c r="Q148" s="7" t="str">
        <f>IFERROR(VLOOKUP(Ingresos[[#This Row],[Concatenar]],Detalle_OC[],3,FALSE),"")</f>
        <v/>
      </c>
      <c r="R148" s="10" t="str">
        <f>IFERROR(VLOOKUP(Ingresos[[#This Row],[Concatenar]],Detalle_OC[],4,FALSE),"")</f>
        <v/>
      </c>
      <c r="S148" s="7" t="str">
        <f>IFERROR(VLOOKUP(Ingresos[[#This Row],[Concatenar]],Detalle_OC[],5,FALSE),"")</f>
        <v/>
      </c>
      <c r="T148" s="7" t="str">
        <f>IF(Ingresos[[#This Row],[Fec. Entrega]]&gt;=Ingresos[[#This Row],[Fe.contable]],"",IF(Ingresos[[#This Row],[Fe.contable]]&gt;Ingresos[[#This Row],[Fec. Entrega]],"Entrega Tarde"))</f>
        <v/>
      </c>
    </row>
    <row r="149" spans="1:20" x14ac:dyDescent="0.35">
      <c r="A149" s="7" t="str">
        <f>Ingresos[[#This Row],[Centro]]&amp;Ingresos[[#This Row],[Almacén]]&amp;Ingresos[[#This Row],[Codigo]]&amp;Ingresos[[#This Row],[Pedido]]&amp;Ingresos[[#This Row],[Posición]]</f>
        <v>Sucroalcolera del Chira PlantaMontelima869012451144994510</v>
      </c>
      <c r="B149" t="s">
        <v>41</v>
      </c>
      <c r="C149" t="s">
        <v>29</v>
      </c>
      <c r="D149" s="5">
        <v>869012</v>
      </c>
      <c r="E149" t="s">
        <v>173</v>
      </c>
      <c r="F149" s="6">
        <v>1</v>
      </c>
      <c r="G149" t="s">
        <v>28</v>
      </c>
      <c r="H149" s="5">
        <v>101</v>
      </c>
      <c r="I149" s="5">
        <v>10</v>
      </c>
      <c r="J149" s="5">
        <v>4511449945</v>
      </c>
      <c r="K149" s="17">
        <v>44991</v>
      </c>
      <c r="L149" t="s">
        <v>174</v>
      </c>
      <c r="M149" s="6">
        <v>5052583297</v>
      </c>
      <c r="N149" t="s">
        <v>172</v>
      </c>
      <c r="O149" s="7" t="str">
        <f>IFERROR(VLOOKUP(Ingresos[[#This Row],[Pedido]],Compradores[],2,FALSE),"")</f>
        <v>JCHAPARROB</v>
      </c>
      <c r="P149" s="7" t="str">
        <f>IFERROR(VLOOKUP(Ingresos[[#This Row],[Concatenar]],Detalle_OC[],2,FALSE),"")</f>
        <v xml:space="preserve">LVILLARF    </v>
      </c>
      <c r="Q149" s="7" t="str">
        <f>IFERROR(VLOOKUP(Ingresos[[#This Row],[Concatenar]],Detalle_OC[],3,FALSE),"")</f>
        <v xml:space="preserve">OPTIMIZACION CONFIABILIDAD Y      </v>
      </c>
      <c r="R149" s="10">
        <f>IFERROR(VLOOKUP(Ingresos[[#This Row],[Concatenar]],Detalle_OC[],4,FALSE),"")</f>
        <v>44988</v>
      </c>
      <c r="S149" s="7" t="str">
        <f>IFERROR(VLOOKUP(Ingresos[[#This Row],[Concatenar]],Detalle_OC[],5,FALSE),"")</f>
        <v>STOCK DE ALMACEN</v>
      </c>
      <c r="T149" s="7" t="str">
        <f>IF(Ingresos[[#This Row],[Fec. Entrega]]&gt;=Ingresos[[#This Row],[Fe.contable]],"",IF(Ingresos[[#This Row],[Fe.contable]]&gt;Ingresos[[#This Row],[Fec. Entrega]],"Entrega Tarde"))</f>
        <v>Entrega Tarde</v>
      </c>
    </row>
    <row r="150" spans="1:20" x14ac:dyDescent="0.35">
      <c r="A150" s="7" t="str">
        <f>Ingresos[[#This Row],[Centro]]&amp;Ingresos[[#This Row],[Almacén]]&amp;Ingresos[[#This Row],[Codigo]]&amp;Ingresos[[#This Row],[Pedido]]&amp;Ingresos[[#This Row],[Posición]]</f>
        <v>Sucroalcolera del Chira PlantaMontelima869012451144994520</v>
      </c>
      <c r="B150" t="s">
        <v>41</v>
      </c>
      <c r="C150" t="s">
        <v>29</v>
      </c>
      <c r="D150" s="5">
        <v>869012</v>
      </c>
      <c r="E150" t="s">
        <v>173</v>
      </c>
      <c r="F150" s="6">
        <v>1</v>
      </c>
      <c r="G150" t="s">
        <v>28</v>
      </c>
      <c r="H150" s="5">
        <v>101</v>
      </c>
      <c r="I150" s="5">
        <v>20</v>
      </c>
      <c r="J150" s="5">
        <v>4511449945</v>
      </c>
      <c r="K150" s="17">
        <v>44991</v>
      </c>
      <c r="L150" t="s">
        <v>174</v>
      </c>
      <c r="M150" s="6">
        <v>5052583297</v>
      </c>
      <c r="N150" t="s">
        <v>172</v>
      </c>
      <c r="O150" s="7" t="str">
        <f>IFERROR(VLOOKUP(Ingresos[[#This Row],[Pedido]],Compradores[],2,FALSE),"")</f>
        <v>JCHAPARROB</v>
      </c>
      <c r="P150" s="7" t="str">
        <f>IFERROR(VLOOKUP(Ingresos[[#This Row],[Concatenar]],Detalle_OC[],2,FALSE),"")</f>
        <v xml:space="preserve">CVEGAG      </v>
      </c>
      <c r="Q150" s="7" t="str">
        <f>IFERROR(VLOOKUP(Ingresos[[#This Row],[Concatenar]],Detalle_OC[],3,FALSE),"")</f>
        <v xml:space="preserve">OPTIMIZACION CONFIABILIDAD Y      </v>
      </c>
      <c r="R150" s="10">
        <f>IFERROR(VLOOKUP(Ingresos[[#This Row],[Concatenar]],Detalle_OC[],4,FALSE),"")</f>
        <v>44988</v>
      </c>
      <c r="S150" s="7" t="str">
        <f>IFERROR(VLOOKUP(Ingresos[[#This Row],[Concatenar]],Detalle_OC[],5,FALSE),"")</f>
        <v>STOCK DE ALMACEN</v>
      </c>
      <c r="T150" s="7" t="str">
        <f>IF(Ingresos[[#This Row],[Fec. Entrega]]&gt;=Ingresos[[#This Row],[Fe.contable]],"",IF(Ingresos[[#This Row],[Fe.contable]]&gt;Ingresos[[#This Row],[Fec. Entrega]],"Entrega Tarde"))</f>
        <v>Entrega Tarde</v>
      </c>
    </row>
    <row r="151" spans="1:20" x14ac:dyDescent="0.35">
      <c r="A151" s="7" t="str">
        <f>Ingresos[[#This Row],[Centro]]&amp;Ingresos[[#This Row],[Almacén]]&amp;Ingresos[[#This Row],[Codigo]]&amp;Ingresos[[#This Row],[Pedido]]&amp;Ingresos[[#This Row],[Posición]]</f>
        <v>Sucroalcolera del Chira PlantaMontelima884795451144989780</v>
      </c>
      <c r="B151" t="s">
        <v>41</v>
      </c>
      <c r="C151" t="s">
        <v>29</v>
      </c>
      <c r="D151" s="5">
        <v>884795</v>
      </c>
      <c r="E151" t="s">
        <v>175</v>
      </c>
      <c r="F151" s="6">
        <v>1</v>
      </c>
      <c r="G151" t="s">
        <v>28</v>
      </c>
      <c r="H151" s="5">
        <v>101</v>
      </c>
      <c r="I151" s="5">
        <v>80</v>
      </c>
      <c r="J151" s="5">
        <v>4511449897</v>
      </c>
      <c r="K151" s="17">
        <v>44991</v>
      </c>
      <c r="L151" t="s">
        <v>176</v>
      </c>
      <c r="M151" s="6">
        <v>5052583311</v>
      </c>
      <c r="N151" t="s">
        <v>172</v>
      </c>
      <c r="O151" s="7" t="str">
        <f>IFERROR(VLOOKUP(Ingresos[[#This Row],[Pedido]],Compradores[],2,FALSE),"")</f>
        <v>JCHEROPA</v>
      </c>
      <c r="P151" s="7" t="str">
        <f>IFERROR(VLOOKUP(Ingresos[[#This Row],[Concatenar]],Detalle_OC[],2,FALSE),"")</f>
        <v xml:space="preserve">LVILLARF    </v>
      </c>
      <c r="Q151" s="7" t="str">
        <f>IFERROR(VLOOKUP(Ingresos[[#This Row],[Concatenar]],Detalle_OC[],3,FALSE),"")</f>
        <v xml:space="preserve">OPTIMIZACION CONFIABILIDAD Y      </v>
      </c>
      <c r="R151" s="10">
        <f>IFERROR(VLOOKUP(Ingresos[[#This Row],[Concatenar]],Detalle_OC[],4,FALSE),"")</f>
        <v>44995</v>
      </c>
      <c r="S151" s="7" t="str">
        <f>IFERROR(VLOOKUP(Ingresos[[#This Row],[Concatenar]],Detalle_OC[],5,FALSE),"")</f>
        <v>STOCK DE ALMACEN</v>
      </c>
      <c r="T151" s="7" t="str">
        <f>IF(Ingresos[[#This Row],[Fec. Entrega]]&gt;=Ingresos[[#This Row],[Fe.contable]],"",IF(Ingresos[[#This Row],[Fe.contable]]&gt;Ingresos[[#This Row],[Fec. Entrega]],"Entrega Tarde"))</f>
        <v/>
      </c>
    </row>
    <row r="152" spans="1:20" x14ac:dyDescent="0.35">
      <c r="A152" s="7" t="str">
        <f>Ingresos[[#This Row],[Centro]]&amp;Ingresos[[#This Row],[Almacén]]&amp;Ingresos[[#This Row],[Codigo]]&amp;Ingresos[[#This Row],[Pedido]]&amp;Ingresos[[#This Row],[Posición]]</f>
        <v>Sucroalcolera del Chira PlantaMontelima70032264451144989770</v>
      </c>
      <c r="B152" t="s">
        <v>41</v>
      </c>
      <c r="C152" t="s">
        <v>29</v>
      </c>
      <c r="D152" s="5">
        <v>70032264</v>
      </c>
      <c r="E152" t="s">
        <v>177</v>
      </c>
      <c r="F152" s="6">
        <v>2</v>
      </c>
      <c r="G152" t="s">
        <v>28</v>
      </c>
      <c r="H152" s="5">
        <v>101</v>
      </c>
      <c r="I152" s="5">
        <v>70</v>
      </c>
      <c r="J152" s="5">
        <v>4511449897</v>
      </c>
      <c r="K152" s="17">
        <v>44991</v>
      </c>
      <c r="L152" t="s">
        <v>176</v>
      </c>
      <c r="M152" s="6">
        <v>5052583311</v>
      </c>
      <c r="N152" t="s">
        <v>172</v>
      </c>
      <c r="O152" s="7" t="str">
        <f>IFERROR(VLOOKUP(Ingresos[[#This Row],[Pedido]],Compradores[],2,FALSE),"")</f>
        <v>JCHEROPA</v>
      </c>
      <c r="P152" s="7" t="str">
        <f>IFERROR(VLOOKUP(Ingresos[[#This Row],[Concatenar]],Detalle_OC[],2,FALSE),"")</f>
        <v/>
      </c>
      <c r="Q152" s="7" t="str">
        <f>IFERROR(VLOOKUP(Ingresos[[#This Row],[Concatenar]],Detalle_OC[],3,FALSE),"")</f>
        <v/>
      </c>
      <c r="R152" s="10" t="str">
        <f>IFERROR(VLOOKUP(Ingresos[[#This Row],[Concatenar]],Detalle_OC[],4,FALSE),"")</f>
        <v/>
      </c>
      <c r="S152" s="7" t="str">
        <f>IFERROR(VLOOKUP(Ingresos[[#This Row],[Concatenar]],Detalle_OC[],5,FALSE),"")</f>
        <v/>
      </c>
      <c r="T152" s="7" t="str">
        <f>IF(Ingresos[[#This Row],[Fec. Entrega]]&gt;=Ingresos[[#This Row],[Fe.contable]],"",IF(Ingresos[[#This Row],[Fe.contable]]&gt;Ingresos[[#This Row],[Fec. Entrega]],"Entrega Tarde"))</f>
        <v/>
      </c>
    </row>
    <row r="153" spans="1:20" x14ac:dyDescent="0.35">
      <c r="A153" s="7" t="str">
        <f>Ingresos[[#This Row],[Centro]]&amp;Ingresos[[#This Row],[Almacén]]&amp;Ingresos[[#This Row],[Codigo]]&amp;Ingresos[[#This Row],[Pedido]]&amp;Ingresos[[#This Row],[Posición]]</f>
        <v>Sucroalcolera del Chira PlantaMontelima70032271451144989760</v>
      </c>
      <c r="B153" t="s">
        <v>41</v>
      </c>
      <c r="C153" t="s">
        <v>29</v>
      </c>
      <c r="D153" s="5">
        <v>70032271</v>
      </c>
      <c r="E153" t="s">
        <v>178</v>
      </c>
      <c r="F153" s="6">
        <v>1</v>
      </c>
      <c r="G153" t="s">
        <v>28</v>
      </c>
      <c r="H153" s="5">
        <v>101</v>
      </c>
      <c r="I153" s="5">
        <v>60</v>
      </c>
      <c r="J153" s="5">
        <v>4511449897</v>
      </c>
      <c r="K153" s="17">
        <v>44991</v>
      </c>
      <c r="L153" t="s">
        <v>176</v>
      </c>
      <c r="M153" s="6">
        <v>5052583311</v>
      </c>
      <c r="N153" t="s">
        <v>172</v>
      </c>
      <c r="O153" s="7" t="str">
        <f>IFERROR(VLOOKUP(Ingresos[[#This Row],[Pedido]],Compradores[],2,FALSE),"")</f>
        <v>JCHEROPA</v>
      </c>
      <c r="P153" s="7" t="str">
        <f>IFERROR(VLOOKUP(Ingresos[[#This Row],[Concatenar]],Detalle_OC[],2,FALSE),"")</f>
        <v/>
      </c>
      <c r="Q153" s="7" t="str">
        <f>IFERROR(VLOOKUP(Ingresos[[#This Row],[Concatenar]],Detalle_OC[],3,FALSE),"")</f>
        <v/>
      </c>
      <c r="R153" s="10" t="str">
        <f>IFERROR(VLOOKUP(Ingresos[[#This Row],[Concatenar]],Detalle_OC[],4,FALSE),"")</f>
        <v/>
      </c>
      <c r="S153" s="7" t="str">
        <f>IFERROR(VLOOKUP(Ingresos[[#This Row],[Concatenar]],Detalle_OC[],5,FALSE),"")</f>
        <v/>
      </c>
      <c r="T153" s="7" t="str">
        <f>IF(Ingresos[[#This Row],[Fec. Entrega]]&gt;=Ingresos[[#This Row],[Fe.contable]],"",IF(Ingresos[[#This Row],[Fe.contable]]&gt;Ingresos[[#This Row],[Fec. Entrega]],"Entrega Tarde"))</f>
        <v/>
      </c>
    </row>
    <row r="154" spans="1:20" x14ac:dyDescent="0.35">
      <c r="A154" s="7" t="str">
        <f>Ingresos[[#This Row],[Centro]]&amp;Ingresos[[#This Row],[Almacén]]&amp;Ingresos[[#This Row],[Codigo]]&amp;Ingresos[[#This Row],[Pedido]]&amp;Ingresos[[#This Row],[Posición]]</f>
        <v>Sucroalcolera del Chira PlantaMontelima70032272451144989750</v>
      </c>
      <c r="B154" t="s">
        <v>41</v>
      </c>
      <c r="C154" t="s">
        <v>29</v>
      </c>
      <c r="D154" s="5">
        <v>70032272</v>
      </c>
      <c r="E154" t="s">
        <v>179</v>
      </c>
      <c r="F154" s="6">
        <v>1</v>
      </c>
      <c r="G154" t="s">
        <v>28</v>
      </c>
      <c r="H154" s="5">
        <v>101</v>
      </c>
      <c r="I154" s="5">
        <v>50</v>
      </c>
      <c r="J154" s="5">
        <v>4511449897</v>
      </c>
      <c r="K154" s="17">
        <v>44991</v>
      </c>
      <c r="L154" t="s">
        <v>176</v>
      </c>
      <c r="M154" s="6">
        <v>5052583311</v>
      </c>
      <c r="N154" t="s">
        <v>172</v>
      </c>
      <c r="O154" s="7" t="str">
        <f>IFERROR(VLOOKUP(Ingresos[[#This Row],[Pedido]],Compradores[],2,FALSE),"")</f>
        <v>JCHEROPA</v>
      </c>
      <c r="P154" s="7" t="str">
        <f>IFERROR(VLOOKUP(Ingresos[[#This Row],[Concatenar]],Detalle_OC[],2,FALSE),"")</f>
        <v/>
      </c>
      <c r="Q154" s="7" t="str">
        <f>IFERROR(VLOOKUP(Ingresos[[#This Row],[Concatenar]],Detalle_OC[],3,FALSE),"")</f>
        <v/>
      </c>
      <c r="R154" s="10" t="str">
        <f>IFERROR(VLOOKUP(Ingresos[[#This Row],[Concatenar]],Detalle_OC[],4,FALSE),"")</f>
        <v/>
      </c>
      <c r="S154" s="7" t="str">
        <f>IFERROR(VLOOKUP(Ingresos[[#This Row],[Concatenar]],Detalle_OC[],5,FALSE),"")</f>
        <v/>
      </c>
      <c r="T154" s="7" t="str">
        <f>IF(Ingresos[[#This Row],[Fec. Entrega]]&gt;=Ingresos[[#This Row],[Fe.contable]],"",IF(Ingresos[[#This Row],[Fe.contable]]&gt;Ingresos[[#This Row],[Fec. Entrega]],"Entrega Tarde"))</f>
        <v/>
      </c>
    </row>
    <row r="155" spans="1:20" x14ac:dyDescent="0.35">
      <c r="A155" s="7" t="str">
        <f>Ingresos[[#This Row],[Centro]]&amp;Ingresos[[#This Row],[Almacén]]&amp;Ingresos[[#This Row],[Codigo]]&amp;Ingresos[[#This Row],[Pedido]]&amp;Ingresos[[#This Row],[Posición]]</f>
        <v>Sucroalcolera del Chira PlantaMontelima70032277451144989720</v>
      </c>
      <c r="B155" t="s">
        <v>41</v>
      </c>
      <c r="C155" t="s">
        <v>29</v>
      </c>
      <c r="D155" s="5">
        <v>70032277</v>
      </c>
      <c r="E155" t="s">
        <v>180</v>
      </c>
      <c r="F155" s="6">
        <v>5</v>
      </c>
      <c r="G155" t="s">
        <v>28</v>
      </c>
      <c r="H155" s="5">
        <v>101</v>
      </c>
      <c r="I155" s="5">
        <v>20</v>
      </c>
      <c r="J155" s="5">
        <v>4511449897</v>
      </c>
      <c r="K155" s="17">
        <v>44991</v>
      </c>
      <c r="L155" t="s">
        <v>176</v>
      </c>
      <c r="M155" s="6">
        <v>5052583311</v>
      </c>
      <c r="N155" t="s">
        <v>172</v>
      </c>
      <c r="O155" s="7" t="str">
        <f>IFERROR(VLOOKUP(Ingresos[[#This Row],[Pedido]],Compradores[],2,FALSE),"")</f>
        <v>JCHEROPA</v>
      </c>
      <c r="P155" s="7" t="str">
        <f>IFERROR(VLOOKUP(Ingresos[[#This Row],[Concatenar]],Detalle_OC[],2,FALSE),"")</f>
        <v/>
      </c>
      <c r="Q155" s="7" t="str">
        <f>IFERROR(VLOOKUP(Ingresos[[#This Row],[Concatenar]],Detalle_OC[],3,FALSE),"")</f>
        <v/>
      </c>
      <c r="R155" s="10" t="str">
        <f>IFERROR(VLOOKUP(Ingresos[[#This Row],[Concatenar]],Detalle_OC[],4,FALSE),"")</f>
        <v/>
      </c>
      <c r="S155" s="7" t="str">
        <f>IFERROR(VLOOKUP(Ingresos[[#This Row],[Concatenar]],Detalle_OC[],5,FALSE),"")</f>
        <v/>
      </c>
      <c r="T155" s="7" t="str">
        <f>IF(Ingresos[[#This Row],[Fec. Entrega]]&gt;=Ingresos[[#This Row],[Fe.contable]],"",IF(Ingresos[[#This Row],[Fe.contable]]&gt;Ingresos[[#This Row],[Fec. Entrega]],"Entrega Tarde"))</f>
        <v/>
      </c>
    </row>
    <row r="156" spans="1:20" x14ac:dyDescent="0.35">
      <c r="A156" s="7" t="str">
        <f>Ingresos[[#This Row],[Centro]]&amp;Ingresos[[#This Row],[Almacén]]&amp;Ingresos[[#This Row],[Codigo]]&amp;Ingresos[[#This Row],[Pedido]]&amp;Ingresos[[#This Row],[Posición]]</f>
        <v>Sucroalcolera del Chira PlantaMontelima70032285451144989710</v>
      </c>
      <c r="B156" t="s">
        <v>41</v>
      </c>
      <c r="C156" t="s">
        <v>29</v>
      </c>
      <c r="D156" s="5">
        <v>70032285</v>
      </c>
      <c r="E156" t="s">
        <v>181</v>
      </c>
      <c r="F156" s="6">
        <v>4</v>
      </c>
      <c r="G156" t="s">
        <v>28</v>
      </c>
      <c r="H156" s="5">
        <v>101</v>
      </c>
      <c r="I156" s="5">
        <v>10</v>
      </c>
      <c r="J156" s="5">
        <v>4511449897</v>
      </c>
      <c r="K156" s="17">
        <v>44991</v>
      </c>
      <c r="L156" t="s">
        <v>176</v>
      </c>
      <c r="M156" s="6">
        <v>5052583311</v>
      </c>
      <c r="N156" t="s">
        <v>172</v>
      </c>
      <c r="O156" s="7" t="str">
        <f>IFERROR(VLOOKUP(Ingresos[[#This Row],[Pedido]],Compradores[],2,FALSE),"")</f>
        <v>JCHEROPA</v>
      </c>
      <c r="P156" s="7" t="str">
        <f>IFERROR(VLOOKUP(Ingresos[[#This Row],[Concatenar]],Detalle_OC[],2,FALSE),"")</f>
        <v/>
      </c>
      <c r="Q156" s="7" t="str">
        <f>IFERROR(VLOOKUP(Ingresos[[#This Row],[Concatenar]],Detalle_OC[],3,FALSE),"")</f>
        <v/>
      </c>
      <c r="R156" s="10" t="str">
        <f>IFERROR(VLOOKUP(Ingresos[[#This Row],[Concatenar]],Detalle_OC[],4,FALSE),"")</f>
        <v/>
      </c>
      <c r="S156" s="7" t="str">
        <f>IFERROR(VLOOKUP(Ingresos[[#This Row],[Concatenar]],Detalle_OC[],5,FALSE),"")</f>
        <v/>
      </c>
      <c r="T156" s="7" t="str">
        <f>IF(Ingresos[[#This Row],[Fec. Entrega]]&gt;=Ingresos[[#This Row],[Fe.contable]],"",IF(Ingresos[[#This Row],[Fe.contable]]&gt;Ingresos[[#This Row],[Fec. Entrega]],"Entrega Tarde"))</f>
        <v/>
      </c>
    </row>
    <row r="157" spans="1:20" x14ac:dyDescent="0.35">
      <c r="A157" s="7" t="str">
        <f>Ingresos[[#This Row],[Centro]]&amp;Ingresos[[#This Row],[Almacén]]&amp;Ingresos[[#This Row],[Codigo]]&amp;Ingresos[[#This Row],[Pedido]]&amp;Ingresos[[#This Row],[Posición]]</f>
        <v>Sucroalcolera del Chira PlantaMontelima700241674511447189120</v>
      </c>
      <c r="B157" t="s">
        <v>41</v>
      </c>
      <c r="C157" t="s">
        <v>29</v>
      </c>
      <c r="D157" s="5">
        <v>70024167</v>
      </c>
      <c r="E157" t="s">
        <v>182</v>
      </c>
      <c r="F157" s="6">
        <v>2</v>
      </c>
      <c r="G157" t="s">
        <v>28</v>
      </c>
      <c r="H157" s="5">
        <v>101</v>
      </c>
      <c r="I157" s="5">
        <v>120</v>
      </c>
      <c r="J157" s="5">
        <v>4511447189</v>
      </c>
      <c r="K157" s="17">
        <v>44991</v>
      </c>
      <c r="L157" t="s">
        <v>183</v>
      </c>
      <c r="M157" s="6">
        <v>5052583418</v>
      </c>
      <c r="N157" t="s">
        <v>172</v>
      </c>
      <c r="O157" s="7" t="str">
        <f>IFERROR(VLOOKUP(Ingresos[[#This Row],[Pedido]],Compradores[],2,FALSE),"")</f>
        <v>JCHEROPA</v>
      </c>
      <c r="P157" s="7" t="str">
        <f>IFERROR(VLOOKUP(Ingresos[[#This Row],[Concatenar]],Detalle_OC[],2,FALSE),"")</f>
        <v xml:space="preserve">CVEGAG      </v>
      </c>
      <c r="Q157" s="7" t="str">
        <f>IFERROR(VLOOKUP(Ingresos[[#This Row],[Concatenar]],Detalle_OC[],3,FALSE),"")</f>
        <v xml:space="preserve">OPTIMIZACION CONFIABILIDAD Y      </v>
      </c>
      <c r="R157" s="10">
        <f>IFERROR(VLOOKUP(Ingresos[[#This Row],[Concatenar]],Detalle_OC[],4,FALSE),"")</f>
        <v>44986</v>
      </c>
      <c r="S157" s="7" t="str">
        <f>IFERROR(VLOOKUP(Ingresos[[#This Row],[Concatenar]],Detalle_OC[],5,FALSE),"")</f>
        <v>STOCK DE ALMACEN</v>
      </c>
      <c r="T157" s="7" t="str">
        <f>IF(Ingresos[[#This Row],[Fec. Entrega]]&gt;=Ingresos[[#This Row],[Fe.contable]],"",IF(Ingresos[[#This Row],[Fe.contable]]&gt;Ingresos[[#This Row],[Fec. Entrega]],"Entrega Tarde"))</f>
        <v>Entrega Tarde</v>
      </c>
    </row>
    <row r="158" spans="1:20" x14ac:dyDescent="0.35">
      <c r="A158" s="7" t="str">
        <f>Ingresos[[#This Row],[Centro]]&amp;Ingresos[[#This Row],[Almacén]]&amp;Ingresos[[#This Row],[Codigo]]&amp;Ingresos[[#This Row],[Pedido]]&amp;Ingresos[[#This Row],[Posición]]</f>
        <v>Sucroalcolera del Chira PlantaMontelima700241794511447189110</v>
      </c>
      <c r="B158" t="s">
        <v>41</v>
      </c>
      <c r="C158" t="s">
        <v>29</v>
      </c>
      <c r="D158" s="5">
        <v>70024179</v>
      </c>
      <c r="E158" t="s">
        <v>184</v>
      </c>
      <c r="F158" s="6">
        <v>2</v>
      </c>
      <c r="G158" t="s">
        <v>28</v>
      </c>
      <c r="H158" s="5">
        <v>101</v>
      </c>
      <c r="I158" s="5">
        <v>110</v>
      </c>
      <c r="J158" s="5">
        <v>4511447189</v>
      </c>
      <c r="K158" s="17">
        <v>44991</v>
      </c>
      <c r="L158" t="s">
        <v>183</v>
      </c>
      <c r="M158" s="6">
        <v>5052583418</v>
      </c>
      <c r="N158" t="s">
        <v>172</v>
      </c>
      <c r="O158" s="7" t="str">
        <f>IFERROR(VLOOKUP(Ingresos[[#This Row],[Pedido]],Compradores[],2,FALSE),"")</f>
        <v>JCHEROPA</v>
      </c>
      <c r="P158" s="7" t="str">
        <f>IFERROR(VLOOKUP(Ingresos[[#This Row],[Concatenar]],Detalle_OC[],2,FALSE),"")</f>
        <v xml:space="preserve">CVEGAG      </v>
      </c>
      <c r="Q158" s="7" t="str">
        <f>IFERROR(VLOOKUP(Ingresos[[#This Row],[Concatenar]],Detalle_OC[],3,FALSE),"")</f>
        <v xml:space="preserve">OPTIMIZACION CONFIABILIDAD Y      </v>
      </c>
      <c r="R158" s="10">
        <f>IFERROR(VLOOKUP(Ingresos[[#This Row],[Concatenar]],Detalle_OC[],4,FALSE),"")</f>
        <v>44986</v>
      </c>
      <c r="S158" s="7" t="str">
        <f>IFERROR(VLOOKUP(Ingresos[[#This Row],[Concatenar]],Detalle_OC[],5,FALSE),"")</f>
        <v>STOCK DE ALMACEN</v>
      </c>
      <c r="T158" s="7" t="str">
        <f>IF(Ingresos[[#This Row],[Fec. Entrega]]&gt;=Ingresos[[#This Row],[Fe.contable]],"",IF(Ingresos[[#This Row],[Fe.contable]]&gt;Ingresos[[#This Row],[Fec. Entrega]],"Entrega Tarde"))</f>
        <v>Entrega Tarde</v>
      </c>
    </row>
    <row r="159" spans="1:20" x14ac:dyDescent="0.35">
      <c r="A159" s="7" t="str">
        <f>Ingresos[[#This Row],[Centro]]&amp;Ingresos[[#This Row],[Almacén]]&amp;Ingresos[[#This Row],[Codigo]]&amp;Ingresos[[#This Row],[Pedido]]&amp;Ingresos[[#This Row],[Posición]]</f>
        <v>Sucroalcolera del Chira PlantaMontelima722283550002212680</v>
      </c>
      <c r="B159" t="s">
        <v>41</v>
      </c>
      <c r="C159" t="s">
        <v>29</v>
      </c>
      <c r="D159" s="5">
        <v>722283</v>
      </c>
      <c r="E159" t="s">
        <v>130</v>
      </c>
      <c r="F159" s="6">
        <v>260</v>
      </c>
      <c r="G159" t="s">
        <v>131</v>
      </c>
      <c r="H159" s="5">
        <v>101</v>
      </c>
      <c r="I159" s="5">
        <v>80</v>
      </c>
      <c r="J159" s="5">
        <v>5500022126</v>
      </c>
      <c r="K159" s="17">
        <v>44991</v>
      </c>
      <c r="L159" t="s">
        <v>216</v>
      </c>
      <c r="M159" s="6">
        <v>5052584825</v>
      </c>
      <c r="N159" t="s">
        <v>172</v>
      </c>
      <c r="O159" s="7" t="str">
        <f>IFERROR(VLOOKUP(Ingresos[[#This Row],[Pedido]],Compradores[],2,FALSE),"")</f>
        <v/>
      </c>
      <c r="P159" s="7" t="str">
        <f>IFERROR(VLOOKUP(Ingresos[[#This Row],[Concatenar]],Detalle_OC[],2,FALSE),"")</f>
        <v xml:space="preserve">            </v>
      </c>
      <c r="Q159" s="7" t="str">
        <f>IFERROR(VLOOKUP(Ingresos[[#This Row],[Concatenar]],Detalle_OC[],3,FALSE),"")</f>
        <v xml:space="preserve">OXYMAN COMERCIAL SAC              </v>
      </c>
      <c r="R159" s="10">
        <f>IFERROR(VLOOKUP(Ingresos[[#This Row],[Concatenar]],Detalle_OC[],4,FALSE),"")</f>
        <v>44651</v>
      </c>
      <c r="S159" s="7" t="str">
        <f>IFERROR(VLOOKUP(Ingresos[[#This Row],[Concatenar]],Detalle_OC[],5,FALSE),"")</f>
        <v>STOCK DE ALMACEN</v>
      </c>
      <c r="T159" s="7" t="str">
        <f>IF(Ingresos[[#This Row],[Fec. Entrega]]&gt;=Ingresos[[#This Row],[Fe.contable]],"",IF(Ingresos[[#This Row],[Fe.contable]]&gt;Ingresos[[#This Row],[Fec. Entrega]],"Entrega Tarde"))</f>
        <v>Entrega Tarde</v>
      </c>
    </row>
    <row r="160" spans="1:20" x14ac:dyDescent="0.35">
      <c r="A160" s="7" t="str">
        <f>Ingresos[[#This Row],[Centro]]&amp;Ingresos[[#This Row],[Almacén]]&amp;Ingresos[[#This Row],[Codigo]]&amp;Ingresos[[#This Row],[Pedido]]&amp;Ingresos[[#This Row],[Posición]]</f>
        <v>Sucroalcolera del Chira PlantaMontelima722284550002212660</v>
      </c>
      <c r="B160" t="s">
        <v>41</v>
      </c>
      <c r="C160" t="s">
        <v>29</v>
      </c>
      <c r="D160" s="5">
        <v>722284</v>
      </c>
      <c r="E160" t="s">
        <v>221</v>
      </c>
      <c r="F160" s="6">
        <v>220</v>
      </c>
      <c r="G160" t="s">
        <v>112</v>
      </c>
      <c r="H160" s="5">
        <v>101</v>
      </c>
      <c r="I160" s="5">
        <v>60</v>
      </c>
      <c r="J160" s="5">
        <v>5500022126</v>
      </c>
      <c r="K160" s="17">
        <v>44991</v>
      </c>
      <c r="L160" t="s">
        <v>222</v>
      </c>
      <c r="M160" s="6">
        <v>5052584828</v>
      </c>
      <c r="N160" t="s">
        <v>172</v>
      </c>
      <c r="O160" s="7" t="str">
        <f>IFERROR(VLOOKUP(Ingresos[[#This Row],[Pedido]],Compradores[],2,FALSE),"")</f>
        <v/>
      </c>
      <c r="P160" s="7" t="str">
        <f>IFERROR(VLOOKUP(Ingresos[[#This Row],[Concatenar]],Detalle_OC[],2,FALSE),"")</f>
        <v xml:space="preserve">            </v>
      </c>
      <c r="Q160" s="7" t="str">
        <f>IFERROR(VLOOKUP(Ingresos[[#This Row],[Concatenar]],Detalle_OC[],3,FALSE),"")</f>
        <v xml:space="preserve">OXYMAN COMERCIAL SAC              </v>
      </c>
      <c r="R160" s="10">
        <f>IFERROR(VLOOKUP(Ingresos[[#This Row],[Concatenar]],Detalle_OC[],4,FALSE),"")</f>
        <v>44453</v>
      </c>
      <c r="S160" s="7" t="str">
        <f>IFERROR(VLOOKUP(Ingresos[[#This Row],[Concatenar]],Detalle_OC[],5,FALSE),"")</f>
        <v>STOCK DE ALMACEN</v>
      </c>
      <c r="T160" s="7" t="str">
        <f>IF(Ingresos[[#This Row],[Fec. Entrega]]&gt;=Ingresos[[#This Row],[Fe.contable]],"",IF(Ingresos[[#This Row],[Fe.contable]]&gt;Ingresos[[#This Row],[Fec. Entrega]],"Entrega Tarde"))</f>
        <v>Entrega Tarde</v>
      </c>
    </row>
    <row r="161" spans="1:20" x14ac:dyDescent="0.35">
      <c r="A161" s="7" t="str">
        <f>Ingresos[[#This Row],[Centro]]&amp;Ingresos[[#This Row],[Almacén]]&amp;Ingresos[[#This Row],[Codigo]]&amp;Ingresos[[#This Row],[Pedido]]&amp;Ingresos[[#This Row],[Posición]]</f>
        <v>Sucroalcolera del Chira PlantaMontelima867867451144410220</v>
      </c>
      <c r="B161" t="s">
        <v>41</v>
      </c>
      <c r="C161" t="s">
        <v>29</v>
      </c>
      <c r="D161" s="5">
        <v>867867</v>
      </c>
      <c r="E161" t="s">
        <v>282</v>
      </c>
      <c r="F161" s="6">
        <v>2</v>
      </c>
      <c r="G161" t="s">
        <v>28</v>
      </c>
      <c r="H161" s="5">
        <v>101</v>
      </c>
      <c r="I161" s="5">
        <v>20</v>
      </c>
      <c r="J161" s="5">
        <v>4511444102</v>
      </c>
      <c r="K161" s="17">
        <v>44991</v>
      </c>
      <c r="L161" t="s">
        <v>283</v>
      </c>
      <c r="M161" s="6">
        <v>5052585280</v>
      </c>
      <c r="N161" t="s">
        <v>172</v>
      </c>
      <c r="O161" s="7" t="str">
        <f>IFERROR(VLOOKUP(Ingresos[[#This Row],[Pedido]],Compradores[],2,FALSE),"")</f>
        <v>JCHAPARROB</v>
      </c>
      <c r="P161" s="7" t="str">
        <f>IFERROR(VLOOKUP(Ingresos[[#This Row],[Concatenar]],Detalle_OC[],2,FALSE),"")</f>
        <v>Plan.Mant.Su</v>
      </c>
      <c r="Q161" s="7" t="str">
        <f>IFERROR(VLOOKUP(Ingresos[[#This Row],[Concatenar]],Detalle_OC[],3,FALSE),"")</f>
        <v xml:space="preserve">FACTORIA LIBERTAD SCRL            </v>
      </c>
      <c r="R161" s="10">
        <f>IFERROR(VLOOKUP(Ingresos[[#This Row],[Concatenar]],Detalle_OC[],4,FALSE),"")</f>
        <v>44974</v>
      </c>
      <c r="S161" s="7" t="str">
        <f>IFERROR(VLOOKUP(Ingresos[[#This Row],[Concatenar]],Detalle_OC[],5,FALSE),"")</f>
        <v>STOCK DE ALMACEN</v>
      </c>
      <c r="T161" s="7" t="str">
        <f>IF(Ingresos[[#This Row],[Fec. Entrega]]&gt;=Ingresos[[#This Row],[Fe.contable]],"",IF(Ingresos[[#This Row],[Fe.contable]]&gt;Ingresos[[#This Row],[Fec. Entrega]],"Entrega Tarde"))</f>
        <v>Entrega Tarde</v>
      </c>
    </row>
    <row r="162" spans="1:20" x14ac:dyDescent="0.35">
      <c r="A162" s="7" t="str">
        <f>Ingresos[[#This Row],[Centro]]&amp;Ingresos[[#This Row],[Almacén]]&amp;Ingresos[[#This Row],[Codigo]]&amp;Ingresos[[#This Row],[Pedido]]&amp;Ingresos[[#This Row],[Posición]]</f>
        <v>Sucroalcolera del Chira PlantaMontelima878996451145060810</v>
      </c>
      <c r="B162" t="s">
        <v>41</v>
      </c>
      <c r="C162" t="s">
        <v>29</v>
      </c>
      <c r="D162" s="5">
        <v>878996</v>
      </c>
      <c r="E162" t="s">
        <v>284</v>
      </c>
      <c r="F162" s="6">
        <v>1</v>
      </c>
      <c r="G162" t="s">
        <v>28</v>
      </c>
      <c r="H162" s="5">
        <v>101</v>
      </c>
      <c r="I162" s="5">
        <v>10</v>
      </c>
      <c r="J162" s="5">
        <v>4511450608</v>
      </c>
      <c r="K162" s="17">
        <v>44991</v>
      </c>
      <c r="L162" t="s">
        <v>285</v>
      </c>
      <c r="M162" s="6">
        <v>5052585282</v>
      </c>
      <c r="N162" t="s">
        <v>172</v>
      </c>
      <c r="O162" s="7" t="str">
        <f>IFERROR(VLOOKUP(Ingresos[[#This Row],[Pedido]],Compradores[],2,FALSE),"")</f>
        <v>JCHAPARROB</v>
      </c>
      <c r="P162" s="7" t="str">
        <f>IFERROR(VLOOKUP(Ingresos[[#This Row],[Concatenar]],Detalle_OC[],2,FALSE),"")</f>
        <v>Mtto Mecanic</v>
      </c>
      <c r="Q162" s="7" t="str">
        <f>IFERROR(VLOOKUP(Ingresos[[#This Row],[Concatenar]],Detalle_OC[],3,FALSE),"")</f>
        <v xml:space="preserve">FACTORIA LIBERTAD SCRL            </v>
      </c>
      <c r="R162" s="10">
        <f>IFERROR(VLOOKUP(Ingresos[[#This Row],[Concatenar]],Detalle_OC[],4,FALSE),"")</f>
        <v>44984</v>
      </c>
      <c r="S162" s="7" t="str">
        <f>IFERROR(VLOOKUP(Ingresos[[#This Row],[Concatenar]],Detalle_OC[],5,FALSE),"")</f>
        <v>STOCK DE ALMACEN</v>
      </c>
      <c r="T162" s="7" t="str">
        <f>IF(Ingresos[[#This Row],[Fec. Entrega]]&gt;=Ingresos[[#This Row],[Fe.contable]],"",IF(Ingresos[[#This Row],[Fe.contable]]&gt;Ingresos[[#This Row],[Fec. Entrega]],"Entrega Tarde"))</f>
        <v>Entrega Tarde</v>
      </c>
    </row>
    <row r="163" spans="1:20" x14ac:dyDescent="0.35">
      <c r="A163" s="7" t="str">
        <f>Ingresos[[#This Row],[Centro]]&amp;Ingresos[[#This Row],[Almacén]]&amp;Ingresos[[#This Row],[Codigo]]&amp;Ingresos[[#This Row],[Pedido]]&amp;Ingresos[[#This Row],[Posición]]</f>
        <v>Sucroalcolera del Chira PlantaMontelima722284550002212660</v>
      </c>
      <c r="B163" t="s">
        <v>41</v>
      </c>
      <c r="C163" t="s">
        <v>29</v>
      </c>
      <c r="D163" s="5">
        <v>722284</v>
      </c>
      <c r="E163" t="s">
        <v>221</v>
      </c>
      <c r="F163" s="6">
        <v>-220</v>
      </c>
      <c r="G163" t="s">
        <v>112</v>
      </c>
      <c r="H163" s="5">
        <v>102</v>
      </c>
      <c r="I163" s="5">
        <v>60</v>
      </c>
      <c r="J163" s="5">
        <v>5500022126</v>
      </c>
      <c r="K163" s="17">
        <v>44991</v>
      </c>
      <c r="L163" t="s">
        <v>222</v>
      </c>
      <c r="M163" s="6">
        <v>5052585333</v>
      </c>
      <c r="N163" t="s">
        <v>172</v>
      </c>
      <c r="O163" s="7" t="str">
        <f>IFERROR(VLOOKUP(Ingresos[[#This Row],[Pedido]],Compradores[],2,FALSE),"")</f>
        <v/>
      </c>
      <c r="P163" s="7" t="str">
        <f>IFERROR(VLOOKUP(Ingresos[[#This Row],[Concatenar]],Detalle_OC[],2,FALSE),"")</f>
        <v xml:space="preserve">            </v>
      </c>
      <c r="Q163" s="7" t="str">
        <f>IFERROR(VLOOKUP(Ingresos[[#This Row],[Concatenar]],Detalle_OC[],3,FALSE),"")</f>
        <v xml:space="preserve">OXYMAN COMERCIAL SAC              </v>
      </c>
      <c r="R163" s="10">
        <f>IFERROR(VLOOKUP(Ingresos[[#This Row],[Concatenar]],Detalle_OC[],4,FALSE),"")</f>
        <v>44453</v>
      </c>
      <c r="S163" s="7" t="str">
        <f>IFERROR(VLOOKUP(Ingresos[[#This Row],[Concatenar]],Detalle_OC[],5,FALSE),"")</f>
        <v>STOCK DE ALMACEN</v>
      </c>
      <c r="T163" s="7" t="str">
        <f>IF(Ingresos[[#This Row],[Fec. Entrega]]&gt;=Ingresos[[#This Row],[Fe.contable]],"",IF(Ingresos[[#This Row],[Fe.contable]]&gt;Ingresos[[#This Row],[Fec. Entrega]],"Entrega Tarde"))</f>
        <v>Entrega Tarde</v>
      </c>
    </row>
    <row r="164" spans="1:20" x14ac:dyDescent="0.35">
      <c r="A164" s="7" t="str">
        <f>Ingresos[[#This Row],[Centro]]&amp;Ingresos[[#This Row],[Almacén]]&amp;Ingresos[[#This Row],[Codigo]]&amp;Ingresos[[#This Row],[Pedido]]&amp;Ingresos[[#This Row],[Posición]]</f>
        <v>Sucroalcolera del Chira PlantaMontelima722284451145465010</v>
      </c>
      <c r="B164" t="s">
        <v>41</v>
      </c>
      <c r="C164" t="s">
        <v>29</v>
      </c>
      <c r="D164" s="5">
        <v>722284</v>
      </c>
      <c r="E164" t="s">
        <v>221</v>
      </c>
      <c r="F164" s="6">
        <v>220</v>
      </c>
      <c r="G164" t="s">
        <v>112</v>
      </c>
      <c r="H164" s="5">
        <v>101</v>
      </c>
      <c r="I164" s="5">
        <v>10</v>
      </c>
      <c r="J164" s="5">
        <v>4511454650</v>
      </c>
      <c r="K164" s="17">
        <v>44991</v>
      </c>
      <c r="L164" t="s">
        <v>222</v>
      </c>
      <c r="M164" s="6">
        <v>5052585426</v>
      </c>
      <c r="N164" t="s">
        <v>172</v>
      </c>
      <c r="O164" s="7" t="str">
        <f>IFERROR(VLOOKUP(Ingresos[[#This Row],[Pedido]],Compradores[],2,FALSE),"")</f>
        <v>JCHEROPA</v>
      </c>
      <c r="P164" s="7" t="str">
        <f>IFERROR(VLOOKUP(Ingresos[[#This Row],[Concatenar]],Detalle_OC[],2,FALSE),"")</f>
        <v>Mtto Mecanic</v>
      </c>
      <c r="Q164" s="7" t="str">
        <f>IFERROR(VLOOKUP(Ingresos[[#This Row],[Concatenar]],Detalle_OC[],3,FALSE),"")</f>
        <v xml:space="preserve">OXYMAN COMERCIAL SAC              </v>
      </c>
      <c r="R164" s="10">
        <f>IFERROR(VLOOKUP(Ingresos[[#This Row],[Concatenar]],Detalle_OC[],4,FALSE),"")</f>
        <v>44984</v>
      </c>
      <c r="S164" s="7" t="str">
        <f>IFERROR(VLOOKUP(Ingresos[[#This Row],[Concatenar]],Detalle_OC[],5,FALSE),"")</f>
        <v>STOCK DE ALMACEN</v>
      </c>
      <c r="T164" s="7" t="str">
        <f>IF(Ingresos[[#This Row],[Fec. Entrega]]&gt;=Ingresos[[#This Row],[Fe.contable]],"",IF(Ingresos[[#This Row],[Fe.contable]]&gt;Ingresos[[#This Row],[Fec. Entrega]],"Entrega Tarde"))</f>
        <v>Entrega Tarde</v>
      </c>
    </row>
    <row r="165" spans="1:20" x14ac:dyDescent="0.35">
      <c r="A165" s="7" t="str">
        <f>Ingresos[[#This Row],[Centro]]&amp;Ingresos[[#This Row],[Almacén]]&amp;Ingresos[[#This Row],[Codigo]]&amp;Ingresos[[#This Row],[Pedido]]&amp;Ingresos[[#This Row],[Posición]]</f>
        <v>Sucroalcolera del Chira PlantaMontelima70087184451145418710</v>
      </c>
      <c r="B165" t="s">
        <v>41</v>
      </c>
      <c r="C165" t="s">
        <v>29</v>
      </c>
      <c r="D165" s="5">
        <v>70087184</v>
      </c>
      <c r="E165" t="s">
        <v>302</v>
      </c>
      <c r="F165" s="6">
        <v>200</v>
      </c>
      <c r="G165" t="s">
        <v>28</v>
      </c>
      <c r="H165" s="5">
        <v>101</v>
      </c>
      <c r="I165" s="5">
        <v>10</v>
      </c>
      <c r="J165" s="5">
        <v>4511454187</v>
      </c>
      <c r="K165" s="17">
        <v>44993</v>
      </c>
      <c r="L165" t="s">
        <v>303</v>
      </c>
      <c r="M165" s="6">
        <v>5052586798</v>
      </c>
      <c r="N165" t="s">
        <v>172</v>
      </c>
      <c r="O165" s="7" t="str">
        <f>IFERROR(VLOOKUP(Ingresos[[#This Row],[Pedido]],Compradores[],2,FALSE),"")</f>
        <v>IRAMOSA</v>
      </c>
      <c r="P165" s="7" t="str">
        <f>IFERROR(VLOOKUP(Ingresos[[#This Row],[Concatenar]],Detalle_OC[],2,FALSE),"")</f>
        <v/>
      </c>
      <c r="Q165" s="7" t="str">
        <f>IFERROR(VLOOKUP(Ingresos[[#This Row],[Concatenar]],Detalle_OC[],3,FALSE),"")</f>
        <v/>
      </c>
      <c r="R165" s="10" t="str">
        <f>IFERROR(VLOOKUP(Ingresos[[#This Row],[Concatenar]],Detalle_OC[],4,FALSE),"")</f>
        <v/>
      </c>
      <c r="S165" s="7" t="str">
        <f>IFERROR(VLOOKUP(Ingresos[[#This Row],[Concatenar]],Detalle_OC[],5,FALSE),"")</f>
        <v/>
      </c>
      <c r="T165" s="7" t="str">
        <f>IF(Ingresos[[#This Row],[Fec. Entrega]]&gt;=Ingresos[[#This Row],[Fe.contable]],"",IF(Ingresos[[#This Row],[Fe.contable]]&gt;Ingresos[[#This Row],[Fec. Entrega]],"Entrega Tarde"))</f>
        <v/>
      </c>
    </row>
    <row r="166" spans="1:20" x14ac:dyDescent="0.35">
      <c r="A166" s="7" t="str">
        <f>Ingresos[[#This Row],[Centro]]&amp;Ingresos[[#This Row],[Almacén]]&amp;Ingresos[[#This Row],[Codigo]]&amp;Ingresos[[#This Row],[Pedido]]&amp;Ingresos[[#This Row],[Posición]]</f>
        <v>Bioenergía del Chira PlantaMontelima70062793451145120010</v>
      </c>
      <c r="B166" t="s">
        <v>57</v>
      </c>
      <c r="C166" t="s">
        <v>29</v>
      </c>
      <c r="D166" s="5">
        <v>70062793</v>
      </c>
      <c r="E166" t="s">
        <v>304</v>
      </c>
      <c r="F166" s="6">
        <v>2</v>
      </c>
      <c r="G166" t="s">
        <v>28</v>
      </c>
      <c r="H166" s="5">
        <v>101</v>
      </c>
      <c r="I166" s="5">
        <v>10</v>
      </c>
      <c r="J166" s="5">
        <v>4511451200</v>
      </c>
      <c r="K166" s="17">
        <v>44993</v>
      </c>
      <c r="L166" t="s">
        <v>305</v>
      </c>
      <c r="M166" s="6">
        <v>5052586799</v>
      </c>
      <c r="N166" t="s">
        <v>172</v>
      </c>
      <c r="O166" s="7" t="str">
        <f>IFERROR(VLOOKUP(Ingresos[[#This Row],[Pedido]],Compradores[],2,FALSE),"")</f>
        <v>IRAMOSA</v>
      </c>
      <c r="P166" s="7" t="str">
        <f>IFERROR(VLOOKUP(Ingresos[[#This Row],[Concatenar]],Detalle_OC[],2,FALSE),"")</f>
        <v xml:space="preserve">CVEGAG      </v>
      </c>
      <c r="Q166" s="7" t="str">
        <f>IFERROR(VLOOKUP(Ingresos[[#This Row],[Concatenar]],Detalle_OC[],3,FALSE),"")</f>
        <v xml:space="preserve">DATSUL S.R.L.                     </v>
      </c>
      <c r="R166" s="10">
        <f>IFERROR(VLOOKUP(Ingresos[[#This Row],[Concatenar]],Detalle_OC[],4,FALSE),"")</f>
        <v>45016</v>
      </c>
      <c r="S166" s="7" t="str">
        <f>IFERROR(VLOOKUP(Ingresos[[#This Row],[Concatenar]],Detalle_OC[],5,FALSE),"")</f>
        <v>STOCK DE ALMACEN</v>
      </c>
      <c r="T166" s="7" t="str">
        <f>IF(Ingresos[[#This Row],[Fec. Entrega]]&gt;=Ingresos[[#This Row],[Fe.contable]],"",IF(Ingresos[[#This Row],[Fe.contable]]&gt;Ingresos[[#This Row],[Fec. Entrega]],"Entrega Tarde"))</f>
        <v/>
      </c>
    </row>
    <row r="167" spans="1:20" x14ac:dyDescent="0.35">
      <c r="A167" s="7" t="str">
        <f>Ingresos[[#This Row],[Centro]]&amp;Ingresos[[#This Row],[Almacén]]&amp;Ingresos[[#This Row],[Codigo]]&amp;Ingresos[[#This Row],[Pedido]]&amp;Ingresos[[#This Row],[Posición]]</f>
        <v>Bioenergía del Chira PlantaMontelima70062793451145120020</v>
      </c>
      <c r="B167" t="s">
        <v>57</v>
      </c>
      <c r="C167" t="s">
        <v>29</v>
      </c>
      <c r="D167" s="5">
        <v>70062793</v>
      </c>
      <c r="E167" t="s">
        <v>304</v>
      </c>
      <c r="F167" s="6">
        <v>1</v>
      </c>
      <c r="G167" t="s">
        <v>28</v>
      </c>
      <c r="H167" s="5">
        <v>101</v>
      </c>
      <c r="I167" s="5">
        <v>20</v>
      </c>
      <c r="J167" s="5">
        <v>4511451200</v>
      </c>
      <c r="K167" s="17">
        <v>44993</v>
      </c>
      <c r="L167" t="s">
        <v>305</v>
      </c>
      <c r="M167" s="6">
        <v>5052586799</v>
      </c>
      <c r="N167" t="s">
        <v>172</v>
      </c>
      <c r="O167" s="7" t="str">
        <f>IFERROR(VLOOKUP(Ingresos[[#This Row],[Pedido]],Compradores[],2,FALSE),"")</f>
        <v>IRAMOSA</v>
      </c>
      <c r="P167" s="7" t="str">
        <f>IFERROR(VLOOKUP(Ingresos[[#This Row],[Concatenar]],Detalle_OC[],2,FALSE),"")</f>
        <v>Mtto Eléctri</v>
      </c>
      <c r="Q167" s="7" t="str">
        <f>IFERROR(VLOOKUP(Ingresos[[#This Row],[Concatenar]],Detalle_OC[],3,FALSE),"")</f>
        <v xml:space="preserve">DATSUL S.R.L.                     </v>
      </c>
      <c r="R167" s="10">
        <f>IFERROR(VLOOKUP(Ingresos[[#This Row],[Concatenar]],Detalle_OC[],4,FALSE),"")</f>
        <v>44994</v>
      </c>
      <c r="S167" s="7" t="str">
        <f>IFERROR(VLOOKUP(Ingresos[[#This Row],[Concatenar]],Detalle_OC[],5,FALSE),"")</f>
        <v>STOCK DE ALMACEN</v>
      </c>
      <c r="T167" s="7" t="str">
        <f>IF(Ingresos[[#This Row],[Fec. Entrega]]&gt;=Ingresos[[#This Row],[Fe.contable]],"",IF(Ingresos[[#This Row],[Fe.contable]]&gt;Ingresos[[#This Row],[Fec. Entrega]],"Entrega Tarde"))</f>
        <v/>
      </c>
    </row>
    <row r="168" spans="1:20" x14ac:dyDescent="0.35">
      <c r="A168" s="7" t="str">
        <f>Ingresos[[#This Row],[Centro]]&amp;Ingresos[[#This Row],[Almacén]]&amp;Ingresos[[#This Row],[Codigo]]&amp;Ingresos[[#This Row],[Pedido]]&amp;Ingresos[[#This Row],[Posición]]</f>
        <v>Sucroalcolera del Chira PlantaMontelima750393451144816910</v>
      </c>
      <c r="B168" t="s">
        <v>41</v>
      </c>
      <c r="C168" t="s">
        <v>29</v>
      </c>
      <c r="D168" s="5">
        <v>750393</v>
      </c>
      <c r="E168" t="s">
        <v>142</v>
      </c>
      <c r="F168" s="6">
        <v>8</v>
      </c>
      <c r="G168" t="s">
        <v>126</v>
      </c>
      <c r="H168" s="5">
        <v>101</v>
      </c>
      <c r="I168" s="5">
        <v>10</v>
      </c>
      <c r="J168" s="5">
        <v>4511448169</v>
      </c>
      <c r="K168" s="17">
        <v>44993</v>
      </c>
      <c r="L168" t="s">
        <v>306</v>
      </c>
      <c r="M168" s="6">
        <v>5052586839</v>
      </c>
      <c r="N168" t="s">
        <v>172</v>
      </c>
      <c r="O168" s="7" t="str">
        <f>IFERROR(VLOOKUP(Ingresos[[#This Row],[Pedido]],Compradores[],2,FALSE),"")</f>
        <v>IRAMOSA</v>
      </c>
      <c r="P168" s="7" t="str">
        <f>IFERROR(VLOOKUP(Ingresos[[#This Row],[Concatenar]],Detalle_OC[],2,FALSE),"")</f>
        <v>Pl Sucroalco</v>
      </c>
      <c r="Q168" s="7" t="str">
        <f>IFERROR(VLOOKUP(Ingresos[[#This Row],[Concatenar]],Detalle_OC[],3,FALSE),"")</f>
        <v xml:space="preserve">OLYMPUS INDUSTRIAS SRL            </v>
      </c>
      <c r="R168" s="10">
        <f>IFERROR(VLOOKUP(Ingresos[[#This Row],[Concatenar]],Detalle_OC[],4,FALSE),"")</f>
        <v>44988</v>
      </c>
      <c r="S168" s="7" t="str">
        <f>IFERROR(VLOOKUP(Ingresos[[#This Row],[Concatenar]],Detalle_OC[],5,FALSE),"")</f>
        <v>STOCK DE ALMACEN</v>
      </c>
      <c r="T168" s="7" t="str">
        <f>IF(Ingresos[[#This Row],[Fec. Entrega]]&gt;=Ingresos[[#This Row],[Fe.contable]],"",IF(Ingresos[[#This Row],[Fe.contable]]&gt;Ingresos[[#This Row],[Fec. Entrega]],"Entrega Tarde"))</f>
        <v>Entrega Tarde</v>
      </c>
    </row>
    <row r="169" spans="1:20" x14ac:dyDescent="0.35">
      <c r="A169" s="7" t="str">
        <f>Ingresos[[#This Row],[Centro]]&amp;Ingresos[[#This Row],[Almacén]]&amp;Ingresos[[#This Row],[Codigo]]&amp;Ingresos[[#This Row],[Pedido]]&amp;Ingresos[[#This Row],[Posición]]</f>
        <v>Agricola del Chira PlantaMontelima839395451145363320</v>
      </c>
      <c r="B169" t="s">
        <v>27</v>
      </c>
      <c r="C169" t="s">
        <v>29</v>
      </c>
      <c r="D169" s="5">
        <v>839395</v>
      </c>
      <c r="E169" t="s">
        <v>307</v>
      </c>
      <c r="F169" s="6">
        <v>1</v>
      </c>
      <c r="G169" t="s">
        <v>28</v>
      </c>
      <c r="H169" s="5">
        <v>101</v>
      </c>
      <c r="I169" s="5">
        <v>20</v>
      </c>
      <c r="J169" s="5">
        <v>4511453633</v>
      </c>
      <c r="K169" s="17">
        <v>44993</v>
      </c>
      <c r="L169" t="s">
        <v>308</v>
      </c>
      <c r="M169" s="6">
        <v>5052586888</v>
      </c>
      <c r="N169" t="s">
        <v>172</v>
      </c>
      <c r="O169" s="7" t="str">
        <f>IFERROR(VLOOKUP(Ingresos[[#This Row],[Pedido]],Compradores[],2,FALSE),"")</f>
        <v>IRAMOSA</v>
      </c>
      <c r="P169" s="7" t="str">
        <f>IFERROR(VLOOKUP(Ingresos[[#This Row],[Concatenar]],Detalle_OC[],2,FALSE),"")</f>
        <v>Plan. Mant.C</v>
      </c>
      <c r="Q169" s="7" t="str">
        <f>IFERROR(VLOOKUP(Ingresos[[#This Row],[Concatenar]],Detalle_OC[],3,FALSE),"")</f>
        <v xml:space="preserve">SUDAMERIS PERU SAC                </v>
      </c>
      <c r="R169" s="10">
        <f>IFERROR(VLOOKUP(Ingresos[[#This Row],[Concatenar]],Detalle_OC[],4,FALSE),"")</f>
        <v>45000</v>
      </c>
      <c r="S169" s="7" t="str">
        <f>IFERROR(VLOOKUP(Ingresos[[#This Row],[Concatenar]],Detalle_OC[],5,FALSE),"")</f>
        <v>STOCK DE ALMACEN</v>
      </c>
      <c r="T169" s="7" t="str">
        <f>IF(Ingresos[[#This Row],[Fec. Entrega]]&gt;=Ingresos[[#This Row],[Fe.contable]],"",IF(Ingresos[[#This Row],[Fe.contable]]&gt;Ingresos[[#This Row],[Fec. Entrega]],"Entrega Tarde"))</f>
        <v/>
      </c>
    </row>
    <row r="170" spans="1:20" x14ac:dyDescent="0.35">
      <c r="A170" s="7" t="str">
        <f>Ingresos[[#This Row],[Centro]]&amp;Ingresos[[#This Row],[Almacén]]&amp;Ingresos[[#This Row],[Codigo]]&amp;Ingresos[[#This Row],[Pedido]]&amp;Ingresos[[#This Row],[Posición]]</f>
        <v>Agricola del Chira PlantaMontelima851911451145363310</v>
      </c>
      <c r="B170" t="s">
        <v>27</v>
      </c>
      <c r="C170" t="s">
        <v>29</v>
      </c>
      <c r="D170" s="5">
        <v>851911</v>
      </c>
      <c r="E170" t="s">
        <v>309</v>
      </c>
      <c r="F170" s="6">
        <v>1</v>
      </c>
      <c r="G170" t="s">
        <v>28</v>
      </c>
      <c r="H170" s="5">
        <v>101</v>
      </c>
      <c r="I170" s="5">
        <v>10</v>
      </c>
      <c r="J170" s="5">
        <v>4511453633</v>
      </c>
      <c r="K170" s="17">
        <v>44993</v>
      </c>
      <c r="L170" t="s">
        <v>308</v>
      </c>
      <c r="M170" s="6">
        <v>5052586888</v>
      </c>
      <c r="N170" t="s">
        <v>172</v>
      </c>
      <c r="O170" s="7" t="str">
        <f>IFERROR(VLOOKUP(Ingresos[[#This Row],[Pedido]],Compradores[],2,FALSE),"")</f>
        <v>IRAMOSA</v>
      </c>
      <c r="P170" s="7" t="str">
        <f>IFERROR(VLOOKUP(Ingresos[[#This Row],[Concatenar]],Detalle_OC[],2,FALSE),"")</f>
        <v>Plan. Mant.C</v>
      </c>
      <c r="Q170" s="7" t="str">
        <f>IFERROR(VLOOKUP(Ingresos[[#This Row],[Concatenar]],Detalle_OC[],3,FALSE),"")</f>
        <v xml:space="preserve">SUDAMERIS PERU SAC                </v>
      </c>
      <c r="R170" s="10">
        <f>IFERROR(VLOOKUP(Ingresos[[#This Row],[Concatenar]],Detalle_OC[],4,FALSE),"")</f>
        <v>45000</v>
      </c>
      <c r="S170" s="7" t="str">
        <f>IFERROR(VLOOKUP(Ingresos[[#This Row],[Concatenar]],Detalle_OC[],5,FALSE),"")</f>
        <v>STOCK DE ALMACEN</v>
      </c>
      <c r="T170" s="7" t="str">
        <f>IF(Ingresos[[#This Row],[Fec. Entrega]]&gt;=Ingresos[[#This Row],[Fe.contable]],"",IF(Ingresos[[#This Row],[Fe.contable]]&gt;Ingresos[[#This Row],[Fec. Entrega]],"Entrega Tarde"))</f>
        <v/>
      </c>
    </row>
    <row r="171" spans="1:20" x14ac:dyDescent="0.35">
      <c r="A171" s="7" t="str">
        <f>Ingresos[[#This Row],[Centro]]&amp;Ingresos[[#This Row],[Almacén]]&amp;Ingresos[[#This Row],[Codigo]]&amp;Ingresos[[#This Row],[Pedido]]&amp;Ingresos[[#This Row],[Posición]]</f>
        <v>Agricola del Chira PlantaMontelima70110202451145363340</v>
      </c>
      <c r="B171" t="s">
        <v>27</v>
      </c>
      <c r="C171" t="s">
        <v>29</v>
      </c>
      <c r="D171" s="5">
        <v>70110202</v>
      </c>
      <c r="E171" t="s">
        <v>310</v>
      </c>
      <c r="F171" s="6">
        <v>3</v>
      </c>
      <c r="G171" t="s">
        <v>28</v>
      </c>
      <c r="H171" s="5">
        <v>101</v>
      </c>
      <c r="I171" s="5">
        <v>40</v>
      </c>
      <c r="J171" s="5">
        <v>4511453633</v>
      </c>
      <c r="K171" s="17">
        <v>44993</v>
      </c>
      <c r="L171" t="s">
        <v>308</v>
      </c>
      <c r="M171" s="6">
        <v>5052586888</v>
      </c>
      <c r="N171" t="s">
        <v>172</v>
      </c>
      <c r="O171" s="7" t="str">
        <f>IFERROR(VLOOKUP(Ingresos[[#This Row],[Pedido]],Compradores[],2,FALSE),"")</f>
        <v>IRAMOSA</v>
      </c>
      <c r="P171" s="7" t="str">
        <f>IFERROR(VLOOKUP(Ingresos[[#This Row],[Concatenar]],Detalle_OC[],2,FALSE),"")</f>
        <v>Implement ag</v>
      </c>
      <c r="Q171" s="7" t="str">
        <f>IFERROR(VLOOKUP(Ingresos[[#This Row],[Concatenar]],Detalle_OC[],3,FALSE),"")</f>
        <v xml:space="preserve">SUDAMERIS PERU SAC                </v>
      </c>
      <c r="R171" s="10">
        <f>IFERROR(VLOOKUP(Ingresos[[#This Row],[Concatenar]],Detalle_OC[],4,FALSE),"")</f>
        <v>45000</v>
      </c>
      <c r="S171" s="7" t="str">
        <f>IFERROR(VLOOKUP(Ingresos[[#This Row],[Concatenar]],Detalle_OC[],5,FALSE),"")</f>
        <v>STOCK DE ALMACEN</v>
      </c>
      <c r="T171" s="7" t="str">
        <f>IF(Ingresos[[#This Row],[Fec. Entrega]]&gt;=Ingresos[[#This Row],[Fe.contable]],"",IF(Ingresos[[#This Row],[Fe.contable]]&gt;Ingresos[[#This Row],[Fec. Entrega]],"Entrega Tarde"))</f>
        <v/>
      </c>
    </row>
    <row r="172" spans="1:20" x14ac:dyDescent="0.35">
      <c r="A172" s="7" t="str">
        <f>Ingresos[[#This Row],[Centro]]&amp;Ingresos[[#This Row],[Almacén]]&amp;Ingresos[[#This Row],[Codigo]]&amp;Ingresos[[#This Row],[Pedido]]&amp;Ingresos[[#This Row],[Posición]]</f>
        <v>Agricola del Chira PlantaMontelima70112941451145363330</v>
      </c>
      <c r="B172" t="s">
        <v>27</v>
      </c>
      <c r="C172" t="s">
        <v>29</v>
      </c>
      <c r="D172" s="5">
        <v>70112941</v>
      </c>
      <c r="E172" t="s">
        <v>311</v>
      </c>
      <c r="F172" s="6">
        <v>2</v>
      </c>
      <c r="G172" t="s">
        <v>28</v>
      </c>
      <c r="H172" s="5">
        <v>101</v>
      </c>
      <c r="I172" s="5">
        <v>30</v>
      </c>
      <c r="J172" s="5">
        <v>4511453633</v>
      </c>
      <c r="K172" s="17">
        <v>44993</v>
      </c>
      <c r="L172" t="s">
        <v>308</v>
      </c>
      <c r="M172" s="6">
        <v>5052586888</v>
      </c>
      <c r="N172" t="s">
        <v>172</v>
      </c>
      <c r="O172" s="7" t="str">
        <f>IFERROR(VLOOKUP(Ingresos[[#This Row],[Pedido]],Compradores[],2,FALSE),"")</f>
        <v>IRAMOSA</v>
      </c>
      <c r="P172" s="7" t="str">
        <f>IFERROR(VLOOKUP(Ingresos[[#This Row],[Concatenar]],Detalle_OC[],2,FALSE),"")</f>
        <v>Implement ag</v>
      </c>
      <c r="Q172" s="7" t="str">
        <f>IFERROR(VLOOKUP(Ingresos[[#This Row],[Concatenar]],Detalle_OC[],3,FALSE),"")</f>
        <v xml:space="preserve">SUDAMERIS PERU SAC                </v>
      </c>
      <c r="R172" s="10">
        <f>IFERROR(VLOOKUP(Ingresos[[#This Row],[Concatenar]],Detalle_OC[],4,FALSE),"")</f>
        <v>45000</v>
      </c>
      <c r="S172" s="7" t="str">
        <f>IFERROR(VLOOKUP(Ingresos[[#This Row],[Concatenar]],Detalle_OC[],5,FALSE),"")</f>
        <v>STOCK DE ALMACEN</v>
      </c>
      <c r="T172" s="7" t="str">
        <f>IF(Ingresos[[#This Row],[Fec. Entrega]]&gt;=Ingresos[[#This Row],[Fe.contable]],"",IF(Ingresos[[#This Row],[Fe.contable]]&gt;Ingresos[[#This Row],[Fec. Entrega]],"Entrega Tarde"))</f>
        <v/>
      </c>
    </row>
    <row r="173" spans="1:20" x14ac:dyDescent="0.35">
      <c r="A173" s="7" t="str">
        <f>Ingresos[[#This Row],[Centro]]&amp;Ingresos[[#This Row],[Almacén]]&amp;Ingresos[[#This Row],[Codigo]]&amp;Ingresos[[#This Row],[Pedido]]&amp;Ingresos[[#This Row],[Posición]]</f>
        <v>Bioenergía del Chira PlantaMontelima814041451145406240</v>
      </c>
      <c r="B173" t="s">
        <v>57</v>
      </c>
      <c r="C173" t="s">
        <v>29</v>
      </c>
      <c r="D173" s="5">
        <v>814041</v>
      </c>
      <c r="E173" t="s">
        <v>312</v>
      </c>
      <c r="F173" s="6">
        <v>2</v>
      </c>
      <c r="G173" t="s">
        <v>28</v>
      </c>
      <c r="H173" s="5">
        <v>101</v>
      </c>
      <c r="I173" s="5">
        <v>40</v>
      </c>
      <c r="J173" s="5">
        <v>4511454062</v>
      </c>
      <c r="K173" s="17">
        <v>44993</v>
      </c>
      <c r="L173" t="s">
        <v>313</v>
      </c>
      <c r="M173" s="6">
        <v>5052586889</v>
      </c>
      <c r="N173" t="s">
        <v>172</v>
      </c>
      <c r="O173" s="7" t="str">
        <f>IFERROR(VLOOKUP(Ingresos[[#This Row],[Pedido]],Compradores[],2,FALSE),"")</f>
        <v>IRAMOSA</v>
      </c>
      <c r="P173" s="7" t="str">
        <f>IFERROR(VLOOKUP(Ingresos[[#This Row],[Concatenar]],Detalle_OC[],2,FALSE),"")</f>
        <v>Mtto Mecánic</v>
      </c>
      <c r="Q173" s="7" t="str">
        <f>IFERROR(VLOOKUP(Ingresos[[#This Row],[Concatenar]],Detalle_OC[],3,FALSE),"")</f>
        <v xml:space="preserve">SUDAMERIS PERU SAC                </v>
      </c>
      <c r="R173" s="10">
        <f>IFERROR(VLOOKUP(Ingresos[[#This Row],[Concatenar]],Detalle_OC[],4,FALSE),"")</f>
        <v>45000</v>
      </c>
      <c r="S173" s="7" t="str">
        <f>IFERROR(VLOOKUP(Ingresos[[#This Row],[Concatenar]],Detalle_OC[],5,FALSE),"")</f>
        <v>STOCK DE ALMACEN</v>
      </c>
      <c r="T173" s="7" t="str">
        <f>IF(Ingresos[[#This Row],[Fec. Entrega]]&gt;=Ingresos[[#This Row],[Fe.contable]],"",IF(Ingresos[[#This Row],[Fe.contable]]&gt;Ingresos[[#This Row],[Fec. Entrega]],"Entrega Tarde"))</f>
        <v/>
      </c>
    </row>
    <row r="174" spans="1:20" x14ac:dyDescent="0.35">
      <c r="A174" s="7" t="str">
        <f>Ingresos[[#This Row],[Centro]]&amp;Ingresos[[#This Row],[Almacén]]&amp;Ingresos[[#This Row],[Codigo]]&amp;Ingresos[[#This Row],[Pedido]]&amp;Ingresos[[#This Row],[Posición]]</f>
        <v>Bioenergía del Chira PlantaMontelima814041451145406230</v>
      </c>
      <c r="B174" t="s">
        <v>57</v>
      </c>
      <c r="C174" t="s">
        <v>29</v>
      </c>
      <c r="D174" s="5">
        <v>814041</v>
      </c>
      <c r="E174" t="s">
        <v>312</v>
      </c>
      <c r="F174" s="6">
        <v>2</v>
      </c>
      <c r="G174" t="s">
        <v>28</v>
      </c>
      <c r="H174" s="5">
        <v>101</v>
      </c>
      <c r="I174" s="5">
        <v>30</v>
      </c>
      <c r="J174" s="5">
        <v>4511454062</v>
      </c>
      <c r="K174" s="17">
        <v>44993</v>
      </c>
      <c r="L174" t="s">
        <v>313</v>
      </c>
      <c r="M174" s="6">
        <v>5052586889</v>
      </c>
      <c r="N174" t="s">
        <v>172</v>
      </c>
      <c r="O174" s="7" t="str">
        <f>IFERROR(VLOOKUP(Ingresos[[#This Row],[Pedido]],Compradores[],2,FALSE),"")</f>
        <v>IRAMOSA</v>
      </c>
      <c r="P174" s="7" t="str">
        <f>IFERROR(VLOOKUP(Ingresos[[#This Row],[Concatenar]],Detalle_OC[],2,FALSE),"")</f>
        <v>Mtto Mecánic</v>
      </c>
      <c r="Q174" s="7" t="str">
        <f>IFERROR(VLOOKUP(Ingresos[[#This Row],[Concatenar]],Detalle_OC[],3,FALSE),"")</f>
        <v xml:space="preserve">SUDAMERIS PERU SAC                </v>
      </c>
      <c r="R174" s="10">
        <f>IFERROR(VLOOKUP(Ingresos[[#This Row],[Concatenar]],Detalle_OC[],4,FALSE),"")</f>
        <v>45000</v>
      </c>
      <c r="S174" s="7" t="str">
        <f>IFERROR(VLOOKUP(Ingresos[[#This Row],[Concatenar]],Detalle_OC[],5,FALSE),"")</f>
        <v>STOCK DE ALMACEN</v>
      </c>
      <c r="T174" s="7" t="str">
        <f>IF(Ingresos[[#This Row],[Fec. Entrega]]&gt;=Ingresos[[#This Row],[Fe.contable]],"",IF(Ingresos[[#This Row],[Fe.contable]]&gt;Ingresos[[#This Row],[Fec. Entrega]],"Entrega Tarde"))</f>
        <v/>
      </c>
    </row>
    <row r="175" spans="1:20" x14ac:dyDescent="0.35">
      <c r="A175" s="7" t="str">
        <f>Ingresos[[#This Row],[Centro]]&amp;Ingresos[[#This Row],[Almacén]]&amp;Ingresos[[#This Row],[Codigo]]&amp;Ingresos[[#This Row],[Pedido]]&amp;Ingresos[[#This Row],[Posición]]</f>
        <v>Bioenergía del Chira PlantaMontelima814917451145406220</v>
      </c>
      <c r="B175" t="s">
        <v>57</v>
      </c>
      <c r="C175" t="s">
        <v>29</v>
      </c>
      <c r="D175" s="5">
        <v>814917</v>
      </c>
      <c r="E175" t="s">
        <v>314</v>
      </c>
      <c r="F175" s="6">
        <v>1</v>
      </c>
      <c r="G175" t="s">
        <v>28</v>
      </c>
      <c r="H175" s="5">
        <v>101</v>
      </c>
      <c r="I175" s="5">
        <v>20</v>
      </c>
      <c r="J175" s="5">
        <v>4511454062</v>
      </c>
      <c r="K175" s="17">
        <v>44993</v>
      </c>
      <c r="L175" t="s">
        <v>313</v>
      </c>
      <c r="M175" s="6">
        <v>5052586889</v>
      </c>
      <c r="N175" t="s">
        <v>172</v>
      </c>
      <c r="O175" s="7" t="str">
        <f>IFERROR(VLOOKUP(Ingresos[[#This Row],[Pedido]],Compradores[],2,FALSE),"")</f>
        <v>IRAMOSA</v>
      </c>
      <c r="P175" s="7" t="str">
        <f>IFERROR(VLOOKUP(Ingresos[[#This Row],[Concatenar]],Detalle_OC[],2,FALSE),"")</f>
        <v>Mtto Mecánic</v>
      </c>
      <c r="Q175" s="7" t="str">
        <f>IFERROR(VLOOKUP(Ingresos[[#This Row],[Concatenar]],Detalle_OC[],3,FALSE),"")</f>
        <v xml:space="preserve">SUDAMERIS PERU SAC                </v>
      </c>
      <c r="R175" s="10">
        <f>IFERROR(VLOOKUP(Ingresos[[#This Row],[Concatenar]],Detalle_OC[],4,FALSE),"")</f>
        <v>45000</v>
      </c>
      <c r="S175" s="7" t="str">
        <f>IFERROR(VLOOKUP(Ingresos[[#This Row],[Concatenar]],Detalle_OC[],5,FALSE),"")</f>
        <v>STOCK DE ALMACEN</v>
      </c>
      <c r="T175" s="7" t="str">
        <f>IF(Ingresos[[#This Row],[Fec. Entrega]]&gt;=Ingresos[[#This Row],[Fe.contable]],"",IF(Ingresos[[#This Row],[Fe.contable]]&gt;Ingresos[[#This Row],[Fec. Entrega]],"Entrega Tarde"))</f>
        <v/>
      </c>
    </row>
    <row r="176" spans="1:20" x14ac:dyDescent="0.35">
      <c r="A176" s="7" t="str">
        <f>Ingresos[[#This Row],[Centro]]&amp;Ingresos[[#This Row],[Almacén]]&amp;Ingresos[[#This Row],[Codigo]]&amp;Ingresos[[#This Row],[Pedido]]&amp;Ingresos[[#This Row],[Posición]]</f>
        <v>Bioenergía del Chira PlantaMontelima814917451145406210</v>
      </c>
      <c r="B176" t="s">
        <v>57</v>
      </c>
      <c r="C176" t="s">
        <v>29</v>
      </c>
      <c r="D176" s="5">
        <v>814917</v>
      </c>
      <c r="E176" t="s">
        <v>314</v>
      </c>
      <c r="F176" s="6">
        <v>2</v>
      </c>
      <c r="G176" t="s">
        <v>28</v>
      </c>
      <c r="H176" s="5">
        <v>101</v>
      </c>
      <c r="I176" s="5">
        <v>10</v>
      </c>
      <c r="J176" s="5">
        <v>4511454062</v>
      </c>
      <c r="K176" s="17">
        <v>44993</v>
      </c>
      <c r="L176" t="s">
        <v>313</v>
      </c>
      <c r="M176" s="6">
        <v>5052586889</v>
      </c>
      <c r="N176" t="s">
        <v>172</v>
      </c>
      <c r="O176" s="7" t="str">
        <f>IFERROR(VLOOKUP(Ingresos[[#This Row],[Pedido]],Compradores[],2,FALSE),"")</f>
        <v>IRAMOSA</v>
      </c>
      <c r="P176" s="7" t="str">
        <f>IFERROR(VLOOKUP(Ingresos[[#This Row],[Concatenar]],Detalle_OC[],2,FALSE),"")</f>
        <v>Mtto Mecánic</v>
      </c>
      <c r="Q176" s="7" t="str">
        <f>IFERROR(VLOOKUP(Ingresos[[#This Row],[Concatenar]],Detalle_OC[],3,FALSE),"")</f>
        <v xml:space="preserve">SUDAMERIS PERU SAC                </v>
      </c>
      <c r="R176" s="10">
        <f>IFERROR(VLOOKUP(Ingresos[[#This Row],[Concatenar]],Detalle_OC[],4,FALSE),"")</f>
        <v>45000</v>
      </c>
      <c r="S176" s="7" t="str">
        <f>IFERROR(VLOOKUP(Ingresos[[#This Row],[Concatenar]],Detalle_OC[],5,FALSE),"")</f>
        <v>STOCK DE ALMACEN</v>
      </c>
      <c r="T176" s="7" t="str">
        <f>IF(Ingresos[[#This Row],[Fec. Entrega]]&gt;=Ingresos[[#This Row],[Fe.contable]],"",IF(Ingresos[[#This Row],[Fe.contable]]&gt;Ingresos[[#This Row],[Fec. Entrega]],"Entrega Tarde"))</f>
        <v/>
      </c>
    </row>
    <row r="177" spans="1:20" x14ac:dyDescent="0.35">
      <c r="A177" s="7" t="str">
        <f>Ingresos[[#This Row],[Centro]]&amp;Ingresos[[#This Row],[Almacén]]&amp;Ingresos[[#This Row],[Codigo]]&amp;Ingresos[[#This Row],[Pedido]]&amp;Ingresos[[#This Row],[Posición]]</f>
        <v>Sucroalcolera del Chira PlantaMontelima847424451145125110</v>
      </c>
      <c r="B177" t="s">
        <v>41</v>
      </c>
      <c r="C177" t="s">
        <v>29</v>
      </c>
      <c r="D177" s="5">
        <v>847424</v>
      </c>
      <c r="E177" t="s">
        <v>315</v>
      </c>
      <c r="F177" s="6">
        <v>1</v>
      </c>
      <c r="G177" t="s">
        <v>28</v>
      </c>
      <c r="H177" s="5">
        <v>101</v>
      </c>
      <c r="I177" s="5">
        <v>10</v>
      </c>
      <c r="J177" s="5">
        <v>4511451251</v>
      </c>
      <c r="K177" s="17">
        <v>44993</v>
      </c>
      <c r="L177" t="s">
        <v>316</v>
      </c>
      <c r="M177" s="6">
        <v>5052586922</v>
      </c>
      <c r="N177" t="s">
        <v>172</v>
      </c>
      <c r="O177" s="7" t="str">
        <f>IFERROR(VLOOKUP(Ingresos[[#This Row],[Pedido]],Compradores[],2,FALSE),"")</f>
        <v>IRAMOSA</v>
      </c>
      <c r="P177" s="7" t="str">
        <f>IFERROR(VLOOKUP(Ingresos[[#This Row],[Concatenar]],Detalle_OC[],2,FALSE),"")</f>
        <v xml:space="preserve">LVILLARF    </v>
      </c>
      <c r="Q177" s="7" t="str">
        <f>IFERROR(VLOOKUP(Ingresos[[#This Row],[Concatenar]],Detalle_OC[],3,FALSE),"")</f>
        <v xml:space="preserve">SEDISA SAC                        </v>
      </c>
      <c r="R177" s="10">
        <f>IFERROR(VLOOKUP(Ingresos[[#This Row],[Concatenar]],Detalle_OC[],4,FALSE),"")</f>
        <v>44994</v>
      </c>
      <c r="S177" s="7" t="str">
        <f>IFERROR(VLOOKUP(Ingresos[[#This Row],[Concatenar]],Detalle_OC[],5,FALSE),"")</f>
        <v>STOCK DE ALMACEN</v>
      </c>
      <c r="T177" s="7" t="str">
        <f>IF(Ingresos[[#This Row],[Fec. Entrega]]&gt;=Ingresos[[#This Row],[Fe.contable]],"",IF(Ingresos[[#This Row],[Fe.contable]]&gt;Ingresos[[#This Row],[Fec. Entrega]],"Entrega Tarde"))</f>
        <v/>
      </c>
    </row>
    <row r="178" spans="1:20" x14ac:dyDescent="0.35">
      <c r="A178" s="7" t="str">
        <f>Ingresos[[#This Row],[Centro]]&amp;Ingresos[[#This Row],[Almacén]]&amp;Ingresos[[#This Row],[Codigo]]&amp;Ingresos[[#This Row],[Pedido]]&amp;Ingresos[[#This Row],[Posición]]</f>
        <v>Agricola del Chira PlantaMontelima876628451144974810</v>
      </c>
      <c r="B178" t="s">
        <v>27</v>
      </c>
      <c r="C178" t="s">
        <v>29</v>
      </c>
      <c r="D178" s="5">
        <v>876628</v>
      </c>
      <c r="E178" t="s">
        <v>317</v>
      </c>
      <c r="F178" s="6">
        <v>4</v>
      </c>
      <c r="G178" t="s">
        <v>28</v>
      </c>
      <c r="H178" s="5">
        <v>101</v>
      </c>
      <c r="I178" s="5">
        <v>10</v>
      </c>
      <c r="J178" s="5">
        <v>4511449748</v>
      </c>
      <c r="K178" s="17">
        <v>44993</v>
      </c>
      <c r="L178" t="s">
        <v>318</v>
      </c>
      <c r="M178" s="6">
        <v>5052586923</v>
      </c>
      <c r="N178" t="s">
        <v>172</v>
      </c>
      <c r="O178" s="7" t="str">
        <f>IFERROR(VLOOKUP(Ingresos[[#This Row],[Pedido]],Compradores[],2,FALSE),"")</f>
        <v>IRAMOSA</v>
      </c>
      <c r="P178" s="7" t="str">
        <f>IFERROR(VLOOKUP(Ingresos[[#This Row],[Concatenar]],Detalle_OC[],2,FALSE),"")</f>
        <v>Plan. Mant.C</v>
      </c>
      <c r="Q178" s="7" t="str">
        <f>IFERROR(VLOOKUP(Ingresos[[#This Row],[Concatenar]],Detalle_OC[],3,FALSE),"")</f>
        <v xml:space="preserve">SEDISA SAC                        </v>
      </c>
      <c r="R178" s="10">
        <f>IFERROR(VLOOKUP(Ingresos[[#This Row],[Concatenar]],Detalle_OC[],4,FALSE),"")</f>
        <v>44995</v>
      </c>
      <c r="S178" s="7" t="str">
        <f>IFERROR(VLOOKUP(Ingresos[[#This Row],[Concatenar]],Detalle_OC[],5,FALSE),"")</f>
        <v>STOCK DE ALMACEN</v>
      </c>
      <c r="T178" s="7" t="str">
        <f>IF(Ingresos[[#This Row],[Fec. Entrega]]&gt;=Ingresos[[#This Row],[Fe.contable]],"",IF(Ingresos[[#This Row],[Fe.contable]]&gt;Ingresos[[#This Row],[Fec. Entrega]],"Entrega Tarde"))</f>
        <v/>
      </c>
    </row>
    <row r="179" spans="1:20" x14ac:dyDescent="0.35">
      <c r="A179" s="7" t="str">
        <f>Ingresos[[#This Row],[Centro]]&amp;Ingresos[[#This Row],[Almacén]]&amp;Ingresos[[#This Row],[Codigo]]&amp;Ingresos[[#This Row],[Pedido]]&amp;Ingresos[[#This Row],[Posición]]</f>
        <v>Sucroalcolera del Chira PlantaMontelima70055857451145575110</v>
      </c>
      <c r="B179" t="s">
        <v>41</v>
      </c>
      <c r="C179" t="s">
        <v>29</v>
      </c>
      <c r="D179" s="5">
        <v>70055857</v>
      </c>
      <c r="E179" t="s">
        <v>319</v>
      </c>
      <c r="F179" s="6">
        <v>1</v>
      </c>
      <c r="G179" t="s">
        <v>28</v>
      </c>
      <c r="H179" s="5">
        <v>101</v>
      </c>
      <c r="I179" s="5">
        <v>10</v>
      </c>
      <c r="J179" s="5">
        <v>4511455751</v>
      </c>
      <c r="K179" s="17">
        <v>44993</v>
      </c>
      <c r="L179" t="s">
        <v>320</v>
      </c>
      <c r="M179" s="6">
        <v>5052586924</v>
      </c>
      <c r="N179" t="s">
        <v>172</v>
      </c>
      <c r="O179" s="7" t="str">
        <f>IFERROR(VLOOKUP(Ingresos[[#This Row],[Pedido]],Compradores[],2,FALSE),"")</f>
        <v>JCHAPARROB</v>
      </c>
      <c r="P179" s="7" t="str">
        <f>IFERROR(VLOOKUP(Ingresos[[#This Row],[Concatenar]],Detalle_OC[],2,FALSE),"")</f>
        <v/>
      </c>
      <c r="Q179" s="7" t="str">
        <f>IFERROR(VLOOKUP(Ingresos[[#This Row],[Concatenar]],Detalle_OC[],3,FALSE),"")</f>
        <v/>
      </c>
      <c r="R179" s="10" t="str">
        <f>IFERROR(VLOOKUP(Ingresos[[#This Row],[Concatenar]],Detalle_OC[],4,FALSE),"")</f>
        <v/>
      </c>
      <c r="S179" s="7" t="str">
        <f>IFERROR(VLOOKUP(Ingresos[[#This Row],[Concatenar]],Detalle_OC[],5,FALSE),"")</f>
        <v/>
      </c>
      <c r="T179" s="7" t="str">
        <f>IF(Ingresos[[#This Row],[Fec. Entrega]]&gt;=Ingresos[[#This Row],[Fe.contable]],"",IF(Ingresos[[#This Row],[Fe.contable]]&gt;Ingresos[[#This Row],[Fec. Entrega]],"Entrega Tarde"))</f>
        <v/>
      </c>
    </row>
    <row r="180" spans="1:20" x14ac:dyDescent="0.35">
      <c r="A180" s="7" t="str">
        <f>Ingresos[[#This Row],[Centro]]&amp;Ingresos[[#This Row],[Almacén]]&amp;Ingresos[[#This Row],[Codigo]]&amp;Ingresos[[#This Row],[Pedido]]&amp;Ingresos[[#This Row],[Posición]]</f>
        <v>Sucroalcolera del Chira PlantaMontelima821158451145581320</v>
      </c>
      <c r="B180" t="s">
        <v>41</v>
      </c>
      <c r="C180" t="s">
        <v>29</v>
      </c>
      <c r="D180" s="5">
        <v>821158</v>
      </c>
      <c r="E180" t="s">
        <v>321</v>
      </c>
      <c r="F180" s="6">
        <v>1</v>
      </c>
      <c r="G180" t="s">
        <v>28</v>
      </c>
      <c r="H180" s="5">
        <v>101</v>
      </c>
      <c r="I180" s="5">
        <v>20</v>
      </c>
      <c r="J180" s="5">
        <v>4511455813</v>
      </c>
      <c r="K180" s="17">
        <v>44993</v>
      </c>
      <c r="L180" t="s">
        <v>322</v>
      </c>
      <c r="M180" s="6">
        <v>5052586925</v>
      </c>
      <c r="N180" t="s">
        <v>172</v>
      </c>
      <c r="O180" s="7" t="str">
        <f>IFERROR(VLOOKUP(Ingresos[[#This Row],[Pedido]],Compradores[],2,FALSE),"")</f>
        <v>IRAMOSA</v>
      </c>
      <c r="P180" s="7" t="str">
        <f>IFERROR(VLOOKUP(Ingresos[[#This Row],[Concatenar]],Detalle_OC[],2,FALSE),"")</f>
        <v>Plan.Mant.Su</v>
      </c>
      <c r="Q180" s="7" t="str">
        <f>IFERROR(VLOOKUP(Ingresos[[#This Row],[Concatenar]],Detalle_OC[],3,FALSE),"")</f>
        <v xml:space="preserve">SEDISA SAC                        </v>
      </c>
      <c r="R180" s="10">
        <f>IFERROR(VLOOKUP(Ingresos[[#This Row],[Concatenar]],Detalle_OC[],4,FALSE),"")</f>
        <v>45000</v>
      </c>
      <c r="S180" s="7" t="str">
        <f>IFERROR(VLOOKUP(Ingresos[[#This Row],[Concatenar]],Detalle_OC[],5,FALSE),"")</f>
        <v>STOCK DE ALMACEN</v>
      </c>
      <c r="T180" s="7" t="str">
        <f>IF(Ingresos[[#This Row],[Fec. Entrega]]&gt;=Ingresos[[#This Row],[Fe.contable]],"",IF(Ingresos[[#This Row],[Fe.contable]]&gt;Ingresos[[#This Row],[Fec. Entrega]],"Entrega Tarde"))</f>
        <v/>
      </c>
    </row>
    <row r="181" spans="1:20" x14ac:dyDescent="0.35">
      <c r="A181" s="7" t="str">
        <f>Ingresos[[#This Row],[Centro]]&amp;Ingresos[[#This Row],[Almacén]]&amp;Ingresos[[#This Row],[Codigo]]&amp;Ingresos[[#This Row],[Pedido]]&amp;Ingresos[[#This Row],[Posición]]</f>
        <v>Sucroalcolera del Chira PlantaMontelima70051918451145581310</v>
      </c>
      <c r="B181" t="s">
        <v>41</v>
      </c>
      <c r="C181" t="s">
        <v>29</v>
      </c>
      <c r="D181" s="5">
        <v>70051918</v>
      </c>
      <c r="E181" t="s">
        <v>323</v>
      </c>
      <c r="F181" s="6">
        <v>1</v>
      </c>
      <c r="G181" t="s">
        <v>28</v>
      </c>
      <c r="H181" s="5">
        <v>101</v>
      </c>
      <c r="I181" s="5">
        <v>10</v>
      </c>
      <c r="J181" s="5">
        <v>4511455813</v>
      </c>
      <c r="K181" s="17">
        <v>44993</v>
      </c>
      <c r="L181" t="s">
        <v>322</v>
      </c>
      <c r="M181" s="6">
        <v>5052586925</v>
      </c>
      <c r="N181" t="s">
        <v>172</v>
      </c>
      <c r="O181" s="7" t="str">
        <f>IFERROR(VLOOKUP(Ingresos[[#This Row],[Pedido]],Compradores[],2,FALSE),"")</f>
        <v>IRAMOSA</v>
      </c>
      <c r="P181" s="7" t="str">
        <f>IFERROR(VLOOKUP(Ingresos[[#This Row],[Concatenar]],Detalle_OC[],2,FALSE),"")</f>
        <v>Plan.Mant.Su</v>
      </c>
      <c r="Q181" s="7" t="str">
        <f>IFERROR(VLOOKUP(Ingresos[[#This Row],[Concatenar]],Detalle_OC[],3,FALSE),"")</f>
        <v xml:space="preserve">SEDISA SAC                        </v>
      </c>
      <c r="R181" s="10">
        <f>IFERROR(VLOOKUP(Ingresos[[#This Row],[Concatenar]],Detalle_OC[],4,FALSE),"")</f>
        <v>45015</v>
      </c>
      <c r="S181" s="7" t="str">
        <f>IFERROR(VLOOKUP(Ingresos[[#This Row],[Concatenar]],Detalle_OC[],5,FALSE),"")</f>
        <v>STOCK DE ALMACEN</v>
      </c>
      <c r="T181" s="7" t="str">
        <f>IF(Ingresos[[#This Row],[Fec. Entrega]]&gt;=Ingresos[[#This Row],[Fe.contable]],"",IF(Ingresos[[#This Row],[Fe.contable]]&gt;Ingresos[[#This Row],[Fec. Entrega]],"Entrega Tarde"))</f>
        <v/>
      </c>
    </row>
    <row r="182" spans="1:20" x14ac:dyDescent="0.35">
      <c r="A182" s="7" t="str">
        <f>Ingresos[[#This Row],[Centro]]&amp;Ingresos[[#This Row],[Almacén]]&amp;Ingresos[[#This Row],[Codigo]]&amp;Ingresos[[#This Row],[Pedido]]&amp;Ingresos[[#This Row],[Posición]]</f>
        <v>Bioenergía del Chira PlantaMontelima70084360451145581510</v>
      </c>
      <c r="B182" t="s">
        <v>57</v>
      </c>
      <c r="C182" t="s">
        <v>29</v>
      </c>
      <c r="D182" s="5">
        <v>70084360</v>
      </c>
      <c r="E182" t="s">
        <v>324</v>
      </c>
      <c r="F182" s="6">
        <v>200</v>
      </c>
      <c r="G182" t="s">
        <v>112</v>
      </c>
      <c r="H182" s="5">
        <v>101</v>
      </c>
      <c r="I182" s="5">
        <v>10</v>
      </c>
      <c r="J182" s="5">
        <v>4511455815</v>
      </c>
      <c r="K182" s="17">
        <v>44993</v>
      </c>
      <c r="L182" t="s">
        <v>325</v>
      </c>
      <c r="M182" s="6">
        <v>5052586927</v>
      </c>
      <c r="N182" t="s">
        <v>172</v>
      </c>
      <c r="O182" s="7" t="str">
        <f>IFERROR(VLOOKUP(Ingresos[[#This Row],[Pedido]],Compradores[],2,FALSE),"")</f>
        <v>IRAMOSA</v>
      </c>
      <c r="P182" s="7" t="str">
        <f>IFERROR(VLOOKUP(Ingresos[[#This Row],[Concatenar]],Detalle_OC[],2,FALSE),"")</f>
        <v>Mtto Mecánic</v>
      </c>
      <c r="Q182" s="7" t="str">
        <f>IFERROR(VLOOKUP(Ingresos[[#This Row],[Concatenar]],Detalle_OC[],3,FALSE),"")</f>
        <v xml:space="preserve">SEDISA SAC                        </v>
      </c>
      <c r="R182" s="10">
        <f>IFERROR(VLOOKUP(Ingresos[[#This Row],[Concatenar]],Detalle_OC[],4,FALSE),"")</f>
        <v>45000</v>
      </c>
      <c r="S182" s="7" t="str">
        <f>IFERROR(VLOOKUP(Ingresos[[#This Row],[Concatenar]],Detalle_OC[],5,FALSE),"")</f>
        <v>STOCK DE ALMACEN</v>
      </c>
      <c r="T182" s="7" t="str">
        <f>IF(Ingresos[[#This Row],[Fec. Entrega]]&gt;=Ingresos[[#This Row],[Fe.contable]],"",IF(Ingresos[[#This Row],[Fe.contable]]&gt;Ingresos[[#This Row],[Fec. Entrega]],"Entrega Tarde"))</f>
        <v/>
      </c>
    </row>
    <row r="183" spans="1:20" x14ac:dyDescent="0.35">
      <c r="A183" s="7" t="str">
        <f>Ingresos[[#This Row],[Centro]]&amp;Ingresos[[#This Row],[Almacén]]&amp;Ingresos[[#This Row],[Codigo]]&amp;Ingresos[[#This Row],[Pedido]]&amp;Ingresos[[#This Row],[Posición]]</f>
        <v>Sucroalcolera del Chira PlantaMontelima70084371451145364410</v>
      </c>
      <c r="B183" t="s">
        <v>41</v>
      </c>
      <c r="C183" t="s">
        <v>29</v>
      </c>
      <c r="D183" s="5">
        <v>70084371</v>
      </c>
      <c r="E183" t="s">
        <v>148</v>
      </c>
      <c r="F183" s="6">
        <v>5</v>
      </c>
      <c r="G183" t="s">
        <v>112</v>
      </c>
      <c r="H183" s="5">
        <v>101</v>
      </c>
      <c r="I183" s="5">
        <v>10</v>
      </c>
      <c r="J183" s="5">
        <v>4511453644</v>
      </c>
      <c r="K183" s="17">
        <v>44993</v>
      </c>
      <c r="L183" t="s">
        <v>326</v>
      </c>
      <c r="M183" s="6">
        <v>5052586928</v>
      </c>
      <c r="N183" t="s">
        <v>172</v>
      </c>
      <c r="O183" s="7" t="str">
        <f>IFERROR(VLOOKUP(Ingresos[[#This Row],[Pedido]],Compradores[],2,FALSE),"")</f>
        <v>IRAMOSA</v>
      </c>
      <c r="P183" s="7" t="str">
        <f>IFERROR(VLOOKUP(Ingresos[[#This Row],[Concatenar]],Detalle_OC[],2,FALSE),"")</f>
        <v>Mtto Mecanic</v>
      </c>
      <c r="Q183" s="7" t="str">
        <f>IFERROR(VLOOKUP(Ingresos[[#This Row],[Concatenar]],Detalle_OC[],3,FALSE),"")</f>
        <v xml:space="preserve">SEDISA SAC                        </v>
      </c>
      <c r="R183" s="10">
        <f>IFERROR(VLOOKUP(Ingresos[[#This Row],[Concatenar]],Detalle_OC[],4,FALSE),"")</f>
        <v>45005</v>
      </c>
      <c r="S183" s="7" t="str">
        <f>IFERROR(VLOOKUP(Ingresos[[#This Row],[Concatenar]],Detalle_OC[],5,FALSE),"")</f>
        <v>STOCK DE ALMACEN</v>
      </c>
      <c r="T183" s="7" t="str">
        <f>IF(Ingresos[[#This Row],[Fec. Entrega]]&gt;=Ingresos[[#This Row],[Fe.contable]],"",IF(Ingresos[[#This Row],[Fe.contable]]&gt;Ingresos[[#This Row],[Fec. Entrega]],"Entrega Tarde"))</f>
        <v/>
      </c>
    </row>
    <row r="184" spans="1:20" x14ac:dyDescent="0.35">
      <c r="A184" s="7" t="str">
        <f>Ingresos[[#This Row],[Centro]]&amp;Ingresos[[#This Row],[Almacén]]&amp;Ingresos[[#This Row],[Codigo]]&amp;Ingresos[[#This Row],[Pedido]]&amp;Ingresos[[#This Row],[Posición]]</f>
        <v>Agricola del Chira PlantaMontelima70009568451145410010</v>
      </c>
      <c r="B184" t="s">
        <v>27</v>
      </c>
      <c r="C184" t="s">
        <v>29</v>
      </c>
      <c r="D184" s="5">
        <v>70009568</v>
      </c>
      <c r="E184" t="s">
        <v>327</v>
      </c>
      <c r="F184" s="6">
        <v>5</v>
      </c>
      <c r="G184" t="s">
        <v>28</v>
      </c>
      <c r="H184" s="5">
        <v>101</v>
      </c>
      <c r="I184" s="5">
        <v>10</v>
      </c>
      <c r="J184" s="5">
        <v>4511454100</v>
      </c>
      <c r="K184" s="17">
        <v>44993</v>
      </c>
      <c r="L184" t="s">
        <v>328</v>
      </c>
      <c r="M184" s="6">
        <v>5052586940</v>
      </c>
      <c r="N184" t="s">
        <v>172</v>
      </c>
      <c r="O184" s="7" t="str">
        <f>IFERROR(VLOOKUP(Ingresos[[#This Row],[Pedido]],Compradores[],2,FALSE),"")</f>
        <v>AAGUILARMO</v>
      </c>
      <c r="P184" s="7" t="str">
        <f>IFERROR(VLOOKUP(Ingresos[[#This Row],[Concatenar]],Detalle_OC[],2,FALSE),"")</f>
        <v>Plan. Mant.C</v>
      </c>
      <c r="Q184" s="7" t="str">
        <f>IFERROR(VLOOKUP(Ingresos[[#This Row],[Concatenar]],Detalle_OC[],3,FALSE),"")</f>
        <v xml:space="preserve">MARIO AGUSTIN ESPINOZA GOMEZ      </v>
      </c>
      <c r="R184" s="10">
        <f>IFERROR(VLOOKUP(Ingresos[[#This Row],[Concatenar]],Detalle_OC[],4,FALSE),"")</f>
        <v>45002</v>
      </c>
      <c r="S184" s="7" t="str">
        <f>IFERROR(VLOOKUP(Ingresos[[#This Row],[Concatenar]],Detalle_OC[],5,FALSE),"")</f>
        <v>STOCK DE ALMACEN</v>
      </c>
      <c r="T184" s="7" t="str">
        <f>IF(Ingresos[[#This Row],[Fec. Entrega]]&gt;=Ingresos[[#This Row],[Fe.contable]],"",IF(Ingresos[[#This Row],[Fe.contable]]&gt;Ingresos[[#This Row],[Fec. Entrega]],"Entrega Tarde"))</f>
        <v/>
      </c>
    </row>
    <row r="185" spans="1:20" x14ac:dyDescent="0.35">
      <c r="A185" s="7" t="str">
        <f>Ingresos[[#This Row],[Centro]]&amp;Ingresos[[#This Row],[Almacén]]&amp;Ingresos[[#This Row],[Codigo]]&amp;Ingresos[[#This Row],[Pedido]]&amp;Ingresos[[#This Row],[Posición]]</f>
        <v>Agricola del Chira PlantaMontelima70043835451145410020</v>
      </c>
      <c r="B185" t="s">
        <v>27</v>
      </c>
      <c r="C185" t="s">
        <v>29</v>
      </c>
      <c r="D185" s="5">
        <v>70043835</v>
      </c>
      <c r="E185" t="s">
        <v>329</v>
      </c>
      <c r="F185" s="6">
        <v>20</v>
      </c>
      <c r="G185" t="s">
        <v>28</v>
      </c>
      <c r="H185" s="5">
        <v>101</v>
      </c>
      <c r="I185" s="5">
        <v>20</v>
      </c>
      <c r="J185" s="5">
        <v>4511454100</v>
      </c>
      <c r="K185" s="17">
        <v>44993</v>
      </c>
      <c r="L185" t="s">
        <v>328</v>
      </c>
      <c r="M185" s="6">
        <v>5052586940</v>
      </c>
      <c r="N185" t="s">
        <v>172</v>
      </c>
      <c r="O185" s="7" t="str">
        <f>IFERROR(VLOOKUP(Ingresos[[#This Row],[Pedido]],Compradores[],2,FALSE),"")</f>
        <v>AAGUILARMO</v>
      </c>
      <c r="P185" s="7" t="str">
        <f>IFERROR(VLOOKUP(Ingresos[[#This Row],[Concatenar]],Detalle_OC[],2,FALSE),"")</f>
        <v>EMIJAHUANCAG</v>
      </c>
      <c r="Q185" s="7" t="str">
        <f>IFERROR(VLOOKUP(Ingresos[[#This Row],[Concatenar]],Detalle_OC[],3,FALSE),"")</f>
        <v xml:space="preserve">MARIO AGUSTIN ESPINOZA GOMEZ      </v>
      </c>
      <c r="R185" s="10">
        <f>IFERROR(VLOOKUP(Ingresos[[#This Row],[Concatenar]],Detalle_OC[],4,FALSE),"")</f>
        <v>45002</v>
      </c>
      <c r="S185" s="7" t="str">
        <f>IFERROR(VLOOKUP(Ingresos[[#This Row],[Concatenar]],Detalle_OC[],5,FALSE),"")</f>
        <v>STOCK DE ALMACEN</v>
      </c>
      <c r="T185" s="7" t="str">
        <f>IF(Ingresos[[#This Row],[Fec. Entrega]]&gt;=Ingresos[[#This Row],[Fe.contable]],"",IF(Ingresos[[#This Row],[Fe.contable]]&gt;Ingresos[[#This Row],[Fec. Entrega]],"Entrega Tarde"))</f>
        <v/>
      </c>
    </row>
    <row r="186" spans="1:20" x14ac:dyDescent="0.35">
      <c r="A186" s="7" t="str">
        <f>Ingresos[[#This Row],[Centro]]&amp;Ingresos[[#This Row],[Almacén]]&amp;Ingresos[[#This Row],[Codigo]]&amp;Ingresos[[#This Row],[Pedido]]&amp;Ingresos[[#This Row],[Posición]]</f>
        <v>Agricola del Chira PlantaMontelima70043836451145410030</v>
      </c>
      <c r="B186" t="s">
        <v>27</v>
      </c>
      <c r="C186" t="s">
        <v>29</v>
      </c>
      <c r="D186" s="5">
        <v>70043836</v>
      </c>
      <c r="E186" t="s">
        <v>330</v>
      </c>
      <c r="F186" s="6">
        <v>20</v>
      </c>
      <c r="G186" t="s">
        <v>28</v>
      </c>
      <c r="H186" s="5">
        <v>101</v>
      </c>
      <c r="I186" s="5">
        <v>30</v>
      </c>
      <c r="J186" s="5">
        <v>4511454100</v>
      </c>
      <c r="K186" s="17">
        <v>44993</v>
      </c>
      <c r="L186" t="s">
        <v>328</v>
      </c>
      <c r="M186" s="6">
        <v>5052586940</v>
      </c>
      <c r="N186" t="s">
        <v>172</v>
      </c>
      <c r="O186" s="7" t="str">
        <f>IFERROR(VLOOKUP(Ingresos[[#This Row],[Pedido]],Compradores[],2,FALSE),"")</f>
        <v>AAGUILARMO</v>
      </c>
      <c r="P186" s="7" t="str">
        <f>IFERROR(VLOOKUP(Ingresos[[#This Row],[Concatenar]],Detalle_OC[],2,FALSE),"")</f>
        <v>EMIJAHUANCAG</v>
      </c>
      <c r="Q186" s="7" t="str">
        <f>IFERROR(VLOOKUP(Ingresos[[#This Row],[Concatenar]],Detalle_OC[],3,FALSE),"")</f>
        <v xml:space="preserve">MARIO AGUSTIN ESPINOZA GOMEZ      </v>
      </c>
      <c r="R186" s="10">
        <f>IFERROR(VLOOKUP(Ingresos[[#This Row],[Concatenar]],Detalle_OC[],4,FALSE),"")</f>
        <v>45002</v>
      </c>
      <c r="S186" s="7" t="str">
        <f>IFERROR(VLOOKUP(Ingresos[[#This Row],[Concatenar]],Detalle_OC[],5,FALSE),"")</f>
        <v>STOCK DE ALMACEN</v>
      </c>
      <c r="T186" s="7" t="str">
        <f>IF(Ingresos[[#This Row],[Fec. Entrega]]&gt;=Ingresos[[#This Row],[Fe.contable]],"",IF(Ingresos[[#This Row],[Fe.contable]]&gt;Ingresos[[#This Row],[Fec. Entrega]],"Entrega Tarde"))</f>
        <v/>
      </c>
    </row>
    <row r="187" spans="1:20" x14ac:dyDescent="0.35">
      <c r="A187" s="7" t="str">
        <f>Ingresos[[#This Row],[Centro]]&amp;Ingresos[[#This Row],[Almacén]]&amp;Ingresos[[#This Row],[Codigo]]&amp;Ingresos[[#This Row],[Pedido]]&amp;Ingresos[[#This Row],[Posición]]</f>
        <v>Agricola del Chira PlantaMontelima70043837451145410040</v>
      </c>
      <c r="B187" t="s">
        <v>27</v>
      </c>
      <c r="C187" t="s">
        <v>29</v>
      </c>
      <c r="D187" s="5">
        <v>70043837</v>
      </c>
      <c r="E187" t="s">
        <v>331</v>
      </c>
      <c r="F187" s="6">
        <v>20</v>
      </c>
      <c r="G187" t="s">
        <v>28</v>
      </c>
      <c r="H187" s="5">
        <v>101</v>
      </c>
      <c r="I187" s="5">
        <v>40</v>
      </c>
      <c r="J187" s="5">
        <v>4511454100</v>
      </c>
      <c r="K187" s="17">
        <v>44993</v>
      </c>
      <c r="L187" t="s">
        <v>328</v>
      </c>
      <c r="M187" s="6">
        <v>5052586940</v>
      </c>
      <c r="N187" t="s">
        <v>172</v>
      </c>
      <c r="O187" s="7" t="str">
        <f>IFERROR(VLOOKUP(Ingresos[[#This Row],[Pedido]],Compradores[],2,FALSE),"")</f>
        <v>AAGUILARMO</v>
      </c>
      <c r="P187" s="7" t="str">
        <f>IFERROR(VLOOKUP(Ingresos[[#This Row],[Concatenar]],Detalle_OC[],2,FALSE),"")</f>
        <v>EMIJAHUANCAG</v>
      </c>
      <c r="Q187" s="7" t="str">
        <f>IFERROR(VLOOKUP(Ingresos[[#This Row],[Concatenar]],Detalle_OC[],3,FALSE),"")</f>
        <v xml:space="preserve">MARIO AGUSTIN ESPINOZA GOMEZ      </v>
      </c>
      <c r="R187" s="10">
        <f>IFERROR(VLOOKUP(Ingresos[[#This Row],[Concatenar]],Detalle_OC[],4,FALSE),"")</f>
        <v>45002</v>
      </c>
      <c r="S187" s="7" t="str">
        <f>IFERROR(VLOOKUP(Ingresos[[#This Row],[Concatenar]],Detalle_OC[],5,FALSE),"")</f>
        <v>STOCK DE ALMACEN</v>
      </c>
      <c r="T187" s="7" t="str">
        <f>IF(Ingresos[[#This Row],[Fec. Entrega]]&gt;=Ingresos[[#This Row],[Fe.contable]],"",IF(Ingresos[[#This Row],[Fe.contable]]&gt;Ingresos[[#This Row],[Fec. Entrega]],"Entrega Tarde"))</f>
        <v/>
      </c>
    </row>
    <row r="188" spans="1:20" x14ac:dyDescent="0.35">
      <c r="A188" s="7" t="str">
        <f>Ingresos[[#This Row],[Centro]]&amp;Ingresos[[#This Row],[Almacén]]&amp;Ingresos[[#This Row],[Codigo]]&amp;Ingresos[[#This Row],[Pedido]]&amp;Ingresos[[#This Row],[Posición]]</f>
        <v>Sucroalcolera del Chira PlantaMontelima773993451145323820</v>
      </c>
      <c r="B188" t="s">
        <v>41</v>
      </c>
      <c r="C188" t="s">
        <v>29</v>
      </c>
      <c r="D188" s="5">
        <v>773993</v>
      </c>
      <c r="E188" t="s">
        <v>332</v>
      </c>
      <c r="F188" s="6">
        <v>144</v>
      </c>
      <c r="G188" t="s">
        <v>112</v>
      </c>
      <c r="H188" s="5">
        <v>101</v>
      </c>
      <c r="I188" s="5">
        <v>20</v>
      </c>
      <c r="J188" s="5">
        <v>4511453238</v>
      </c>
      <c r="K188" s="17">
        <v>44993</v>
      </c>
      <c r="L188" t="s">
        <v>333</v>
      </c>
      <c r="M188" s="6">
        <v>5052586941</v>
      </c>
      <c r="N188" t="s">
        <v>172</v>
      </c>
      <c r="O188" s="7" t="str">
        <f>IFERROR(VLOOKUP(Ingresos[[#This Row],[Pedido]],Compradores[],2,FALSE),"")</f>
        <v>IRAMOSA</v>
      </c>
      <c r="P188" s="7" t="str">
        <f>IFERROR(VLOOKUP(Ingresos[[#This Row],[Concatenar]],Detalle_OC[],2,FALSE),"")</f>
        <v xml:space="preserve">CVEGAG      </v>
      </c>
      <c r="Q188" s="7" t="str">
        <f>IFERROR(VLOOKUP(Ingresos[[#This Row],[Concatenar]],Detalle_OC[],3,FALSE),"")</f>
        <v xml:space="preserve">SEDISA SAC                        </v>
      </c>
      <c r="R188" s="10">
        <f>IFERROR(VLOOKUP(Ingresos[[#This Row],[Concatenar]],Detalle_OC[],4,FALSE),"")</f>
        <v>44995</v>
      </c>
      <c r="S188" s="7" t="str">
        <f>IFERROR(VLOOKUP(Ingresos[[#This Row],[Concatenar]],Detalle_OC[],5,FALSE),"")</f>
        <v>STOCK DE ALMACEN</v>
      </c>
      <c r="T188" s="7" t="str">
        <f>IF(Ingresos[[#This Row],[Fec. Entrega]]&gt;=Ingresos[[#This Row],[Fe.contable]],"",IF(Ingresos[[#This Row],[Fe.contable]]&gt;Ingresos[[#This Row],[Fec. Entrega]],"Entrega Tarde"))</f>
        <v/>
      </c>
    </row>
    <row r="189" spans="1:20" x14ac:dyDescent="0.35">
      <c r="A189" s="7" t="str">
        <f>Ingresos[[#This Row],[Centro]]&amp;Ingresos[[#This Row],[Almacén]]&amp;Ingresos[[#This Row],[Codigo]]&amp;Ingresos[[#This Row],[Pedido]]&amp;Ingresos[[#This Row],[Posición]]</f>
        <v>Sucroalcolera del Chira PlantaMontelima807801451145358110</v>
      </c>
      <c r="B189" t="s">
        <v>41</v>
      </c>
      <c r="C189" t="s">
        <v>29</v>
      </c>
      <c r="D189" s="5">
        <v>807801</v>
      </c>
      <c r="E189" t="s">
        <v>334</v>
      </c>
      <c r="F189" s="6">
        <v>11</v>
      </c>
      <c r="G189" t="s">
        <v>28</v>
      </c>
      <c r="H189" s="5">
        <v>101</v>
      </c>
      <c r="I189" s="5">
        <v>10</v>
      </c>
      <c r="J189" s="5">
        <v>4511453581</v>
      </c>
      <c r="K189" s="17">
        <v>44993</v>
      </c>
      <c r="L189" t="s">
        <v>335</v>
      </c>
      <c r="M189" s="6">
        <v>5052586943</v>
      </c>
      <c r="N189" t="s">
        <v>172</v>
      </c>
      <c r="O189" s="7" t="str">
        <f>IFERROR(VLOOKUP(Ingresos[[#This Row],[Pedido]],Compradores[],2,FALSE),"")</f>
        <v>IRAMOSA</v>
      </c>
      <c r="P189" s="7" t="str">
        <f>IFERROR(VLOOKUP(Ingresos[[#This Row],[Concatenar]],Detalle_OC[],2,FALSE),"")</f>
        <v xml:space="preserve">CVEGAG      </v>
      </c>
      <c r="Q189" s="7" t="str">
        <f>IFERROR(VLOOKUP(Ingresos[[#This Row],[Concatenar]],Detalle_OC[],3,FALSE),"")</f>
        <v xml:space="preserve">SEDISA SAC                        </v>
      </c>
      <c r="R189" s="10">
        <f>IFERROR(VLOOKUP(Ingresos[[#This Row],[Concatenar]],Detalle_OC[],4,FALSE),"")</f>
        <v>44995</v>
      </c>
      <c r="S189" s="7" t="str">
        <f>IFERROR(VLOOKUP(Ingresos[[#This Row],[Concatenar]],Detalle_OC[],5,FALSE),"")</f>
        <v>STOCK DE ALMACEN</v>
      </c>
      <c r="T189" s="7" t="str">
        <f>IF(Ingresos[[#This Row],[Fec. Entrega]]&gt;=Ingresos[[#This Row],[Fe.contable]],"",IF(Ingresos[[#This Row],[Fe.contable]]&gt;Ingresos[[#This Row],[Fec. Entrega]],"Entrega Tarde"))</f>
        <v/>
      </c>
    </row>
    <row r="190" spans="1:20" x14ac:dyDescent="0.35">
      <c r="A190" s="7" t="str">
        <f>Ingresos[[#This Row],[Centro]]&amp;Ingresos[[#This Row],[Almacén]]&amp;Ingresos[[#This Row],[Codigo]]&amp;Ingresos[[#This Row],[Pedido]]&amp;Ingresos[[#This Row],[Posición]]</f>
        <v>Agricola del Chira PlantaMontelima722284451145465310</v>
      </c>
      <c r="B190" t="s">
        <v>27</v>
      </c>
      <c r="C190" t="s">
        <v>29</v>
      </c>
      <c r="D190" s="5">
        <v>722284</v>
      </c>
      <c r="E190" t="s">
        <v>221</v>
      </c>
      <c r="F190" s="6">
        <v>70</v>
      </c>
      <c r="G190" t="s">
        <v>112</v>
      </c>
      <c r="H190" s="5">
        <v>101</v>
      </c>
      <c r="I190" s="5">
        <v>10</v>
      </c>
      <c r="J190" s="5">
        <v>4511454653</v>
      </c>
      <c r="K190" s="17">
        <v>44993</v>
      </c>
      <c r="L190" t="s">
        <v>372</v>
      </c>
      <c r="M190" s="6">
        <v>5052587157</v>
      </c>
      <c r="N190" t="s">
        <v>172</v>
      </c>
      <c r="O190" s="7" t="str">
        <f>IFERROR(VLOOKUP(Ingresos[[#This Row],[Pedido]],Compradores[],2,FALSE),"")</f>
        <v>JCHEROPA</v>
      </c>
      <c r="P190" s="7" t="str">
        <f>IFERROR(VLOOKUP(Ingresos[[#This Row],[Concatenar]],Detalle_OC[],2,FALSE),"")</f>
        <v>Plan. Mant.C</v>
      </c>
      <c r="Q190" s="7" t="str">
        <f>IFERROR(VLOOKUP(Ingresos[[#This Row],[Concatenar]],Detalle_OC[],3,FALSE),"")</f>
        <v xml:space="preserve">OXYMAN COMERCIAL SAC              </v>
      </c>
      <c r="R190" s="10">
        <f>IFERROR(VLOOKUP(Ingresos[[#This Row],[Concatenar]],Detalle_OC[],4,FALSE),"")</f>
        <v>45013</v>
      </c>
      <c r="S190" s="7" t="str">
        <f>IFERROR(VLOOKUP(Ingresos[[#This Row],[Concatenar]],Detalle_OC[],5,FALSE),"")</f>
        <v>STOCK DE ALMACEN</v>
      </c>
      <c r="T190" s="7" t="str">
        <f>IF(Ingresos[[#This Row],[Fec. Entrega]]&gt;=Ingresos[[#This Row],[Fe.contable]],"",IF(Ingresos[[#This Row],[Fe.contable]]&gt;Ingresos[[#This Row],[Fec. Entrega]],"Entrega Tarde"))</f>
        <v/>
      </c>
    </row>
    <row r="191" spans="1:20" x14ac:dyDescent="0.35">
      <c r="A191" s="7" t="str">
        <f>Ingresos[[#This Row],[Centro]]&amp;Ingresos[[#This Row],[Almacén]]&amp;Ingresos[[#This Row],[Codigo]]&amp;Ingresos[[#This Row],[Pedido]]&amp;Ingresos[[#This Row],[Posición]]</f>
        <v>Agricola del Chira PlantaMontelima722283550002212590</v>
      </c>
      <c r="B191" t="s">
        <v>27</v>
      </c>
      <c r="C191" t="s">
        <v>29</v>
      </c>
      <c r="D191" s="5">
        <v>722283</v>
      </c>
      <c r="E191" t="s">
        <v>130</v>
      </c>
      <c r="F191" s="6">
        <v>100</v>
      </c>
      <c r="G191" t="s">
        <v>131</v>
      </c>
      <c r="H191" s="5">
        <v>101</v>
      </c>
      <c r="I191" s="5">
        <v>90</v>
      </c>
      <c r="J191" s="5">
        <v>5500022125</v>
      </c>
      <c r="K191" s="17">
        <v>44993</v>
      </c>
      <c r="L191" t="s">
        <v>373</v>
      </c>
      <c r="M191" s="6">
        <v>5052587158</v>
      </c>
      <c r="N191" t="s">
        <v>172</v>
      </c>
      <c r="O191" s="7" t="str">
        <f>IFERROR(VLOOKUP(Ingresos[[#This Row],[Pedido]],Compradores[],2,FALSE),"")</f>
        <v/>
      </c>
      <c r="P191" s="7" t="str">
        <f>IFERROR(VLOOKUP(Ingresos[[#This Row],[Concatenar]],Detalle_OC[],2,FALSE),"")</f>
        <v xml:space="preserve">            </v>
      </c>
      <c r="Q191" s="7" t="str">
        <f>IFERROR(VLOOKUP(Ingresos[[#This Row],[Concatenar]],Detalle_OC[],3,FALSE),"")</f>
        <v xml:space="preserve">OXYMAN COMERCIAL SAC              </v>
      </c>
      <c r="R191" s="10">
        <f>IFERROR(VLOOKUP(Ingresos[[#This Row],[Concatenar]],Detalle_OC[],4,FALSE),"")</f>
        <v>44708</v>
      </c>
      <c r="S191" s="7" t="str">
        <f>IFERROR(VLOOKUP(Ingresos[[#This Row],[Concatenar]],Detalle_OC[],5,FALSE),"")</f>
        <v>STOCK DE ALMACEN</v>
      </c>
      <c r="T191" s="7" t="str">
        <f>IF(Ingresos[[#This Row],[Fec. Entrega]]&gt;=Ingresos[[#This Row],[Fe.contable]],"",IF(Ingresos[[#This Row],[Fe.contable]]&gt;Ingresos[[#This Row],[Fec. Entrega]],"Entrega Tarde"))</f>
        <v>Entrega Tarde</v>
      </c>
    </row>
  </sheetData>
  <conditionalFormatting sqref="T7:T191">
    <cfRule type="expression" dxfId="0" priority="1">
      <formula>T7="Entrega Tarde"</formula>
    </cfRule>
  </conditionalFormatting>
  <dataValidations count="1">
    <dataValidation type="list" allowBlank="1" showInputMessage="1" showErrorMessage="1" sqref="C4" xr:uid="{00000000-0002-0000-0200-000000000000}">
      <formula1>"0001,0002,0003,0007"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Actualizar">
          <controlPr defaultSize="0" autoLine="0" r:id="rId5">
            <anchor moveWithCells="1" sizeWithCells="1">
              <from>
                <xdr:col>4</xdr:col>
                <xdr:colOff>146050</xdr:colOff>
                <xdr:row>1</xdr:row>
                <xdr:rowOff>0</xdr:rowOff>
              </from>
              <to>
                <xdr:col>4</xdr:col>
                <xdr:colOff>1746250</xdr:colOff>
                <xdr:row>4</xdr:row>
                <xdr:rowOff>19050</xdr:rowOff>
              </to>
            </anchor>
          </controlPr>
        </control>
      </mc:Choice>
      <mc:Fallback>
        <control shapeId="1026" r:id="rId4" name="Actualizar"/>
      </mc:Fallback>
    </mc:AlternateContent>
    <mc:AlternateContent xmlns:mc="http://schemas.openxmlformats.org/markup-compatibility/2006">
      <mc:Choice Requires="x14">
        <control shapeId="1027" r:id="rId6" name="Limpiar">
          <controlPr defaultSize="0" autoLine="0" r:id="rId7">
            <anchor moveWithCells="1">
              <from>
                <xdr:col>4</xdr:col>
                <xdr:colOff>1860550</xdr:colOff>
                <xdr:row>0</xdr:row>
                <xdr:rowOff>165100</xdr:rowOff>
              </from>
              <to>
                <xdr:col>5</xdr:col>
                <xdr:colOff>546100</xdr:colOff>
                <xdr:row>4</xdr:row>
                <xdr:rowOff>12700</xdr:rowOff>
              </to>
            </anchor>
          </controlPr>
        </control>
      </mc:Choice>
      <mc:Fallback>
        <control shapeId="1027" r:id="rId6" name="Limpiar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89D89-8BE2-48D9-B824-2D5E2CE6F85E}">
  <sheetPr codeName="Hoja3"/>
  <dimension ref="A2:K878"/>
  <sheetViews>
    <sheetView showGridLines="0" workbookViewId="0">
      <selection activeCell="B3" sqref="B3:J878"/>
    </sheetView>
  </sheetViews>
  <sheetFormatPr baseColWidth="10" defaultRowHeight="14.5" x14ac:dyDescent="0.35"/>
  <cols>
    <col min="1" max="1" width="2.7265625" customWidth="1"/>
    <col min="2" max="2" width="12.1796875" bestFit="1" customWidth="1"/>
    <col min="3" max="3" width="21.26953125" bestFit="1" customWidth="1"/>
    <col min="4" max="4" width="12.81640625" style="17" bestFit="1" customWidth="1"/>
    <col min="5" max="5" width="18.7265625" bestFit="1" customWidth="1"/>
    <col min="6" max="6" width="22.7265625" bestFit="1" customWidth="1"/>
    <col min="8" max="9" width="12.54296875" customWidth="1"/>
    <col min="10" max="10" width="16.26953125" customWidth="1"/>
    <col min="11" max="11" width="22.81640625" customWidth="1"/>
  </cols>
  <sheetData>
    <row r="2" spans="1:11" x14ac:dyDescent="0.35">
      <c r="A2" t="s">
        <v>22</v>
      </c>
      <c r="B2" t="s">
        <v>23</v>
      </c>
      <c r="C2" t="s">
        <v>24</v>
      </c>
      <c r="D2" s="17" t="s">
        <v>25</v>
      </c>
      <c r="E2" t="s">
        <v>15</v>
      </c>
      <c r="F2" t="s">
        <v>0</v>
      </c>
      <c r="G2" t="s">
        <v>21</v>
      </c>
      <c r="H2" t="s">
        <v>8</v>
      </c>
      <c r="I2" t="s">
        <v>32</v>
      </c>
      <c r="J2" t="s">
        <v>53</v>
      </c>
      <c r="K2" t="s">
        <v>54</v>
      </c>
    </row>
    <row r="3" spans="1:11" hidden="1" x14ac:dyDescent="0.35">
      <c r="A3" t="str">
        <f>Detalle_OC[[#This Row],[Centro]]&amp;Detalle_OC[[#This Row],[Nom Almacen]]&amp;Detalle_OC[[#This Row],[Material]]&amp;Detalle_OC[[#This Row],[Pedido]]&amp;Detalle_OC[[#This Row],[Posicion]]</f>
        <v>Agricola del Chira PlantaMontelima703857451144607880</v>
      </c>
      <c r="B3" t="s">
        <v>47</v>
      </c>
      <c r="C3" t="s">
        <v>409</v>
      </c>
      <c r="D3" s="17">
        <v>44995</v>
      </c>
      <c r="E3" t="s">
        <v>26</v>
      </c>
      <c r="F3" t="s">
        <v>27</v>
      </c>
      <c r="G3">
        <v>703857</v>
      </c>
      <c r="H3">
        <v>4511446078</v>
      </c>
      <c r="I3">
        <v>80</v>
      </c>
      <c r="J3">
        <v>1</v>
      </c>
      <c r="K3" t="str">
        <f>IFERROR(VLOOKUP(Detalle_OC[[#This Row],[Centro]]&amp;Detalle_OC[[#This Row],[Nro Almacen]],Almacen!A:D,4,FALSE),"")</f>
        <v>Montelima</v>
      </c>
    </row>
    <row r="4" spans="1:11" x14ac:dyDescent="0.35">
      <c r="A4" s="7" t="str">
        <f>Detalle_OC[[#This Row],[Centro]]&amp;Detalle_OC[[#This Row],[Nom Almacen]]&amp;Detalle_OC[[#This Row],[Material]]&amp;Detalle_OC[[#This Row],[Pedido]]&amp;Detalle_OC[[#This Row],[Posicion]]</f>
        <v>Sucroalcolera del Chira PlantaMontelima709179451145642630</v>
      </c>
      <c r="B4" t="s">
        <v>123</v>
      </c>
      <c r="C4" t="s">
        <v>409</v>
      </c>
      <c r="D4" s="17">
        <v>45005</v>
      </c>
      <c r="E4" t="s">
        <v>26</v>
      </c>
      <c r="F4" t="s">
        <v>41</v>
      </c>
      <c r="G4">
        <v>709179</v>
      </c>
      <c r="H4">
        <v>4511456426</v>
      </c>
      <c r="I4">
        <v>30</v>
      </c>
      <c r="J4" s="7">
        <v>1</v>
      </c>
      <c r="K4" s="7" t="str">
        <f>IFERROR(VLOOKUP(Detalle_OC[[#This Row],[Centro]]&amp;Detalle_OC[[#This Row],[Nro Almacen]],Almacen!A:D,4,FALSE),"")</f>
        <v>Montelima</v>
      </c>
    </row>
    <row r="5" spans="1:11" x14ac:dyDescent="0.35">
      <c r="A5" s="7" t="str">
        <f>Detalle_OC[[#This Row],[Centro]]&amp;Detalle_OC[[#This Row],[Nom Almacen]]&amp;Detalle_OC[[#This Row],[Material]]&amp;Detalle_OC[[#This Row],[Pedido]]&amp;Detalle_OC[[#This Row],[Posicion]]</f>
        <v>Bioenergía del Chira PlantaMontelima709198451145264510</v>
      </c>
      <c r="B5" t="s">
        <v>160</v>
      </c>
      <c r="C5" t="s">
        <v>410</v>
      </c>
      <c r="D5" s="17">
        <v>45000</v>
      </c>
      <c r="E5" t="s">
        <v>26</v>
      </c>
      <c r="F5" t="s">
        <v>57</v>
      </c>
      <c r="G5">
        <v>709198</v>
      </c>
      <c r="H5">
        <v>4511452645</v>
      </c>
      <c r="I5">
        <v>10</v>
      </c>
      <c r="J5" s="7">
        <v>1</v>
      </c>
      <c r="K5" s="7" t="str">
        <f>IFERROR(VLOOKUP(Detalle_OC[[#This Row],[Centro]]&amp;Detalle_OC[[#This Row],[Nro Almacen]],Almacen!A:D,4,FALSE),"")</f>
        <v>Montelima</v>
      </c>
    </row>
    <row r="6" spans="1:11" x14ac:dyDescent="0.35">
      <c r="A6" s="7" t="str">
        <f>Detalle_OC[[#This Row],[Centro]]&amp;Detalle_OC[[#This Row],[Nom Almacen]]&amp;Detalle_OC[[#This Row],[Material]]&amp;Detalle_OC[[#This Row],[Pedido]]&amp;Detalle_OC[[#This Row],[Posicion]]</f>
        <v>Bioenergía del Chira PlantaMontelima7152724511452995120</v>
      </c>
      <c r="B6" t="s">
        <v>115</v>
      </c>
      <c r="C6" t="s">
        <v>411</v>
      </c>
      <c r="D6" s="17">
        <v>44967</v>
      </c>
      <c r="E6" t="s">
        <v>26</v>
      </c>
      <c r="F6" t="s">
        <v>57</v>
      </c>
      <c r="G6">
        <v>715272</v>
      </c>
      <c r="H6">
        <v>4511452995</v>
      </c>
      <c r="I6">
        <v>120</v>
      </c>
      <c r="J6" s="7">
        <v>1</v>
      </c>
      <c r="K6" s="7" t="str">
        <f>IFERROR(VLOOKUP(Detalle_OC[[#This Row],[Centro]]&amp;Detalle_OC[[#This Row],[Nro Almacen]],Almacen!A:D,4,FALSE),"")</f>
        <v>Montelima</v>
      </c>
    </row>
    <row r="7" spans="1:11" x14ac:dyDescent="0.35">
      <c r="A7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7" t="s">
        <v>38</v>
      </c>
      <c r="C7" t="s">
        <v>412</v>
      </c>
      <c r="D7" s="17">
        <v>43957</v>
      </c>
      <c r="E7" t="s">
        <v>26</v>
      </c>
      <c r="F7" t="s">
        <v>27</v>
      </c>
      <c r="G7">
        <v>718015</v>
      </c>
      <c r="H7">
        <v>5500022180</v>
      </c>
      <c r="I7">
        <v>10</v>
      </c>
      <c r="J7" s="7" t="s">
        <v>42</v>
      </c>
      <c r="K7" s="7" t="str">
        <f>IFERROR(VLOOKUP(Detalle_OC[[#This Row],[Centro]]&amp;Detalle_OC[[#This Row],[Nro Almacen]],Almacen!A:D,4,FALSE),"")</f>
        <v/>
      </c>
    </row>
    <row r="8" spans="1:11" x14ac:dyDescent="0.35">
      <c r="A8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8" t="s">
        <v>38</v>
      </c>
      <c r="C8" t="s">
        <v>412</v>
      </c>
      <c r="D8" s="17">
        <v>43957</v>
      </c>
      <c r="E8" t="s">
        <v>26</v>
      </c>
      <c r="F8" t="s">
        <v>27</v>
      </c>
      <c r="G8">
        <v>718015</v>
      </c>
      <c r="H8">
        <v>5500022180</v>
      </c>
      <c r="I8">
        <v>10</v>
      </c>
      <c r="J8" s="7" t="s">
        <v>42</v>
      </c>
      <c r="K8" s="7" t="str">
        <f>IFERROR(VLOOKUP(Detalle_OC[[#This Row],[Centro]]&amp;Detalle_OC[[#This Row],[Nro Almacen]],Almacen!A:D,4,FALSE),"")</f>
        <v/>
      </c>
    </row>
    <row r="9" spans="1:11" x14ac:dyDescent="0.35">
      <c r="A9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9" t="s">
        <v>38</v>
      </c>
      <c r="C9" t="s">
        <v>412</v>
      </c>
      <c r="D9" s="17">
        <v>43960</v>
      </c>
      <c r="E9" t="s">
        <v>26</v>
      </c>
      <c r="F9" t="s">
        <v>27</v>
      </c>
      <c r="G9">
        <v>718015</v>
      </c>
      <c r="H9">
        <v>5500022180</v>
      </c>
      <c r="I9">
        <v>10</v>
      </c>
      <c r="J9" s="7" t="s">
        <v>42</v>
      </c>
      <c r="K9" s="7" t="str">
        <f>IFERROR(VLOOKUP(Detalle_OC[[#This Row],[Centro]]&amp;Detalle_OC[[#This Row],[Nro Almacen]],Almacen!A:D,4,FALSE),"")</f>
        <v/>
      </c>
    </row>
    <row r="10" spans="1:11" x14ac:dyDescent="0.35">
      <c r="A10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0" t="s">
        <v>38</v>
      </c>
      <c r="C10" t="s">
        <v>412</v>
      </c>
      <c r="D10" s="17">
        <v>43964</v>
      </c>
      <c r="E10" t="s">
        <v>26</v>
      </c>
      <c r="F10" t="s">
        <v>27</v>
      </c>
      <c r="G10">
        <v>718015</v>
      </c>
      <c r="H10">
        <v>5500022180</v>
      </c>
      <c r="I10">
        <v>10</v>
      </c>
      <c r="J10" s="7" t="s">
        <v>42</v>
      </c>
      <c r="K10" s="7" t="str">
        <f>IFERROR(VLOOKUP(Detalle_OC[[#This Row],[Centro]]&amp;Detalle_OC[[#This Row],[Nro Almacen]],Almacen!A:D,4,FALSE),"")</f>
        <v/>
      </c>
    </row>
    <row r="11" spans="1:11" x14ac:dyDescent="0.35">
      <c r="A11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1" t="s">
        <v>38</v>
      </c>
      <c r="C11" t="s">
        <v>412</v>
      </c>
      <c r="D11" s="17">
        <v>43963</v>
      </c>
      <c r="E11" t="s">
        <v>26</v>
      </c>
      <c r="F11" t="s">
        <v>27</v>
      </c>
      <c r="G11">
        <v>718015</v>
      </c>
      <c r="H11">
        <v>5500022180</v>
      </c>
      <c r="I11">
        <v>10</v>
      </c>
      <c r="J11" s="7" t="s">
        <v>42</v>
      </c>
      <c r="K11" s="7" t="str">
        <f>IFERROR(VLOOKUP(Detalle_OC[[#This Row],[Centro]]&amp;Detalle_OC[[#This Row],[Nro Almacen]],Almacen!A:D,4,FALSE),"")</f>
        <v/>
      </c>
    </row>
    <row r="12" spans="1:11" x14ac:dyDescent="0.35">
      <c r="A12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2" t="s">
        <v>38</v>
      </c>
      <c r="C12" t="s">
        <v>412</v>
      </c>
      <c r="D12" s="17">
        <v>43965</v>
      </c>
      <c r="E12" t="s">
        <v>26</v>
      </c>
      <c r="F12" t="s">
        <v>27</v>
      </c>
      <c r="G12">
        <v>718015</v>
      </c>
      <c r="H12">
        <v>5500022180</v>
      </c>
      <c r="I12">
        <v>10</v>
      </c>
      <c r="J12" s="7" t="s">
        <v>42</v>
      </c>
      <c r="K12" s="7" t="str">
        <f>IFERROR(VLOOKUP(Detalle_OC[[#This Row],[Centro]]&amp;Detalle_OC[[#This Row],[Nro Almacen]],Almacen!A:D,4,FALSE),"")</f>
        <v/>
      </c>
    </row>
    <row r="13" spans="1:11" x14ac:dyDescent="0.35">
      <c r="A13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3" t="s">
        <v>38</v>
      </c>
      <c r="C13" t="s">
        <v>412</v>
      </c>
      <c r="D13" s="17">
        <v>43969</v>
      </c>
      <c r="E13" t="s">
        <v>26</v>
      </c>
      <c r="F13" t="s">
        <v>27</v>
      </c>
      <c r="G13">
        <v>718015</v>
      </c>
      <c r="H13">
        <v>5500022180</v>
      </c>
      <c r="I13">
        <v>10</v>
      </c>
      <c r="J13" s="7" t="s">
        <v>42</v>
      </c>
      <c r="K13" s="7" t="str">
        <f>IFERROR(VLOOKUP(Detalle_OC[[#This Row],[Centro]]&amp;Detalle_OC[[#This Row],[Nro Almacen]],Almacen!A:D,4,FALSE),"")</f>
        <v/>
      </c>
    </row>
    <row r="14" spans="1:11" x14ac:dyDescent="0.35">
      <c r="A14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4" t="s">
        <v>38</v>
      </c>
      <c r="C14" t="s">
        <v>412</v>
      </c>
      <c r="D14" s="17">
        <v>43970</v>
      </c>
      <c r="E14" t="s">
        <v>26</v>
      </c>
      <c r="F14" t="s">
        <v>27</v>
      </c>
      <c r="G14">
        <v>718015</v>
      </c>
      <c r="H14">
        <v>5500022180</v>
      </c>
      <c r="I14">
        <v>10</v>
      </c>
      <c r="J14" s="7" t="s">
        <v>42</v>
      </c>
      <c r="K14" s="7" t="str">
        <f>IFERROR(VLOOKUP(Detalle_OC[[#This Row],[Centro]]&amp;Detalle_OC[[#This Row],[Nro Almacen]],Almacen!A:D,4,FALSE),"")</f>
        <v/>
      </c>
    </row>
    <row r="15" spans="1:11" x14ac:dyDescent="0.35">
      <c r="A15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5" t="s">
        <v>38</v>
      </c>
      <c r="C15" t="s">
        <v>412</v>
      </c>
      <c r="D15" s="17">
        <v>43976</v>
      </c>
      <c r="E15" t="s">
        <v>26</v>
      </c>
      <c r="F15" t="s">
        <v>27</v>
      </c>
      <c r="G15">
        <v>718015</v>
      </c>
      <c r="H15">
        <v>5500022180</v>
      </c>
      <c r="I15">
        <v>10</v>
      </c>
      <c r="J15" s="7" t="s">
        <v>42</v>
      </c>
      <c r="K15" s="7" t="str">
        <f>IFERROR(VLOOKUP(Detalle_OC[[#This Row],[Centro]]&amp;Detalle_OC[[#This Row],[Nro Almacen]],Almacen!A:D,4,FALSE),"")</f>
        <v/>
      </c>
    </row>
    <row r="16" spans="1:11" x14ac:dyDescent="0.35">
      <c r="A16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6" t="s">
        <v>38</v>
      </c>
      <c r="C16" t="s">
        <v>412</v>
      </c>
      <c r="D16" s="17">
        <v>43977</v>
      </c>
      <c r="E16" t="s">
        <v>26</v>
      </c>
      <c r="F16" t="s">
        <v>27</v>
      </c>
      <c r="G16">
        <v>718015</v>
      </c>
      <c r="H16">
        <v>5500022180</v>
      </c>
      <c r="I16">
        <v>10</v>
      </c>
      <c r="J16" s="7" t="s">
        <v>42</v>
      </c>
      <c r="K16" s="7" t="str">
        <f>IFERROR(VLOOKUP(Detalle_OC[[#This Row],[Centro]]&amp;Detalle_OC[[#This Row],[Nro Almacen]],Almacen!A:D,4,FALSE),"")</f>
        <v/>
      </c>
    </row>
    <row r="17" spans="1:11" x14ac:dyDescent="0.35">
      <c r="A17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7" t="s">
        <v>38</v>
      </c>
      <c r="C17" t="s">
        <v>412</v>
      </c>
      <c r="D17" s="17">
        <v>43990</v>
      </c>
      <c r="E17" t="s">
        <v>26</v>
      </c>
      <c r="F17" t="s">
        <v>27</v>
      </c>
      <c r="G17">
        <v>718015</v>
      </c>
      <c r="H17">
        <v>5500022180</v>
      </c>
      <c r="I17">
        <v>10</v>
      </c>
      <c r="J17" s="7" t="s">
        <v>42</v>
      </c>
      <c r="K17" s="7" t="str">
        <f>IFERROR(VLOOKUP(Detalle_OC[[#This Row],[Centro]]&amp;Detalle_OC[[#This Row],[Nro Almacen]],Almacen!A:D,4,FALSE),"")</f>
        <v/>
      </c>
    </row>
    <row r="18" spans="1:11" x14ac:dyDescent="0.35">
      <c r="A18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8" t="s">
        <v>38</v>
      </c>
      <c r="C18" t="s">
        <v>412</v>
      </c>
      <c r="D18" s="17">
        <v>43992</v>
      </c>
      <c r="E18" t="s">
        <v>26</v>
      </c>
      <c r="F18" t="s">
        <v>27</v>
      </c>
      <c r="G18">
        <v>718015</v>
      </c>
      <c r="H18">
        <v>5500022180</v>
      </c>
      <c r="I18">
        <v>10</v>
      </c>
      <c r="J18" s="7" t="s">
        <v>42</v>
      </c>
      <c r="K18" s="7" t="str">
        <f>IFERROR(VLOOKUP(Detalle_OC[[#This Row],[Centro]]&amp;Detalle_OC[[#This Row],[Nro Almacen]],Almacen!A:D,4,FALSE),"")</f>
        <v/>
      </c>
    </row>
    <row r="19" spans="1:11" x14ac:dyDescent="0.35">
      <c r="A19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9" t="s">
        <v>38</v>
      </c>
      <c r="C19" t="s">
        <v>412</v>
      </c>
      <c r="D19" s="17">
        <v>44002</v>
      </c>
      <c r="E19" t="s">
        <v>26</v>
      </c>
      <c r="F19" t="s">
        <v>27</v>
      </c>
      <c r="G19">
        <v>718015</v>
      </c>
      <c r="H19">
        <v>5500022180</v>
      </c>
      <c r="I19">
        <v>10</v>
      </c>
      <c r="J19" s="7" t="s">
        <v>42</v>
      </c>
      <c r="K19" s="7" t="str">
        <f>IFERROR(VLOOKUP(Detalle_OC[[#This Row],[Centro]]&amp;Detalle_OC[[#This Row],[Nro Almacen]],Almacen!A:D,4,FALSE),"")</f>
        <v/>
      </c>
    </row>
    <row r="20" spans="1:11" x14ac:dyDescent="0.35">
      <c r="A20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0" t="s">
        <v>38</v>
      </c>
      <c r="C20" t="s">
        <v>412</v>
      </c>
      <c r="D20" s="17">
        <v>44002</v>
      </c>
      <c r="E20" t="s">
        <v>26</v>
      </c>
      <c r="F20" t="s">
        <v>27</v>
      </c>
      <c r="G20">
        <v>718015</v>
      </c>
      <c r="H20">
        <v>5500022180</v>
      </c>
      <c r="I20">
        <v>10</v>
      </c>
      <c r="J20" s="7" t="s">
        <v>42</v>
      </c>
      <c r="K20" s="7" t="str">
        <f>IFERROR(VLOOKUP(Detalle_OC[[#This Row],[Centro]]&amp;Detalle_OC[[#This Row],[Nro Almacen]],Almacen!A:D,4,FALSE),"")</f>
        <v/>
      </c>
    </row>
    <row r="21" spans="1:11" x14ac:dyDescent="0.35">
      <c r="A21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1" t="s">
        <v>38</v>
      </c>
      <c r="C21" t="s">
        <v>412</v>
      </c>
      <c r="D21" s="17">
        <v>44004</v>
      </c>
      <c r="E21" t="s">
        <v>26</v>
      </c>
      <c r="F21" t="s">
        <v>27</v>
      </c>
      <c r="G21">
        <v>718015</v>
      </c>
      <c r="H21">
        <v>5500022180</v>
      </c>
      <c r="I21">
        <v>10</v>
      </c>
      <c r="J21" s="7" t="s">
        <v>42</v>
      </c>
      <c r="K21" s="7" t="str">
        <f>IFERROR(VLOOKUP(Detalle_OC[[#This Row],[Centro]]&amp;Detalle_OC[[#This Row],[Nro Almacen]],Almacen!A:D,4,FALSE),"")</f>
        <v/>
      </c>
    </row>
    <row r="22" spans="1:11" x14ac:dyDescent="0.35">
      <c r="A22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2" t="s">
        <v>38</v>
      </c>
      <c r="C22" t="s">
        <v>412</v>
      </c>
      <c r="D22" s="17">
        <v>44008</v>
      </c>
      <c r="E22" t="s">
        <v>26</v>
      </c>
      <c r="F22" t="s">
        <v>27</v>
      </c>
      <c r="G22">
        <v>718015</v>
      </c>
      <c r="H22">
        <v>5500022180</v>
      </c>
      <c r="I22">
        <v>10</v>
      </c>
      <c r="J22" s="7" t="s">
        <v>42</v>
      </c>
      <c r="K22" s="7" t="str">
        <f>IFERROR(VLOOKUP(Detalle_OC[[#This Row],[Centro]]&amp;Detalle_OC[[#This Row],[Nro Almacen]],Almacen!A:D,4,FALSE),"")</f>
        <v/>
      </c>
    </row>
    <row r="23" spans="1:11" x14ac:dyDescent="0.35">
      <c r="A23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3" t="s">
        <v>38</v>
      </c>
      <c r="C23" t="s">
        <v>412</v>
      </c>
      <c r="D23" s="17">
        <v>44015</v>
      </c>
      <c r="E23" t="s">
        <v>26</v>
      </c>
      <c r="F23" t="s">
        <v>27</v>
      </c>
      <c r="G23">
        <v>718015</v>
      </c>
      <c r="H23">
        <v>5500022180</v>
      </c>
      <c r="I23">
        <v>10</v>
      </c>
      <c r="J23" s="7" t="s">
        <v>42</v>
      </c>
      <c r="K23" s="7" t="str">
        <f>IFERROR(VLOOKUP(Detalle_OC[[#This Row],[Centro]]&amp;Detalle_OC[[#This Row],[Nro Almacen]],Almacen!A:D,4,FALSE),"")</f>
        <v/>
      </c>
    </row>
    <row r="24" spans="1:11" x14ac:dyDescent="0.35">
      <c r="A24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4" t="s">
        <v>38</v>
      </c>
      <c r="C24" t="s">
        <v>412</v>
      </c>
      <c r="D24" s="17">
        <v>44019</v>
      </c>
      <c r="E24" t="s">
        <v>26</v>
      </c>
      <c r="F24" t="s">
        <v>27</v>
      </c>
      <c r="G24">
        <v>718015</v>
      </c>
      <c r="H24">
        <v>5500022180</v>
      </c>
      <c r="I24">
        <v>10</v>
      </c>
      <c r="J24" s="7" t="s">
        <v>42</v>
      </c>
      <c r="K24" s="7" t="str">
        <f>IFERROR(VLOOKUP(Detalle_OC[[#This Row],[Centro]]&amp;Detalle_OC[[#This Row],[Nro Almacen]],Almacen!A:D,4,FALSE),"")</f>
        <v/>
      </c>
    </row>
    <row r="25" spans="1:11" x14ac:dyDescent="0.35">
      <c r="A25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5" t="s">
        <v>38</v>
      </c>
      <c r="C25" t="s">
        <v>412</v>
      </c>
      <c r="D25" s="17">
        <v>44023</v>
      </c>
      <c r="E25" t="s">
        <v>26</v>
      </c>
      <c r="F25" t="s">
        <v>27</v>
      </c>
      <c r="G25">
        <v>718015</v>
      </c>
      <c r="H25">
        <v>5500022180</v>
      </c>
      <c r="I25">
        <v>10</v>
      </c>
      <c r="J25" s="7" t="s">
        <v>42</v>
      </c>
      <c r="K25" s="7" t="str">
        <f>IFERROR(VLOOKUP(Detalle_OC[[#This Row],[Centro]]&amp;Detalle_OC[[#This Row],[Nro Almacen]],Almacen!A:D,4,FALSE),"")</f>
        <v/>
      </c>
    </row>
    <row r="26" spans="1:11" x14ac:dyDescent="0.35">
      <c r="A26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6" t="s">
        <v>38</v>
      </c>
      <c r="C26" t="s">
        <v>412</v>
      </c>
      <c r="D26" s="17">
        <v>44027</v>
      </c>
      <c r="E26" t="s">
        <v>26</v>
      </c>
      <c r="F26" t="s">
        <v>27</v>
      </c>
      <c r="G26">
        <v>718015</v>
      </c>
      <c r="H26">
        <v>5500022180</v>
      </c>
      <c r="I26">
        <v>10</v>
      </c>
      <c r="J26" s="7" t="s">
        <v>42</v>
      </c>
      <c r="K26" s="7" t="str">
        <f>IFERROR(VLOOKUP(Detalle_OC[[#This Row],[Centro]]&amp;Detalle_OC[[#This Row],[Nro Almacen]],Almacen!A:D,4,FALSE),"")</f>
        <v/>
      </c>
    </row>
    <row r="27" spans="1:11" x14ac:dyDescent="0.35">
      <c r="A27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7" t="s">
        <v>38</v>
      </c>
      <c r="C27" t="s">
        <v>412</v>
      </c>
      <c r="D27" s="17">
        <v>44029</v>
      </c>
      <c r="E27" t="s">
        <v>26</v>
      </c>
      <c r="F27" t="s">
        <v>27</v>
      </c>
      <c r="G27">
        <v>718015</v>
      </c>
      <c r="H27">
        <v>5500022180</v>
      </c>
      <c r="I27">
        <v>10</v>
      </c>
      <c r="J27" s="7" t="s">
        <v>42</v>
      </c>
      <c r="K27" s="7" t="str">
        <f>IFERROR(VLOOKUP(Detalle_OC[[#This Row],[Centro]]&amp;Detalle_OC[[#This Row],[Nro Almacen]],Almacen!A:D,4,FALSE),"")</f>
        <v/>
      </c>
    </row>
    <row r="28" spans="1:11" x14ac:dyDescent="0.35">
      <c r="A28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8" t="s">
        <v>38</v>
      </c>
      <c r="C28" t="s">
        <v>412</v>
      </c>
      <c r="D28" s="17">
        <v>44044</v>
      </c>
      <c r="E28" t="s">
        <v>26</v>
      </c>
      <c r="F28" t="s">
        <v>27</v>
      </c>
      <c r="G28">
        <v>718015</v>
      </c>
      <c r="H28">
        <v>5500022180</v>
      </c>
      <c r="I28">
        <v>10</v>
      </c>
      <c r="J28" s="7" t="s">
        <v>42</v>
      </c>
      <c r="K28" s="7" t="str">
        <f>IFERROR(VLOOKUP(Detalle_OC[[#This Row],[Centro]]&amp;Detalle_OC[[#This Row],[Nro Almacen]],Almacen!A:D,4,FALSE),"")</f>
        <v/>
      </c>
    </row>
    <row r="29" spans="1:11" x14ac:dyDescent="0.35">
      <c r="A29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9" t="s">
        <v>38</v>
      </c>
      <c r="C29" t="s">
        <v>412</v>
      </c>
      <c r="D29" s="17">
        <v>44047</v>
      </c>
      <c r="E29" t="s">
        <v>26</v>
      </c>
      <c r="F29" t="s">
        <v>27</v>
      </c>
      <c r="G29">
        <v>718015</v>
      </c>
      <c r="H29">
        <v>5500022180</v>
      </c>
      <c r="I29">
        <v>10</v>
      </c>
      <c r="J29" s="7" t="s">
        <v>42</v>
      </c>
      <c r="K29" s="7" t="str">
        <f>IFERROR(VLOOKUP(Detalle_OC[[#This Row],[Centro]]&amp;Detalle_OC[[#This Row],[Nro Almacen]],Almacen!A:D,4,FALSE),"")</f>
        <v/>
      </c>
    </row>
    <row r="30" spans="1:11" x14ac:dyDescent="0.35">
      <c r="A30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30" t="s">
        <v>38</v>
      </c>
      <c r="C30" t="s">
        <v>412</v>
      </c>
      <c r="D30" s="17">
        <v>44049</v>
      </c>
      <c r="E30" t="s">
        <v>26</v>
      </c>
      <c r="F30" t="s">
        <v>27</v>
      </c>
      <c r="G30">
        <v>718015</v>
      </c>
      <c r="H30">
        <v>5500022180</v>
      </c>
      <c r="I30">
        <v>10</v>
      </c>
      <c r="J30" s="7" t="s">
        <v>42</v>
      </c>
      <c r="K30" s="7" t="str">
        <f>IFERROR(VLOOKUP(Detalle_OC[[#This Row],[Centro]]&amp;Detalle_OC[[#This Row],[Nro Almacen]],Almacen!A:D,4,FALSE),"")</f>
        <v/>
      </c>
    </row>
    <row r="31" spans="1:11" x14ac:dyDescent="0.35">
      <c r="A31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31" t="s">
        <v>38</v>
      </c>
      <c r="C31" t="s">
        <v>412</v>
      </c>
      <c r="D31" s="17">
        <v>44056</v>
      </c>
      <c r="E31" t="s">
        <v>26</v>
      </c>
      <c r="F31" t="s">
        <v>27</v>
      </c>
      <c r="G31">
        <v>718015</v>
      </c>
      <c r="H31">
        <v>5500022180</v>
      </c>
      <c r="I31">
        <v>10</v>
      </c>
      <c r="J31" s="7" t="s">
        <v>42</v>
      </c>
      <c r="K31" s="7" t="str">
        <f>IFERROR(VLOOKUP(Detalle_OC[[#This Row],[Centro]]&amp;Detalle_OC[[#This Row],[Nro Almacen]],Almacen!A:D,4,FALSE),"")</f>
        <v/>
      </c>
    </row>
    <row r="32" spans="1:11" x14ac:dyDescent="0.35">
      <c r="A32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32" t="s">
        <v>38</v>
      </c>
      <c r="C32" t="s">
        <v>412</v>
      </c>
      <c r="D32" s="17">
        <v>44063</v>
      </c>
      <c r="E32" t="s">
        <v>26</v>
      </c>
      <c r="F32" t="s">
        <v>27</v>
      </c>
      <c r="G32">
        <v>718015</v>
      </c>
      <c r="H32">
        <v>5500022180</v>
      </c>
      <c r="I32">
        <v>10</v>
      </c>
      <c r="J32" s="7" t="s">
        <v>42</v>
      </c>
      <c r="K32" s="7" t="str">
        <f>IFERROR(VLOOKUP(Detalle_OC[[#This Row],[Centro]]&amp;Detalle_OC[[#This Row],[Nro Almacen]],Almacen!A:D,4,FALSE),"")</f>
        <v/>
      </c>
    </row>
    <row r="33" spans="1:11" x14ac:dyDescent="0.35">
      <c r="A33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33" t="s">
        <v>38</v>
      </c>
      <c r="C33" t="s">
        <v>412</v>
      </c>
      <c r="D33" s="17">
        <v>44064</v>
      </c>
      <c r="E33" t="s">
        <v>26</v>
      </c>
      <c r="F33" t="s">
        <v>27</v>
      </c>
      <c r="G33">
        <v>718015</v>
      </c>
      <c r="H33">
        <v>5500022180</v>
      </c>
      <c r="I33">
        <v>10</v>
      </c>
      <c r="J33" s="7" t="s">
        <v>42</v>
      </c>
      <c r="K33" s="7" t="str">
        <f>IFERROR(VLOOKUP(Detalle_OC[[#This Row],[Centro]]&amp;Detalle_OC[[#This Row],[Nro Almacen]],Almacen!A:D,4,FALSE),"")</f>
        <v/>
      </c>
    </row>
    <row r="34" spans="1:11" x14ac:dyDescent="0.35">
      <c r="A34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34" t="s">
        <v>38</v>
      </c>
      <c r="C34" t="s">
        <v>412</v>
      </c>
      <c r="D34" s="17">
        <v>44072</v>
      </c>
      <c r="E34" t="s">
        <v>26</v>
      </c>
      <c r="F34" t="s">
        <v>27</v>
      </c>
      <c r="G34">
        <v>718015</v>
      </c>
      <c r="H34">
        <v>5500022180</v>
      </c>
      <c r="I34">
        <v>10</v>
      </c>
      <c r="J34" s="7" t="s">
        <v>42</v>
      </c>
      <c r="K34" s="7" t="str">
        <f>IFERROR(VLOOKUP(Detalle_OC[[#This Row],[Centro]]&amp;Detalle_OC[[#This Row],[Nro Almacen]],Almacen!A:D,4,FALSE),"")</f>
        <v/>
      </c>
    </row>
    <row r="35" spans="1:11" x14ac:dyDescent="0.35">
      <c r="A35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35" t="s">
        <v>38</v>
      </c>
      <c r="C35" t="s">
        <v>412</v>
      </c>
      <c r="D35" s="17">
        <v>44083</v>
      </c>
      <c r="E35" t="s">
        <v>26</v>
      </c>
      <c r="F35" t="s">
        <v>27</v>
      </c>
      <c r="G35">
        <v>718015</v>
      </c>
      <c r="H35">
        <v>5500022180</v>
      </c>
      <c r="I35">
        <v>10</v>
      </c>
      <c r="J35" s="7" t="s">
        <v>42</v>
      </c>
      <c r="K35" s="7" t="str">
        <f>IFERROR(VLOOKUP(Detalle_OC[[#This Row],[Centro]]&amp;Detalle_OC[[#This Row],[Nro Almacen]],Almacen!A:D,4,FALSE),"")</f>
        <v/>
      </c>
    </row>
    <row r="36" spans="1:11" x14ac:dyDescent="0.35">
      <c r="A36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36" t="s">
        <v>38</v>
      </c>
      <c r="C36" t="s">
        <v>412</v>
      </c>
      <c r="D36" s="17">
        <v>44084</v>
      </c>
      <c r="E36" t="s">
        <v>26</v>
      </c>
      <c r="F36" t="s">
        <v>27</v>
      </c>
      <c r="G36">
        <v>718015</v>
      </c>
      <c r="H36">
        <v>5500022180</v>
      </c>
      <c r="I36">
        <v>10</v>
      </c>
      <c r="J36" s="7" t="s">
        <v>42</v>
      </c>
      <c r="K36" s="7" t="str">
        <f>IFERROR(VLOOKUP(Detalle_OC[[#This Row],[Centro]]&amp;Detalle_OC[[#This Row],[Nro Almacen]],Almacen!A:D,4,FALSE),"")</f>
        <v/>
      </c>
    </row>
    <row r="37" spans="1:11" x14ac:dyDescent="0.35">
      <c r="A37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37" t="s">
        <v>38</v>
      </c>
      <c r="C37" t="s">
        <v>412</v>
      </c>
      <c r="D37" s="17">
        <v>44095</v>
      </c>
      <c r="E37" t="s">
        <v>26</v>
      </c>
      <c r="F37" t="s">
        <v>27</v>
      </c>
      <c r="G37">
        <v>718015</v>
      </c>
      <c r="H37">
        <v>5500022180</v>
      </c>
      <c r="I37">
        <v>10</v>
      </c>
      <c r="J37" s="7" t="s">
        <v>42</v>
      </c>
      <c r="K37" s="7" t="str">
        <f>IFERROR(VLOOKUP(Detalle_OC[[#This Row],[Centro]]&amp;Detalle_OC[[#This Row],[Nro Almacen]],Almacen!A:D,4,FALSE),"")</f>
        <v/>
      </c>
    </row>
    <row r="38" spans="1:11" x14ac:dyDescent="0.35">
      <c r="A38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38" t="s">
        <v>38</v>
      </c>
      <c r="C38" t="s">
        <v>412</v>
      </c>
      <c r="D38" s="17">
        <v>44098</v>
      </c>
      <c r="E38" t="s">
        <v>26</v>
      </c>
      <c r="F38" t="s">
        <v>27</v>
      </c>
      <c r="G38">
        <v>718015</v>
      </c>
      <c r="H38">
        <v>5500022180</v>
      </c>
      <c r="I38">
        <v>10</v>
      </c>
      <c r="J38" s="7" t="s">
        <v>42</v>
      </c>
      <c r="K38" s="7" t="str">
        <f>IFERROR(VLOOKUP(Detalle_OC[[#This Row],[Centro]]&amp;Detalle_OC[[#This Row],[Nro Almacen]],Almacen!A:D,4,FALSE),"")</f>
        <v/>
      </c>
    </row>
    <row r="39" spans="1:11" x14ac:dyDescent="0.35">
      <c r="A39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39" t="s">
        <v>38</v>
      </c>
      <c r="C39" t="s">
        <v>412</v>
      </c>
      <c r="D39" s="17">
        <v>44105</v>
      </c>
      <c r="E39" t="s">
        <v>26</v>
      </c>
      <c r="F39" t="s">
        <v>27</v>
      </c>
      <c r="G39">
        <v>718015</v>
      </c>
      <c r="H39">
        <v>5500022180</v>
      </c>
      <c r="I39">
        <v>10</v>
      </c>
      <c r="J39" s="7" t="s">
        <v>42</v>
      </c>
      <c r="K39" s="7" t="str">
        <f>IFERROR(VLOOKUP(Detalle_OC[[#This Row],[Centro]]&amp;Detalle_OC[[#This Row],[Nro Almacen]],Almacen!A:D,4,FALSE),"")</f>
        <v/>
      </c>
    </row>
    <row r="40" spans="1:11" x14ac:dyDescent="0.35">
      <c r="A40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40" t="s">
        <v>38</v>
      </c>
      <c r="C40" t="s">
        <v>412</v>
      </c>
      <c r="D40" s="17">
        <v>44112</v>
      </c>
      <c r="E40" t="s">
        <v>26</v>
      </c>
      <c r="F40" t="s">
        <v>27</v>
      </c>
      <c r="G40">
        <v>718015</v>
      </c>
      <c r="H40">
        <v>5500022180</v>
      </c>
      <c r="I40">
        <v>10</v>
      </c>
      <c r="J40" s="7" t="s">
        <v>42</v>
      </c>
      <c r="K40" s="7" t="str">
        <f>IFERROR(VLOOKUP(Detalle_OC[[#This Row],[Centro]]&amp;Detalle_OC[[#This Row],[Nro Almacen]],Almacen!A:D,4,FALSE),"")</f>
        <v/>
      </c>
    </row>
    <row r="41" spans="1:11" x14ac:dyDescent="0.35">
      <c r="A41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41" t="s">
        <v>38</v>
      </c>
      <c r="C41" t="s">
        <v>412</v>
      </c>
      <c r="D41" s="17">
        <v>44113</v>
      </c>
      <c r="E41" t="s">
        <v>26</v>
      </c>
      <c r="F41" t="s">
        <v>27</v>
      </c>
      <c r="G41">
        <v>718015</v>
      </c>
      <c r="H41">
        <v>5500022180</v>
      </c>
      <c r="I41">
        <v>10</v>
      </c>
      <c r="J41" s="7" t="s">
        <v>42</v>
      </c>
      <c r="K41" s="7" t="str">
        <f>IFERROR(VLOOKUP(Detalle_OC[[#This Row],[Centro]]&amp;Detalle_OC[[#This Row],[Nro Almacen]],Almacen!A:D,4,FALSE),"")</f>
        <v/>
      </c>
    </row>
    <row r="42" spans="1:11" x14ac:dyDescent="0.35">
      <c r="A42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42" t="s">
        <v>38</v>
      </c>
      <c r="C42" t="s">
        <v>412</v>
      </c>
      <c r="D42" s="17">
        <v>44120</v>
      </c>
      <c r="E42" t="s">
        <v>26</v>
      </c>
      <c r="F42" t="s">
        <v>27</v>
      </c>
      <c r="G42">
        <v>718015</v>
      </c>
      <c r="H42">
        <v>5500022180</v>
      </c>
      <c r="I42">
        <v>10</v>
      </c>
      <c r="J42" s="7" t="s">
        <v>42</v>
      </c>
      <c r="K42" s="7" t="str">
        <f>IFERROR(VLOOKUP(Detalle_OC[[#This Row],[Centro]]&amp;Detalle_OC[[#This Row],[Nro Almacen]],Almacen!A:D,4,FALSE),"")</f>
        <v/>
      </c>
    </row>
    <row r="43" spans="1:11" x14ac:dyDescent="0.35">
      <c r="A43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43" t="s">
        <v>38</v>
      </c>
      <c r="C43" t="s">
        <v>412</v>
      </c>
      <c r="D43" s="17">
        <v>44121</v>
      </c>
      <c r="E43" t="s">
        <v>26</v>
      </c>
      <c r="F43" t="s">
        <v>27</v>
      </c>
      <c r="G43">
        <v>718015</v>
      </c>
      <c r="H43">
        <v>5500022180</v>
      </c>
      <c r="I43">
        <v>10</v>
      </c>
      <c r="J43" s="7" t="s">
        <v>42</v>
      </c>
      <c r="K43" s="7" t="str">
        <f>IFERROR(VLOOKUP(Detalle_OC[[#This Row],[Centro]]&amp;Detalle_OC[[#This Row],[Nro Almacen]],Almacen!A:D,4,FALSE),"")</f>
        <v/>
      </c>
    </row>
    <row r="44" spans="1:11" x14ac:dyDescent="0.35">
      <c r="A44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44" t="s">
        <v>38</v>
      </c>
      <c r="C44" t="s">
        <v>412</v>
      </c>
      <c r="D44" s="17">
        <v>44124</v>
      </c>
      <c r="E44" t="s">
        <v>26</v>
      </c>
      <c r="F44" t="s">
        <v>27</v>
      </c>
      <c r="G44">
        <v>718015</v>
      </c>
      <c r="H44">
        <v>5500022180</v>
      </c>
      <c r="I44">
        <v>10</v>
      </c>
      <c r="J44" s="7" t="s">
        <v>42</v>
      </c>
      <c r="K44" s="7" t="str">
        <f>IFERROR(VLOOKUP(Detalle_OC[[#This Row],[Centro]]&amp;Detalle_OC[[#This Row],[Nro Almacen]],Almacen!A:D,4,FALSE),"")</f>
        <v/>
      </c>
    </row>
    <row r="45" spans="1:11" x14ac:dyDescent="0.35">
      <c r="A45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45" t="s">
        <v>38</v>
      </c>
      <c r="C45" t="s">
        <v>412</v>
      </c>
      <c r="D45" s="17">
        <v>44124</v>
      </c>
      <c r="E45" t="s">
        <v>26</v>
      </c>
      <c r="F45" t="s">
        <v>27</v>
      </c>
      <c r="G45">
        <v>718015</v>
      </c>
      <c r="H45">
        <v>5500022180</v>
      </c>
      <c r="I45">
        <v>10</v>
      </c>
      <c r="J45" s="7" t="s">
        <v>42</v>
      </c>
      <c r="K45" s="7" t="str">
        <f>IFERROR(VLOOKUP(Detalle_OC[[#This Row],[Centro]]&amp;Detalle_OC[[#This Row],[Nro Almacen]],Almacen!A:D,4,FALSE),"")</f>
        <v/>
      </c>
    </row>
    <row r="46" spans="1:11" x14ac:dyDescent="0.35">
      <c r="A46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46" t="s">
        <v>38</v>
      </c>
      <c r="C46" t="s">
        <v>412</v>
      </c>
      <c r="D46" s="17">
        <v>44128</v>
      </c>
      <c r="E46" t="s">
        <v>26</v>
      </c>
      <c r="F46" t="s">
        <v>27</v>
      </c>
      <c r="G46">
        <v>718015</v>
      </c>
      <c r="H46">
        <v>5500022180</v>
      </c>
      <c r="I46">
        <v>10</v>
      </c>
      <c r="J46" s="7" t="s">
        <v>42</v>
      </c>
      <c r="K46" s="7" t="str">
        <f>IFERROR(VLOOKUP(Detalle_OC[[#This Row],[Centro]]&amp;Detalle_OC[[#This Row],[Nro Almacen]],Almacen!A:D,4,FALSE),"")</f>
        <v/>
      </c>
    </row>
    <row r="47" spans="1:11" x14ac:dyDescent="0.35">
      <c r="A47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47" t="s">
        <v>38</v>
      </c>
      <c r="C47" t="s">
        <v>412</v>
      </c>
      <c r="D47" s="17">
        <v>44131</v>
      </c>
      <c r="E47" t="s">
        <v>26</v>
      </c>
      <c r="F47" t="s">
        <v>27</v>
      </c>
      <c r="G47">
        <v>718015</v>
      </c>
      <c r="H47">
        <v>5500022180</v>
      </c>
      <c r="I47">
        <v>10</v>
      </c>
      <c r="J47" s="7" t="s">
        <v>42</v>
      </c>
      <c r="K47" s="7" t="str">
        <f>IFERROR(VLOOKUP(Detalle_OC[[#This Row],[Centro]]&amp;Detalle_OC[[#This Row],[Nro Almacen]],Almacen!A:D,4,FALSE),"")</f>
        <v/>
      </c>
    </row>
    <row r="48" spans="1:11" x14ac:dyDescent="0.35">
      <c r="A48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48" t="s">
        <v>38</v>
      </c>
      <c r="C48" t="s">
        <v>412</v>
      </c>
      <c r="D48" s="17">
        <v>44134</v>
      </c>
      <c r="E48" t="s">
        <v>26</v>
      </c>
      <c r="F48" t="s">
        <v>27</v>
      </c>
      <c r="G48">
        <v>718015</v>
      </c>
      <c r="H48">
        <v>5500022180</v>
      </c>
      <c r="I48">
        <v>10</v>
      </c>
      <c r="J48" s="7" t="s">
        <v>42</v>
      </c>
      <c r="K48" s="7" t="str">
        <f>IFERROR(VLOOKUP(Detalle_OC[[#This Row],[Centro]]&amp;Detalle_OC[[#This Row],[Nro Almacen]],Almacen!A:D,4,FALSE),"")</f>
        <v/>
      </c>
    </row>
    <row r="49" spans="1:11" x14ac:dyDescent="0.35">
      <c r="A49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49" t="s">
        <v>38</v>
      </c>
      <c r="C49" t="s">
        <v>412</v>
      </c>
      <c r="D49" s="17">
        <v>44135</v>
      </c>
      <c r="E49" t="s">
        <v>26</v>
      </c>
      <c r="F49" t="s">
        <v>27</v>
      </c>
      <c r="G49">
        <v>718015</v>
      </c>
      <c r="H49">
        <v>5500022180</v>
      </c>
      <c r="I49">
        <v>10</v>
      </c>
      <c r="J49" s="7" t="s">
        <v>42</v>
      </c>
      <c r="K49" s="7" t="str">
        <f>IFERROR(VLOOKUP(Detalle_OC[[#This Row],[Centro]]&amp;Detalle_OC[[#This Row],[Nro Almacen]],Almacen!A:D,4,FALSE),"")</f>
        <v/>
      </c>
    </row>
    <row r="50" spans="1:11" x14ac:dyDescent="0.35">
      <c r="A50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50" t="s">
        <v>38</v>
      </c>
      <c r="C50" t="s">
        <v>412</v>
      </c>
      <c r="D50" s="17">
        <v>44141</v>
      </c>
      <c r="E50" t="s">
        <v>26</v>
      </c>
      <c r="F50" t="s">
        <v>27</v>
      </c>
      <c r="G50">
        <v>718015</v>
      </c>
      <c r="H50">
        <v>5500022180</v>
      </c>
      <c r="I50">
        <v>10</v>
      </c>
      <c r="J50" s="7" t="s">
        <v>42</v>
      </c>
      <c r="K50" s="7" t="str">
        <f>IFERROR(VLOOKUP(Detalle_OC[[#This Row],[Centro]]&amp;Detalle_OC[[#This Row],[Nro Almacen]],Almacen!A:D,4,FALSE),"")</f>
        <v/>
      </c>
    </row>
    <row r="51" spans="1:11" x14ac:dyDescent="0.35">
      <c r="A51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51" t="s">
        <v>38</v>
      </c>
      <c r="C51" t="s">
        <v>412</v>
      </c>
      <c r="D51" s="17">
        <v>44141</v>
      </c>
      <c r="E51" t="s">
        <v>26</v>
      </c>
      <c r="F51" t="s">
        <v>27</v>
      </c>
      <c r="G51">
        <v>718015</v>
      </c>
      <c r="H51">
        <v>5500022180</v>
      </c>
      <c r="I51">
        <v>10</v>
      </c>
      <c r="J51" s="7" t="s">
        <v>42</v>
      </c>
      <c r="K51" s="7" t="str">
        <f>IFERROR(VLOOKUP(Detalle_OC[[#This Row],[Centro]]&amp;Detalle_OC[[#This Row],[Nro Almacen]],Almacen!A:D,4,FALSE),"")</f>
        <v/>
      </c>
    </row>
    <row r="52" spans="1:11" x14ac:dyDescent="0.35">
      <c r="A52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52" t="s">
        <v>38</v>
      </c>
      <c r="C52" t="s">
        <v>412</v>
      </c>
      <c r="D52" s="17">
        <v>44147</v>
      </c>
      <c r="E52" t="s">
        <v>26</v>
      </c>
      <c r="F52" t="s">
        <v>27</v>
      </c>
      <c r="G52">
        <v>718015</v>
      </c>
      <c r="H52">
        <v>5500022180</v>
      </c>
      <c r="I52">
        <v>10</v>
      </c>
      <c r="J52" s="7" t="s">
        <v>42</v>
      </c>
      <c r="K52" s="7" t="str">
        <f>IFERROR(VLOOKUP(Detalle_OC[[#This Row],[Centro]]&amp;Detalle_OC[[#This Row],[Nro Almacen]],Almacen!A:D,4,FALSE),"")</f>
        <v/>
      </c>
    </row>
    <row r="53" spans="1:11" x14ac:dyDescent="0.35">
      <c r="A53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53" t="s">
        <v>38</v>
      </c>
      <c r="C53" t="s">
        <v>412</v>
      </c>
      <c r="D53" s="17">
        <v>44149</v>
      </c>
      <c r="E53" t="s">
        <v>26</v>
      </c>
      <c r="F53" t="s">
        <v>27</v>
      </c>
      <c r="G53">
        <v>718015</v>
      </c>
      <c r="H53">
        <v>5500022180</v>
      </c>
      <c r="I53">
        <v>10</v>
      </c>
      <c r="J53" s="7" t="s">
        <v>42</v>
      </c>
      <c r="K53" s="7" t="str">
        <f>IFERROR(VLOOKUP(Detalle_OC[[#This Row],[Centro]]&amp;Detalle_OC[[#This Row],[Nro Almacen]],Almacen!A:D,4,FALSE),"")</f>
        <v/>
      </c>
    </row>
    <row r="54" spans="1:11" x14ac:dyDescent="0.35">
      <c r="A54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54" t="s">
        <v>38</v>
      </c>
      <c r="C54" t="s">
        <v>412</v>
      </c>
      <c r="D54" s="17">
        <v>44151</v>
      </c>
      <c r="E54" t="s">
        <v>26</v>
      </c>
      <c r="F54" t="s">
        <v>27</v>
      </c>
      <c r="G54">
        <v>718015</v>
      </c>
      <c r="H54">
        <v>5500022180</v>
      </c>
      <c r="I54">
        <v>10</v>
      </c>
      <c r="J54" s="7" t="s">
        <v>42</v>
      </c>
      <c r="K54" s="7" t="str">
        <f>IFERROR(VLOOKUP(Detalle_OC[[#This Row],[Centro]]&amp;Detalle_OC[[#This Row],[Nro Almacen]],Almacen!A:D,4,FALSE),"")</f>
        <v/>
      </c>
    </row>
    <row r="55" spans="1:11" x14ac:dyDescent="0.35">
      <c r="A55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55" t="s">
        <v>38</v>
      </c>
      <c r="C55" t="s">
        <v>412</v>
      </c>
      <c r="D55" s="17">
        <v>44153</v>
      </c>
      <c r="E55" t="s">
        <v>26</v>
      </c>
      <c r="F55" t="s">
        <v>27</v>
      </c>
      <c r="G55">
        <v>718015</v>
      </c>
      <c r="H55">
        <v>5500022180</v>
      </c>
      <c r="I55">
        <v>10</v>
      </c>
      <c r="J55" s="7" t="s">
        <v>42</v>
      </c>
      <c r="K55" s="7" t="str">
        <f>IFERROR(VLOOKUP(Detalle_OC[[#This Row],[Centro]]&amp;Detalle_OC[[#This Row],[Nro Almacen]],Almacen!A:D,4,FALSE),"")</f>
        <v/>
      </c>
    </row>
    <row r="56" spans="1:11" x14ac:dyDescent="0.35">
      <c r="A56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56" t="s">
        <v>38</v>
      </c>
      <c r="C56" t="s">
        <v>412</v>
      </c>
      <c r="D56" s="17">
        <v>44155</v>
      </c>
      <c r="E56" t="s">
        <v>26</v>
      </c>
      <c r="F56" t="s">
        <v>27</v>
      </c>
      <c r="G56">
        <v>718015</v>
      </c>
      <c r="H56">
        <v>5500022180</v>
      </c>
      <c r="I56">
        <v>10</v>
      </c>
      <c r="J56" s="7" t="s">
        <v>42</v>
      </c>
      <c r="K56" s="7" t="str">
        <f>IFERROR(VLOOKUP(Detalle_OC[[#This Row],[Centro]]&amp;Detalle_OC[[#This Row],[Nro Almacen]],Almacen!A:D,4,FALSE),"")</f>
        <v/>
      </c>
    </row>
    <row r="57" spans="1:11" x14ac:dyDescent="0.35">
      <c r="A57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57" t="s">
        <v>38</v>
      </c>
      <c r="C57" t="s">
        <v>412</v>
      </c>
      <c r="D57" s="17">
        <v>44158</v>
      </c>
      <c r="E57" t="s">
        <v>26</v>
      </c>
      <c r="F57" t="s">
        <v>27</v>
      </c>
      <c r="G57">
        <v>718015</v>
      </c>
      <c r="H57">
        <v>5500022180</v>
      </c>
      <c r="I57">
        <v>10</v>
      </c>
      <c r="J57" s="7" t="s">
        <v>42</v>
      </c>
      <c r="K57" s="7" t="str">
        <f>IFERROR(VLOOKUP(Detalle_OC[[#This Row],[Centro]]&amp;Detalle_OC[[#This Row],[Nro Almacen]],Almacen!A:D,4,FALSE),"")</f>
        <v/>
      </c>
    </row>
    <row r="58" spans="1:11" x14ac:dyDescent="0.35">
      <c r="A58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58" t="s">
        <v>38</v>
      </c>
      <c r="C58" t="s">
        <v>412</v>
      </c>
      <c r="D58" s="17">
        <v>44161</v>
      </c>
      <c r="E58" t="s">
        <v>26</v>
      </c>
      <c r="F58" t="s">
        <v>27</v>
      </c>
      <c r="G58">
        <v>718015</v>
      </c>
      <c r="H58">
        <v>5500022180</v>
      </c>
      <c r="I58">
        <v>10</v>
      </c>
      <c r="J58" s="7" t="s">
        <v>42</v>
      </c>
      <c r="K58" s="7" t="str">
        <f>IFERROR(VLOOKUP(Detalle_OC[[#This Row],[Centro]]&amp;Detalle_OC[[#This Row],[Nro Almacen]],Almacen!A:D,4,FALSE),"")</f>
        <v/>
      </c>
    </row>
    <row r="59" spans="1:11" x14ac:dyDescent="0.35">
      <c r="A59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59" t="s">
        <v>38</v>
      </c>
      <c r="C59" t="s">
        <v>412</v>
      </c>
      <c r="D59" s="17">
        <v>44166</v>
      </c>
      <c r="E59" t="s">
        <v>26</v>
      </c>
      <c r="F59" t="s">
        <v>27</v>
      </c>
      <c r="G59">
        <v>718015</v>
      </c>
      <c r="H59">
        <v>5500022180</v>
      </c>
      <c r="I59">
        <v>10</v>
      </c>
      <c r="J59" s="7" t="s">
        <v>42</v>
      </c>
      <c r="K59" s="7" t="str">
        <f>IFERROR(VLOOKUP(Detalle_OC[[#This Row],[Centro]]&amp;Detalle_OC[[#This Row],[Nro Almacen]],Almacen!A:D,4,FALSE),"")</f>
        <v/>
      </c>
    </row>
    <row r="60" spans="1:11" x14ac:dyDescent="0.35">
      <c r="A60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60" t="s">
        <v>38</v>
      </c>
      <c r="C60" t="s">
        <v>412</v>
      </c>
      <c r="D60" s="17">
        <v>44170</v>
      </c>
      <c r="E60" t="s">
        <v>26</v>
      </c>
      <c r="F60" t="s">
        <v>27</v>
      </c>
      <c r="G60">
        <v>718015</v>
      </c>
      <c r="H60">
        <v>5500022180</v>
      </c>
      <c r="I60">
        <v>10</v>
      </c>
      <c r="J60" s="7" t="s">
        <v>42</v>
      </c>
      <c r="K60" s="7" t="str">
        <f>IFERROR(VLOOKUP(Detalle_OC[[#This Row],[Centro]]&amp;Detalle_OC[[#This Row],[Nro Almacen]],Almacen!A:D,4,FALSE),"")</f>
        <v/>
      </c>
    </row>
    <row r="61" spans="1:11" x14ac:dyDescent="0.35">
      <c r="A61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61" t="s">
        <v>38</v>
      </c>
      <c r="C61" t="s">
        <v>412</v>
      </c>
      <c r="D61" s="17">
        <v>44172</v>
      </c>
      <c r="E61" t="s">
        <v>26</v>
      </c>
      <c r="F61" t="s">
        <v>27</v>
      </c>
      <c r="G61">
        <v>718015</v>
      </c>
      <c r="H61">
        <v>5500022180</v>
      </c>
      <c r="I61">
        <v>10</v>
      </c>
      <c r="J61" s="7" t="s">
        <v>42</v>
      </c>
      <c r="K61" s="7" t="str">
        <f>IFERROR(VLOOKUP(Detalle_OC[[#This Row],[Centro]]&amp;Detalle_OC[[#This Row],[Nro Almacen]],Almacen!A:D,4,FALSE),"")</f>
        <v/>
      </c>
    </row>
    <row r="62" spans="1:11" x14ac:dyDescent="0.35">
      <c r="A62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62" t="s">
        <v>38</v>
      </c>
      <c r="C62" t="s">
        <v>412</v>
      </c>
      <c r="D62" s="17">
        <v>44176</v>
      </c>
      <c r="E62" t="s">
        <v>26</v>
      </c>
      <c r="F62" t="s">
        <v>27</v>
      </c>
      <c r="G62">
        <v>718015</v>
      </c>
      <c r="H62">
        <v>5500022180</v>
      </c>
      <c r="I62">
        <v>10</v>
      </c>
      <c r="J62" s="7" t="s">
        <v>42</v>
      </c>
      <c r="K62" s="7" t="str">
        <f>IFERROR(VLOOKUP(Detalle_OC[[#This Row],[Centro]]&amp;Detalle_OC[[#This Row],[Nro Almacen]],Almacen!A:D,4,FALSE),"")</f>
        <v/>
      </c>
    </row>
    <row r="63" spans="1:11" x14ac:dyDescent="0.35">
      <c r="A63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63" t="s">
        <v>38</v>
      </c>
      <c r="C63" t="s">
        <v>412</v>
      </c>
      <c r="D63" s="17">
        <v>44180</v>
      </c>
      <c r="E63" t="s">
        <v>26</v>
      </c>
      <c r="F63" t="s">
        <v>27</v>
      </c>
      <c r="G63">
        <v>718015</v>
      </c>
      <c r="H63">
        <v>5500022180</v>
      </c>
      <c r="I63">
        <v>10</v>
      </c>
      <c r="J63" s="7" t="s">
        <v>42</v>
      </c>
      <c r="K63" s="7" t="str">
        <f>IFERROR(VLOOKUP(Detalle_OC[[#This Row],[Centro]]&amp;Detalle_OC[[#This Row],[Nro Almacen]],Almacen!A:D,4,FALSE),"")</f>
        <v/>
      </c>
    </row>
    <row r="64" spans="1:11" x14ac:dyDescent="0.35">
      <c r="A64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64" t="s">
        <v>38</v>
      </c>
      <c r="C64" t="s">
        <v>412</v>
      </c>
      <c r="D64" s="17">
        <v>44183</v>
      </c>
      <c r="E64" t="s">
        <v>26</v>
      </c>
      <c r="F64" t="s">
        <v>27</v>
      </c>
      <c r="G64">
        <v>718015</v>
      </c>
      <c r="H64">
        <v>5500022180</v>
      </c>
      <c r="I64">
        <v>10</v>
      </c>
      <c r="J64" s="7" t="s">
        <v>42</v>
      </c>
      <c r="K64" s="7" t="str">
        <f>IFERROR(VLOOKUP(Detalle_OC[[#This Row],[Centro]]&amp;Detalle_OC[[#This Row],[Nro Almacen]],Almacen!A:D,4,FALSE),"")</f>
        <v/>
      </c>
    </row>
    <row r="65" spans="1:11" x14ac:dyDescent="0.35">
      <c r="A65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65" t="s">
        <v>38</v>
      </c>
      <c r="C65" t="s">
        <v>412</v>
      </c>
      <c r="D65" s="17">
        <v>44194</v>
      </c>
      <c r="E65" t="s">
        <v>26</v>
      </c>
      <c r="F65" t="s">
        <v>27</v>
      </c>
      <c r="G65">
        <v>718015</v>
      </c>
      <c r="H65">
        <v>5500022180</v>
      </c>
      <c r="I65">
        <v>10</v>
      </c>
      <c r="J65" s="7" t="s">
        <v>42</v>
      </c>
      <c r="K65" s="7" t="str">
        <f>IFERROR(VLOOKUP(Detalle_OC[[#This Row],[Centro]]&amp;Detalle_OC[[#This Row],[Nro Almacen]],Almacen!A:D,4,FALSE),"")</f>
        <v/>
      </c>
    </row>
    <row r="66" spans="1:11" x14ac:dyDescent="0.35">
      <c r="A66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66" t="s">
        <v>38</v>
      </c>
      <c r="C66" t="s">
        <v>412</v>
      </c>
      <c r="D66" s="17">
        <v>44201</v>
      </c>
      <c r="E66" t="s">
        <v>26</v>
      </c>
      <c r="F66" t="s">
        <v>27</v>
      </c>
      <c r="G66">
        <v>718015</v>
      </c>
      <c r="H66">
        <v>5500022180</v>
      </c>
      <c r="I66">
        <v>10</v>
      </c>
      <c r="J66" s="7" t="s">
        <v>42</v>
      </c>
      <c r="K66" s="7" t="str">
        <f>IFERROR(VLOOKUP(Detalle_OC[[#This Row],[Centro]]&amp;Detalle_OC[[#This Row],[Nro Almacen]],Almacen!A:D,4,FALSE),"")</f>
        <v/>
      </c>
    </row>
    <row r="67" spans="1:11" x14ac:dyDescent="0.35">
      <c r="A67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67" t="s">
        <v>38</v>
      </c>
      <c r="C67" t="s">
        <v>412</v>
      </c>
      <c r="D67" s="17">
        <v>44202</v>
      </c>
      <c r="E67" t="s">
        <v>26</v>
      </c>
      <c r="F67" t="s">
        <v>27</v>
      </c>
      <c r="G67">
        <v>718015</v>
      </c>
      <c r="H67">
        <v>5500022180</v>
      </c>
      <c r="I67">
        <v>10</v>
      </c>
      <c r="J67" s="7" t="s">
        <v>42</v>
      </c>
      <c r="K67" s="7" t="str">
        <f>IFERROR(VLOOKUP(Detalle_OC[[#This Row],[Centro]]&amp;Detalle_OC[[#This Row],[Nro Almacen]],Almacen!A:D,4,FALSE),"")</f>
        <v/>
      </c>
    </row>
    <row r="68" spans="1:11" x14ac:dyDescent="0.35">
      <c r="A68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68" t="s">
        <v>38</v>
      </c>
      <c r="C68" t="s">
        <v>412</v>
      </c>
      <c r="D68" s="17">
        <v>44203</v>
      </c>
      <c r="E68" t="s">
        <v>26</v>
      </c>
      <c r="F68" t="s">
        <v>27</v>
      </c>
      <c r="G68">
        <v>718015</v>
      </c>
      <c r="H68">
        <v>5500022180</v>
      </c>
      <c r="I68">
        <v>10</v>
      </c>
      <c r="J68" s="7" t="s">
        <v>42</v>
      </c>
      <c r="K68" s="7" t="str">
        <f>IFERROR(VLOOKUP(Detalle_OC[[#This Row],[Centro]]&amp;Detalle_OC[[#This Row],[Nro Almacen]],Almacen!A:D,4,FALSE),"")</f>
        <v/>
      </c>
    </row>
    <row r="69" spans="1:11" x14ac:dyDescent="0.35">
      <c r="A69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69" t="s">
        <v>38</v>
      </c>
      <c r="C69" t="s">
        <v>412</v>
      </c>
      <c r="D69" s="17">
        <v>44207</v>
      </c>
      <c r="E69" t="s">
        <v>26</v>
      </c>
      <c r="F69" t="s">
        <v>27</v>
      </c>
      <c r="G69">
        <v>718015</v>
      </c>
      <c r="H69">
        <v>5500022180</v>
      </c>
      <c r="I69">
        <v>10</v>
      </c>
      <c r="J69" s="7" t="s">
        <v>42</v>
      </c>
      <c r="K69" s="7" t="str">
        <f>IFERROR(VLOOKUP(Detalle_OC[[#This Row],[Centro]]&amp;Detalle_OC[[#This Row],[Nro Almacen]],Almacen!A:D,4,FALSE),"")</f>
        <v/>
      </c>
    </row>
    <row r="70" spans="1:11" x14ac:dyDescent="0.35">
      <c r="A70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70" t="s">
        <v>38</v>
      </c>
      <c r="C70" t="s">
        <v>412</v>
      </c>
      <c r="D70" s="17">
        <v>44214</v>
      </c>
      <c r="E70" t="s">
        <v>26</v>
      </c>
      <c r="F70" t="s">
        <v>27</v>
      </c>
      <c r="G70">
        <v>718015</v>
      </c>
      <c r="H70">
        <v>5500022180</v>
      </c>
      <c r="I70">
        <v>10</v>
      </c>
      <c r="J70" s="7" t="s">
        <v>42</v>
      </c>
      <c r="K70" s="7" t="str">
        <f>IFERROR(VLOOKUP(Detalle_OC[[#This Row],[Centro]]&amp;Detalle_OC[[#This Row],[Nro Almacen]],Almacen!A:D,4,FALSE),"")</f>
        <v/>
      </c>
    </row>
    <row r="71" spans="1:11" x14ac:dyDescent="0.35">
      <c r="A71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71" t="s">
        <v>38</v>
      </c>
      <c r="C71" t="s">
        <v>412</v>
      </c>
      <c r="D71" s="17">
        <v>44215</v>
      </c>
      <c r="E71" t="s">
        <v>26</v>
      </c>
      <c r="F71" t="s">
        <v>27</v>
      </c>
      <c r="G71">
        <v>718015</v>
      </c>
      <c r="H71">
        <v>5500022180</v>
      </c>
      <c r="I71">
        <v>10</v>
      </c>
      <c r="J71" s="7" t="s">
        <v>42</v>
      </c>
      <c r="K71" s="7" t="str">
        <f>IFERROR(VLOOKUP(Detalle_OC[[#This Row],[Centro]]&amp;Detalle_OC[[#This Row],[Nro Almacen]],Almacen!A:D,4,FALSE),"")</f>
        <v/>
      </c>
    </row>
    <row r="72" spans="1:11" x14ac:dyDescent="0.35">
      <c r="A72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72" t="s">
        <v>38</v>
      </c>
      <c r="C72" t="s">
        <v>412</v>
      </c>
      <c r="D72" s="17">
        <v>44216</v>
      </c>
      <c r="E72" t="s">
        <v>26</v>
      </c>
      <c r="F72" t="s">
        <v>27</v>
      </c>
      <c r="G72">
        <v>718015</v>
      </c>
      <c r="H72">
        <v>5500022180</v>
      </c>
      <c r="I72">
        <v>10</v>
      </c>
      <c r="J72" s="7" t="s">
        <v>42</v>
      </c>
      <c r="K72" s="7" t="str">
        <f>IFERROR(VLOOKUP(Detalle_OC[[#This Row],[Centro]]&amp;Detalle_OC[[#This Row],[Nro Almacen]],Almacen!A:D,4,FALSE),"")</f>
        <v/>
      </c>
    </row>
    <row r="73" spans="1:11" x14ac:dyDescent="0.35">
      <c r="A73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73" t="s">
        <v>38</v>
      </c>
      <c r="C73" t="s">
        <v>412</v>
      </c>
      <c r="D73" s="17">
        <v>44216</v>
      </c>
      <c r="E73" t="s">
        <v>26</v>
      </c>
      <c r="F73" t="s">
        <v>27</v>
      </c>
      <c r="G73">
        <v>718015</v>
      </c>
      <c r="H73">
        <v>5500022180</v>
      </c>
      <c r="I73">
        <v>10</v>
      </c>
      <c r="J73" s="7" t="s">
        <v>42</v>
      </c>
      <c r="K73" s="7" t="str">
        <f>IFERROR(VLOOKUP(Detalle_OC[[#This Row],[Centro]]&amp;Detalle_OC[[#This Row],[Nro Almacen]],Almacen!A:D,4,FALSE),"")</f>
        <v/>
      </c>
    </row>
    <row r="74" spans="1:11" x14ac:dyDescent="0.35">
      <c r="A74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74" t="s">
        <v>38</v>
      </c>
      <c r="C74" t="s">
        <v>412</v>
      </c>
      <c r="D74" s="17">
        <v>44217</v>
      </c>
      <c r="E74" t="s">
        <v>26</v>
      </c>
      <c r="F74" t="s">
        <v>27</v>
      </c>
      <c r="G74">
        <v>718015</v>
      </c>
      <c r="H74">
        <v>5500022180</v>
      </c>
      <c r="I74">
        <v>10</v>
      </c>
      <c r="J74" s="7" t="s">
        <v>42</v>
      </c>
      <c r="K74" s="7" t="str">
        <f>IFERROR(VLOOKUP(Detalle_OC[[#This Row],[Centro]]&amp;Detalle_OC[[#This Row],[Nro Almacen]],Almacen!A:D,4,FALSE),"")</f>
        <v/>
      </c>
    </row>
    <row r="75" spans="1:11" x14ac:dyDescent="0.35">
      <c r="A75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75" t="s">
        <v>38</v>
      </c>
      <c r="C75" t="s">
        <v>412</v>
      </c>
      <c r="D75" s="17">
        <v>44221</v>
      </c>
      <c r="E75" t="s">
        <v>26</v>
      </c>
      <c r="F75" t="s">
        <v>27</v>
      </c>
      <c r="G75">
        <v>718015</v>
      </c>
      <c r="H75">
        <v>5500022180</v>
      </c>
      <c r="I75">
        <v>10</v>
      </c>
      <c r="J75" s="7" t="s">
        <v>42</v>
      </c>
      <c r="K75" s="7" t="str">
        <f>IFERROR(VLOOKUP(Detalle_OC[[#This Row],[Centro]]&amp;Detalle_OC[[#This Row],[Nro Almacen]],Almacen!A:D,4,FALSE),"")</f>
        <v/>
      </c>
    </row>
    <row r="76" spans="1:11" x14ac:dyDescent="0.35">
      <c r="A76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76" t="s">
        <v>38</v>
      </c>
      <c r="C76" t="s">
        <v>412</v>
      </c>
      <c r="D76" s="17">
        <v>44222</v>
      </c>
      <c r="E76" t="s">
        <v>26</v>
      </c>
      <c r="F76" t="s">
        <v>27</v>
      </c>
      <c r="G76">
        <v>718015</v>
      </c>
      <c r="H76">
        <v>5500022180</v>
      </c>
      <c r="I76">
        <v>10</v>
      </c>
      <c r="J76" s="7" t="s">
        <v>42</v>
      </c>
      <c r="K76" s="7" t="str">
        <f>IFERROR(VLOOKUP(Detalle_OC[[#This Row],[Centro]]&amp;Detalle_OC[[#This Row],[Nro Almacen]],Almacen!A:D,4,FALSE),"")</f>
        <v/>
      </c>
    </row>
    <row r="77" spans="1:11" x14ac:dyDescent="0.35">
      <c r="A77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77" t="s">
        <v>38</v>
      </c>
      <c r="C77" t="s">
        <v>412</v>
      </c>
      <c r="D77" s="17">
        <v>44223</v>
      </c>
      <c r="E77" t="s">
        <v>26</v>
      </c>
      <c r="F77" t="s">
        <v>27</v>
      </c>
      <c r="G77">
        <v>718015</v>
      </c>
      <c r="H77">
        <v>5500022180</v>
      </c>
      <c r="I77">
        <v>10</v>
      </c>
      <c r="J77" s="7" t="s">
        <v>42</v>
      </c>
      <c r="K77" s="7" t="str">
        <f>IFERROR(VLOOKUP(Detalle_OC[[#This Row],[Centro]]&amp;Detalle_OC[[#This Row],[Nro Almacen]],Almacen!A:D,4,FALSE),"")</f>
        <v/>
      </c>
    </row>
    <row r="78" spans="1:11" x14ac:dyDescent="0.35">
      <c r="A78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78" t="s">
        <v>38</v>
      </c>
      <c r="C78" t="s">
        <v>412</v>
      </c>
      <c r="D78" s="17">
        <v>44229</v>
      </c>
      <c r="E78" t="s">
        <v>26</v>
      </c>
      <c r="F78" t="s">
        <v>27</v>
      </c>
      <c r="G78">
        <v>718015</v>
      </c>
      <c r="H78">
        <v>5500022180</v>
      </c>
      <c r="I78">
        <v>10</v>
      </c>
      <c r="J78" s="7" t="s">
        <v>42</v>
      </c>
      <c r="K78" s="7" t="str">
        <f>IFERROR(VLOOKUP(Detalle_OC[[#This Row],[Centro]]&amp;Detalle_OC[[#This Row],[Nro Almacen]],Almacen!A:D,4,FALSE),"")</f>
        <v/>
      </c>
    </row>
    <row r="79" spans="1:11" x14ac:dyDescent="0.35">
      <c r="A79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79" t="s">
        <v>38</v>
      </c>
      <c r="C79" t="s">
        <v>412</v>
      </c>
      <c r="D79" s="17">
        <v>44231</v>
      </c>
      <c r="E79" t="s">
        <v>26</v>
      </c>
      <c r="F79" t="s">
        <v>27</v>
      </c>
      <c r="G79">
        <v>718015</v>
      </c>
      <c r="H79">
        <v>5500022180</v>
      </c>
      <c r="I79">
        <v>10</v>
      </c>
      <c r="J79" s="7" t="s">
        <v>42</v>
      </c>
      <c r="K79" s="7" t="str">
        <f>IFERROR(VLOOKUP(Detalle_OC[[#This Row],[Centro]]&amp;Detalle_OC[[#This Row],[Nro Almacen]],Almacen!A:D,4,FALSE),"")</f>
        <v/>
      </c>
    </row>
    <row r="80" spans="1:11" x14ac:dyDescent="0.35">
      <c r="A80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80" t="s">
        <v>38</v>
      </c>
      <c r="C80" t="s">
        <v>412</v>
      </c>
      <c r="D80" s="17">
        <v>44236</v>
      </c>
      <c r="E80" t="s">
        <v>26</v>
      </c>
      <c r="F80" t="s">
        <v>27</v>
      </c>
      <c r="G80">
        <v>718015</v>
      </c>
      <c r="H80">
        <v>5500022180</v>
      </c>
      <c r="I80">
        <v>10</v>
      </c>
      <c r="J80" s="7" t="s">
        <v>42</v>
      </c>
      <c r="K80" s="7" t="str">
        <f>IFERROR(VLOOKUP(Detalle_OC[[#This Row],[Centro]]&amp;Detalle_OC[[#This Row],[Nro Almacen]],Almacen!A:D,4,FALSE),"")</f>
        <v/>
      </c>
    </row>
    <row r="81" spans="1:11" x14ac:dyDescent="0.35">
      <c r="A81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81" t="s">
        <v>38</v>
      </c>
      <c r="C81" t="s">
        <v>412</v>
      </c>
      <c r="D81" s="17">
        <v>44238</v>
      </c>
      <c r="E81" t="s">
        <v>26</v>
      </c>
      <c r="F81" t="s">
        <v>27</v>
      </c>
      <c r="G81">
        <v>718015</v>
      </c>
      <c r="H81">
        <v>5500022180</v>
      </c>
      <c r="I81">
        <v>10</v>
      </c>
      <c r="J81" s="7" t="s">
        <v>42</v>
      </c>
      <c r="K81" s="7" t="str">
        <f>IFERROR(VLOOKUP(Detalle_OC[[#This Row],[Centro]]&amp;Detalle_OC[[#This Row],[Nro Almacen]],Almacen!A:D,4,FALSE),"")</f>
        <v/>
      </c>
    </row>
    <row r="82" spans="1:11" x14ac:dyDescent="0.35">
      <c r="A82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82" t="s">
        <v>38</v>
      </c>
      <c r="C82" t="s">
        <v>412</v>
      </c>
      <c r="D82" s="17">
        <v>44239</v>
      </c>
      <c r="E82" t="s">
        <v>26</v>
      </c>
      <c r="F82" t="s">
        <v>27</v>
      </c>
      <c r="G82">
        <v>718015</v>
      </c>
      <c r="H82">
        <v>5500022180</v>
      </c>
      <c r="I82">
        <v>10</v>
      </c>
      <c r="J82" s="7" t="s">
        <v>42</v>
      </c>
      <c r="K82" s="7" t="str">
        <f>IFERROR(VLOOKUP(Detalle_OC[[#This Row],[Centro]]&amp;Detalle_OC[[#This Row],[Nro Almacen]],Almacen!A:D,4,FALSE),"")</f>
        <v/>
      </c>
    </row>
    <row r="83" spans="1:11" x14ac:dyDescent="0.35">
      <c r="A83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83" t="s">
        <v>38</v>
      </c>
      <c r="C83" t="s">
        <v>412</v>
      </c>
      <c r="D83" s="17">
        <v>44242</v>
      </c>
      <c r="E83" t="s">
        <v>26</v>
      </c>
      <c r="F83" t="s">
        <v>27</v>
      </c>
      <c r="G83">
        <v>718015</v>
      </c>
      <c r="H83">
        <v>5500022180</v>
      </c>
      <c r="I83">
        <v>10</v>
      </c>
      <c r="J83" s="7" t="s">
        <v>42</v>
      </c>
      <c r="K83" s="7" t="str">
        <f>IFERROR(VLOOKUP(Detalle_OC[[#This Row],[Centro]]&amp;Detalle_OC[[#This Row],[Nro Almacen]],Almacen!A:D,4,FALSE),"")</f>
        <v/>
      </c>
    </row>
    <row r="84" spans="1:11" x14ac:dyDescent="0.35">
      <c r="A84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84" t="s">
        <v>38</v>
      </c>
      <c r="C84" t="s">
        <v>412</v>
      </c>
      <c r="D84" s="17">
        <v>44247</v>
      </c>
      <c r="E84" t="s">
        <v>26</v>
      </c>
      <c r="F84" t="s">
        <v>27</v>
      </c>
      <c r="G84">
        <v>718015</v>
      </c>
      <c r="H84">
        <v>5500022180</v>
      </c>
      <c r="I84">
        <v>10</v>
      </c>
      <c r="J84" s="7" t="s">
        <v>42</v>
      </c>
      <c r="K84" s="7" t="str">
        <f>IFERROR(VLOOKUP(Detalle_OC[[#This Row],[Centro]]&amp;Detalle_OC[[#This Row],[Nro Almacen]],Almacen!A:D,4,FALSE),"")</f>
        <v/>
      </c>
    </row>
    <row r="85" spans="1:11" x14ac:dyDescent="0.35">
      <c r="A85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85" t="s">
        <v>38</v>
      </c>
      <c r="C85" t="s">
        <v>412</v>
      </c>
      <c r="D85" s="17">
        <v>44247</v>
      </c>
      <c r="E85" t="s">
        <v>26</v>
      </c>
      <c r="F85" t="s">
        <v>27</v>
      </c>
      <c r="G85">
        <v>718015</v>
      </c>
      <c r="H85">
        <v>5500022180</v>
      </c>
      <c r="I85">
        <v>10</v>
      </c>
      <c r="J85" s="7" t="s">
        <v>42</v>
      </c>
      <c r="K85" s="7" t="str">
        <f>IFERROR(VLOOKUP(Detalle_OC[[#This Row],[Centro]]&amp;Detalle_OC[[#This Row],[Nro Almacen]],Almacen!A:D,4,FALSE),"")</f>
        <v/>
      </c>
    </row>
    <row r="86" spans="1:11" x14ac:dyDescent="0.35">
      <c r="A86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86" t="s">
        <v>38</v>
      </c>
      <c r="C86" t="s">
        <v>412</v>
      </c>
      <c r="D86" s="17">
        <v>44253</v>
      </c>
      <c r="E86" t="s">
        <v>26</v>
      </c>
      <c r="F86" t="s">
        <v>27</v>
      </c>
      <c r="G86">
        <v>718015</v>
      </c>
      <c r="H86">
        <v>5500022180</v>
      </c>
      <c r="I86">
        <v>10</v>
      </c>
      <c r="J86" s="7" t="s">
        <v>42</v>
      </c>
      <c r="K86" s="7" t="str">
        <f>IFERROR(VLOOKUP(Detalle_OC[[#This Row],[Centro]]&amp;Detalle_OC[[#This Row],[Nro Almacen]],Almacen!A:D,4,FALSE),"")</f>
        <v/>
      </c>
    </row>
    <row r="87" spans="1:11" x14ac:dyDescent="0.35">
      <c r="A87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87" t="s">
        <v>38</v>
      </c>
      <c r="C87" t="s">
        <v>412</v>
      </c>
      <c r="D87" s="17">
        <v>44256</v>
      </c>
      <c r="E87" t="s">
        <v>26</v>
      </c>
      <c r="F87" t="s">
        <v>27</v>
      </c>
      <c r="G87">
        <v>718015</v>
      </c>
      <c r="H87">
        <v>5500022180</v>
      </c>
      <c r="I87">
        <v>10</v>
      </c>
      <c r="J87" s="7" t="s">
        <v>42</v>
      </c>
      <c r="K87" s="7" t="str">
        <f>IFERROR(VLOOKUP(Detalle_OC[[#This Row],[Centro]]&amp;Detalle_OC[[#This Row],[Nro Almacen]],Almacen!A:D,4,FALSE),"")</f>
        <v/>
      </c>
    </row>
    <row r="88" spans="1:11" x14ac:dyDescent="0.35">
      <c r="A88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88" t="s">
        <v>38</v>
      </c>
      <c r="C88" t="s">
        <v>412</v>
      </c>
      <c r="D88" s="17">
        <v>44258</v>
      </c>
      <c r="E88" t="s">
        <v>26</v>
      </c>
      <c r="F88" t="s">
        <v>27</v>
      </c>
      <c r="G88">
        <v>718015</v>
      </c>
      <c r="H88">
        <v>5500022180</v>
      </c>
      <c r="I88">
        <v>10</v>
      </c>
      <c r="J88" s="7" t="s">
        <v>42</v>
      </c>
      <c r="K88" s="7" t="str">
        <f>IFERROR(VLOOKUP(Detalle_OC[[#This Row],[Centro]]&amp;Detalle_OC[[#This Row],[Nro Almacen]],Almacen!A:D,4,FALSE),"")</f>
        <v/>
      </c>
    </row>
    <row r="89" spans="1:11" x14ac:dyDescent="0.35">
      <c r="A89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89" t="s">
        <v>38</v>
      </c>
      <c r="C89" t="s">
        <v>412</v>
      </c>
      <c r="D89" s="17">
        <v>44261</v>
      </c>
      <c r="E89" t="s">
        <v>26</v>
      </c>
      <c r="F89" t="s">
        <v>27</v>
      </c>
      <c r="G89">
        <v>718015</v>
      </c>
      <c r="H89">
        <v>5500022180</v>
      </c>
      <c r="I89">
        <v>10</v>
      </c>
      <c r="J89" s="7" t="s">
        <v>42</v>
      </c>
      <c r="K89" s="7" t="str">
        <f>IFERROR(VLOOKUP(Detalle_OC[[#This Row],[Centro]]&amp;Detalle_OC[[#This Row],[Nro Almacen]],Almacen!A:D,4,FALSE),"")</f>
        <v/>
      </c>
    </row>
    <row r="90" spans="1:11" x14ac:dyDescent="0.35">
      <c r="A90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90" t="s">
        <v>38</v>
      </c>
      <c r="C90" t="s">
        <v>412</v>
      </c>
      <c r="D90" s="17">
        <v>44263</v>
      </c>
      <c r="E90" t="s">
        <v>26</v>
      </c>
      <c r="F90" t="s">
        <v>27</v>
      </c>
      <c r="G90">
        <v>718015</v>
      </c>
      <c r="H90">
        <v>5500022180</v>
      </c>
      <c r="I90">
        <v>10</v>
      </c>
      <c r="J90" s="7" t="s">
        <v>42</v>
      </c>
      <c r="K90" s="7" t="str">
        <f>IFERROR(VLOOKUP(Detalle_OC[[#This Row],[Centro]]&amp;Detalle_OC[[#This Row],[Nro Almacen]],Almacen!A:D,4,FALSE),"")</f>
        <v/>
      </c>
    </row>
    <row r="91" spans="1:11" x14ac:dyDescent="0.35">
      <c r="A91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91" t="s">
        <v>38</v>
      </c>
      <c r="C91" t="s">
        <v>412</v>
      </c>
      <c r="D91" s="17">
        <v>44264</v>
      </c>
      <c r="E91" t="s">
        <v>26</v>
      </c>
      <c r="F91" t="s">
        <v>27</v>
      </c>
      <c r="G91">
        <v>718015</v>
      </c>
      <c r="H91">
        <v>5500022180</v>
      </c>
      <c r="I91">
        <v>10</v>
      </c>
      <c r="J91" s="7" t="s">
        <v>42</v>
      </c>
      <c r="K91" s="7" t="str">
        <f>IFERROR(VLOOKUP(Detalle_OC[[#This Row],[Centro]]&amp;Detalle_OC[[#This Row],[Nro Almacen]],Almacen!A:D,4,FALSE),"")</f>
        <v/>
      </c>
    </row>
    <row r="92" spans="1:11" x14ac:dyDescent="0.35">
      <c r="A92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92" t="s">
        <v>38</v>
      </c>
      <c r="C92" t="s">
        <v>412</v>
      </c>
      <c r="D92" s="17">
        <v>44265</v>
      </c>
      <c r="E92" t="s">
        <v>26</v>
      </c>
      <c r="F92" t="s">
        <v>27</v>
      </c>
      <c r="G92">
        <v>718015</v>
      </c>
      <c r="H92">
        <v>5500022180</v>
      </c>
      <c r="I92">
        <v>10</v>
      </c>
      <c r="J92" s="7" t="s">
        <v>42</v>
      </c>
      <c r="K92" s="7" t="str">
        <f>IFERROR(VLOOKUP(Detalle_OC[[#This Row],[Centro]]&amp;Detalle_OC[[#This Row],[Nro Almacen]],Almacen!A:D,4,FALSE),"")</f>
        <v/>
      </c>
    </row>
    <row r="93" spans="1:11" x14ac:dyDescent="0.35">
      <c r="A93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93" t="s">
        <v>38</v>
      </c>
      <c r="C93" t="s">
        <v>412</v>
      </c>
      <c r="D93" s="17">
        <v>44268</v>
      </c>
      <c r="E93" t="s">
        <v>26</v>
      </c>
      <c r="F93" t="s">
        <v>27</v>
      </c>
      <c r="G93">
        <v>718015</v>
      </c>
      <c r="H93">
        <v>5500022180</v>
      </c>
      <c r="I93">
        <v>10</v>
      </c>
      <c r="J93" s="7" t="s">
        <v>42</v>
      </c>
      <c r="K93" s="7" t="str">
        <f>IFERROR(VLOOKUP(Detalle_OC[[#This Row],[Centro]]&amp;Detalle_OC[[#This Row],[Nro Almacen]],Almacen!A:D,4,FALSE),"")</f>
        <v/>
      </c>
    </row>
    <row r="94" spans="1:11" x14ac:dyDescent="0.35">
      <c r="A94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94" t="s">
        <v>38</v>
      </c>
      <c r="C94" t="s">
        <v>412</v>
      </c>
      <c r="D94" s="17">
        <v>44270</v>
      </c>
      <c r="E94" t="s">
        <v>26</v>
      </c>
      <c r="F94" t="s">
        <v>27</v>
      </c>
      <c r="G94">
        <v>718015</v>
      </c>
      <c r="H94">
        <v>5500022180</v>
      </c>
      <c r="I94">
        <v>10</v>
      </c>
      <c r="J94" s="7" t="s">
        <v>42</v>
      </c>
      <c r="K94" s="7" t="str">
        <f>IFERROR(VLOOKUP(Detalle_OC[[#This Row],[Centro]]&amp;Detalle_OC[[#This Row],[Nro Almacen]],Almacen!A:D,4,FALSE),"")</f>
        <v/>
      </c>
    </row>
    <row r="95" spans="1:11" x14ac:dyDescent="0.35">
      <c r="A95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95" t="s">
        <v>38</v>
      </c>
      <c r="C95" t="s">
        <v>412</v>
      </c>
      <c r="D95" s="17">
        <v>44274</v>
      </c>
      <c r="E95" t="s">
        <v>26</v>
      </c>
      <c r="F95" t="s">
        <v>27</v>
      </c>
      <c r="G95">
        <v>718015</v>
      </c>
      <c r="H95">
        <v>5500022180</v>
      </c>
      <c r="I95">
        <v>10</v>
      </c>
      <c r="J95" s="7" t="s">
        <v>42</v>
      </c>
      <c r="K95" s="7" t="str">
        <f>IFERROR(VLOOKUP(Detalle_OC[[#This Row],[Centro]]&amp;Detalle_OC[[#This Row],[Nro Almacen]],Almacen!A:D,4,FALSE),"")</f>
        <v/>
      </c>
    </row>
    <row r="96" spans="1:11" x14ac:dyDescent="0.35">
      <c r="A96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96" t="s">
        <v>38</v>
      </c>
      <c r="C96" t="s">
        <v>412</v>
      </c>
      <c r="D96" s="17">
        <v>44277</v>
      </c>
      <c r="E96" t="s">
        <v>26</v>
      </c>
      <c r="F96" t="s">
        <v>27</v>
      </c>
      <c r="G96">
        <v>718015</v>
      </c>
      <c r="H96">
        <v>5500022180</v>
      </c>
      <c r="I96">
        <v>10</v>
      </c>
      <c r="J96" s="7" t="s">
        <v>42</v>
      </c>
      <c r="K96" s="7" t="str">
        <f>IFERROR(VLOOKUP(Detalle_OC[[#This Row],[Centro]]&amp;Detalle_OC[[#This Row],[Nro Almacen]],Almacen!A:D,4,FALSE),"")</f>
        <v/>
      </c>
    </row>
    <row r="97" spans="1:11" x14ac:dyDescent="0.35">
      <c r="A97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97" t="s">
        <v>38</v>
      </c>
      <c r="C97" t="s">
        <v>412</v>
      </c>
      <c r="D97" s="17">
        <v>44277</v>
      </c>
      <c r="E97" t="s">
        <v>26</v>
      </c>
      <c r="F97" t="s">
        <v>27</v>
      </c>
      <c r="G97">
        <v>718015</v>
      </c>
      <c r="H97">
        <v>5500022180</v>
      </c>
      <c r="I97">
        <v>10</v>
      </c>
      <c r="J97" s="7" t="s">
        <v>42</v>
      </c>
      <c r="K97" s="7" t="str">
        <f>IFERROR(VLOOKUP(Detalle_OC[[#This Row],[Centro]]&amp;Detalle_OC[[#This Row],[Nro Almacen]],Almacen!A:D,4,FALSE),"")</f>
        <v/>
      </c>
    </row>
    <row r="98" spans="1:11" x14ac:dyDescent="0.35">
      <c r="A98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98" t="s">
        <v>38</v>
      </c>
      <c r="C98" t="s">
        <v>412</v>
      </c>
      <c r="D98" s="17">
        <v>44278</v>
      </c>
      <c r="E98" t="s">
        <v>26</v>
      </c>
      <c r="F98" t="s">
        <v>27</v>
      </c>
      <c r="G98">
        <v>718015</v>
      </c>
      <c r="H98">
        <v>5500022180</v>
      </c>
      <c r="I98">
        <v>10</v>
      </c>
      <c r="J98" s="7" t="s">
        <v>42</v>
      </c>
      <c r="K98" s="7" t="str">
        <f>IFERROR(VLOOKUP(Detalle_OC[[#This Row],[Centro]]&amp;Detalle_OC[[#This Row],[Nro Almacen]],Almacen!A:D,4,FALSE),"")</f>
        <v/>
      </c>
    </row>
    <row r="99" spans="1:11" x14ac:dyDescent="0.35">
      <c r="A99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99" t="s">
        <v>38</v>
      </c>
      <c r="C99" t="s">
        <v>412</v>
      </c>
      <c r="D99" s="17">
        <v>44284</v>
      </c>
      <c r="E99" t="s">
        <v>26</v>
      </c>
      <c r="F99" t="s">
        <v>27</v>
      </c>
      <c r="G99">
        <v>718015</v>
      </c>
      <c r="H99">
        <v>5500022180</v>
      </c>
      <c r="I99">
        <v>10</v>
      </c>
      <c r="J99" s="7" t="s">
        <v>42</v>
      </c>
      <c r="K99" s="7" t="str">
        <f>IFERROR(VLOOKUP(Detalle_OC[[#This Row],[Centro]]&amp;Detalle_OC[[#This Row],[Nro Almacen]],Almacen!A:D,4,FALSE),"")</f>
        <v/>
      </c>
    </row>
    <row r="100" spans="1:11" x14ac:dyDescent="0.35">
      <c r="A100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00" t="s">
        <v>38</v>
      </c>
      <c r="C100" t="s">
        <v>412</v>
      </c>
      <c r="D100" s="17">
        <v>44285</v>
      </c>
      <c r="E100" t="s">
        <v>26</v>
      </c>
      <c r="F100" t="s">
        <v>27</v>
      </c>
      <c r="G100">
        <v>718015</v>
      </c>
      <c r="H100">
        <v>5500022180</v>
      </c>
      <c r="I100">
        <v>10</v>
      </c>
      <c r="J100" s="7" t="s">
        <v>42</v>
      </c>
      <c r="K100" s="7" t="str">
        <f>IFERROR(VLOOKUP(Detalle_OC[[#This Row],[Centro]]&amp;Detalle_OC[[#This Row],[Nro Almacen]],Almacen!A:D,4,FALSE),"")</f>
        <v/>
      </c>
    </row>
    <row r="101" spans="1:11" x14ac:dyDescent="0.35">
      <c r="A101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01" t="s">
        <v>38</v>
      </c>
      <c r="C101" t="s">
        <v>412</v>
      </c>
      <c r="D101" s="17">
        <v>44289</v>
      </c>
      <c r="E101" t="s">
        <v>26</v>
      </c>
      <c r="F101" t="s">
        <v>27</v>
      </c>
      <c r="G101">
        <v>718015</v>
      </c>
      <c r="H101">
        <v>5500022180</v>
      </c>
      <c r="I101">
        <v>10</v>
      </c>
      <c r="J101" s="7" t="s">
        <v>42</v>
      </c>
      <c r="K101" s="7" t="str">
        <f>IFERROR(VLOOKUP(Detalle_OC[[#This Row],[Centro]]&amp;Detalle_OC[[#This Row],[Nro Almacen]],Almacen!A:D,4,FALSE),"")</f>
        <v/>
      </c>
    </row>
    <row r="102" spans="1:11" x14ac:dyDescent="0.35">
      <c r="A102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02" t="s">
        <v>38</v>
      </c>
      <c r="C102" t="s">
        <v>412</v>
      </c>
      <c r="D102" s="17">
        <v>44291</v>
      </c>
      <c r="E102" t="s">
        <v>26</v>
      </c>
      <c r="F102" t="s">
        <v>27</v>
      </c>
      <c r="G102">
        <v>718015</v>
      </c>
      <c r="H102">
        <v>5500022180</v>
      </c>
      <c r="I102">
        <v>10</v>
      </c>
      <c r="J102" s="7" t="s">
        <v>42</v>
      </c>
      <c r="K102" s="7" t="str">
        <f>IFERROR(VLOOKUP(Detalle_OC[[#This Row],[Centro]]&amp;Detalle_OC[[#This Row],[Nro Almacen]],Almacen!A:D,4,FALSE),"")</f>
        <v/>
      </c>
    </row>
    <row r="103" spans="1:11" x14ac:dyDescent="0.35">
      <c r="A103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03" t="s">
        <v>38</v>
      </c>
      <c r="C103" t="s">
        <v>412</v>
      </c>
      <c r="D103" s="17">
        <v>44294</v>
      </c>
      <c r="E103" t="s">
        <v>26</v>
      </c>
      <c r="F103" t="s">
        <v>27</v>
      </c>
      <c r="G103">
        <v>718015</v>
      </c>
      <c r="H103">
        <v>5500022180</v>
      </c>
      <c r="I103">
        <v>10</v>
      </c>
      <c r="J103" s="7" t="s">
        <v>42</v>
      </c>
      <c r="K103" s="7" t="str">
        <f>IFERROR(VLOOKUP(Detalle_OC[[#This Row],[Centro]]&amp;Detalle_OC[[#This Row],[Nro Almacen]],Almacen!A:D,4,FALSE),"")</f>
        <v/>
      </c>
    </row>
    <row r="104" spans="1:11" x14ac:dyDescent="0.35">
      <c r="A104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04" t="s">
        <v>38</v>
      </c>
      <c r="C104" t="s">
        <v>412</v>
      </c>
      <c r="D104" s="17">
        <v>44298</v>
      </c>
      <c r="E104" t="s">
        <v>26</v>
      </c>
      <c r="F104" t="s">
        <v>27</v>
      </c>
      <c r="G104">
        <v>718015</v>
      </c>
      <c r="H104">
        <v>5500022180</v>
      </c>
      <c r="I104">
        <v>10</v>
      </c>
      <c r="J104" s="7" t="s">
        <v>42</v>
      </c>
      <c r="K104" s="7" t="str">
        <f>IFERROR(VLOOKUP(Detalle_OC[[#This Row],[Centro]]&amp;Detalle_OC[[#This Row],[Nro Almacen]],Almacen!A:D,4,FALSE),"")</f>
        <v/>
      </c>
    </row>
    <row r="105" spans="1:11" x14ac:dyDescent="0.35">
      <c r="A105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05" t="s">
        <v>38</v>
      </c>
      <c r="C105" t="s">
        <v>412</v>
      </c>
      <c r="D105" s="17">
        <v>44299</v>
      </c>
      <c r="E105" t="s">
        <v>26</v>
      </c>
      <c r="F105" t="s">
        <v>27</v>
      </c>
      <c r="G105">
        <v>718015</v>
      </c>
      <c r="H105">
        <v>5500022180</v>
      </c>
      <c r="I105">
        <v>10</v>
      </c>
      <c r="J105" s="7" t="s">
        <v>42</v>
      </c>
      <c r="K105" s="7" t="str">
        <f>IFERROR(VLOOKUP(Detalle_OC[[#This Row],[Centro]]&amp;Detalle_OC[[#This Row],[Nro Almacen]],Almacen!A:D,4,FALSE),"")</f>
        <v/>
      </c>
    </row>
    <row r="106" spans="1:11" x14ac:dyDescent="0.35">
      <c r="A106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06" t="s">
        <v>38</v>
      </c>
      <c r="C106" t="s">
        <v>412</v>
      </c>
      <c r="D106" s="17">
        <v>44301</v>
      </c>
      <c r="E106" t="s">
        <v>26</v>
      </c>
      <c r="F106" t="s">
        <v>27</v>
      </c>
      <c r="G106">
        <v>718015</v>
      </c>
      <c r="H106">
        <v>5500022180</v>
      </c>
      <c r="I106">
        <v>10</v>
      </c>
      <c r="J106" s="7" t="s">
        <v>42</v>
      </c>
      <c r="K106" s="7" t="str">
        <f>IFERROR(VLOOKUP(Detalle_OC[[#This Row],[Centro]]&amp;Detalle_OC[[#This Row],[Nro Almacen]],Almacen!A:D,4,FALSE),"")</f>
        <v/>
      </c>
    </row>
    <row r="107" spans="1:11" x14ac:dyDescent="0.35">
      <c r="A107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07" t="s">
        <v>38</v>
      </c>
      <c r="C107" t="s">
        <v>412</v>
      </c>
      <c r="D107" s="17">
        <v>44306</v>
      </c>
      <c r="E107" t="s">
        <v>26</v>
      </c>
      <c r="F107" t="s">
        <v>27</v>
      </c>
      <c r="G107">
        <v>718015</v>
      </c>
      <c r="H107">
        <v>5500022180</v>
      </c>
      <c r="I107">
        <v>10</v>
      </c>
      <c r="J107" s="7" t="s">
        <v>42</v>
      </c>
      <c r="K107" s="7" t="str">
        <f>IFERROR(VLOOKUP(Detalle_OC[[#This Row],[Centro]]&amp;Detalle_OC[[#This Row],[Nro Almacen]],Almacen!A:D,4,FALSE),"")</f>
        <v/>
      </c>
    </row>
    <row r="108" spans="1:11" x14ac:dyDescent="0.35">
      <c r="A108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08" t="s">
        <v>38</v>
      </c>
      <c r="C108" t="s">
        <v>412</v>
      </c>
      <c r="D108" s="17">
        <v>44306</v>
      </c>
      <c r="E108" t="s">
        <v>26</v>
      </c>
      <c r="F108" t="s">
        <v>27</v>
      </c>
      <c r="G108">
        <v>718015</v>
      </c>
      <c r="H108">
        <v>5500022180</v>
      </c>
      <c r="I108">
        <v>10</v>
      </c>
      <c r="J108" s="7" t="s">
        <v>42</v>
      </c>
      <c r="K108" s="7" t="str">
        <f>IFERROR(VLOOKUP(Detalle_OC[[#This Row],[Centro]]&amp;Detalle_OC[[#This Row],[Nro Almacen]],Almacen!A:D,4,FALSE),"")</f>
        <v/>
      </c>
    </row>
    <row r="109" spans="1:11" x14ac:dyDescent="0.35">
      <c r="A109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09" t="s">
        <v>38</v>
      </c>
      <c r="C109" t="s">
        <v>412</v>
      </c>
      <c r="D109" s="17">
        <v>44307</v>
      </c>
      <c r="E109" t="s">
        <v>26</v>
      </c>
      <c r="F109" t="s">
        <v>27</v>
      </c>
      <c r="G109">
        <v>718015</v>
      </c>
      <c r="H109">
        <v>5500022180</v>
      </c>
      <c r="I109">
        <v>10</v>
      </c>
      <c r="J109" s="7" t="s">
        <v>42</v>
      </c>
      <c r="K109" s="7" t="str">
        <f>IFERROR(VLOOKUP(Detalle_OC[[#This Row],[Centro]]&amp;Detalle_OC[[#This Row],[Nro Almacen]],Almacen!A:D,4,FALSE),"")</f>
        <v/>
      </c>
    </row>
    <row r="110" spans="1:11" x14ac:dyDescent="0.35">
      <c r="A110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10" t="s">
        <v>38</v>
      </c>
      <c r="C110" t="s">
        <v>412</v>
      </c>
      <c r="D110" s="17">
        <v>44309</v>
      </c>
      <c r="E110" t="s">
        <v>26</v>
      </c>
      <c r="F110" t="s">
        <v>27</v>
      </c>
      <c r="G110">
        <v>718015</v>
      </c>
      <c r="H110">
        <v>5500022180</v>
      </c>
      <c r="I110">
        <v>10</v>
      </c>
      <c r="J110" s="7" t="s">
        <v>42</v>
      </c>
      <c r="K110" s="7" t="str">
        <f>IFERROR(VLOOKUP(Detalle_OC[[#This Row],[Centro]]&amp;Detalle_OC[[#This Row],[Nro Almacen]],Almacen!A:D,4,FALSE),"")</f>
        <v/>
      </c>
    </row>
    <row r="111" spans="1:11" x14ac:dyDescent="0.35">
      <c r="A111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11" t="s">
        <v>38</v>
      </c>
      <c r="C111" t="s">
        <v>412</v>
      </c>
      <c r="D111" s="17">
        <v>44316</v>
      </c>
      <c r="E111" t="s">
        <v>26</v>
      </c>
      <c r="F111" t="s">
        <v>27</v>
      </c>
      <c r="G111">
        <v>718015</v>
      </c>
      <c r="H111">
        <v>5500022180</v>
      </c>
      <c r="I111">
        <v>10</v>
      </c>
      <c r="J111" s="7" t="s">
        <v>42</v>
      </c>
      <c r="K111" s="7" t="str">
        <f>IFERROR(VLOOKUP(Detalle_OC[[#This Row],[Centro]]&amp;Detalle_OC[[#This Row],[Nro Almacen]],Almacen!A:D,4,FALSE),"")</f>
        <v/>
      </c>
    </row>
    <row r="112" spans="1:11" x14ac:dyDescent="0.35">
      <c r="A112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12" t="s">
        <v>38</v>
      </c>
      <c r="C112" t="s">
        <v>412</v>
      </c>
      <c r="D112" s="17">
        <v>44319</v>
      </c>
      <c r="E112" t="s">
        <v>26</v>
      </c>
      <c r="F112" t="s">
        <v>27</v>
      </c>
      <c r="G112">
        <v>718015</v>
      </c>
      <c r="H112">
        <v>5500022180</v>
      </c>
      <c r="I112">
        <v>10</v>
      </c>
      <c r="J112" s="7" t="s">
        <v>42</v>
      </c>
      <c r="K112" s="7" t="str">
        <f>IFERROR(VLOOKUP(Detalle_OC[[#This Row],[Centro]]&amp;Detalle_OC[[#This Row],[Nro Almacen]],Almacen!A:D,4,FALSE),"")</f>
        <v/>
      </c>
    </row>
    <row r="113" spans="1:11" x14ac:dyDescent="0.35">
      <c r="A113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13" t="s">
        <v>38</v>
      </c>
      <c r="C113" t="s">
        <v>412</v>
      </c>
      <c r="D113" s="17">
        <v>44326</v>
      </c>
      <c r="E113" t="s">
        <v>26</v>
      </c>
      <c r="F113" t="s">
        <v>27</v>
      </c>
      <c r="G113">
        <v>718015</v>
      </c>
      <c r="H113">
        <v>5500022180</v>
      </c>
      <c r="I113">
        <v>10</v>
      </c>
      <c r="J113" s="7" t="s">
        <v>42</v>
      </c>
      <c r="K113" s="7" t="str">
        <f>IFERROR(VLOOKUP(Detalle_OC[[#This Row],[Centro]]&amp;Detalle_OC[[#This Row],[Nro Almacen]],Almacen!A:D,4,FALSE),"")</f>
        <v/>
      </c>
    </row>
    <row r="114" spans="1:11" x14ac:dyDescent="0.35">
      <c r="A114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14" t="s">
        <v>38</v>
      </c>
      <c r="C114" t="s">
        <v>412</v>
      </c>
      <c r="D114" s="17">
        <v>44327</v>
      </c>
      <c r="E114" t="s">
        <v>26</v>
      </c>
      <c r="F114" t="s">
        <v>27</v>
      </c>
      <c r="G114">
        <v>718015</v>
      </c>
      <c r="H114">
        <v>5500022180</v>
      </c>
      <c r="I114">
        <v>10</v>
      </c>
      <c r="J114" s="7" t="s">
        <v>42</v>
      </c>
      <c r="K114" s="7" t="str">
        <f>IFERROR(VLOOKUP(Detalle_OC[[#This Row],[Centro]]&amp;Detalle_OC[[#This Row],[Nro Almacen]],Almacen!A:D,4,FALSE),"")</f>
        <v/>
      </c>
    </row>
    <row r="115" spans="1:11" x14ac:dyDescent="0.35">
      <c r="A115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15" t="s">
        <v>38</v>
      </c>
      <c r="C115" t="s">
        <v>412</v>
      </c>
      <c r="D115" s="17">
        <v>44334</v>
      </c>
      <c r="E115" t="s">
        <v>26</v>
      </c>
      <c r="F115" t="s">
        <v>27</v>
      </c>
      <c r="G115">
        <v>718015</v>
      </c>
      <c r="H115">
        <v>5500022180</v>
      </c>
      <c r="I115">
        <v>10</v>
      </c>
      <c r="J115" s="7" t="s">
        <v>42</v>
      </c>
      <c r="K115" s="7" t="str">
        <f>IFERROR(VLOOKUP(Detalle_OC[[#This Row],[Centro]]&amp;Detalle_OC[[#This Row],[Nro Almacen]],Almacen!A:D,4,FALSE),"")</f>
        <v/>
      </c>
    </row>
    <row r="116" spans="1:11" x14ac:dyDescent="0.35">
      <c r="A116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16" t="s">
        <v>38</v>
      </c>
      <c r="C116" t="s">
        <v>412</v>
      </c>
      <c r="D116" s="17">
        <v>44336</v>
      </c>
      <c r="E116" t="s">
        <v>26</v>
      </c>
      <c r="F116" t="s">
        <v>27</v>
      </c>
      <c r="G116">
        <v>718015</v>
      </c>
      <c r="H116">
        <v>5500022180</v>
      </c>
      <c r="I116">
        <v>10</v>
      </c>
      <c r="J116" s="7" t="s">
        <v>42</v>
      </c>
      <c r="K116" s="7" t="str">
        <f>IFERROR(VLOOKUP(Detalle_OC[[#This Row],[Centro]]&amp;Detalle_OC[[#This Row],[Nro Almacen]],Almacen!A:D,4,FALSE),"")</f>
        <v/>
      </c>
    </row>
    <row r="117" spans="1:11" x14ac:dyDescent="0.35">
      <c r="A117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17" t="s">
        <v>38</v>
      </c>
      <c r="C117" t="s">
        <v>412</v>
      </c>
      <c r="D117" s="17">
        <v>44348</v>
      </c>
      <c r="E117" t="s">
        <v>26</v>
      </c>
      <c r="F117" t="s">
        <v>27</v>
      </c>
      <c r="G117">
        <v>718015</v>
      </c>
      <c r="H117">
        <v>5500022180</v>
      </c>
      <c r="I117">
        <v>10</v>
      </c>
      <c r="J117" s="7" t="s">
        <v>42</v>
      </c>
      <c r="K117" s="7" t="str">
        <f>IFERROR(VLOOKUP(Detalle_OC[[#This Row],[Centro]]&amp;Detalle_OC[[#This Row],[Nro Almacen]],Almacen!A:D,4,FALSE),"")</f>
        <v/>
      </c>
    </row>
    <row r="118" spans="1:11" x14ac:dyDescent="0.35">
      <c r="A118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18" t="s">
        <v>38</v>
      </c>
      <c r="C118" t="s">
        <v>412</v>
      </c>
      <c r="D118" s="17">
        <v>44355</v>
      </c>
      <c r="E118" t="s">
        <v>26</v>
      </c>
      <c r="F118" t="s">
        <v>27</v>
      </c>
      <c r="G118">
        <v>718015</v>
      </c>
      <c r="H118">
        <v>5500022180</v>
      </c>
      <c r="I118">
        <v>10</v>
      </c>
      <c r="J118" s="7" t="s">
        <v>42</v>
      </c>
      <c r="K118" s="7" t="str">
        <f>IFERROR(VLOOKUP(Detalle_OC[[#This Row],[Centro]]&amp;Detalle_OC[[#This Row],[Nro Almacen]],Almacen!A:D,4,FALSE),"")</f>
        <v/>
      </c>
    </row>
    <row r="119" spans="1:11" x14ac:dyDescent="0.35">
      <c r="A119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19" t="s">
        <v>38</v>
      </c>
      <c r="C119" t="s">
        <v>412</v>
      </c>
      <c r="D119" s="17">
        <v>44356</v>
      </c>
      <c r="E119" t="s">
        <v>26</v>
      </c>
      <c r="F119" t="s">
        <v>27</v>
      </c>
      <c r="G119">
        <v>718015</v>
      </c>
      <c r="H119">
        <v>5500022180</v>
      </c>
      <c r="I119">
        <v>10</v>
      </c>
      <c r="J119" s="7" t="s">
        <v>42</v>
      </c>
      <c r="K119" s="7" t="str">
        <f>IFERROR(VLOOKUP(Detalle_OC[[#This Row],[Centro]]&amp;Detalle_OC[[#This Row],[Nro Almacen]],Almacen!A:D,4,FALSE),"")</f>
        <v/>
      </c>
    </row>
    <row r="120" spans="1:11" x14ac:dyDescent="0.35">
      <c r="A120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20" t="s">
        <v>38</v>
      </c>
      <c r="C120" t="s">
        <v>412</v>
      </c>
      <c r="D120" s="17">
        <v>44363</v>
      </c>
      <c r="E120" t="s">
        <v>26</v>
      </c>
      <c r="F120" t="s">
        <v>27</v>
      </c>
      <c r="G120">
        <v>718015</v>
      </c>
      <c r="H120">
        <v>5500022180</v>
      </c>
      <c r="I120">
        <v>10</v>
      </c>
      <c r="J120" s="7" t="s">
        <v>42</v>
      </c>
      <c r="K120" s="7" t="str">
        <f>IFERROR(VLOOKUP(Detalle_OC[[#This Row],[Centro]]&amp;Detalle_OC[[#This Row],[Nro Almacen]],Almacen!A:D,4,FALSE),"")</f>
        <v/>
      </c>
    </row>
    <row r="121" spans="1:11" x14ac:dyDescent="0.35">
      <c r="A121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21" t="s">
        <v>38</v>
      </c>
      <c r="C121" t="s">
        <v>412</v>
      </c>
      <c r="D121" s="17">
        <v>44364</v>
      </c>
      <c r="E121" t="s">
        <v>26</v>
      </c>
      <c r="F121" t="s">
        <v>27</v>
      </c>
      <c r="G121">
        <v>718015</v>
      </c>
      <c r="H121">
        <v>5500022180</v>
      </c>
      <c r="I121">
        <v>10</v>
      </c>
      <c r="J121" s="7" t="s">
        <v>42</v>
      </c>
      <c r="K121" s="7" t="str">
        <f>IFERROR(VLOOKUP(Detalle_OC[[#This Row],[Centro]]&amp;Detalle_OC[[#This Row],[Nro Almacen]],Almacen!A:D,4,FALSE),"")</f>
        <v/>
      </c>
    </row>
    <row r="122" spans="1:11" x14ac:dyDescent="0.35">
      <c r="A122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22" t="s">
        <v>38</v>
      </c>
      <c r="C122" t="s">
        <v>412</v>
      </c>
      <c r="D122" s="17">
        <v>44375</v>
      </c>
      <c r="E122" t="s">
        <v>26</v>
      </c>
      <c r="F122" t="s">
        <v>27</v>
      </c>
      <c r="G122">
        <v>718015</v>
      </c>
      <c r="H122">
        <v>5500022180</v>
      </c>
      <c r="I122">
        <v>10</v>
      </c>
      <c r="J122" s="7" t="s">
        <v>42</v>
      </c>
      <c r="K122" s="7" t="str">
        <f>IFERROR(VLOOKUP(Detalle_OC[[#This Row],[Centro]]&amp;Detalle_OC[[#This Row],[Nro Almacen]],Almacen!A:D,4,FALSE),"")</f>
        <v/>
      </c>
    </row>
    <row r="123" spans="1:11" x14ac:dyDescent="0.35">
      <c r="A123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23" t="s">
        <v>38</v>
      </c>
      <c r="C123" t="s">
        <v>412</v>
      </c>
      <c r="D123" s="17">
        <v>44384</v>
      </c>
      <c r="E123" t="s">
        <v>26</v>
      </c>
      <c r="F123" t="s">
        <v>27</v>
      </c>
      <c r="G123">
        <v>718015</v>
      </c>
      <c r="H123">
        <v>5500022180</v>
      </c>
      <c r="I123">
        <v>10</v>
      </c>
      <c r="J123" s="7" t="s">
        <v>42</v>
      </c>
      <c r="K123" s="7" t="str">
        <f>IFERROR(VLOOKUP(Detalle_OC[[#This Row],[Centro]]&amp;Detalle_OC[[#This Row],[Nro Almacen]],Almacen!A:D,4,FALSE),"")</f>
        <v/>
      </c>
    </row>
    <row r="124" spans="1:11" x14ac:dyDescent="0.35">
      <c r="A124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24" t="s">
        <v>38</v>
      </c>
      <c r="C124" t="s">
        <v>412</v>
      </c>
      <c r="D124" s="17">
        <v>44389</v>
      </c>
      <c r="E124" t="s">
        <v>26</v>
      </c>
      <c r="F124" t="s">
        <v>27</v>
      </c>
      <c r="G124">
        <v>718015</v>
      </c>
      <c r="H124">
        <v>5500022180</v>
      </c>
      <c r="I124">
        <v>10</v>
      </c>
      <c r="J124" s="7" t="s">
        <v>42</v>
      </c>
      <c r="K124" s="7" t="str">
        <f>IFERROR(VLOOKUP(Detalle_OC[[#This Row],[Centro]]&amp;Detalle_OC[[#This Row],[Nro Almacen]],Almacen!A:D,4,FALSE),"")</f>
        <v/>
      </c>
    </row>
    <row r="125" spans="1:11" x14ac:dyDescent="0.35">
      <c r="A125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25" t="s">
        <v>38</v>
      </c>
      <c r="C125" t="s">
        <v>412</v>
      </c>
      <c r="D125" s="17">
        <v>44389</v>
      </c>
      <c r="E125" t="s">
        <v>26</v>
      </c>
      <c r="F125" t="s">
        <v>27</v>
      </c>
      <c r="G125">
        <v>718015</v>
      </c>
      <c r="H125">
        <v>5500022180</v>
      </c>
      <c r="I125">
        <v>10</v>
      </c>
      <c r="J125" s="7" t="s">
        <v>42</v>
      </c>
      <c r="K125" s="7" t="str">
        <f>IFERROR(VLOOKUP(Detalle_OC[[#This Row],[Centro]]&amp;Detalle_OC[[#This Row],[Nro Almacen]],Almacen!A:D,4,FALSE),"")</f>
        <v/>
      </c>
    </row>
    <row r="126" spans="1:11" x14ac:dyDescent="0.35">
      <c r="A126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26" t="s">
        <v>38</v>
      </c>
      <c r="C126" t="s">
        <v>412</v>
      </c>
      <c r="D126" s="17">
        <v>44389</v>
      </c>
      <c r="E126" t="s">
        <v>26</v>
      </c>
      <c r="F126" t="s">
        <v>27</v>
      </c>
      <c r="G126">
        <v>718015</v>
      </c>
      <c r="H126">
        <v>5500022180</v>
      </c>
      <c r="I126">
        <v>10</v>
      </c>
      <c r="J126" s="7" t="s">
        <v>42</v>
      </c>
      <c r="K126" s="7" t="str">
        <f>IFERROR(VLOOKUP(Detalle_OC[[#This Row],[Centro]]&amp;Detalle_OC[[#This Row],[Nro Almacen]],Almacen!A:D,4,FALSE),"")</f>
        <v/>
      </c>
    </row>
    <row r="127" spans="1:11" x14ac:dyDescent="0.35">
      <c r="A127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27" t="s">
        <v>38</v>
      </c>
      <c r="C127" t="s">
        <v>412</v>
      </c>
      <c r="D127" s="17">
        <v>44390</v>
      </c>
      <c r="E127" t="s">
        <v>26</v>
      </c>
      <c r="F127" t="s">
        <v>27</v>
      </c>
      <c r="G127">
        <v>718015</v>
      </c>
      <c r="H127">
        <v>5500022180</v>
      </c>
      <c r="I127">
        <v>10</v>
      </c>
      <c r="J127" s="7" t="s">
        <v>42</v>
      </c>
      <c r="K127" s="7" t="str">
        <f>IFERROR(VLOOKUP(Detalle_OC[[#This Row],[Centro]]&amp;Detalle_OC[[#This Row],[Nro Almacen]],Almacen!A:D,4,FALSE),"")</f>
        <v/>
      </c>
    </row>
    <row r="128" spans="1:11" x14ac:dyDescent="0.35">
      <c r="A128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28" t="s">
        <v>38</v>
      </c>
      <c r="C128" t="s">
        <v>412</v>
      </c>
      <c r="D128" s="17">
        <v>44391</v>
      </c>
      <c r="E128" t="s">
        <v>26</v>
      </c>
      <c r="F128" t="s">
        <v>27</v>
      </c>
      <c r="G128">
        <v>718015</v>
      </c>
      <c r="H128">
        <v>5500022180</v>
      </c>
      <c r="I128">
        <v>10</v>
      </c>
      <c r="J128" s="7" t="s">
        <v>42</v>
      </c>
      <c r="K128" s="7" t="str">
        <f>IFERROR(VLOOKUP(Detalle_OC[[#This Row],[Centro]]&amp;Detalle_OC[[#This Row],[Nro Almacen]],Almacen!A:D,4,FALSE),"")</f>
        <v/>
      </c>
    </row>
    <row r="129" spans="1:11" x14ac:dyDescent="0.35">
      <c r="A129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29" t="s">
        <v>38</v>
      </c>
      <c r="C129" t="s">
        <v>412</v>
      </c>
      <c r="D129" s="17">
        <v>44397</v>
      </c>
      <c r="E129" t="s">
        <v>26</v>
      </c>
      <c r="F129" t="s">
        <v>27</v>
      </c>
      <c r="G129">
        <v>718015</v>
      </c>
      <c r="H129">
        <v>5500022180</v>
      </c>
      <c r="I129">
        <v>10</v>
      </c>
      <c r="J129" s="7" t="s">
        <v>42</v>
      </c>
      <c r="K129" s="7" t="str">
        <f>IFERROR(VLOOKUP(Detalle_OC[[#This Row],[Centro]]&amp;Detalle_OC[[#This Row],[Nro Almacen]],Almacen!A:D,4,FALSE),"")</f>
        <v/>
      </c>
    </row>
    <row r="130" spans="1:11" x14ac:dyDescent="0.35">
      <c r="A130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30" t="s">
        <v>38</v>
      </c>
      <c r="C130" t="s">
        <v>412</v>
      </c>
      <c r="D130" s="17">
        <v>44397</v>
      </c>
      <c r="E130" t="s">
        <v>26</v>
      </c>
      <c r="F130" t="s">
        <v>27</v>
      </c>
      <c r="G130">
        <v>718015</v>
      </c>
      <c r="H130">
        <v>5500022180</v>
      </c>
      <c r="I130">
        <v>10</v>
      </c>
      <c r="J130" s="7" t="s">
        <v>42</v>
      </c>
      <c r="K130" s="7" t="str">
        <f>IFERROR(VLOOKUP(Detalle_OC[[#This Row],[Centro]]&amp;Detalle_OC[[#This Row],[Nro Almacen]],Almacen!A:D,4,FALSE),"")</f>
        <v/>
      </c>
    </row>
    <row r="131" spans="1:11" x14ac:dyDescent="0.35">
      <c r="A131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31" t="s">
        <v>38</v>
      </c>
      <c r="C131" t="s">
        <v>412</v>
      </c>
      <c r="D131" s="17">
        <v>44404</v>
      </c>
      <c r="E131" t="s">
        <v>26</v>
      </c>
      <c r="F131" t="s">
        <v>27</v>
      </c>
      <c r="G131">
        <v>718015</v>
      </c>
      <c r="H131">
        <v>5500022180</v>
      </c>
      <c r="I131">
        <v>10</v>
      </c>
      <c r="J131" s="7" t="s">
        <v>42</v>
      </c>
      <c r="K131" s="7" t="str">
        <f>IFERROR(VLOOKUP(Detalle_OC[[#This Row],[Centro]]&amp;Detalle_OC[[#This Row],[Nro Almacen]],Almacen!A:D,4,FALSE),"")</f>
        <v/>
      </c>
    </row>
    <row r="132" spans="1:11" x14ac:dyDescent="0.35">
      <c r="A132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32" t="s">
        <v>38</v>
      </c>
      <c r="C132" t="s">
        <v>412</v>
      </c>
      <c r="D132" s="17">
        <v>44408</v>
      </c>
      <c r="E132" t="s">
        <v>26</v>
      </c>
      <c r="F132" t="s">
        <v>27</v>
      </c>
      <c r="G132">
        <v>718015</v>
      </c>
      <c r="H132">
        <v>5500022180</v>
      </c>
      <c r="I132">
        <v>10</v>
      </c>
      <c r="J132" s="7" t="s">
        <v>42</v>
      </c>
      <c r="K132" s="7" t="str">
        <f>IFERROR(VLOOKUP(Detalle_OC[[#This Row],[Centro]]&amp;Detalle_OC[[#This Row],[Nro Almacen]],Almacen!A:D,4,FALSE),"")</f>
        <v/>
      </c>
    </row>
    <row r="133" spans="1:11" x14ac:dyDescent="0.35">
      <c r="A133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33" t="s">
        <v>38</v>
      </c>
      <c r="C133" t="s">
        <v>412</v>
      </c>
      <c r="D133" s="17">
        <v>44412</v>
      </c>
      <c r="E133" t="s">
        <v>26</v>
      </c>
      <c r="F133" t="s">
        <v>27</v>
      </c>
      <c r="G133">
        <v>718015</v>
      </c>
      <c r="H133">
        <v>5500022180</v>
      </c>
      <c r="I133">
        <v>10</v>
      </c>
      <c r="J133" s="7" t="s">
        <v>42</v>
      </c>
      <c r="K133" s="7" t="str">
        <f>IFERROR(VLOOKUP(Detalle_OC[[#This Row],[Centro]]&amp;Detalle_OC[[#This Row],[Nro Almacen]],Almacen!A:D,4,FALSE),"")</f>
        <v/>
      </c>
    </row>
    <row r="134" spans="1:11" x14ac:dyDescent="0.35">
      <c r="A134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34" t="s">
        <v>38</v>
      </c>
      <c r="C134" t="s">
        <v>412</v>
      </c>
      <c r="D134" s="17">
        <v>44412</v>
      </c>
      <c r="E134" t="s">
        <v>26</v>
      </c>
      <c r="F134" t="s">
        <v>27</v>
      </c>
      <c r="G134">
        <v>718015</v>
      </c>
      <c r="H134">
        <v>5500022180</v>
      </c>
      <c r="I134">
        <v>10</v>
      </c>
      <c r="J134" s="7" t="s">
        <v>42</v>
      </c>
      <c r="K134" s="7" t="str">
        <f>IFERROR(VLOOKUP(Detalle_OC[[#This Row],[Centro]]&amp;Detalle_OC[[#This Row],[Nro Almacen]],Almacen!A:D,4,FALSE),"")</f>
        <v/>
      </c>
    </row>
    <row r="135" spans="1:11" x14ac:dyDescent="0.35">
      <c r="A135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35" t="s">
        <v>38</v>
      </c>
      <c r="C135" t="s">
        <v>412</v>
      </c>
      <c r="D135" s="17">
        <v>44419</v>
      </c>
      <c r="E135" t="s">
        <v>26</v>
      </c>
      <c r="F135" t="s">
        <v>27</v>
      </c>
      <c r="G135">
        <v>718015</v>
      </c>
      <c r="H135">
        <v>5500022180</v>
      </c>
      <c r="I135">
        <v>10</v>
      </c>
      <c r="J135" s="7" t="s">
        <v>42</v>
      </c>
      <c r="K135" s="7" t="str">
        <f>IFERROR(VLOOKUP(Detalle_OC[[#This Row],[Centro]]&amp;Detalle_OC[[#This Row],[Nro Almacen]],Almacen!A:D,4,FALSE),"")</f>
        <v/>
      </c>
    </row>
    <row r="136" spans="1:11" x14ac:dyDescent="0.35">
      <c r="A136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36" t="s">
        <v>38</v>
      </c>
      <c r="C136" t="s">
        <v>412</v>
      </c>
      <c r="D136" s="17">
        <v>44426</v>
      </c>
      <c r="E136" t="s">
        <v>26</v>
      </c>
      <c r="F136" t="s">
        <v>27</v>
      </c>
      <c r="G136">
        <v>718015</v>
      </c>
      <c r="H136">
        <v>5500022180</v>
      </c>
      <c r="I136">
        <v>10</v>
      </c>
      <c r="J136" s="7" t="s">
        <v>42</v>
      </c>
      <c r="K136" s="7" t="str">
        <f>IFERROR(VLOOKUP(Detalle_OC[[#This Row],[Centro]]&amp;Detalle_OC[[#This Row],[Nro Almacen]],Almacen!A:D,4,FALSE),"")</f>
        <v/>
      </c>
    </row>
    <row r="137" spans="1:11" x14ac:dyDescent="0.35">
      <c r="A137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37" t="s">
        <v>38</v>
      </c>
      <c r="C137" t="s">
        <v>412</v>
      </c>
      <c r="D137" s="17">
        <v>44433</v>
      </c>
      <c r="E137" t="s">
        <v>26</v>
      </c>
      <c r="F137" t="s">
        <v>27</v>
      </c>
      <c r="G137">
        <v>718015</v>
      </c>
      <c r="H137">
        <v>5500022180</v>
      </c>
      <c r="I137">
        <v>10</v>
      </c>
      <c r="J137" s="7" t="s">
        <v>42</v>
      </c>
      <c r="K137" s="7" t="str">
        <f>IFERROR(VLOOKUP(Detalle_OC[[#This Row],[Centro]]&amp;Detalle_OC[[#This Row],[Nro Almacen]],Almacen!A:D,4,FALSE),"")</f>
        <v/>
      </c>
    </row>
    <row r="138" spans="1:11" x14ac:dyDescent="0.35">
      <c r="A138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38" t="s">
        <v>38</v>
      </c>
      <c r="C138" t="s">
        <v>412</v>
      </c>
      <c r="D138" s="17">
        <v>44442</v>
      </c>
      <c r="E138" t="s">
        <v>26</v>
      </c>
      <c r="F138" t="s">
        <v>27</v>
      </c>
      <c r="G138">
        <v>718015</v>
      </c>
      <c r="H138">
        <v>5500022180</v>
      </c>
      <c r="I138">
        <v>10</v>
      </c>
      <c r="J138" s="7" t="s">
        <v>42</v>
      </c>
      <c r="K138" s="7" t="str">
        <f>IFERROR(VLOOKUP(Detalle_OC[[#This Row],[Centro]]&amp;Detalle_OC[[#This Row],[Nro Almacen]],Almacen!A:D,4,FALSE),"")</f>
        <v/>
      </c>
    </row>
    <row r="139" spans="1:11" x14ac:dyDescent="0.35">
      <c r="A139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39" t="s">
        <v>38</v>
      </c>
      <c r="C139" t="s">
        <v>412</v>
      </c>
      <c r="D139" s="17">
        <v>44448</v>
      </c>
      <c r="E139" t="s">
        <v>26</v>
      </c>
      <c r="F139" t="s">
        <v>27</v>
      </c>
      <c r="G139">
        <v>718015</v>
      </c>
      <c r="H139">
        <v>5500022180</v>
      </c>
      <c r="I139">
        <v>10</v>
      </c>
      <c r="J139" s="7" t="s">
        <v>42</v>
      </c>
      <c r="K139" s="7" t="str">
        <f>IFERROR(VLOOKUP(Detalle_OC[[#This Row],[Centro]]&amp;Detalle_OC[[#This Row],[Nro Almacen]],Almacen!A:D,4,FALSE),"")</f>
        <v/>
      </c>
    </row>
    <row r="140" spans="1:11" x14ac:dyDescent="0.35">
      <c r="A140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40" t="s">
        <v>38</v>
      </c>
      <c r="C140" t="s">
        <v>412</v>
      </c>
      <c r="D140" s="17">
        <v>44455</v>
      </c>
      <c r="E140" t="s">
        <v>26</v>
      </c>
      <c r="F140" t="s">
        <v>27</v>
      </c>
      <c r="G140">
        <v>718015</v>
      </c>
      <c r="H140">
        <v>5500022180</v>
      </c>
      <c r="I140">
        <v>10</v>
      </c>
      <c r="J140" s="7" t="s">
        <v>42</v>
      </c>
      <c r="K140" s="7" t="str">
        <f>IFERROR(VLOOKUP(Detalle_OC[[#This Row],[Centro]]&amp;Detalle_OC[[#This Row],[Nro Almacen]],Almacen!A:D,4,FALSE),"")</f>
        <v/>
      </c>
    </row>
    <row r="141" spans="1:11" x14ac:dyDescent="0.35">
      <c r="A141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41" t="s">
        <v>38</v>
      </c>
      <c r="C141" t="s">
        <v>412</v>
      </c>
      <c r="D141" s="17">
        <v>44462</v>
      </c>
      <c r="E141" t="s">
        <v>26</v>
      </c>
      <c r="F141" t="s">
        <v>27</v>
      </c>
      <c r="G141">
        <v>718015</v>
      </c>
      <c r="H141">
        <v>5500022180</v>
      </c>
      <c r="I141">
        <v>10</v>
      </c>
      <c r="J141" s="7" t="s">
        <v>42</v>
      </c>
      <c r="K141" s="7" t="str">
        <f>IFERROR(VLOOKUP(Detalle_OC[[#This Row],[Centro]]&amp;Detalle_OC[[#This Row],[Nro Almacen]],Almacen!A:D,4,FALSE),"")</f>
        <v/>
      </c>
    </row>
    <row r="142" spans="1:11" x14ac:dyDescent="0.35">
      <c r="A142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42" t="s">
        <v>38</v>
      </c>
      <c r="C142" t="s">
        <v>412</v>
      </c>
      <c r="D142" s="17">
        <v>44469</v>
      </c>
      <c r="E142" t="s">
        <v>26</v>
      </c>
      <c r="F142" t="s">
        <v>27</v>
      </c>
      <c r="G142">
        <v>718015</v>
      </c>
      <c r="H142">
        <v>5500022180</v>
      </c>
      <c r="I142">
        <v>10</v>
      </c>
      <c r="J142" s="7" t="s">
        <v>42</v>
      </c>
      <c r="K142" s="7" t="str">
        <f>IFERROR(VLOOKUP(Detalle_OC[[#This Row],[Centro]]&amp;Detalle_OC[[#This Row],[Nro Almacen]],Almacen!A:D,4,FALSE),"")</f>
        <v/>
      </c>
    </row>
    <row r="143" spans="1:11" x14ac:dyDescent="0.35">
      <c r="A143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43" t="s">
        <v>38</v>
      </c>
      <c r="C143" t="s">
        <v>412</v>
      </c>
      <c r="D143" s="17">
        <v>44569</v>
      </c>
      <c r="E143" t="s">
        <v>26</v>
      </c>
      <c r="F143" t="s">
        <v>27</v>
      </c>
      <c r="G143">
        <v>718015</v>
      </c>
      <c r="H143">
        <v>5500022180</v>
      </c>
      <c r="I143">
        <v>10</v>
      </c>
      <c r="J143" s="7" t="s">
        <v>42</v>
      </c>
      <c r="K143" s="7" t="str">
        <f>IFERROR(VLOOKUP(Detalle_OC[[#This Row],[Centro]]&amp;Detalle_OC[[#This Row],[Nro Almacen]],Almacen!A:D,4,FALSE),"")</f>
        <v/>
      </c>
    </row>
    <row r="144" spans="1:11" x14ac:dyDescent="0.35">
      <c r="A144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44" t="s">
        <v>38</v>
      </c>
      <c r="C144" t="s">
        <v>412</v>
      </c>
      <c r="D144" s="17">
        <v>44569</v>
      </c>
      <c r="E144" t="s">
        <v>26</v>
      </c>
      <c r="F144" t="s">
        <v>27</v>
      </c>
      <c r="G144">
        <v>718015</v>
      </c>
      <c r="H144">
        <v>5500022180</v>
      </c>
      <c r="I144">
        <v>10</v>
      </c>
      <c r="J144" s="7" t="s">
        <v>42</v>
      </c>
      <c r="K144" s="7" t="str">
        <f>IFERROR(VLOOKUP(Detalle_OC[[#This Row],[Centro]]&amp;Detalle_OC[[#This Row],[Nro Almacen]],Almacen!A:D,4,FALSE),"")</f>
        <v/>
      </c>
    </row>
    <row r="145" spans="1:11" x14ac:dyDescent="0.35">
      <c r="A145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45" t="s">
        <v>38</v>
      </c>
      <c r="C145" t="s">
        <v>412</v>
      </c>
      <c r="D145" s="17">
        <v>44572</v>
      </c>
      <c r="E145" t="s">
        <v>26</v>
      </c>
      <c r="F145" t="s">
        <v>27</v>
      </c>
      <c r="G145">
        <v>718015</v>
      </c>
      <c r="H145">
        <v>5500022180</v>
      </c>
      <c r="I145">
        <v>10</v>
      </c>
      <c r="J145" s="7" t="s">
        <v>42</v>
      </c>
      <c r="K145" s="7" t="str">
        <f>IFERROR(VLOOKUP(Detalle_OC[[#This Row],[Centro]]&amp;Detalle_OC[[#This Row],[Nro Almacen]],Almacen!A:D,4,FALSE),"")</f>
        <v/>
      </c>
    </row>
    <row r="146" spans="1:11" x14ac:dyDescent="0.35">
      <c r="A146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46" t="s">
        <v>38</v>
      </c>
      <c r="C146" t="s">
        <v>412</v>
      </c>
      <c r="D146" s="17">
        <v>44574</v>
      </c>
      <c r="E146" t="s">
        <v>26</v>
      </c>
      <c r="F146" t="s">
        <v>27</v>
      </c>
      <c r="G146">
        <v>718015</v>
      </c>
      <c r="H146">
        <v>5500022180</v>
      </c>
      <c r="I146">
        <v>10</v>
      </c>
      <c r="J146" s="7" t="s">
        <v>42</v>
      </c>
      <c r="K146" s="7" t="str">
        <f>IFERROR(VLOOKUP(Detalle_OC[[#This Row],[Centro]]&amp;Detalle_OC[[#This Row],[Nro Almacen]],Almacen!A:D,4,FALSE),"")</f>
        <v/>
      </c>
    </row>
    <row r="147" spans="1:11" x14ac:dyDescent="0.35">
      <c r="A147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47" t="s">
        <v>38</v>
      </c>
      <c r="C147" t="s">
        <v>412</v>
      </c>
      <c r="D147" s="17">
        <v>44575</v>
      </c>
      <c r="E147" t="s">
        <v>26</v>
      </c>
      <c r="F147" t="s">
        <v>27</v>
      </c>
      <c r="G147">
        <v>718015</v>
      </c>
      <c r="H147">
        <v>5500022180</v>
      </c>
      <c r="I147">
        <v>10</v>
      </c>
      <c r="J147" s="7" t="s">
        <v>42</v>
      </c>
      <c r="K147" s="7" t="str">
        <f>IFERROR(VLOOKUP(Detalle_OC[[#This Row],[Centro]]&amp;Detalle_OC[[#This Row],[Nro Almacen]],Almacen!A:D,4,FALSE),"")</f>
        <v/>
      </c>
    </row>
    <row r="148" spans="1:11" x14ac:dyDescent="0.35">
      <c r="A148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48" t="s">
        <v>38</v>
      </c>
      <c r="C148" t="s">
        <v>412</v>
      </c>
      <c r="D148" s="17">
        <v>44576</v>
      </c>
      <c r="E148" t="s">
        <v>26</v>
      </c>
      <c r="F148" t="s">
        <v>27</v>
      </c>
      <c r="G148">
        <v>718015</v>
      </c>
      <c r="H148">
        <v>5500022180</v>
      </c>
      <c r="I148">
        <v>10</v>
      </c>
      <c r="J148" s="7" t="s">
        <v>42</v>
      </c>
      <c r="K148" s="7" t="str">
        <f>IFERROR(VLOOKUP(Detalle_OC[[#This Row],[Centro]]&amp;Detalle_OC[[#This Row],[Nro Almacen]],Almacen!A:D,4,FALSE),"")</f>
        <v/>
      </c>
    </row>
    <row r="149" spans="1:11" x14ac:dyDescent="0.35">
      <c r="A149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49" t="s">
        <v>38</v>
      </c>
      <c r="C149" t="s">
        <v>412</v>
      </c>
      <c r="D149" s="17">
        <v>44579</v>
      </c>
      <c r="E149" t="s">
        <v>26</v>
      </c>
      <c r="F149" t="s">
        <v>27</v>
      </c>
      <c r="G149">
        <v>718015</v>
      </c>
      <c r="H149">
        <v>5500022180</v>
      </c>
      <c r="I149">
        <v>10</v>
      </c>
      <c r="J149" s="7" t="s">
        <v>42</v>
      </c>
      <c r="K149" s="7" t="str">
        <f>IFERROR(VLOOKUP(Detalle_OC[[#This Row],[Centro]]&amp;Detalle_OC[[#This Row],[Nro Almacen]],Almacen!A:D,4,FALSE),"")</f>
        <v/>
      </c>
    </row>
    <row r="150" spans="1:11" x14ac:dyDescent="0.35">
      <c r="A150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50" t="s">
        <v>38</v>
      </c>
      <c r="C150" t="s">
        <v>412</v>
      </c>
      <c r="D150" s="17">
        <v>44583</v>
      </c>
      <c r="E150" t="s">
        <v>26</v>
      </c>
      <c r="F150" t="s">
        <v>27</v>
      </c>
      <c r="G150">
        <v>718015</v>
      </c>
      <c r="H150">
        <v>5500022180</v>
      </c>
      <c r="I150">
        <v>10</v>
      </c>
      <c r="J150" s="7" t="s">
        <v>42</v>
      </c>
      <c r="K150" s="7" t="str">
        <f>IFERROR(VLOOKUP(Detalle_OC[[#This Row],[Centro]]&amp;Detalle_OC[[#This Row],[Nro Almacen]],Almacen!A:D,4,FALSE),"")</f>
        <v/>
      </c>
    </row>
    <row r="151" spans="1:11" x14ac:dyDescent="0.35">
      <c r="A151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51" t="s">
        <v>38</v>
      </c>
      <c r="C151" t="s">
        <v>412</v>
      </c>
      <c r="D151" s="17">
        <v>44590</v>
      </c>
      <c r="E151" t="s">
        <v>26</v>
      </c>
      <c r="F151" t="s">
        <v>27</v>
      </c>
      <c r="G151">
        <v>718015</v>
      </c>
      <c r="H151">
        <v>5500022180</v>
      </c>
      <c r="I151">
        <v>10</v>
      </c>
      <c r="J151" s="7" t="s">
        <v>42</v>
      </c>
      <c r="K151" s="7" t="str">
        <f>IFERROR(VLOOKUP(Detalle_OC[[#This Row],[Centro]]&amp;Detalle_OC[[#This Row],[Nro Almacen]],Almacen!A:D,4,FALSE),"")</f>
        <v/>
      </c>
    </row>
    <row r="152" spans="1:11" x14ac:dyDescent="0.35">
      <c r="A152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52" t="s">
        <v>38</v>
      </c>
      <c r="C152" t="s">
        <v>412</v>
      </c>
      <c r="D152" s="17">
        <v>44592</v>
      </c>
      <c r="E152" t="s">
        <v>26</v>
      </c>
      <c r="F152" t="s">
        <v>27</v>
      </c>
      <c r="G152">
        <v>718015</v>
      </c>
      <c r="H152">
        <v>5500022180</v>
      </c>
      <c r="I152">
        <v>10</v>
      </c>
      <c r="J152" s="7" t="s">
        <v>42</v>
      </c>
      <c r="K152" s="7" t="str">
        <f>IFERROR(VLOOKUP(Detalle_OC[[#This Row],[Centro]]&amp;Detalle_OC[[#This Row],[Nro Almacen]],Almacen!A:D,4,FALSE),"")</f>
        <v/>
      </c>
    </row>
    <row r="153" spans="1:11" x14ac:dyDescent="0.35">
      <c r="A153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53" t="s">
        <v>38</v>
      </c>
      <c r="C153" t="s">
        <v>412</v>
      </c>
      <c r="D153" s="17">
        <v>44592</v>
      </c>
      <c r="E153" t="s">
        <v>26</v>
      </c>
      <c r="F153" t="s">
        <v>27</v>
      </c>
      <c r="G153">
        <v>718015</v>
      </c>
      <c r="H153">
        <v>5500022180</v>
      </c>
      <c r="I153">
        <v>10</v>
      </c>
      <c r="J153" s="7" t="s">
        <v>42</v>
      </c>
      <c r="K153" s="7" t="str">
        <f>IFERROR(VLOOKUP(Detalle_OC[[#This Row],[Centro]]&amp;Detalle_OC[[#This Row],[Nro Almacen]],Almacen!A:D,4,FALSE),"")</f>
        <v/>
      </c>
    </row>
    <row r="154" spans="1:11" x14ac:dyDescent="0.35">
      <c r="A154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54" t="s">
        <v>38</v>
      </c>
      <c r="C154" t="s">
        <v>412</v>
      </c>
      <c r="D154" s="17">
        <v>44595</v>
      </c>
      <c r="E154" t="s">
        <v>26</v>
      </c>
      <c r="F154" t="s">
        <v>27</v>
      </c>
      <c r="G154">
        <v>718015</v>
      </c>
      <c r="H154">
        <v>5500022180</v>
      </c>
      <c r="I154">
        <v>10</v>
      </c>
      <c r="J154" s="7" t="s">
        <v>42</v>
      </c>
      <c r="K154" s="7" t="str">
        <f>IFERROR(VLOOKUP(Detalle_OC[[#This Row],[Centro]]&amp;Detalle_OC[[#This Row],[Nro Almacen]],Almacen!A:D,4,FALSE),"")</f>
        <v/>
      </c>
    </row>
    <row r="155" spans="1:11" x14ac:dyDescent="0.35">
      <c r="A155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55" t="s">
        <v>38</v>
      </c>
      <c r="C155" t="s">
        <v>412</v>
      </c>
      <c r="D155" s="17">
        <v>44596</v>
      </c>
      <c r="E155" t="s">
        <v>26</v>
      </c>
      <c r="F155" t="s">
        <v>27</v>
      </c>
      <c r="G155">
        <v>718015</v>
      </c>
      <c r="H155">
        <v>5500022180</v>
      </c>
      <c r="I155">
        <v>10</v>
      </c>
      <c r="J155" s="7" t="s">
        <v>42</v>
      </c>
      <c r="K155" s="7" t="str">
        <f>IFERROR(VLOOKUP(Detalle_OC[[#This Row],[Centro]]&amp;Detalle_OC[[#This Row],[Nro Almacen]],Almacen!A:D,4,FALSE),"")</f>
        <v/>
      </c>
    </row>
    <row r="156" spans="1:11" x14ac:dyDescent="0.35">
      <c r="A156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56" t="s">
        <v>38</v>
      </c>
      <c r="C156" t="s">
        <v>412</v>
      </c>
      <c r="D156" s="17">
        <v>44597</v>
      </c>
      <c r="E156" t="s">
        <v>26</v>
      </c>
      <c r="F156" t="s">
        <v>27</v>
      </c>
      <c r="G156">
        <v>718015</v>
      </c>
      <c r="H156">
        <v>5500022180</v>
      </c>
      <c r="I156">
        <v>10</v>
      </c>
      <c r="J156" s="7" t="s">
        <v>42</v>
      </c>
      <c r="K156" s="7" t="str">
        <f>IFERROR(VLOOKUP(Detalle_OC[[#This Row],[Centro]]&amp;Detalle_OC[[#This Row],[Nro Almacen]],Almacen!A:D,4,FALSE),"")</f>
        <v/>
      </c>
    </row>
    <row r="157" spans="1:11" x14ac:dyDescent="0.35">
      <c r="A157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57" t="s">
        <v>38</v>
      </c>
      <c r="C157" t="s">
        <v>412</v>
      </c>
      <c r="D157" s="17">
        <v>44599</v>
      </c>
      <c r="E157" t="s">
        <v>26</v>
      </c>
      <c r="F157" t="s">
        <v>27</v>
      </c>
      <c r="G157">
        <v>718015</v>
      </c>
      <c r="H157">
        <v>5500022180</v>
      </c>
      <c r="I157">
        <v>10</v>
      </c>
      <c r="J157" s="7" t="s">
        <v>42</v>
      </c>
      <c r="K157" s="7" t="str">
        <f>IFERROR(VLOOKUP(Detalle_OC[[#This Row],[Centro]]&amp;Detalle_OC[[#This Row],[Nro Almacen]],Almacen!A:D,4,FALSE),"")</f>
        <v/>
      </c>
    </row>
    <row r="158" spans="1:11" x14ac:dyDescent="0.35">
      <c r="A158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58" t="s">
        <v>38</v>
      </c>
      <c r="C158" t="s">
        <v>412</v>
      </c>
      <c r="D158" s="17">
        <v>44601</v>
      </c>
      <c r="E158" t="s">
        <v>26</v>
      </c>
      <c r="F158" t="s">
        <v>27</v>
      </c>
      <c r="G158">
        <v>718015</v>
      </c>
      <c r="H158">
        <v>5500022180</v>
      </c>
      <c r="I158">
        <v>10</v>
      </c>
      <c r="J158" s="7" t="s">
        <v>42</v>
      </c>
      <c r="K158" s="7" t="str">
        <f>IFERROR(VLOOKUP(Detalle_OC[[#This Row],[Centro]]&amp;Detalle_OC[[#This Row],[Nro Almacen]],Almacen!A:D,4,FALSE),"")</f>
        <v/>
      </c>
    </row>
    <row r="159" spans="1:11" x14ac:dyDescent="0.35">
      <c r="A159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59" t="s">
        <v>38</v>
      </c>
      <c r="C159" t="s">
        <v>412</v>
      </c>
      <c r="D159" s="17">
        <v>44602</v>
      </c>
      <c r="E159" t="s">
        <v>26</v>
      </c>
      <c r="F159" t="s">
        <v>27</v>
      </c>
      <c r="G159">
        <v>718015</v>
      </c>
      <c r="H159">
        <v>5500022180</v>
      </c>
      <c r="I159">
        <v>10</v>
      </c>
      <c r="J159" s="7" t="s">
        <v>42</v>
      </c>
      <c r="K159" s="7" t="str">
        <f>IFERROR(VLOOKUP(Detalle_OC[[#This Row],[Centro]]&amp;Detalle_OC[[#This Row],[Nro Almacen]],Almacen!A:D,4,FALSE),"")</f>
        <v/>
      </c>
    </row>
    <row r="160" spans="1:11" x14ac:dyDescent="0.35">
      <c r="A160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60" t="s">
        <v>38</v>
      </c>
      <c r="C160" t="s">
        <v>412</v>
      </c>
      <c r="D160" s="17">
        <v>44604</v>
      </c>
      <c r="E160" t="s">
        <v>26</v>
      </c>
      <c r="F160" t="s">
        <v>27</v>
      </c>
      <c r="G160">
        <v>718015</v>
      </c>
      <c r="H160">
        <v>5500022180</v>
      </c>
      <c r="I160">
        <v>10</v>
      </c>
      <c r="J160" s="7" t="s">
        <v>42</v>
      </c>
      <c r="K160" s="7" t="str">
        <f>IFERROR(VLOOKUP(Detalle_OC[[#This Row],[Centro]]&amp;Detalle_OC[[#This Row],[Nro Almacen]],Almacen!A:D,4,FALSE),"")</f>
        <v/>
      </c>
    </row>
    <row r="161" spans="1:11" x14ac:dyDescent="0.35">
      <c r="A161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61" t="s">
        <v>38</v>
      </c>
      <c r="C161" t="s">
        <v>412</v>
      </c>
      <c r="D161" s="17">
        <v>44608</v>
      </c>
      <c r="E161" t="s">
        <v>26</v>
      </c>
      <c r="F161" t="s">
        <v>27</v>
      </c>
      <c r="G161">
        <v>718015</v>
      </c>
      <c r="H161">
        <v>5500022180</v>
      </c>
      <c r="I161">
        <v>10</v>
      </c>
      <c r="J161" s="7" t="s">
        <v>42</v>
      </c>
      <c r="K161" s="7" t="str">
        <f>IFERROR(VLOOKUP(Detalle_OC[[#This Row],[Centro]]&amp;Detalle_OC[[#This Row],[Nro Almacen]],Almacen!A:D,4,FALSE),"")</f>
        <v/>
      </c>
    </row>
    <row r="162" spans="1:11" x14ac:dyDescent="0.35">
      <c r="A162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62" t="s">
        <v>38</v>
      </c>
      <c r="C162" t="s">
        <v>412</v>
      </c>
      <c r="D162" s="17">
        <v>44608</v>
      </c>
      <c r="E162" t="s">
        <v>26</v>
      </c>
      <c r="F162" t="s">
        <v>27</v>
      </c>
      <c r="G162">
        <v>718015</v>
      </c>
      <c r="H162">
        <v>5500022180</v>
      </c>
      <c r="I162">
        <v>10</v>
      </c>
      <c r="J162" s="7" t="s">
        <v>42</v>
      </c>
      <c r="K162" s="7" t="str">
        <f>IFERROR(VLOOKUP(Detalle_OC[[#This Row],[Centro]]&amp;Detalle_OC[[#This Row],[Nro Almacen]],Almacen!A:D,4,FALSE),"")</f>
        <v/>
      </c>
    </row>
    <row r="163" spans="1:11" x14ac:dyDescent="0.35">
      <c r="A163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63" t="s">
        <v>38</v>
      </c>
      <c r="C163" t="s">
        <v>412</v>
      </c>
      <c r="D163" s="17">
        <v>44610</v>
      </c>
      <c r="E163" t="s">
        <v>26</v>
      </c>
      <c r="F163" t="s">
        <v>27</v>
      </c>
      <c r="G163">
        <v>718015</v>
      </c>
      <c r="H163">
        <v>5500022180</v>
      </c>
      <c r="I163">
        <v>10</v>
      </c>
      <c r="J163" s="7" t="s">
        <v>42</v>
      </c>
      <c r="K163" s="7" t="str">
        <f>IFERROR(VLOOKUP(Detalle_OC[[#This Row],[Centro]]&amp;Detalle_OC[[#This Row],[Nro Almacen]],Almacen!A:D,4,FALSE),"")</f>
        <v/>
      </c>
    </row>
    <row r="164" spans="1:11" x14ac:dyDescent="0.35">
      <c r="A164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64" t="s">
        <v>38</v>
      </c>
      <c r="C164" t="s">
        <v>412</v>
      </c>
      <c r="D164" s="17">
        <v>44611</v>
      </c>
      <c r="E164" t="s">
        <v>26</v>
      </c>
      <c r="F164" t="s">
        <v>27</v>
      </c>
      <c r="G164">
        <v>718015</v>
      </c>
      <c r="H164">
        <v>5500022180</v>
      </c>
      <c r="I164">
        <v>10</v>
      </c>
      <c r="J164" s="7" t="s">
        <v>42</v>
      </c>
      <c r="K164" s="7" t="str">
        <f>IFERROR(VLOOKUP(Detalle_OC[[#This Row],[Centro]]&amp;Detalle_OC[[#This Row],[Nro Almacen]],Almacen!A:D,4,FALSE),"")</f>
        <v/>
      </c>
    </row>
    <row r="165" spans="1:11" x14ac:dyDescent="0.35">
      <c r="A165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65" t="s">
        <v>38</v>
      </c>
      <c r="C165" t="s">
        <v>412</v>
      </c>
      <c r="D165" s="17">
        <v>44613</v>
      </c>
      <c r="E165" t="s">
        <v>26</v>
      </c>
      <c r="F165" t="s">
        <v>27</v>
      </c>
      <c r="G165">
        <v>718015</v>
      </c>
      <c r="H165">
        <v>5500022180</v>
      </c>
      <c r="I165">
        <v>10</v>
      </c>
      <c r="J165" s="7" t="s">
        <v>42</v>
      </c>
      <c r="K165" s="7" t="str">
        <f>IFERROR(VLOOKUP(Detalle_OC[[#This Row],[Centro]]&amp;Detalle_OC[[#This Row],[Nro Almacen]],Almacen!A:D,4,FALSE),"")</f>
        <v/>
      </c>
    </row>
    <row r="166" spans="1:11" x14ac:dyDescent="0.35">
      <c r="A166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66" t="s">
        <v>38</v>
      </c>
      <c r="C166" t="s">
        <v>412</v>
      </c>
      <c r="D166" s="17">
        <v>44615</v>
      </c>
      <c r="E166" t="s">
        <v>26</v>
      </c>
      <c r="F166" t="s">
        <v>27</v>
      </c>
      <c r="G166">
        <v>718015</v>
      </c>
      <c r="H166">
        <v>5500022180</v>
      </c>
      <c r="I166">
        <v>10</v>
      </c>
      <c r="J166" s="7" t="s">
        <v>42</v>
      </c>
      <c r="K166" s="7" t="str">
        <f>IFERROR(VLOOKUP(Detalle_OC[[#This Row],[Centro]]&amp;Detalle_OC[[#This Row],[Nro Almacen]],Almacen!A:D,4,FALSE),"")</f>
        <v/>
      </c>
    </row>
    <row r="167" spans="1:11" x14ac:dyDescent="0.35">
      <c r="A167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67" t="s">
        <v>38</v>
      </c>
      <c r="C167" t="s">
        <v>412</v>
      </c>
      <c r="D167" s="17">
        <v>44616</v>
      </c>
      <c r="E167" t="s">
        <v>26</v>
      </c>
      <c r="F167" t="s">
        <v>27</v>
      </c>
      <c r="G167">
        <v>718015</v>
      </c>
      <c r="H167">
        <v>5500022180</v>
      </c>
      <c r="I167">
        <v>10</v>
      </c>
      <c r="J167" s="7" t="s">
        <v>42</v>
      </c>
      <c r="K167" s="7" t="str">
        <f>IFERROR(VLOOKUP(Detalle_OC[[#This Row],[Centro]]&amp;Detalle_OC[[#This Row],[Nro Almacen]],Almacen!A:D,4,FALSE),"")</f>
        <v/>
      </c>
    </row>
    <row r="168" spans="1:11" x14ac:dyDescent="0.35">
      <c r="A168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68" t="s">
        <v>38</v>
      </c>
      <c r="C168" t="s">
        <v>412</v>
      </c>
      <c r="D168" s="17">
        <v>44618</v>
      </c>
      <c r="E168" t="s">
        <v>26</v>
      </c>
      <c r="F168" t="s">
        <v>27</v>
      </c>
      <c r="G168">
        <v>718015</v>
      </c>
      <c r="H168">
        <v>5500022180</v>
      </c>
      <c r="I168">
        <v>10</v>
      </c>
      <c r="J168" s="7" t="s">
        <v>42</v>
      </c>
      <c r="K168" s="7" t="str">
        <f>IFERROR(VLOOKUP(Detalle_OC[[#This Row],[Centro]]&amp;Detalle_OC[[#This Row],[Nro Almacen]],Almacen!A:D,4,FALSE),"")</f>
        <v/>
      </c>
    </row>
    <row r="169" spans="1:11" x14ac:dyDescent="0.35">
      <c r="A169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69" t="s">
        <v>38</v>
      </c>
      <c r="C169" t="s">
        <v>412</v>
      </c>
      <c r="D169" s="17">
        <v>44620</v>
      </c>
      <c r="E169" t="s">
        <v>26</v>
      </c>
      <c r="F169" t="s">
        <v>27</v>
      </c>
      <c r="G169">
        <v>718015</v>
      </c>
      <c r="H169">
        <v>5500022180</v>
      </c>
      <c r="I169">
        <v>10</v>
      </c>
      <c r="J169" s="7" t="s">
        <v>42</v>
      </c>
      <c r="K169" s="7" t="str">
        <f>IFERROR(VLOOKUP(Detalle_OC[[#This Row],[Centro]]&amp;Detalle_OC[[#This Row],[Nro Almacen]],Almacen!A:D,4,FALSE),"")</f>
        <v/>
      </c>
    </row>
    <row r="170" spans="1:11" x14ac:dyDescent="0.35">
      <c r="A170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70" t="s">
        <v>38</v>
      </c>
      <c r="C170" t="s">
        <v>412</v>
      </c>
      <c r="D170" s="17">
        <v>44622</v>
      </c>
      <c r="E170" t="s">
        <v>26</v>
      </c>
      <c r="F170" t="s">
        <v>27</v>
      </c>
      <c r="G170">
        <v>718015</v>
      </c>
      <c r="H170">
        <v>5500022180</v>
      </c>
      <c r="I170">
        <v>10</v>
      </c>
      <c r="J170" s="7" t="s">
        <v>42</v>
      </c>
      <c r="K170" s="7" t="str">
        <f>IFERROR(VLOOKUP(Detalle_OC[[#This Row],[Centro]]&amp;Detalle_OC[[#This Row],[Nro Almacen]],Almacen!A:D,4,FALSE),"")</f>
        <v/>
      </c>
    </row>
    <row r="171" spans="1:11" x14ac:dyDescent="0.35">
      <c r="A171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71" t="s">
        <v>38</v>
      </c>
      <c r="C171" t="s">
        <v>412</v>
      </c>
      <c r="D171" s="17">
        <v>44623</v>
      </c>
      <c r="E171" t="s">
        <v>26</v>
      </c>
      <c r="F171" t="s">
        <v>27</v>
      </c>
      <c r="G171">
        <v>718015</v>
      </c>
      <c r="H171">
        <v>5500022180</v>
      </c>
      <c r="I171">
        <v>10</v>
      </c>
      <c r="J171" s="7" t="s">
        <v>42</v>
      </c>
      <c r="K171" s="7" t="str">
        <f>IFERROR(VLOOKUP(Detalle_OC[[#This Row],[Centro]]&amp;Detalle_OC[[#This Row],[Nro Almacen]],Almacen!A:D,4,FALSE),"")</f>
        <v/>
      </c>
    </row>
    <row r="172" spans="1:11" x14ac:dyDescent="0.35">
      <c r="A172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72" t="s">
        <v>38</v>
      </c>
      <c r="C172" t="s">
        <v>412</v>
      </c>
      <c r="D172" s="17">
        <v>44625</v>
      </c>
      <c r="E172" t="s">
        <v>26</v>
      </c>
      <c r="F172" t="s">
        <v>27</v>
      </c>
      <c r="G172">
        <v>718015</v>
      </c>
      <c r="H172">
        <v>5500022180</v>
      </c>
      <c r="I172">
        <v>10</v>
      </c>
      <c r="J172" s="7" t="s">
        <v>42</v>
      </c>
      <c r="K172" s="7" t="str">
        <f>IFERROR(VLOOKUP(Detalle_OC[[#This Row],[Centro]]&amp;Detalle_OC[[#This Row],[Nro Almacen]],Almacen!A:D,4,FALSE),"")</f>
        <v/>
      </c>
    </row>
    <row r="173" spans="1:11" x14ac:dyDescent="0.35">
      <c r="A173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73" t="s">
        <v>38</v>
      </c>
      <c r="C173" t="s">
        <v>412</v>
      </c>
      <c r="D173" s="17">
        <v>44625</v>
      </c>
      <c r="E173" t="s">
        <v>26</v>
      </c>
      <c r="F173" t="s">
        <v>27</v>
      </c>
      <c r="G173">
        <v>718015</v>
      </c>
      <c r="H173">
        <v>5500022180</v>
      </c>
      <c r="I173">
        <v>10</v>
      </c>
      <c r="J173" s="7" t="s">
        <v>42</v>
      </c>
      <c r="K173" s="7" t="str">
        <f>IFERROR(VLOOKUP(Detalle_OC[[#This Row],[Centro]]&amp;Detalle_OC[[#This Row],[Nro Almacen]],Almacen!A:D,4,FALSE),"")</f>
        <v/>
      </c>
    </row>
    <row r="174" spans="1:11" x14ac:dyDescent="0.35">
      <c r="A174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74" t="s">
        <v>38</v>
      </c>
      <c r="C174" t="s">
        <v>412</v>
      </c>
      <c r="D174" s="17">
        <v>44628</v>
      </c>
      <c r="E174" t="s">
        <v>26</v>
      </c>
      <c r="F174" t="s">
        <v>27</v>
      </c>
      <c r="G174">
        <v>718015</v>
      </c>
      <c r="H174">
        <v>5500022180</v>
      </c>
      <c r="I174">
        <v>10</v>
      </c>
      <c r="J174" s="7" t="s">
        <v>42</v>
      </c>
      <c r="K174" s="7" t="str">
        <f>IFERROR(VLOOKUP(Detalle_OC[[#This Row],[Centro]]&amp;Detalle_OC[[#This Row],[Nro Almacen]],Almacen!A:D,4,FALSE),"")</f>
        <v/>
      </c>
    </row>
    <row r="175" spans="1:11" x14ac:dyDescent="0.35">
      <c r="A175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75" t="s">
        <v>38</v>
      </c>
      <c r="C175" t="s">
        <v>412</v>
      </c>
      <c r="D175" s="17">
        <v>44630</v>
      </c>
      <c r="E175" t="s">
        <v>26</v>
      </c>
      <c r="F175" t="s">
        <v>27</v>
      </c>
      <c r="G175">
        <v>718015</v>
      </c>
      <c r="H175">
        <v>5500022180</v>
      </c>
      <c r="I175">
        <v>10</v>
      </c>
      <c r="J175" s="7" t="s">
        <v>42</v>
      </c>
      <c r="K175" s="7" t="str">
        <f>IFERROR(VLOOKUP(Detalle_OC[[#This Row],[Centro]]&amp;Detalle_OC[[#This Row],[Nro Almacen]],Almacen!A:D,4,FALSE),"")</f>
        <v/>
      </c>
    </row>
    <row r="176" spans="1:11" x14ac:dyDescent="0.35">
      <c r="A176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76" t="s">
        <v>38</v>
      </c>
      <c r="C176" t="s">
        <v>412</v>
      </c>
      <c r="D176" s="17">
        <v>44635</v>
      </c>
      <c r="E176" t="s">
        <v>26</v>
      </c>
      <c r="F176" t="s">
        <v>27</v>
      </c>
      <c r="G176">
        <v>718015</v>
      </c>
      <c r="H176">
        <v>5500022180</v>
      </c>
      <c r="I176">
        <v>10</v>
      </c>
      <c r="J176" s="7" t="s">
        <v>42</v>
      </c>
      <c r="K176" s="7" t="str">
        <f>IFERROR(VLOOKUP(Detalle_OC[[#This Row],[Centro]]&amp;Detalle_OC[[#This Row],[Nro Almacen]],Almacen!A:D,4,FALSE),"")</f>
        <v/>
      </c>
    </row>
    <row r="177" spans="1:11" x14ac:dyDescent="0.35">
      <c r="A177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77" t="s">
        <v>38</v>
      </c>
      <c r="C177" t="s">
        <v>412</v>
      </c>
      <c r="D177" s="17">
        <v>44636</v>
      </c>
      <c r="E177" t="s">
        <v>26</v>
      </c>
      <c r="F177" t="s">
        <v>27</v>
      </c>
      <c r="G177">
        <v>718015</v>
      </c>
      <c r="H177">
        <v>5500022180</v>
      </c>
      <c r="I177">
        <v>10</v>
      </c>
      <c r="J177" s="7" t="s">
        <v>42</v>
      </c>
      <c r="K177" s="7" t="str">
        <f>IFERROR(VLOOKUP(Detalle_OC[[#This Row],[Centro]]&amp;Detalle_OC[[#This Row],[Nro Almacen]],Almacen!A:D,4,FALSE),"")</f>
        <v/>
      </c>
    </row>
    <row r="178" spans="1:11" x14ac:dyDescent="0.35">
      <c r="A178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78" t="s">
        <v>38</v>
      </c>
      <c r="C178" t="s">
        <v>412</v>
      </c>
      <c r="D178" s="17">
        <v>44638</v>
      </c>
      <c r="E178" t="s">
        <v>26</v>
      </c>
      <c r="F178" t="s">
        <v>27</v>
      </c>
      <c r="G178">
        <v>718015</v>
      </c>
      <c r="H178">
        <v>5500022180</v>
      </c>
      <c r="I178">
        <v>10</v>
      </c>
      <c r="J178" s="7" t="s">
        <v>42</v>
      </c>
      <c r="K178" s="7" t="str">
        <f>IFERROR(VLOOKUP(Detalle_OC[[#This Row],[Centro]]&amp;Detalle_OC[[#This Row],[Nro Almacen]],Almacen!A:D,4,FALSE),"")</f>
        <v/>
      </c>
    </row>
    <row r="179" spans="1:11" x14ac:dyDescent="0.35">
      <c r="A179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79" t="s">
        <v>38</v>
      </c>
      <c r="C179" t="s">
        <v>412</v>
      </c>
      <c r="D179" s="17">
        <v>44639</v>
      </c>
      <c r="E179" t="s">
        <v>26</v>
      </c>
      <c r="F179" t="s">
        <v>27</v>
      </c>
      <c r="G179">
        <v>718015</v>
      </c>
      <c r="H179">
        <v>5500022180</v>
      </c>
      <c r="I179">
        <v>10</v>
      </c>
      <c r="J179" s="7" t="s">
        <v>42</v>
      </c>
      <c r="K179" s="7" t="str">
        <f>IFERROR(VLOOKUP(Detalle_OC[[#This Row],[Centro]]&amp;Detalle_OC[[#This Row],[Nro Almacen]],Almacen!A:D,4,FALSE),"")</f>
        <v/>
      </c>
    </row>
    <row r="180" spans="1:11" x14ac:dyDescent="0.35">
      <c r="A180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80" t="s">
        <v>38</v>
      </c>
      <c r="C180" t="s">
        <v>412</v>
      </c>
      <c r="D180" s="17">
        <v>44641</v>
      </c>
      <c r="E180" t="s">
        <v>26</v>
      </c>
      <c r="F180" t="s">
        <v>27</v>
      </c>
      <c r="G180">
        <v>718015</v>
      </c>
      <c r="H180">
        <v>5500022180</v>
      </c>
      <c r="I180">
        <v>10</v>
      </c>
      <c r="J180" s="7" t="s">
        <v>42</v>
      </c>
      <c r="K180" s="7" t="str">
        <f>IFERROR(VLOOKUP(Detalle_OC[[#This Row],[Centro]]&amp;Detalle_OC[[#This Row],[Nro Almacen]],Almacen!A:D,4,FALSE),"")</f>
        <v/>
      </c>
    </row>
    <row r="181" spans="1:11" x14ac:dyDescent="0.35">
      <c r="A181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81" t="s">
        <v>38</v>
      </c>
      <c r="C181" t="s">
        <v>412</v>
      </c>
      <c r="D181" s="17">
        <v>44642</v>
      </c>
      <c r="E181" t="s">
        <v>26</v>
      </c>
      <c r="F181" t="s">
        <v>27</v>
      </c>
      <c r="G181">
        <v>718015</v>
      </c>
      <c r="H181">
        <v>5500022180</v>
      </c>
      <c r="I181">
        <v>10</v>
      </c>
      <c r="J181" s="7" t="s">
        <v>42</v>
      </c>
      <c r="K181" s="7" t="str">
        <f>IFERROR(VLOOKUP(Detalle_OC[[#This Row],[Centro]]&amp;Detalle_OC[[#This Row],[Nro Almacen]],Almacen!A:D,4,FALSE),"")</f>
        <v/>
      </c>
    </row>
    <row r="182" spans="1:11" x14ac:dyDescent="0.35">
      <c r="A182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82" t="s">
        <v>38</v>
      </c>
      <c r="C182" t="s">
        <v>412</v>
      </c>
      <c r="D182" s="17">
        <v>44644</v>
      </c>
      <c r="E182" t="s">
        <v>26</v>
      </c>
      <c r="F182" t="s">
        <v>27</v>
      </c>
      <c r="G182">
        <v>718015</v>
      </c>
      <c r="H182">
        <v>5500022180</v>
      </c>
      <c r="I182">
        <v>10</v>
      </c>
      <c r="J182" s="7" t="s">
        <v>42</v>
      </c>
      <c r="K182" s="7" t="str">
        <f>IFERROR(VLOOKUP(Detalle_OC[[#This Row],[Centro]]&amp;Detalle_OC[[#This Row],[Nro Almacen]],Almacen!A:D,4,FALSE),"")</f>
        <v/>
      </c>
    </row>
    <row r="183" spans="1:11" x14ac:dyDescent="0.35">
      <c r="A183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83" t="s">
        <v>38</v>
      </c>
      <c r="C183" t="s">
        <v>412</v>
      </c>
      <c r="D183" s="17">
        <v>44644</v>
      </c>
      <c r="E183" t="s">
        <v>26</v>
      </c>
      <c r="F183" t="s">
        <v>27</v>
      </c>
      <c r="G183">
        <v>718015</v>
      </c>
      <c r="H183">
        <v>5500022180</v>
      </c>
      <c r="I183">
        <v>10</v>
      </c>
      <c r="J183" s="7" t="s">
        <v>42</v>
      </c>
      <c r="K183" s="7" t="str">
        <f>IFERROR(VLOOKUP(Detalle_OC[[#This Row],[Centro]]&amp;Detalle_OC[[#This Row],[Nro Almacen]],Almacen!A:D,4,FALSE),"")</f>
        <v/>
      </c>
    </row>
    <row r="184" spans="1:11" x14ac:dyDescent="0.35">
      <c r="A184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84" t="s">
        <v>38</v>
      </c>
      <c r="C184" t="s">
        <v>412</v>
      </c>
      <c r="D184" s="17">
        <v>44648</v>
      </c>
      <c r="E184" t="s">
        <v>26</v>
      </c>
      <c r="F184" t="s">
        <v>27</v>
      </c>
      <c r="G184">
        <v>718015</v>
      </c>
      <c r="H184">
        <v>5500022180</v>
      </c>
      <c r="I184">
        <v>10</v>
      </c>
      <c r="J184" s="7" t="s">
        <v>42</v>
      </c>
      <c r="K184" s="7" t="str">
        <f>IFERROR(VLOOKUP(Detalle_OC[[#This Row],[Centro]]&amp;Detalle_OC[[#This Row],[Nro Almacen]],Almacen!A:D,4,FALSE),"")</f>
        <v/>
      </c>
    </row>
    <row r="185" spans="1:11" x14ac:dyDescent="0.35">
      <c r="A185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85" t="s">
        <v>38</v>
      </c>
      <c r="C185" t="s">
        <v>412</v>
      </c>
      <c r="D185" s="17">
        <v>44652</v>
      </c>
      <c r="E185" t="s">
        <v>26</v>
      </c>
      <c r="F185" t="s">
        <v>27</v>
      </c>
      <c r="G185">
        <v>718015</v>
      </c>
      <c r="H185">
        <v>5500022180</v>
      </c>
      <c r="I185">
        <v>10</v>
      </c>
      <c r="J185" s="7" t="s">
        <v>42</v>
      </c>
      <c r="K185" s="7" t="str">
        <f>IFERROR(VLOOKUP(Detalle_OC[[#This Row],[Centro]]&amp;Detalle_OC[[#This Row],[Nro Almacen]],Almacen!A:D,4,FALSE),"")</f>
        <v/>
      </c>
    </row>
    <row r="186" spans="1:11" x14ac:dyDescent="0.35">
      <c r="A186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86" t="s">
        <v>38</v>
      </c>
      <c r="C186" t="s">
        <v>412</v>
      </c>
      <c r="D186" s="17">
        <v>44655</v>
      </c>
      <c r="E186" t="s">
        <v>26</v>
      </c>
      <c r="F186" t="s">
        <v>27</v>
      </c>
      <c r="G186">
        <v>718015</v>
      </c>
      <c r="H186">
        <v>5500022180</v>
      </c>
      <c r="I186">
        <v>10</v>
      </c>
      <c r="J186" s="7" t="s">
        <v>42</v>
      </c>
      <c r="K186" s="7" t="str">
        <f>IFERROR(VLOOKUP(Detalle_OC[[#This Row],[Centro]]&amp;Detalle_OC[[#This Row],[Nro Almacen]],Almacen!A:D,4,FALSE),"")</f>
        <v/>
      </c>
    </row>
    <row r="187" spans="1:11" x14ac:dyDescent="0.35">
      <c r="A187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87" t="s">
        <v>38</v>
      </c>
      <c r="C187" t="s">
        <v>412</v>
      </c>
      <c r="D187" s="17">
        <v>44657</v>
      </c>
      <c r="E187" t="s">
        <v>26</v>
      </c>
      <c r="F187" t="s">
        <v>27</v>
      </c>
      <c r="G187">
        <v>718015</v>
      </c>
      <c r="H187">
        <v>5500022180</v>
      </c>
      <c r="I187">
        <v>10</v>
      </c>
      <c r="J187" s="7" t="s">
        <v>42</v>
      </c>
      <c r="K187" s="7" t="str">
        <f>IFERROR(VLOOKUP(Detalle_OC[[#This Row],[Centro]]&amp;Detalle_OC[[#This Row],[Nro Almacen]],Almacen!A:D,4,FALSE),"")</f>
        <v/>
      </c>
    </row>
    <row r="188" spans="1:11" x14ac:dyDescent="0.35">
      <c r="A188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88" t="s">
        <v>38</v>
      </c>
      <c r="C188" t="s">
        <v>412</v>
      </c>
      <c r="D188" s="17">
        <v>44665</v>
      </c>
      <c r="E188" t="s">
        <v>26</v>
      </c>
      <c r="F188" t="s">
        <v>27</v>
      </c>
      <c r="G188">
        <v>718015</v>
      </c>
      <c r="H188">
        <v>5500022180</v>
      </c>
      <c r="I188">
        <v>10</v>
      </c>
      <c r="J188" s="7" t="s">
        <v>42</v>
      </c>
      <c r="K188" s="7" t="str">
        <f>IFERROR(VLOOKUP(Detalle_OC[[#This Row],[Centro]]&amp;Detalle_OC[[#This Row],[Nro Almacen]],Almacen!A:D,4,FALSE),"")</f>
        <v/>
      </c>
    </row>
    <row r="189" spans="1:11" x14ac:dyDescent="0.35">
      <c r="A189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89" t="s">
        <v>38</v>
      </c>
      <c r="C189" t="s">
        <v>412</v>
      </c>
      <c r="D189" s="17">
        <v>44669</v>
      </c>
      <c r="E189" t="s">
        <v>26</v>
      </c>
      <c r="F189" t="s">
        <v>27</v>
      </c>
      <c r="G189">
        <v>718015</v>
      </c>
      <c r="H189">
        <v>5500022180</v>
      </c>
      <c r="I189">
        <v>10</v>
      </c>
      <c r="J189" s="7" t="s">
        <v>42</v>
      </c>
      <c r="K189" s="7" t="str">
        <f>IFERROR(VLOOKUP(Detalle_OC[[#This Row],[Centro]]&amp;Detalle_OC[[#This Row],[Nro Almacen]],Almacen!A:D,4,FALSE),"")</f>
        <v/>
      </c>
    </row>
    <row r="190" spans="1:11" x14ac:dyDescent="0.35">
      <c r="A190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90" t="s">
        <v>38</v>
      </c>
      <c r="C190" t="s">
        <v>412</v>
      </c>
      <c r="D190" s="17">
        <v>44672</v>
      </c>
      <c r="E190" t="s">
        <v>26</v>
      </c>
      <c r="F190" t="s">
        <v>27</v>
      </c>
      <c r="G190">
        <v>718015</v>
      </c>
      <c r="H190">
        <v>5500022180</v>
      </c>
      <c r="I190">
        <v>10</v>
      </c>
      <c r="J190" s="7" t="s">
        <v>42</v>
      </c>
      <c r="K190" s="7" t="str">
        <f>IFERROR(VLOOKUP(Detalle_OC[[#This Row],[Centro]]&amp;Detalle_OC[[#This Row],[Nro Almacen]],Almacen!A:D,4,FALSE),"")</f>
        <v/>
      </c>
    </row>
    <row r="191" spans="1:11" x14ac:dyDescent="0.35">
      <c r="A191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91" t="s">
        <v>38</v>
      </c>
      <c r="C191" t="s">
        <v>412</v>
      </c>
      <c r="D191" s="17">
        <v>44672</v>
      </c>
      <c r="E191" t="s">
        <v>26</v>
      </c>
      <c r="F191" t="s">
        <v>27</v>
      </c>
      <c r="G191">
        <v>718015</v>
      </c>
      <c r="H191">
        <v>5500022180</v>
      </c>
      <c r="I191">
        <v>10</v>
      </c>
      <c r="J191" s="7" t="s">
        <v>42</v>
      </c>
      <c r="K191" s="7" t="str">
        <f>IFERROR(VLOOKUP(Detalle_OC[[#This Row],[Centro]]&amp;Detalle_OC[[#This Row],[Nro Almacen]],Almacen!A:D,4,FALSE),"")</f>
        <v/>
      </c>
    </row>
    <row r="192" spans="1:11" x14ac:dyDescent="0.35">
      <c r="A192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92" t="s">
        <v>38</v>
      </c>
      <c r="C192" t="s">
        <v>412</v>
      </c>
      <c r="D192" s="17">
        <v>44672</v>
      </c>
      <c r="E192" t="s">
        <v>26</v>
      </c>
      <c r="F192" t="s">
        <v>27</v>
      </c>
      <c r="G192">
        <v>718015</v>
      </c>
      <c r="H192">
        <v>5500022180</v>
      </c>
      <c r="I192">
        <v>10</v>
      </c>
      <c r="J192" s="7" t="s">
        <v>42</v>
      </c>
      <c r="K192" s="7" t="str">
        <f>IFERROR(VLOOKUP(Detalle_OC[[#This Row],[Centro]]&amp;Detalle_OC[[#This Row],[Nro Almacen]],Almacen!A:D,4,FALSE),"")</f>
        <v/>
      </c>
    </row>
    <row r="193" spans="1:11" x14ac:dyDescent="0.35">
      <c r="A193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93" t="s">
        <v>38</v>
      </c>
      <c r="C193" t="s">
        <v>412</v>
      </c>
      <c r="D193" s="17">
        <v>44683</v>
      </c>
      <c r="E193" t="s">
        <v>26</v>
      </c>
      <c r="F193" t="s">
        <v>27</v>
      </c>
      <c r="G193">
        <v>718015</v>
      </c>
      <c r="H193">
        <v>5500022180</v>
      </c>
      <c r="I193">
        <v>10</v>
      </c>
      <c r="J193" s="7" t="s">
        <v>42</v>
      </c>
      <c r="K193" s="7" t="str">
        <f>IFERROR(VLOOKUP(Detalle_OC[[#This Row],[Centro]]&amp;Detalle_OC[[#This Row],[Nro Almacen]],Almacen!A:D,4,FALSE),"")</f>
        <v/>
      </c>
    </row>
    <row r="194" spans="1:11" x14ac:dyDescent="0.35">
      <c r="A194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94" t="s">
        <v>38</v>
      </c>
      <c r="C194" t="s">
        <v>412</v>
      </c>
      <c r="D194" s="17">
        <v>44684</v>
      </c>
      <c r="E194" t="s">
        <v>26</v>
      </c>
      <c r="F194" t="s">
        <v>27</v>
      </c>
      <c r="G194">
        <v>718015</v>
      </c>
      <c r="H194">
        <v>5500022180</v>
      </c>
      <c r="I194">
        <v>10</v>
      </c>
      <c r="J194" s="7" t="s">
        <v>42</v>
      </c>
      <c r="K194" s="7" t="str">
        <f>IFERROR(VLOOKUP(Detalle_OC[[#This Row],[Centro]]&amp;Detalle_OC[[#This Row],[Nro Almacen]],Almacen!A:D,4,FALSE),"")</f>
        <v/>
      </c>
    </row>
    <row r="195" spans="1:11" x14ac:dyDescent="0.35">
      <c r="A195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95" t="s">
        <v>38</v>
      </c>
      <c r="C195" t="s">
        <v>412</v>
      </c>
      <c r="D195" s="17">
        <v>44691</v>
      </c>
      <c r="E195" t="s">
        <v>26</v>
      </c>
      <c r="F195" t="s">
        <v>27</v>
      </c>
      <c r="G195">
        <v>718015</v>
      </c>
      <c r="H195">
        <v>5500022180</v>
      </c>
      <c r="I195">
        <v>10</v>
      </c>
      <c r="J195" s="7" t="s">
        <v>42</v>
      </c>
      <c r="K195" s="7" t="str">
        <f>IFERROR(VLOOKUP(Detalle_OC[[#This Row],[Centro]]&amp;Detalle_OC[[#This Row],[Nro Almacen]],Almacen!A:D,4,FALSE),"")</f>
        <v/>
      </c>
    </row>
    <row r="196" spans="1:11" x14ac:dyDescent="0.35">
      <c r="A196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96" t="s">
        <v>38</v>
      </c>
      <c r="C196" t="s">
        <v>412</v>
      </c>
      <c r="D196" s="17">
        <v>44697</v>
      </c>
      <c r="E196" t="s">
        <v>26</v>
      </c>
      <c r="F196" t="s">
        <v>27</v>
      </c>
      <c r="G196">
        <v>718015</v>
      </c>
      <c r="H196">
        <v>5500022180</v>
      </c>
      <c r="I196">
        <v>10</v>
      </c>
      <c r="J196" s="7" t="s">
        <v>42</v>
      </c>
      <c r="K196" s="7" t="str">
        <f>IFERROR(VLOOKUP(Detalle_OC[[#This Row],[Centro]]&amp;Detalle_OC[[#This Row],[Nro Almacen]],Almacen!A:D,4,FALSE),"")</f>
        <v/>
      </c>
    </row>
    <row r="197" spans="1:11" x14ac:dyDescent="0.35">
      <c r="A197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97" t="s">
        <v>38</v>
      </c>
      <c r="C197" t="s">
        <v>412</v>
      </c>
      <c r="D197" s="17">
        <v>44699</v>
      </c>
      <c r="E197" t="s">
        <v>26</v>
      </c>
      <c r="F197" t="s">
        <v>27</v>
      </c>
      <c r="G197">
        <v>718015</v>
      </c>
      <c r="H197">
        <v>5500022180</v>
      </c>
      <c r="I197">
        <v>10</v>
      </c>
      <c r="J197" s="7" t="s">
        <v>42</v>
      </c>
      <c r="K197" s="7" t="str">
        <f>IFERROR(VLOOKUP(Detalle_OC[[#This Row],[Centro]]&amp;Detalle_OC[[#This Row],[Nro Almacen]],Almacen!A:D,4,FALSE),"")</f>
        <v/>
      </c>
    </row>
    <row r="198" spans="1:11" x14ac:dyDescent="0.35">
      <c r="A198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98" t="s">
        <v>38</v>
      </c>
      <c r="C198" t="s">
        <v>412</v>
      </c>
      <c r="D198" s="17">
        <v>44701</v>
      </c>
      <c r="E198" t="s">
        <v>26</v>
      </c>
      <c r="F198" t="s">
        <v>27</v>
      </c>
      <c r="G198">
        <v>718015</v>
      </c>
      <c r="H198">
        <v>5500022180</v>
      </c>
      <c r="I198">
        <v>10</v>
      </c>
      <c r="J198" s="7" t="s">
        <v>42</v>
      </c>
      <c r="K198" s="7" t="str">
        <f>IFERROR(VLOOKUP(Detalle_OC[[#This Row],[Centro]]&amp;Detalle_OC[[#This Row],[Nro Almacen]],Almacen!A:D,4,FALSE),"")</f>
        <v/>
      </c>
    </row>
    <row r="199" spans="1:11" x14ac:dyDescent="0.35">
      <c r="A199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199" t="s">
        <v>38</v>
      </c>
      <c r="C199" t="s">
        <v>412</v>
      </c>
      <c r="D199" s="17">
        <v>44705</v>
      </c>
      <c r="E199" t="s">
        <v>26</v>
      </c>
      <c r="F199" t="s">
        <v>27</v>
      </c>
      <c r="G199">
        <v>718015</v>
      </c>
      <c r="H199">
        <v>5500022180</v>
      </c>
      <c r="I199">
        <v>10</v>
      </c>
      <c r="J199" s="7" t="s">
        <v>42</v>
      </c>
      <c r="K199" s="7" t="str">
        <f>IFERROR(VLOOKUP(Detalle_OC[[#This Row],[Centro]]&amp;Detalle_OC[[#This Row],[Nro Almacen]],Almacen!A:D,4,FALSE),"")</f>
        <v/>
      </c>
    </row>
    <row r="200" spans="1:11" x14ac:dyDescent="0.35">
      <c r="A200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00" t="s">
        <v>38</v>
      </c>
      <c r="C200" t="s">
        <v>412</v>
      </c>
      <c r="D200" s="17">
        <v>44709</v>
      </c>
      <c r="E200" t="s">
        <v>26</v>
      </c>
      <c r="F200" t="s">
        <v>27</v>
      </c>
      <c r="G200">
        <v>718015</v>
      </c>
      <c r="H200">
        <v>5500022180</v>
      </c>
      <c r="I200">
        <v>10</v>
      </c>
      <c r="J200" s="7" t="s">
        <v>42</v>
      </c>
      <c r="K200" s="7" t="str">
        <f>IFERROR(VLOOKUP(Detalle_OC[[#This Row],[Centro]]&amp;Detalle_OC[[#This Row],[Nro Almacen]],Almacen!A:D,4,FALSE),"")</f>
        <v/>
      </c>
    </row>
    <row r="201" spans="1:11" x14ac:dyDescent="0.35">
      <c r="A201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01" t="s">
        <v>38</v>
      </c>
      <c r="C201" t="s">
        <v>412</v>
      </c>
      <c r="D201" s="17">
        <v>44713</v>
      </c>
      <c r="E201" t="s">
        <v>26</v>
      </c>
      <c r="F201" t="s">
        <v>27</v>
      </c>
      <c r="G201">
        <v>718015</v>
      </c>
      <c r="H201">
        <v>5500022180</v>
      </c>
      <c r="I201">
        <v>10</v>
      </c>
      <c r="J201" s="7" t="s">
        <v>42</v>
      </c>
      <c r="K201" s="7" t="str">
        <f>IFERROR(VLOOKUP(Detalle_OC[[#This Row],[Centro]]&amp;Detalle_OC[[#This Row],[Nro Almacen]],Almacen!A:D,4,FALSE),"")</f>
        <v/>
      </c>
    </row>
    <row r="202" spans="1:11" x14ac:dyDescent="0.35">
      <c r="A202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02" t="s">
        <v>38</v>
      </c>
      <c r="C202" t="s">
        <v>412</v>
      </c>
      <c r="D202" s="17">
        <v>44725</v>
      </c>
      <c r="E202" t="s">
        <v>26</v>
      </c>
      <c r="F202" t="s">
        <v>27</v>
      </c>
      <c r="G202">
        <v>718015</v>
      </c>
      <c r="H202">
        <v>5500022180</v>
      </c>
      <c r="I202">
        <v>10</v>
      </c>
      <c r="J202" s="7" t="s">
        <v>42</v>
      </c>
      <c r="K202" s="7" t="str">
        <f>IFERROR(VLOOKUP(Detalle_OC[[#This Row],[Centro]]&amp;Detalle_OC[[#This Row],[Nro Almacen]],Almacen!A:D,4,FALSE),"")</f>
        <v/>
      </c>
    </row>
    <row r="203" spans="1:11" x14ac:dyDescent="0.35">
      <c r="A203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03" t="s">
        <v>38</v>
      </c>
      <c r="C203" t="s">
        <v>412</v>
      </c>
      <c r="D203" s="17">
        <v>44725</v>
      </c>
      <c r="E203" t="s">
        <v>26</v>
      </c>
      <c r="F203" t="s">
        <v>27</v>
      </c>
      <c r="G203">
        <v>718015</v>
      </c>
      <c r="H203">
        <v>5500022180</v>
      </c>
      <c r="I203">
        <v>10</v>
      </c>
      <c r="J203" s="7" t="s">
        <v>42</v>
      </c>
      <c r="K203" s="7" t="str">
        <f>IFERROR(VLOOKUP(Detalle_OC[[#This Row],[Centro]]&amp;Detalle_OC[[#This Row],[Nro Almacen]],Almacen!A:D,4,FALSE),"")</f>
        <v/>
      </c>
    </row>
    <row r="204" spans="1:11" x14ac:dyDescent="0.35">
      <c r="A204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04" t="s">
        <v>38</v>
      </c>
      <c r="C204" t="s">
        <v>412</v>
      </c>
      <c r="D204" s="17">
        <v>44728</v>
      </c>
      <c r="E204" t="s">
        <v>26</v>
      </c>
      <c r="F204" t="s">
        <v>27</v>
      </c>
      <c r="G204">
        <v>718015</v>
      </c>
      <c r="H204">
        <v>5500022180</v>
      </c>
      <c r="I204">
        <v>10</v>
      </c>
      <c r="J204" s="7" t="s">
        <v>42</v>
      </c>
      <c r="K204" s="7" t="str">
        <f>IFERROR(VLOOKUP(Detalle_OC[[#This Row],[Centro]]&amp;Detalle_OC[[#This Row],[Nro Almacen]],Almacen!A:D,4,FALSE),"")</f>
        <v/>
      </c>
    </row>
    <row r="205" spans="1:11" x14ac:dyDescent="0.35">
      <c r="A205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05" t="s">
        <v>38</v>
      </c>
      <c r="C205" t="s">
        <v>412</v>
      </c>
      <c r="D205" s="17">
        <v>44729</v>
      </c>
      <c r="E205" t="s">
        <v>26</v>
      </c>
      <c r="F205" t="s">
        <v>27</v>
      </c>
      <c r="G205">
        <v>718015</v>
      </c>
      <c r="H205">
        <v>5500022180</v>
      </c>
      <c r="I205">
        <v>10</v>
      </c>
      <c r="J205" s="7" t="s">
        <v>42</v>
      </c>
      <c r="K205" s="7" t="str">
        <f>IFERROR(VLOOKUP(Detalle_OC[[#This Row],[Centro]]&amp;Detalle_OC[[#This Row],[Nro Almacen]],Almacen!A:D,4,FALSE),"")</f>
        <v/>
      </c>
    </row>
    <row r="206" spans="1:11" x14ac:dyDescent="0.35">
      <c r="A206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06" t="s">
        <v>38</v>
      </c>
      <c r="C206" t="s">
        <v>412</v>
      </c>
      <c r="D206" s="17">
        <v>44735</v>
      </c>
      <c r="E206" t="s">
        <v>26</v>
      </c>
      <c r="F206" t="s">
        <v>27</v>
      </c>
      <c r="G206">
        <v>718015</v>
      </c>
      <c r="H206">
        <v>5500022180</v>
      </c>
      <c r="I206">
        <v>10</v>
      </c>
      <c r="J206" s="7" t="s">
        <v>42</v>
      </c>
      <c r="K206" s="7" t="str">
        <f>IFERROR(VLOOKUP(Detalle_OC[[#This Row],[Centro]]&amp;Detalle_OC[[#This Row],[Nro Almacen]],Almacen!A:D,4,FALSE),"")</f>
        <v/>
      </c>
    </row>
    <row r="207" spans="1:11" x14ac:dyDescent="0.35">
      <c r="A207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07" t="s">
        <v>38</v>
      </c>
      <c r="C207" t="s">
        <v>412</v>
      </c>
      <c r="D207" s="17">
        <v>44746</v>
      </c>
      <c r="E207" t="s">
        <v>26</v>
      </c>
      <c r="F207" t="s">
        <v>27</v>
      </c>
      <c r="G207">
        <v>718015</v>
      </c>
      <c r="H207">
        <v>5500022180</v>
      </c>
      <c r="I207">
        <v>10</v>
      </c>
      <c r="J207" s="7" t="s">
        <v>42</v>
      </c>
      <c r="K207" s="7" t="str">
        <f>IFERROR(VLOOKUP(Detalle_OC[[#This Row],[Centro]]&amp;Detalle_OC[[#This Row],[Nro Almacen]],Almacen!A:D,4,FALSE),"")</f>
        <v/>
      </c>
    </row>
    <row r="208" spans="1:11" x14ac:dyDescent="0.35">
      <c r="A208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08" t="s">
        <v>38</v>
      </c>
      <c r="C208" t="s">
        <v>412</v>
      </c>
      <c r="D208" s="17">
        <v>44748</v>
      </c>
      <c r="E208" t="s">
        <v>26</v>
      </c>
      <c r="F208" t="s">
        <v>27</v>
      </c>
      <c r="G208">
        <v>718015</v>
      </c>
      <c r="H208">
        <v>5500022180</v>
      </c>
      <c r="I208">
        <v>10</v>
      </c>
      <c r="J208" s="7" t="s">
        <v>42</v>
      </c>
      <c r="K208" s="7" t="str">
        <f>IFERROR(VLOOKUP(Detalle_OC[[#This Row],[Centro]]&amp;Detalle_OC[[#This Row],[Nro Almacen]],Almacen!A:D,4,FALSE),"")</f>
        <v/>
      </c>
    </row>
    <row r="209" spans="1:11" x14ac:dyDescent="0.35">
      <c r="A209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09" t="s">
        <v>38</v>
      </c>
      <c r="C209" t="s">
        <v>412</v>
      </c>
      <c r="D209" s="17">
        <v>44751</v>
      </c>
      <c r="E209" t="s">
        <v>26</v>
      </c>
      <c r="F209" t="s">
        <v>27</v>
      </c>
      <c r="G209">
        <v>718015</v>
      </c>
      <c r="H209">
        <v>5500022180</v>
      </c>
      <c r="I209">
        <v>10</v>
      </c>
      <c r="J209" s="7" t="s">
        <v>42</v>
      </c>
      <c r="K209" s="7" t="str">
        <f>IFERROR(VLOOKUP(Detalle_OC[[#This Row],[Centro]]&amp;Detalle_OC[[#This Row],[Nro Almacen]],Almacen!A:D,4,FALSE),"")</f>
        <v/>
      </c>
    </row>
    <row r="210" spans="1:11" x14ac:dyDescent="0.35">
      <c r="A210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10" t="s">
        <v>38</v>
      </c>
      <c r="C210" t="s">
        <v>412</v>
      </c>
      <c r="D210" s="17">
        <v>44754</v>
      </c>
      <c r="E210" t="s">
        <v>26</v>
      </c>
      <c r="F210" t="s">
        <v>27</v>
      </c>
      <c r="G210">
        <v>718015</v>
      </c>
      <c r="H210">
        <v>5500022180</v>
      </c>
      <c r="I210">
        <v>10</v>
      </c>
      <c r="J210" s="7" t="s">
        <v>42</v>
      </c>
      <c r="K210" s="7" t="str">
        <f>IFERROR(VLOOKUP(Detalle_OC[[#This Row],[Centro]]&amp;Detalle_OC[[#This Row],[Nro Almacen]],Almacen!A:D,4,FALSE),"")</f>
        <v/>
      </c>
    </row>
    <row r="211" spans="1:11" x14ac:dyDescent="0.35">
      <c r="A211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11" t="s">
        <v>38</v>
      </c>
      <c r="C211" t="s">
        <v>412</v>
      </c>
      <c r="D211" s="17">
        <v>44763</v>
      </c>
      <c r="E211" t="s">
        <v>26</v>
      </c>
      <c r="F211" t="s">
        <v>27</v>
      </c>
      <c r="G211">
        <v>718015</v>
      </c>
      <c r="H211">
        <v>5500022180</v>
      </c>
      <c r="I211">
        <v>10</v>
      </c>
      <c r="J211" s="7" t="s">
        <v>42</v>
      </c>
      <c r="K211" s="7" t="str">
        <f>IFERROR(VLOOKUP(Detalle_OC[[#This Row],[Centro]]&amp;Detalle_OC[[#This Row],[Nro Almacen]],Almacen!A:D,4,FALSE),"")</f>
        <v/>
      </c>
    </row>
    <row r="212" spans="1:11" x14ac:dyDescent="0.35">
      <c r="A212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12" t="s">
        <v>38</v>
      </c>
      <c r="C212" t="s">
        <v>412</v>
      </c>
      <c r="D212" s="17">
        <v>44775</v>
      </c>
      <c r="E212" t="s">
        <v>26</v>
      </c>
      <c r="F212" t="s">
        <v>27</v>
      </c>
      <c r="G212">
        <v>718015</v>
      </c>
      <c r="H212">
        <v>5500022180</v>
      </c>
      <c r="I212">
        <v>10</v>
      </c>
      <c r="J212" s="7" t="s">
        <v>42</v>
      </c>
      <c r="K212" s="7" t="str">
        <f>IFERROR(VLOOKUP(Detalle_OC[[#This Row],[Centro]]&amp;Detalle_OC[[#This Row],[Nro Almacen]],Almacen!A:D,4,FALSE),"")</f>
        <v/>
      </c>
    </row>
    <row r="213" spans="1:11" x14ac:dyDescent="0.35">
      <c r="A213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13" t="s">
        <v>38</v>
      </c>
      <c r="C213" t="s">
        <v>412</v>
      </c>
      <c r="D213" s="17">
        <v>44777</v>
      </c>
      <c r="E213" t="s">
        <v>26</v>
      </c>
      <c r="F213" t="s">
        <v>27</v>
      </c>
      <c r="G213">
        <v>718015</v>
      </c>
      <c r="H213">
        <v>5500022180</v>
      </c>
      <c r="I213">
        <v>10</v>
      </c>
      <c r="J213" s="7" t="s">
        <v>42</v>
      </c>
      <c r="K213" s="7" t="str">
        <f>IFERROR(VLOOKUP(Detalle_OC[[#This Row],[Centro]]&amp;Detalle_OC[[#This Row],[Nro Almacen]],Almacen!A:D,4,FALSE),"")</f>
        <v/>
      </c>
    </row>
    <row r="214" spans="1:11" x14ac:dyDescent="0.35">
      <c r="A214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14" t="s">
        <v>38</v>
      </c>
      <c r="C214" t="s">
        <v>412</v>
      </c>
      <c r="D214" s="17">
        <v>44783</v>
      </c>
      <c r="E214" t="s">
        <v>26</v>
      </c>
      <c r="F214" t="s">
        <v>27</v>
      </c>
      <c r="G214">
        <v>718015</v>
      </c>
      <c r="H214">
        <v>5500022180</v>
      </c>
      <c r="I214">
        <v>10</v>
      </c>
      <c r="J214" s="7" t="s">
        <v>42</v>
      </c>
      <c r="K214" s="7" t="str">
        <f>IFERROR(VLOOKUP(Detalle_OC[[#This Row],[Centro]]&amp;Detalle_OC[[#This Row],[Nro Almacen]],Almacen!A:D,4,FALSE),"")</f>
        <v/>
      </c>
    </row>
    <row r="215" spans="1:11" x14ac:dyDescent="0.35">
      <c r="A215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15" t="s">
        <v>38</v>
      </c>
      <c r="C215" t="s">
        <v>412</v>
      </c>
      <c r="D215" s="17">
        <v>44788</v>
      </c>
      <c r="E215" t="s">
        <v>26</v>
      </c>
      <c r="F215" t="s">
        <v>27</v>
      </c>
      <c r="G215">
        <v>718015</v>
      </c>
      <c r="H215">
        <v>5500022180</v>
      </c>
      <c r="I215">
        <v>10</v>
      </c>
      <c r="J215" s="7" t="s">
        <v>42</v>
      </c>
      <c r="K215" s="7" t="str">
        <f>IFERROR(VLOOKUP(Detalle_OC[[#This Row],[Centro]]&amp;Detalle_OC[[#This Row],[Nro Almacen]],Almacen!A:D,4,FALSE),"")</f>
        <v/>
      </c>
    </row>
    <row r="216" spans="1:11" x14ac:dyDescent="0.35">
      <c r="A216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16" t="s">
        <v>38</v>
      </c>
      <c r="C216" t="s">
        <v>412</v>
      </c>
      <c r="D216" s="17">
        <v>44793</v>
      </c>
      <c r="E216" t="s">
        <v>26</v>
      </c>
      <c r="F216" t="s">
        <v>27</v>
      </c>
      <c r="G216">
        <v>718015</v>
      </c>
      <c r="H216">
        <v>5500022180</v>
      </c>
      <c r="I216">
        <v>10</v>
      </c>
      <c r="J216" s="7" t="s">
        <v>42</v>
      </c>
      <c r="K216" s="7" t="str">
        <f>IFERROR(VLOOKUP(Detalle_OC[[#This Row],[Centro]]&amp;Detalle_OC[[#This Row],[Nro Almacen]],Almacen!A:D,4,FALSE),"")</f>
        <v/>
      </c>
    </row>
    <row r="217" spans="1:11" x14ac:dyDescent="0.35">
      <c r="A217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17" t="s">
        <v>38</v>
      </c>
      <c r="C217" t="s">
        <v>412</v>
      </c>
      <c r="D217" s="17">
        <v>44800</v>
      </c>
      <c r="E217" t="s">
        <v>26</v>
      </c>
      <c r="F217" t="s">
        <v>27</v>
      </c>
      <c r="G217">
        <v>718015</v>
      </c>
      <c r="H217">
        <v>5500022180</v>
      </c>
      <c r="I217">
        <v>10</v>
      </c>
      <c r="J217" s="7" t="s">
        <v>42</v>
      </c>
      <c r="K217" s="7" t="str">
        <f>IFERROR(VLOOKUP(Detalle_OC[[#This Row],[Centro]]&amp;Detalle_OC[[#This Row],[Nro Almacen]],Almacen!A:D,4,FALSE),"")</f>
        <v/>
      </c>
    </row>
    <row r="218" spans="1:11" x14ac:dyDescent="0.35">
      <c r="A218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18" t="s">
        <v>38</v>
      </c>
      <c r="C218" t="s">
        <v>412</v>
      </c>
      <c r="D218" s="17">
        <v>44811</v>
      </c>
      <c r="E218" t="s">
        <v>26</v>
      </c>
      <c r="F218" t="s">
        <v>27</v>
      </c>
      <c r="G218">
        <v>718015</v>
      </c>
      <c r="H218">
        <v>5500022180</v>
      </c>
      <c r="I218">
        <v>10</v>
      </c>
      <c r="J218" s="7" t="s">
        <v>42</v>
      </c>
      <c r="K218" s="7" t="str">
        <f>IFERROR(VLOOKUP(Detalle_OC[[#This Row],[Centro]]&amp;Detalle_OC[[#This Row],[Nro Almacen]],Almacen!A:D,4,FALSE),"")</f>
        <v/>
      </c>
    </row>
    <row r="219" spans="1:11" x14ac:dyDescent="0.35">
      <c r="A219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19" t="s">
        <v>38</v>
      </c>
      <c r="C219" t="s">
        <v>412</v>
      </c>
      <c r="D219" s="17">
        <v>44814</v>
      </c>
      <c r="E219" t="s">
        <v>26</v>
      </c>
      <c r="F219" t="s">
        <v>27</v>
      </c>
      <c r="G219">
        <v>718015</v>
      </c>
      <c r="H219">
        <v>5500022180</v>
      </c>
      <c r="I219">
        <v>10</v>
      </c>
      <c r="J219" s="7" t="s">
        <v>42</v>
      </c>
      <c r="K219" s="7" t="str">
        <f>IFERROR(VLOOKUP(Detalle_OC[[#This Row],[Centro]]&amp;Detalle_OC[[#This Row],[Nro Almacen]],Almacen!A:D,4,FALSE),"")</f>
        <v/>
      </c>
    </row>
    <row r="220" spans="1:11" x14ac:dyDescent="0.35">
      <c r="A220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20" t="s">
        <v>38</v>
      </c>
      <c r="C220" t="s">
        <v>412</v>
      </c>
      <c r="D220" s="17">
        <v>44819</v>
      </c>
      <c r="E220" t="s">
        <v>26</v>
      </c>
      <c r="F220" t="s">
        <v>27</v>
      </c>
      <c r="G220">
        <v>718015</v>
      </c>
      <c r="H220">
        <v>5500022180</v>
      </c>
      <c r="I220">
        <v>10</v>
      </c>
      <c r="J220" s="7" t="s">
        <v>42</v>
      </c>
      <c r="K220" s="7" t="str">
        <f>IFERROR(VLOOKUP(Detalle_OC[[#This Row],[Centro]]&amp;Detalle_OC[[#This Row],[Nro Almacen]],Almacen!A:D,4,FALSE),"")</f>
        <v/>
      </c>
    </row>
    <row r="221" spans="1:11" x14ac:dyDescent="0.35">
      <c r="A221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21" t="s">
        <v>38</v>
      </c>
      <c r="C221" t="s">
        <v>412</v>
      </c>
      <c r="D221" s="17">
        <v>44824</v>
      </c>
      <c r="E221" t="s">
        <v>26</v>
      </c>
      <c r="F221" t="s">
        <v>27</v>
      </c>
      <c r="G221">
        <v>718015</v>
      </c>
      <c r="H221">
        <v>5500022180</v>
      </c>
      <c r="I221">
        <v>10</v>
      </c>
      <c r="J221" s="7" t="s">
        <v>42</v>
      </c>
      <c r="K221" s="7" t="str">
        <f>IFERROR(VLOOKUP(Detalle_OC[[#This Row],[Centro]]&amp;Detalle_OC[[#This Row],[Nro Almacen]],Almacen!A:D,4,FALSE),"")</f>
        <v/>
      </c>
    </row>
    <row r="222" spans="1:11" x14ac:dyDescent="0.35">
      <c r="A222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22" t="s">
        <v>38</v>
      </c>
      <c r="C222" t="s">
        <v>412</v>
      </c>
      <c r="D222" s="17">
        <v>44833</v>
      </c>
      <c r="E222" t="s">
        <v>26</v>
      </c>
      <c r="F222" t="s">
        <v>27</v>
      </c>
      <c r="G222">
        <v>718015</v>
      </c>
      <c r="H222">
        <v>5500022180</v>
      </c>
      <c r="I222">
        <v>10</v>
      </c>
      <c r="J222" s="7" t="s">
        <v>42</v>
      </c>
      <c r="K222" s="7" t="str">
        <f>IFERROR(VLOOKUP(Detalle_OC[[#This Row],[Centro]]&amp;Detalle_OC[[#This Row],[Nro Almacen]],Almacen!A:D,4,FALSE),"")</f>
        <v/>
      </c>
    </row>
    <row r="223" spans="1:11" x14ac:dyDescent="0.35">
      <c r="A223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23" t="s">
        <v>38</v>
      </c>
      <c r="C223" t="s">
        <v>412</v>
      </c>
      <c r="D223" s="17">
        <v>44844</v>
      </c>
      <c r="E223" t="s">
        <v>26</v>
      </c>
      <c r="F223" t="s">
        <v>27</v>
      </c>
      <c r="G223">
        <v>718015</v>
      </c>
      <c r="H223">
        <v>5500022180</v>
      </c>
      <c r="I223">
        <v>10</v>
      </c>
      <c r="J223" s="7" t="s">
        <v>42</v>
      </c>
      <c r="K223" s="7" t="str">
        <f>IFERROR(VLOOKUP(Detalle_OC[[#This Row],[Centro]]&amp;Detalle_OC[[#This Row],[Nro Almacen]],Almacen!A:D,4,FALSE),"")</f>
        <v/>
      </c>
    </row>
    <row r="224" spans="1:11" x14ac:dyDescent="0.35">
      <c r="A224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24" t="s">
        <v>38</v>
      </c>
      <c r="C224" t="s">
        <v>412</v>
      </c>
      <c r="D224" s="17">
        <v>44844</v>
      </c>
      <c r="E224" t="s">
        <v>26</v>
      </c>
      <c r="F224" t="s">
        <v>27</v>
      </c>
      <c r="G224">
        <v>718015</v>
      </c>
      <c r="H224">
        <v>5500022180</v>
      </c>
      <c r="I224">
        <v>10</v>
      </c>
      <c r="J224" s="7" t="s">
        <v>42</v>
      </c>
      <c r="K224" s="7" t="str">
        <f>IFERROR(VLOOKUP(Detalle_OC[[#This Row],[Centro]]&amp;Detalle_OC[[#This Row],[Nro Almacen]],Almacen!A:D,4,FALSE),"")</f>
        <v/>
      </c>
    </row>
    <row r="225" spans="1:11" x14ac:dyDescent="0.35">
      <c r="A225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25" t="s">
        <v>38</v>
      </c>
      <c r="C225" t="s">
        <v>412</v>
      </c>
      <c r="D225" s="17">
        <v>44845</v>
      </c>
      <c r="E225" t="s">
        <v>26</v>
      </c>
      <c r="F225" t="s">
        <v>27</v>
      </c>
      <c r="G225">
        <v>718015</v>
      </c>
      <c r="H225">
        <v>5500022180</v>
      </c>
      <c r="I225">
        <v>10</v>
      </c>
      <c r="J225" s="7" t="s">
        <v>42</v>
      </c>
      <c r="K225" s="7" t="str">
        <f>IFERROR(VLOOKUP(Detalle_OC[[#This Row],[Centro]]&amp;Detalle_OC[[#This Row],[Nro Almacen]],Almacen!A:D,4,FALSE),"")</f>
        <v/>
      </c>
    </row>
    <row r="226" spans="1:11" x14ac:dyDescent="0.35">
      <c r="A226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26" t="s">
        <v>38</v>
      </c>
      <c r="C226" t="s">
        <v>412</v>
      </c>
      <c r="D226" s="17">
        <v>44856</v>
      </c>
      <c r="E226" t="s">
        <v>26</v>
      </c>
      <c r="F226" t="s">
        <v>27</v>
      </c>
      <c r="G226">
        <v>718015</v>
      </c>
      <c r="H226">
        <v>5500022180</v>
      </c>
      <c r="I226">
        <v>10</v>
      </c>
      <c r="J226" s="7" t="s">
        <v>42</v>
      </c>
      <c r="K226" s="7" t="str">
        <f>IFERROR(VLOOKUP(Detalle_OC[[#This Row],[Centro]]&amp;Detalle_OC[[#This Row],[Nro Almacen]],Almacen!A:D,4,FALSE),"")</f>
        <v/>
      </c>
    </row>
    <row r="227" spans="1:11" x14ac:dyDescent="0.35">
      <c r="A227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27" t="s">
        <v>38</v>
      </c>
      <c r="C227" t="s">
        <v>412</v>
      </c>
      <c r="D227" s="17">
        <v>44859</v>
      </c>
      <c r="E227" t="s">
        <v>26</v>
      </c>
      <c r="F227" t="s">
        <v>27</v>
      </c>
      <c r="G227">
        <v>718015</v>
      </c>
      <c r="H227">
        <v>5500022180</v>
      </c>
      <c r="I227">
        <v>10</v>
      </c>
      <c r="J227" s="7" t="s">
        <v>42</v>
      </c>
      <c r="K227" s="7" t="str">
        <f>IFERROR(VLOOKUP(Detalle_OC[[#This Row],[Centro]]&amp;Detalle_OC[[#This Row],[Nro Almacen]],Almacen!A:D,4,FALSE),"")</f>
        <v/>
      </c>
    </row>
    <row r="228" spans="1:11" x14ac:dyDescent="0.35">
      <c r="A228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28" t="s">
        <v>38</v>
      </c>
      <c r="C228" t="s">
        <v>412</v>
      </c>
      <c r="D228" s="17">
        <v>44867</v>
      </c>
      <c r="E228" t="s">
        <v>26</v>
      </c>
      <c r="F228" t="s">
        <v>27</v>
      </c>
      <c r="G228">
        <v>718015</v>
      </c>
      <c r="H228">
        <v>5500022180</v>
      </c>
      <c r="I228">
        <v>10</v>
      </c>
      <c r="J228" s="7" t="s">
        <v>42</v>
      </c>
      <c r="K228" s="7" t="str">
        <f>IFERROR(VLOOKUP(Detalle_OC[[#This Row],[Centro]]&amp;Detalle_OC[[#This Row],[Nro Almacen]],Almacen!A:D,4,FALSE),"")</f>
        <v/>
      </c>
    </row>
    <row r="229" spans="1:11" x14ac:dyDescent="0.35">
      <c r="A229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29" t="s">
        <v>38</v>
      </c>
      <c r="C229" t="s">
        <v>412</v>
      </c>
      <c r="D229" s="17">
        <v>44872</v>
      </c>
      <c r="E229" t="s">
        <v>26</v>
      </c>
      <c r="F229" t="s">
        <v>27</v>
      </c>
      <c r="G229">
        <v>718015</v>
      </c>
      <c r="H229">
        <v>5500022180</v>
      </c>
      <c r="I229">
        <v>10</v>
      </c>
      <c r="J229" s="7" t="s">
        <v>42</v>
      </c>
      <c r="K229" s="7" t="str">
        <f>IFERROR(VLOOKUP(Detalle_OC[[#This Row],[Centro]]&amp;Detalle_OC[[#This Row],[Nro Almacen]],Almacen!A:D,4,FALSE),"")</f>
        <v/>
      </c>
    </row>
    <row r="230" spans="1:11" x14ac:dyDescent="0.35">
      <c r="A230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30" t="s">
        <v>38</v>
      </c>
      <c r="C230" t="s">
        <v>412</v>
      </c>
      <c r="D230" s="17">
        <v>44875</v>
      </c>
      <c r="E230" t="s">
        <v>26</v>
      </c>
      <c r="F230" t="s">
        <v>27</v>
      </c>
      <c r="G230">
        <v>718015</v>
      </c>
      <c r="H230">
        <v>5500022180</v>
      </c>
      <c r="I230">
        <v>10</v>
      </c>
      <c r="J230" s="7" t="s">
        <v>42</v>
      </c>
      <c r="K230" s="7" t="str">
        <f>IFERROR(VLOOKUP(Detalle_OC[[#This Row],[Centro]]&amp;Detalle_OC[[#This Row],[Nro Almacen]],Almacen!A:D,4,FALSE),"")</f>
        <v/>
      </c>
    </row>
    <row r="231" spans="1:11" x14ac:dyDescent="0.35">
      <c r="A231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31" t="s">
        <v>38</v>
      </c>
      <c r="C231" t="s">
        <v>412</v>
      </c>
      <c r="D231" s="17">
        <v>44879</v>
      </c>
      <c r="E231" t="s">
        <v>26</v>
      </c>
      <c r="F231" t="s">
        <v>27</v>
      </c>
      <c r="G231">
        <v>718015</v>
      </c>
      <c r="H231">
        <v>5500022180</v>
      </c>
      <c r="I231">
        <v>10</v>
      </c>
      <c r="J231" s="7" t="s">
        <v>42</v>
      </c>
      <c r="K231" s="7" t="str">
        <f>IFERROR(VLOOKUP(Detalle_OC[[#This Row],[Centro]]&amp;Detalle_OC[[#This Row],[Nro Almacen]],Almacen!A:D,4,FALSE),"")</f>
        <v/>
      </c>
    </row>
    <row r="232" spans="1:11" x14ac:dyDescent="0.35">
      <c r="A232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32" t="s">
        <v>38</v>
      </c>
      <c r="C232" t="s">
        <v>412</v>
      </c>
      <c r="D232" s="17">
        <v>44882</v>
      </c>
      <c r="E232" t="s">
        <v>26</v>
      </c>
      <c r="F232" t="s">
        <v>27</v>
      </c>
      <c r="G232">
        <v>718015</v>
      </c>
      <c r="H232">
        <v>5500022180</v>
      </c>
      <c r="I232">
        <v>10</v>
      </c>
      <c r="J232" s="7" t="s">
        <v>42</v>
      </c>
      <c r="K232" s="7" t="str">
        <f>IFERROR(VLOOKUP(Detalle_OC[[#This Row],[Centro]]&amp;Detalle_OC[[#This Row],[Nro Almacen]],Almacen!A:D,4,FALSE),"")</f>
        <v/>
      </c>
    </row>
    <row r="233" spans="1:11" x14ac:dyDescent="0.35">
      <c r="A233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33" t="s">
        <v>38</v>
      </c>
      <c r="C233" t="s">
        <v>412</v>
      </c>
      <c r="D233" s="17">
        <v>44887</v>
      </c>
      <c r="E233" t="s">
        <v>26</v>
      </c>
      <c r="F233" t="s">
        <v>27</v>
      </c>
      <c r="G233">
        <v>718015</v>
      </c>
      <c r="H233">
        <v>5500022180</v>
      </c>
      <c r="I233">
        <v>10</v>
      </c>
      <c r="J233" s="7" t="s">
        <v>42</v>
      </c>
      <c r="K233" s="7" t="str">
        <f>IFERROR(VLOOKUP(Detalle_OC[[#This Row],[Centro]]&amp;Detalle_OC[[#This Row],[Nro Almacen]],Almacen!A:D,4,FALSE),"")</f>
        <v/>
      </c>
    </row>
    <row r="234" spans="1:11" x14ac:dyDescent="0.35">
      <c r="A234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34" t="s">
        <v>38</v>
      </c>
      <c r="C234" t="s">
        <v>412</v>
      </c>
      <c r="D234" s="17">
        <v>44893</v>
      </c>
      <c r="E234" t="s">
        <v>26</v>
      </c>
      <c r="F234" t="s">
        <v>27</v>
      </c>
      <c r="G234">
        <v>718015</v>
      </c>
      <c r="H234">
        <v>5500022180</v>
      </c>
      <c r="I234">
        <v>10</v>
      </c>
      <c r="J234" s="7" t="s">
        <v>42</v>
      </c>
      <c r="K234" s="7" t="str">
        <f>IFERROR(VLOOKUP(Detalle_OC[[#This Row],[Centro]]&amp;Detalle_OC[[#This Row],[Nro Almacen]],Almacen!A:D,4,FALSE),"")</f>
        <v/>
      </c>
    </row>
    <row r="235" spans="1:11" x14ac:dyDescent="0.35">
      <c r="A235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35" t="s">
        <v>38</v>
      </c>
      <c r="C235" t="s">
        <v>412</v>
      </c>
      <c r="D235" s="17">
        <v>44894</v>
      </c>
      <c r="E235" t="s">
        <v>26</v>
      </c>
      <c r="F235" t="s">
        <v>27</v>
      </c>
      <c r="G235">
        <v>718015</v>
      </c>
      <c r="H235">
        <v>5500022180</v>
      </c>
      <c r="I235">
        <v>10</v>
      </c>
      <c r="J235" s="7" t="s">
        <v>42</v>
      </c>
      <c r="K235" s="7" t="str">
        <f>IFERROR(VLOOKUP(Detalle_OC[[#This Row],[Centro]]&amp;Detalle_OC[[#This Row],[Nro Almacen]],Almacen!A:D,4,FALSE),"")</f>
        <v/>
      </c>
    </row>
    <row r="236" spans="1:11" x14ac:dyDescent="0.35">
      <c r="A236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36" t="s">
        <v>38</v>
      </c>
      <c r="C236" t="s">
        <v>412</v>
      </c>
      <c r="D236" s="17">
        <v>44898</v>
      </c>
      <c r="E236" t="s">
        <v>26</v>
      </c>
      <c r="F236" t="s">
        <v>27</v>
      </c>
      <c r="G236">
        <v>718015</v>
      </c>
      <c r="H236">
        <v>5500022180</v>
      </c>
      <c r="I236">
        <v>10</v>
      </c>
      <c r="J236" s="7" t="s">
        <v>42</v>
      </c>
      <c r="K236" s="7" t="str">
        <f>IFERROR(VLOOKUP(Detalle_OC[[#This Row],[Centro]]&amp;Detalle_OC[[#This Row],[Nro Almacen]],Almacen!A:D,4,FALSE),"")</f>
        <v/>
      </c>
    </row>
    <row r="237" spans="1:11" x14ac:dyDescent="0.35">
      <c r="A237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37" t="s">
        <v>38</v>
      </c>
      <c r="C237" t="s">
        <v>412</v>
      </c>
      <c r="D237" s="17">
        <v>44900</v>
      </c>
      <c r="E237" t="s">
        <v>26</v>
      </c>
      <c r="F237" t="s">
        <v>27</v>
      </c>
      <c r="G237">
        <v>718015</v>
      </c>
      <c r="H237">
        <v>5500022180</v>
      </c>
      <c r="I237">
        <v>10</v>
      </c>
      <c r="J237" s="7" t="s">
        <v>42</v>
      </c>
      <c r="K237" s="7" t="str">
        <f>IFERROR(VLOOKUP(Detalle_OC[[#This Row],[Centro]]&amp;Detalle_OC[[#This Row],[Nro Almacen]],Almacen!A:D,4,FALSE),"")</f>
        <v/>
      </c>
    </row>
    <row r="238" spans="1:11" x14ac:dyDescent="0.35">
      <c r="A238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38" t="s">
        <v>38</v>
      </c>
      <c r="C238" t="s">
        <v>412</v>
      </c>
      <c r="D238" s="17">
        <v>44905</v>
      </c>
      <c r="E238" t="s">
        <v>26</v>
      </c>
      <c r="F238" t="s">
        <v>27</v>
      </c>
      <c r="G238">
        <v>718015</v>
      </c>
      <c r="H238">
        <v>5500022180</v>
      </c>
      <c r="I238">
        <v>10</v>
      </c>
      <c r="J238" s="7" t="s">
        <v>42</v>
      </c>
      <c r="K238" s="7" t="str">
        <f>IFERROR(VLOOKUP(Detalle_OC[[#This Row],[Centro]]&amp;Detalle_OC[[#This Row],[Nro Almacen]],Almacen!A:D,4,FALSE),"")</f>
        <v/>
      </c>
    </row>
    <row r="239" spans="1:11" x14ac:dyDescent="0.35">
      <c r="A239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39" t="s">
        <v>38</v>
      </c>
      <c r="C239" t="s">
        <v>412</v>
      </c>
      <c r="D239" s="17">
        <v>44907</v>
      </c>
      <c r="E239" t="s">
        <v>26</v>
      </c>
      <c r="F239" t="s">
        <v>27</v>
      </c>
      <c r="G239">
        <v>718015</v>
      </c>
      <c r="H239">
        <v>5500022180</v>
      </c>
      <c r="I239">
        <v>10</v>
      </c>
      <c r="J239" s="7" t="s">
        <v>42</v>
      </c>
      <c r="K239" s="7" t="str">
        <f>IFERROR(VLOOKUP(Detalle_OC[[#This Row],[Centro]]&amp;Detalle_OC[[#This Row],[Nro Almacen]],Almacen!A:D,4,FALSE),"")</f>
        <v/>
      </c>
    </row>
    <row r="240" spans="1:11" x14ac:dyDescent="0.35">
      <c r="A240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40" t="s">
        <v>38</v>
      </c>
      <c r="C240" t="s">
        <v>412</v>
      </c>
      <c r="D240" s="17">
        <v>44908</v>
      </c>
      <c r="E240" t="s">
        <v>26</v>
      </c>
      <c r="F240" t="s">
        <v>27</v>
      </c>
      <c r="G240">
        <v>718015</v>
      </c>
      <c r="H240">
        <v>5500022180</v>
      </c>
      <c r="I240">
        <v>10</v>
      </c>
      <c r="J240" s="7" t="s">
        <v>42</v>
      </c>
      <c r="K240" s="7" t="str">
        <f>IFERROR(VLOOKUP(Detalle_OC[[#This Row],[Centro]]&amp;Detalle_OC[[#This Row],[Nro Almacen]],Almacen!A:D,4,FALSE),"")</f>
        <v/>
      </c>
    </row>
    <row r="241" spans="1:11" x14ac:dyDescent="0.35">
      <c r="A241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41" t="s">
        <v>38</v>
      </c>
      <c r="C241" t="s">
        <v>412</v>
      </c>
      <c r="D241" s="17">
        <v>44914</v>
      </c>
      <c r="E241" t="s">
        <v>26</v>
      </c>
      <c r="F241" t="s">
        <v>27</v>
      </c>
      <c r="G241">
        <v>718015</v>
      </c>
      <c r="H241">
        <v>5500022180</v>
      </c>
      <c r="I241">
        <v>10</v>
      </c>
      <c r="J241" s="7" t="s">
        <v>42</v>
      </c>
      <c r="K241" s="7" t="str">
        <f>IFERROR(VLOOKUP(Detalle_OC[[#This Row],[Centro]]&amp;Detalle_OC[[#This Row],[Nro Almacen]],Almacen!A:D,4,FALSE),"")</f>
        <v/>
      </c>
    </row>
    <row r="242" spans="1:11" x14ac:dyDescent="0.35">
      <c r="A242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42" t="s">
        <v>38</v>
      </c>
      <c r="C242" t="s">
        <v>412</v>
      </c>
      <c r="D242" s="17">
        <v>44914</v>
      </c>
      <c r="E242" t="s">
        <v>26</v>
      </c>
      <c r="F242" t="s">
        <v>27</v>
      </c>
      <c r="G242">
        <v>718015</v>
      </c>
      <c r="H242">
        <v>5500022180</v>
      </c>
      <c r="I242">
        <v>10</v>
      </c>
      <c r="J242" s="7" t="s">
        <v>42</v>
      </c>
      <c r="K242" s="7" t="str">
        <f>IFERROR(VLOOKUP(Detalle_OC[[#This Row],[Centro]]&amp;Detalle_OC[[#This Row],[Nro Almacen]],Almacen!A:D,4,FALSE),"")</f>
        <v/>
      </c>
    </row>
    <row r="243" spans="1:11" x14ac:dyDescent="0.35">
      <c r="A243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43" t="s">
        <v>38</v>
      </c>
      <c r="C243" t="s">
        <v>412</v>
      </c>
      <c r="D243" s="17">
        <v>44919</v>
      </c>
      <c r="E243" t="s">
        <v>26</v>
      </c>
      <c r="F243" t="s">
        <v>27</v>
      </c>
      <c r="G243">
        <v>718015</v>
      </c>
      <c r="H243">
        <v>5500022180</v>
      </c>
      <c r="I243">
        <v>10</v>
      </c>
      <c r="J243" s="7" t="s">
        <v>42</v>
      </c>
      <c r="K243" s="7" t="str">
        <f>IFERROR(VLOOKUP(Detalle_OC[[#This Row],[Centro]]&amp;Detalle_OC[[#This Row],[Nro Almacen]],Almacen!A:D,4,FALSE),"")</f>
        <v/>
      </c>
    </row>
    <row r="244" spans="1:11" x14ac:dyDescent="0.35">
      <c r="A244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44" t="s">
        <v>38</v>
      </c>
      <c r="C244" t="s">
        <v>412</v>
      </c>
      <c r="D244" s="17">
        <v>44919</v>
      </c>
      <c r="E244" t="s">
        <v>26</v>
      </c>
      <c r="F244" t="s">
        <v>27</v>
      </c>
      <c r="G244">
        <v>718015</v>
      </c>
      <c r="H244">
        <v>5500022180</v>
      </c>
      <c r="I244">
        <v>10</v>
      </c>
      <c r="J244" s="7" t="s">
        <v>42</v>
      </c>
      <c r="K244" s="7" t="str">
        <f>IFERROR(VLOOKUP(Detalle_OC[[#This Row],[Centro]]&amp;Detalle_OC[[#This Row],[Nro Almacen]],Almacen!A:D,4,FALSE),"")</f>
        <v/>
      </c>
    </row>
    <row r="245" spans="1:11" x14ac:dyDescent="0.35">
      <c r="A245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45" t="s">
        <v>38</v>
      </c>
      <c r="C245" t="s">
        <v>412</v>
      </c>
      <c r="D245" s="17">
        <v>44925</v>
      </c>
      <c r="E245" t="s">
        <v>26</v>
      </c>
      <c r="F245" t="s">
        <v>27</v>
      </c>
      <c r="G245">
        <v>718015</v>
      </c>
      <c r="H245">
        <v>5500022180</v>
      </c>
      <c r="I245">
        <v>10</v>
      </c>
      <c r="J245" s="7" t="s">
        <v>42</v>
      </c>
      <c r="K245" s="7" t="str">
        <f>IFERROR(VLOOKUP(Detalle_OC[[#This Row],[Centro]]&amp;Detalle_OC[[#This Row],[Nro Almacen]],Almacen!A:D,4,FALSE),"")</f>
        <v/>
      </c>
    </row>
    <row r="246" spans="1:11" x14ac:dyDescent="0.35">
      <c r="A246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46" t="s">
        <v>38</v>
      </c>
      <c r="C246" t="s">
        <v>412</v>
      </c>
      <c r="D246" s="17">
        <v>44925</v>
      </c>
      <c r="E246" t="s">
        <v>26</v>
      </c>
      <c r="F246" t="s">
        <v>27</v>
      </c>
      <c r="G246">
        <v>718015</v>
      </c>
      <c r="H246">
        <v>5500022180</v>
      </c>
      <c r="I246">
        <v>10</v>
      </c>
      <c r="J246" s="7" t="s">
        <v>42</v>
      </c>
      <c r="K246" s="7" t="str">
        <f>IFERROR(VLOOKUP(Detalle_OC[[#This Row],[Centro]]&amp;Detalle_OC[[#This Row],[Nro Almacen]],Almacen!A:D,4,FALSE),"")</f>
        <v/>
      </c>
    </row>
    <row r="247" spans="1:11" x14ac:dyDescent="0.35">
      <c r="A247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47" t="s">
        <v>38</v>
      </c>
      <c r="C247" t="s">
        <v>412</v>
      </c>
      <c r="D247" s="17">
        <v>44925</v>
      </c>
      <c r="E247" t="s">
        <v>26</v>
      </c>
      <c r="F247" t="s">
        <v>27</v>
      </c>
      <c r="G247">
        <v>718015</v>
      </c>
      <c r="H247">
        <v>5500022180</v>
      </c>
      <c r="I247">
        <v>10</v>
      </c>
      <c r="J247" s="7" t="s">
        <v>42</v>
      </c>
      <c r="K247" s="7" t="str">
        <f>IFERROR(VLOOKUP(Detalle_OC[[#This Row],[Centro]]&amp;Detalle_OC[[#This Row],[Nro Almacen]],Almacen!A:D,4,FALSE),"")</f>
        <v/>
      </c>
    </row>
    <row r="248" spans="1:11" x14ac:dyDescent="0.35">
      <c r="A248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48" t="s">
        <v>38</v>
      </c>
      <c r="C248" t="s">
        <v>412</v>
      </c>
      <c r="D248" s="17">
        <v>44925</v>
      </c>
      <c r="E248" t="s">
        <v>26</v>
      </c>
      <c r="F248" t="s">
        <v>27</v>
      </c>
      <c r="G248">
        <v>718015</v>
      </c>
      <c r="H248">
        <v>5500022180</v>
      </c>
      <c r="I248">
        <v>10</v>
      </c>
      <c r="J248" s="7" t="s">
        <v>42</v>
      </c>
      <c r="K248" s="7" t="str">
        <f>IFERROR(VLOOKUP(Detalle_OC[[#This Row],[Centro]]&amp;Detalle_OC[[#This Row],[Nro Almacen]],Almacen!A:D,4,FALSE),"")</f>
        <v/>
      </c>
    </row>
    <row r="249" spans="1:11" x14ac:dyDescent="0.35">
      <c r="A249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49" t="s">
        <v>38</v>
      </c>
      <c r="C249" t="s">
        <v>412</v>
      </c>
      <c r="D249" s="17">
        <v>44926</v>
      </c>
      <c r="E249" t="s">
        <v>26</v>
      </c>
      <c r="F249" t="s">
        <v>27</v>
      </c>
      <c r="G249">
        <v>718015</v>
      </c>
      <c r="H249">
        <v>5500022180</v>
      </c>
      <c r="I249">
        <v>10</v>
      </c>
      <c r="J249" s="7" t="s">
        <v>42</v>
      </c>
      <c r="K249" s="7" t="str">
        <f>IFERROR(VLOOKUP(Detalle_OC[[#This Row],[Centro]]&amp;Detalle_OC[[#This Row],[Nro Almacen]],Almacen!A:D,4,FALSE),"")</f>
        <v/>
      </c>
    </row>
    <row r="250" spans="1:11" x14ac:dyDescent="0.35">
      <c r="A250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50" t="s">
        <v>38</v>
      </c>
      <c r="C250" t="s">
        <v>412</v>
      </c>
      <c r="D250" s="17">
        <v>44935</v>
      </c>
      <c r="E250" t="s">
        <v>26</v>
      </c>
      <c r="F250" t="s">
        <v>27</v>
      </c>
      <c r="G250">
        <v>718015</v>
      </c>
      <c r="H250">
        <v>5500022180</v>
      </c>
      <c r="I250">
        <v>10</v>
      </c>
      <c r="J250" s="7" t="s">
        <v>42</v>
      </c>
      <c r="K250" s="7" t="str">
        <f>IFERROR(VLOOKUP(Detalle_OC[[#This Row],[Centro]]&amp;Detalle_OC[[#This Row],[Nro Almacen]],Almacen!A:D,4,FALSE),"")</f>
        <v/>
      </c>
    </row>
    <row r="251" spans="1:11" x14ac:dyDescent="0.35">
      <c r="A251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51" t="s">
        <v>38</v>
      </c>
      <c r="C251" t="s">
        <v>412</v>
      </c>
      <c r="D251" s="17">
        <v>44938</v>
      </c>
      <c r="E251" t="s">
        <v>26</v>
      </c>
      <c r="F251" t="s">
        <v>27</v>
      </c>
      <c r="G251">
        <v>718015</v>
      </c>
      <c r="H251">
        <v>5500022180</v>
      </c>
      <c r="I251">
        <v>10</v>
      </c>
      <c r="J251" s="7" t="s">
        <v>42</v>
      </c>
      <c r="K251" s="7" t="str">
        <f>IFERROR(VLOOKUP(Detalle_OC[[#This Row],[Centro]]&amp;Detalle_OC[[#This Row],[Nro Almacen]],Almacen!A:D,4,FALSE),"")</f>
        <v/>
      </c>
    </row>
    <row r="252" spans="1:11" x14ac:dyDescent="0.35">
      <c r="A252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52" t="s">
        <v>38</v>
      </c>
      <c r="C252" t="s">
        <v>412</v>
      </c>
      <c r="D252" s="17">
        <v>44940</v>
      </c>
      <c r="E252" t="s">
        <v>26</v>
      </c>
      <c r="F252" t="s">
        <v>27</v>
      </c>
      <c r="G252">
        <v>718015</v>
      </c>
      <c r="H252">
        <v>5500022180</v>
      </c>
      <c r="I252">
        <v>10</v>
      </c>
      <c r="J252" s="7" t="s">
        <v>42</v>
      </c>
      <c r="K252" s="7" t="str">
        <f>IFERROR(VLOOKUP(Detalle_OC[[#This Row],[Centro]]&amp;Detalle_OC[[#This Row],[Nro Almacen]],Almacen!A:D,4,FALSE),"")</f>
        <v/>
      </c>
    </row>
    <row r="253" spans="1:11" x14ac:dyDescent="0.35">
      <c r="A253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53" t="s">
        <v>38</v>
      </c>
      <c r="C253" t="s">
        <v>412</v>
      </c>
      <c r="D253" s="17">
        <v>44945</v>
      </c>
      <c r="E253" t="s">
        <v>26</v>
      </c>
      <c r="F253" t="s">
        <v>27</v>
      </c>
      <c r="G253">
        <v>718015</v>
      </c>
      <c r="H253">
        <v>5500022180</v>
      </c>
      <c r="I253">
        <v>10</v>
      </c>
      <c r="J253" s="7" t="s">
        <v>42</v>
      </c>
      <c r="K253" s="7" t="str">
        <f>IFERROR(VLOOKUP(Detalle_OC[[#This Row],[Centro]]&amp;Detalle_OC[[#This Row],[Nro Almacen]],Almacen!A:D,4,FALSE),"")</f>
        <v/>
      </c>
    </row>
    <row r="254" spans="1:11" x14ac:dyDescent="0.35">
      <c r="A254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54" t="s">
        <v>38</v>
      </c>
      <c r="C254" t="s">
        <v>412</v>
      </c>
      <c r="D254" s="17">
        <v>44946</v>
      </c>
      <c r="E254" t="s">
        <v>26</v>
      </c>
      <c r="F254" t="s">
        <v>27</v>
      </c>
      <c r="G254">
        <v>718015</v>
      </c>
      <c r="H254">
        <v>5500022180</v>
      </c>
      <c r="I254">
        <v>10</v>
      </c>
      <c r="J254" s="7" t="s">
        <v>42</v>
      </c>
      <c r="K254" s="7" t="str">
        <f>IFERROR(VLOOKUP(Detalle_OC[[#This Row],[Centro]]&amp;Detalle_OC[[#This Row],[Nro Almacen]],Almacen!A:D,4,FALSE),"")</f>
        <v/>
      </c>
    </row>
    <row r="255" spans="1:11" x14ac:dyDescent="0.35">
      <c r="A255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55" t="s">
        <v>38</v>
      </c>
      <c r="C255" t="s">
        <v>412</v>
      </c>
      <c r="D255" s="17">
        <v>44949</v>
      </c>
      <c r="E255" t="s">
        <v>26</v>
      </c>
      <c r="F255" t="s">
        <v>27</v>
      </c>
      <c r="G255">
        <v>718015</v>
      </c>
      <c r="H255">
        <v>5500022180</v>
      </c>
      <c r="I255">
        <v>10</v>
      </c>
      <c r="J255" s="7" t="s">
        <v>42</v>
      </c>
      <c r="K255" s="7" t="str">
        <f>IFERROR(VLOOKUP(Detalle_OC[[#This Row],[Centro]]&amp;Detalle_OC[[#This Row],[Nro Almacen]],Almacen!A:D,4,FALSE),"")</f>
        <v/>
      </c>
    </row>
    <row r="256" spans="1:11" x14ac:dyDescent="0.35">
      <c r="A256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56" t="s">
        <v>38</v>
      </c>
      <c r="C256" t="s">
        <v>412</v>
      </c>
      <c r="D256" s="17">
        <v>44954</v>
      </c>
      <c r="E256" t="s">
        <v>26</v>
      </c>
      <c r="F256" t="s">
        <v>27</v>
      </c>
      <c r="G256">
        <v>718015</v>
      </c>
      <c r="H256">
        <v>5500022180</v>
      </c>
      <c r="I256">
        <v>10</v>
      </c>
      <c r="J256" s="7" t="s">
        <v>42</v>
      </c>
      <c r="K256" s="7" t="str">
        <f>IFERROR(VLOOKUP(Detalle_OC[[#This Row],[Centro]]&amp;Detalle_OC[[#This Row],[Nro Almacen]],Almacen!A:D,4,FALSE),"")</f>
        <v/>
      </c>
    </row>
    <row r="257" spans="1:11" x14ac:dyDescent="0.35">
      <c r="A257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57" t="s">
        <v>38</v>
      </c>
      <c r="C257" t="s">
        <v>412</v>
      </c>
      <c r="D257" s="17">
        <v>44959</v>
      </c>
      <c r="E257" t="s">
        <v>26</v>
      </c>
      <c r="F257" t="s">
        <v>27</v>
      </c>
      <c r="G257">
        <v>718015</v>
      </c>
      <c r="H257">
        <v>5500022180</v>
      </c>
      <c r="I257">
        <v>10</v>
      </c>
      <c r="J257" s="7" t="s">
        <v>42</v>
      </c>
      <c r="K257" s="7" t="str">
        <f>IFERROR(VLOOKUP(Detalle_OC[[#This Row],[Centro]]&amp;Detalle_OC[[#This Row],[Nro Almacen]],Almacen!A:D,4,FALSE),"")</f>
        <v/>
      </c>
    </row>
    <row r="258" spans="1:11" x14ac:dyDescent="0.35">
      <c r="A258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58" t="s">
        <v>38</v>
      </c>
      <c r="C258" t="s">
        <v>412</v>
      </c>
      <c r="D258" s="17">
        <v>44961</v>
      </c>
      <c r="E258" t="s">
        <v>26</v>
      </c>
      <c r="F258" t="s">
        <v>27</v>
      </c>
      <c r="G258">
        <v>718015</v>
      </c>
      <c r="H258">
        <v>5500022180</v>
      </c>
      <c r="I258">
        <v>10</v>
      </c>
      <c r="J258" s="7" t="s">
        <v>42</v>
      </c>
      <c r="K258" s="7" t="str">
        <f>IFERROR(VLOOKUP(Detalle_OC[[#This Row],[Centro]]&amp;Detalle_OC[[#This Row],[Nro Almacen]],Almacen!A:D,4,FALSE),"")</f>
        <v/>
      </c>
    </row>
    <row r="259" spans="1:11" x14ac:dyDescent="0.35">
      <c r="A259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59" t="s">
        <v>38</v>
      </c>
      <c r="C259" t="s">
        <v>412</v>
      </c>
      <c r="D259" s="17">
        <v>44987</v>
      </c>
      <c r="E259" t="s">
        <v>26</v>
      </c>
      <c r="F259" t="s">
        <v>27</v>
      </c>
      <c r="G259">
        <v>718015</v>
      </c>
      <c r="H259">
        <v>5500022180</v>
      </c>
      <c r="I259">
        <v>10</v>
      </c>
      <c r="J259" s="7" t="s">
        <v>42</v>
      </c>
      <c r="K259" s="7" t="str">
        <f>IFERROR(VLOOKUP(Detalle_OC[[#This Row],[Centro]]&amp;Detalle_OC[[#This Row],[Nro Almacen]],Almacen!A:D,4,FALSE),"")</f>
        <v/>
      </c>
    </row>
    <row r="260" spans="1:11" x14ac:dyDescent="0.35">
      <c r="A260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60" t="s">
        <v>38</v>
      </c>
      <c r="C260" t="s">
        <v>412</v>
      </c>
      <c r="D260" s="17">
        <v>44992</v>
      </c>
      <c r="E260" t="s">
        <v>26</v>
      </c>
      <c r="F260" t="s">
        <v>27</v>
      </c>
      <c r="G260">
        <v>718015</v>
      </c>
      <c r="H260">
        <v>5500022180</v>
      </c>
      <c r="I260">
        <v>10</v>
      </c>
      <c r="J260" s="7" t="s">
        <v>42</v>
      </c>
      <c r="K260" s="7" t="str">
        <f>IFERROR(VLOOKUP(Detalle_OC[[#This Row],[Centro]]&amp;Detalle_OC[[#This Row],[Nro Almacen]],Almacen!A:D,4,FALSE),"")</f>
        <v/>
      </c>
    </row>
    <row r="261" spans="1:11" x14ac:dyDescent="0.35">
      <c r="A261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61" t="s">
        <v>38</v>
      </c>
      <c r="C261" t="s">
        <v>412</v>
      </c>
      <c r="D261" s="17">
        <v>44996</v>
      </c>
      <c r="E261" t="s">
        <v>26</v>
      </c>
      <c r="F261" t="s">
        <v>27</v>
      </c>
      <c r="G261">
        <v>718015</v>
      </c>
      <c r="H261">
        <v>5500022180</v>
      </c>
      <c r="I261">
        <v>10</v>
      </c>
      <c r="J261" s="7" t="s">
        <v>42</v>
      </c>
      <c r="K261" s="7" t="str">
        <f>IFERROR(VLOOKUP(Detalle_OC[[#This Row],[Centro]]&amp;Detalle_OC[[#This Row],[Nro Almacen]],Almacen!A:D,4,FALSE),"")</f>
        <v/>
      </c>
    </row>
    <row r="262" spans="1:11" x14ac:dyDescent="0.35">
      <c r="A262" s="7" t="str">
        <f>Detalle_OC[[#This Row],[Centro]]&amp;Detalle_OC[[#This Row],[Nom Almacen]]&amp;Detalle_OC[[#This Row],[Material]]&amp;Detalle_OC[[#This Row],[Pedido]]&amp;Detalle_OC[[#This Row],[Posicion]]</f>
        <v>Agricola del Chira Planta718015550002218010</v>
      </c>
      <c r="B262" t="s">
        <v>38</v>
      </c>
      <c r="C262" t="s">
        <v>412</v>
      </c>
      <c r="D262" s="17">
        <v>44993</v>
      </c>
      <c r="E262" t="s">
        <v>26</v>
      </c>
      <c r="F262" t="s">
        <v>27</v>
      </c>
      <c r="G262">
        <v>718015</v>
      </c>
      <c r="H262">
        <v>5500022180</v>
      </c>
      <c r="I262">
        <v>10</v>
      </c>
      <c r="J262" s="7" t="s">
        <v>42</v>
      </c>
      <c r="K262" s="7" t="str">
        <f>IFERROR(VLOOKUP(Detalle_OC[[#This Row],[Centro]]&amp;Detalle_OC[[#This Row],[Nro Almacen]],Almacen!A:D,4,FALSE),"")</f>
        <v/>
      </c>
    </row>
    <row r="263" spans="1:11" x14ac:dyDescent="0.35">
      <c r="A263" s="7" t="str">
        <f>Detalle_OC[[#This Row],[Centro]]&amp;Detalle_OC[[#This Row],[Nom Almacen]]&amp;Detalle_OC[[#This Row],[Material]]&amp;Detalle_OC[[#This Row],[Pedido]]&amp;Detalle_OC[[#This Row],[Posicion]]</f>
        <v>Agricola del Chira PlantaMontelima72155655000224351330</v>
      </c>
      <c r="B263" t="s">
        <v>38</v>
      </c>
      <c r="C263" t="s">
        <v>413</v>
      </c>
      <c r="D263" s="17">
        <v>44910</v>
      </c>
      <c r="E263" t="s">
        <v>26</v>
      </c>
      <c r="F263" t="s">
        <v>27</v>
      </c>
      <c r="G263">
        <v>721556</v>
      </c>
      <c r="H263">
        <v>5500022435</v>
      </c>
      <c r="I263">
        <v>1330</v>
      </c>
      <c r="J263" s="7">
        <v>1</v>
      </c>
      <c r="K263" s="7" t="str">
        <f>IFERROR(VLOOKUP(Detalle_OC[[#This Row],[Centro]]&amp;Detalle_OC[[#This Row],[Nro Almacen]],Almacen!A:D,4,FALSE),"")</f>
        <v>Montelima</v>
      </c>
    </row>
    <row r="264" spans="1:11" x14ac:dyDescent="0.35">
      <c r="A264" s="7" t="str">
        <f>Detalle_OC[[#This Row],[Centro]]&amp;Detalle_OC[[#This Row],[Nom Almacen]]&amp;Detalle_OC[[#This Row],[Material]]&amp;Detalle_OC[[#This Row],[Pedido]]&amp;Detalle_OC[[#This Row],[Posicion]]</f>
        <v>Agricola del Chira PlantaMontelima72155655000224351330</v>
      </c>
      <c r="B264" t="s">
        <v>38</v>
      </c>
      <c r="C264" t="s">
        <v>413</v>
      </c>
      <c r="D264" s="17">
        <v>44936</v>
      </c>
      <c r="E264" t="s">
        <v>26</v>
      </c>
      <c r="F264" t="s">
        <v>27</v>
      </c>
      <c r="G264">
        <v>721556</v>
      </c>
      <c r="H264">
        <v>5500022435</v>
      </c>
      <c r="I264">
        <v>1330</v>
      </c>
      <c r="J264" s="7">
        <v>1</v>
      </c>
      <c r="K264" s="7" t="str">
        <f>IFERROR(VLOOKUP(Detalle_OC[[#This Row],[Centro]]&amp;Detalle_OC[[#This Row],[Nro Almacen]],Almacen!A:D,4,FALSE),"")</f>
        <v>Montelima</v>
      </c>
    </row>
    <row r="265" spans="1:11" x14ac:dyDescent="0.35">
      <c r="A265" s="7" t="str">
        <f>Detalle_OC[[#This Row],[Centro]]&amp;Detalle_OC[[#This Row],[Nom Almacen]]&amp;Detalle_OC[[#This Row],[Material]]&amp;Detalle_OC[[#This Row],[Pedido]]&amp;Detalle_OC[[#This Row],[Posicion]]</f>
        <v>Agricola del Chira PlantaLa Huaca72155655000224351430</v>
      </c>
      <c r="B265" t="s">
        <v>38</v>
      </c>
      <c r="C265" t="s">
        <v>413</v>
      </c>
      <c r="D265" s="17">
        <v>44812</v>
      </c>
      <c r="E265" t="s">
        <v>26</v>
      </c>
      <c r="F265" t="s">
        <v>27</v>
      </c>
      <c r="G265">
        <v>721556</v>
      </c>
      <c r="H265">
        <v>5500022435</v>
      </c>
      <c r="I265">
        <v>1430</v>
      </c>
      <c r="J265" s="7">
        <v>2</v>
      </c>
      <c r="K265" s="7" t="str">
        <f>IFERROR(VLOOKUP(Detalle_OC[[#This Row],[Centro]]&amp;Detalle_OC[[#This Row],[Nro Almacen]],Almacen!A:D,4,FALSE),"")</f>
        <v>La Huaca</v>
      </c>
    </row>
    <row r="266" spans="1:11" x14ac:dyDescent="0.35">
      <c r="A266" s="7" t="str">
        <f>Detalle_OC[[#This Row],[Centro]]&amp;Detalle_OC[[#This Row],[Nom Almacen]]&amp;Detalle_OC[[#This Row],[Material]]&amp;Detalle_OC[[#This Row],[Pedido]]&amp;Detalle_OC[[#This Row],[Posicion]]</f>
        <v>Agricola del Chira PlantaAlmacen Lobo721562451144607850</v>
      </c>
      <c r="B266" t="s">
        <v>47</v>
      </c>
      <c r="C266" t="s">
        <v>409</v>
      </c>
      <c r="D266" s="17">
        <v>44995</v>
      </c>
      <c r="E266" t="s">
        <v>26</v>
      </c>
      <c r="F266" t="s">
        <v>27</v>
      </c>
      <c r="G266">
        <v>721562</v>
      </c>
      <c r="H266">
        <v>4511446078</v>
      </c>
      <c r="I266">
        <v>50</v>
      </c>
      <c r="J266" s="7">
        <v>7</v>
      </c>
      <c r="K266" s="7" t="str">
        <f>IFERROR(VLOOKUP(Detalle_OC[[#This Row],[Centro]]&amp;Detalle_OC[[#This Row],[Nro Almacen]],Almacen!A:D,4,FALSE),"")</f>
        <v>Almacen Lobo</v>
      </c>
    </row>
    <row r="267" spans="1:11" x14ac:dyDescent="0.35">
      <c r="A267" s="7" t="str">
        <f>Detalle_OC[[#This Row],[Centro]]&amp;Detalle_OC[[#This Row],[Nom Almacen]]&amp;Detalle_OC[[#This Row],[Material]]&amp;Detalle_OC[[#This Row],[Pedido]]&amp;Detalle_OC[[#This Row],[Posicion]]</f>
        <v>Agricola del Chira PlantaMontelima721562451144607870</v>
      </c>
      <c r="B267" t="s">
        <v>47</v>
      </c>
      <c r="C267" t="s">
        <v>409</v>
      </c>
      <c r="D267" s="17">
        <v>44995</v>
      </c>
      <c r="E267" t="s">
        <v>26</v>
      </c>
      <c r="F267" t="s">
        <v>27</v>
      </c>
      <c r="G267">
        <v>721562</v>
      </c>
      <c r="H267">
        <v>4511446078</v>
      </c>
      <c r="I267">
        <v>70</v>
      </c>
      <c r="J267" s="7">
        <v>1</v>
      </c>
      <c r="K267" s="7" t="str">
        <f>IFERROR(VLOOKUP(Detalle_OC[[#This Row],[Centro]]&amp;Detalle_OC[[#This Row],[Nro Almacen]],Almacen!A:D,4,FALSE),"")</f>
        <v>Montelima</v>
      </c>
    </row>
    <row r="268" spans="1:11" x14ac:dyDescent="0.35">
      <c r="A268" s="7" t="str">
        <f>Detalle_OC[[#This Row],[Centro]]&amp;Detalle_OC[[#This Row],[Nom Almacen]]&amp;Detalle_OC[[#This Row],[Material]]&amp;Detalle_OC[[#This Row],[Pedido]]&amp;Detalle_OC[[#This Row],[Posicion]]</f>
        <v>Sucroalcolera del Chira PlantaMontelima7216465500022436530</v>
      </c>
      <c r="B268" t="s">
        <v>38</v>
      </c>
      <c r="C268" t="s">
        <v>413</v>
      </c>
      <c r="D268" s="17">
        <v>44658</v>
      </c>
      <c r="E268" t="s">
        <v>26</v>
      </c>
      <c r="F268" t="s">
        <v>41</v>
      </c>
      <c r="G268">
        <v>721646</v>
      </c>
      <c r="H268">
        <v>5500022436</v>
      </c>
      <c r="I268">
        <v>530</v>
      </c>
      <c r="J268" s="7">
        <v>1</v>
      </c>
      <c r="K268" s="7" t="str">
        <f>IFERROR(VLOOKUP(Detalle_OC[[#This Row],[Centro]]&amp;Detalle_OC[[#This Row],[Nro Almacen]],Almacen!A:D,4,FALSE),"")</f>
        <v>Montelima</v>
      </c>
    </row>
    <row r="269" spans="1:11" x14ac:dyDescent="0.35">
      <c r="A269" s="7" t="str">
        <f>Detalle_OC[[#This Row],[Centro]]&amp;Detalle_OC[[#This Row],[Nom Almacen]]&amp;Detalle_OC[[#This Row],[Material]]&amp;Detalle_OC[[#This Row],[Pedido]]&amp;Detalle_OC[[#This Row],[Posicion]]</f>
        <v>Sucroalcolera del Chira PlantaMontelima7216465500022436530</v>
      </c>
      <c r="B269" t="s">
        <v>38</v>
      </c>
      <c r="C269" t="s">
        <v>413</v>
      </c>
      <c r="D269" s="17">
        <v>44950</v>
      </c>
      <c r="E269" t="s">
        <v>26</v>
      </c>
      <c r="F269" t="s">
        <v>41</v>
      </c>
      <c r="G269">
        <v>721646</v>
      </c>
      <c r="H269">
        <v>5500022436</v>
      </c>
      <c r="I269">
        <v>530</v>
      </c>
      <c r="J269" s="7">
        <v>1</v>
      </c>
      <c r="K269" s="7" t="str">
        <f>IFERROR(VLOOKUP(Detalle_OC[[#This Row],[Centro]]&amp;Detalle_OC[[#This Row],[Nro Almacen]],Almacen!A:D,4,FALSE),"")</f>
        <v>Montelima</v>
      </c>
    </row>
    <row r="270" spans="1:11" x14ac:dyDescent="0.35">
      <c r="A270" s="7" t="str">
        <f>Detalle_OC[[#This Row],[Centro]]&amp;Detalle_OC[[#This Row],[Nom Almacen]]&amp;Detalle_OC[[#This Row],[Material]]&amp;Detalle_OC[[#This Row],[Pedido]]&amp;Detalle_OC[[#This Row],[Posicion]]</f>
        <v>Agricola del Chira PlantaMontelima72166955000224351400</v>
      </c>
      <c r="B270" t="s">
        <v>38</v>
      </c>
      <c r="C270" t="s">
        <v>413</v>
      </c>
      <c r="D270" s="17">
        <v>44664</v>
      </c>
      <c r="E270" t="s">
        <v>26</v>
      </c>
      <c r="F270" t="s">
        <v>27</v>
      </c>
      <c r="G270">
        <v>721669</v>
      </c>
      <c r="H270">
        <v>5500022435</v>
      </c>
      <c r="I270">
        <v>1400</v>
      </c>
      <c r="J270" s="7">
        <v>1</v>
      </c>
      <c r="K270" s="7" t="str">
        <f>IFERROR(VLOOKUP(Detalle_OC[[#This Row],[Centro]]&amp;Detalle_OC[[#This Row],[Nro Almacen]],Almacen!A:D,4,FALSE),"")</f>
        <v>Montelima</v>
      </c>
    </row>
    <row r="271" spans="1:11" x14ac:dyDescent="0.35">
      <c r="A271" s="7" t="str">
        <f>Detalle_OC[[#This Row],[Centro]]&amp;Detalle_OC[[#This Row],[Nom Almacen]]&amp;Detalle_OC[[#This Row],[Material]]&amp;Detalle_OC[[#This Row],[Pedido]]&amp;Detalle_OC[[#This Row],[Posicion]]</f>
        <v>Agricola del Chira PlantaMontelima72166955000224351400</v>
      </c>
      <c r="B271" t="s">
        <v>38</v>
      </c>
      <c r="C271" t="s">
        <v>413</v>
      </c>
      <c r="D271" s="17">
        <v>44708</v>
      </c>
      <c r="E271" t="s">
        <v>26</v>
      </c>
      <c r="F271" t="s">
        <v>27</v>
      </c>
      <c r="G271">
        <v>721669</v>
      </c>
      <c r="H271">
        <v>5500022435</v>
      </c>
      <c r="I271">
        <v>1400</v>
      </c>
      <c r="J271" s="7">
        <v>1</v>
      </c>
      <c r="K271" s="7" t="str">
        <f>IFERROR(VLOOKUP(Detalle_OC[[#This Row],[Centro]]&amp;Detalle_OC[[#This Row],[Nro Almacen]],Almacen!A:D,4,FALSE),"")</f>
        <v>Montelima</v>
      </c>
    </row>
    <row r="272" spans="1:11" x14ac:dyDescent="0.35">
      <c r="A272" s="7" t="str">
        <f>Detalle_OC[[#This Row],[Centro]]&amp;Detalle_OC[[#This Row],[Nom Almacen]]&amp;Detalle_OC[[#This Row],[Material]]&amp;Detalle_OC[[#This Row],[Pedido]]&amp;Detalle_OC[[#This Row],[Posicion]]</f>
        <v>Agricola del Chira PlantaMontelima72166955000224351400</v>
      </c>
      <c r="B272" t="s">
        <v>38</v>
      </c>
      <c r="C272" t="s">
        <v>413</v>
      </c>
      <c r="D272" s="17">
        <v>44727</v>
      </c>
      <c r="E272" t="s">
        <v>26</v>
      </c>
      <c r="F272" t="s">
        <v>27</v>
      </c>
      <c r="G272">
        <v>721669</v>
      </c>
      <c r="H272">
        <v>5500022435</v>
      </c>
      <c r="I272">
        <v>1400</v>
      </c>
      <c r="J272" s="7">
        <v>1</v>
      </c>
      <c r="K272" s="7" t="str">
        <f>IFERROR(VLOOKUP(Detalle_OC[[#This Row],[Centro]]&amp;Detalle_OC[[#This Row],[Nro Almacen]],Almacen!A:D,4,FALSE),"")</f>
        <v>Montelima</v>
      </c>
    </row>
    <row r="273" spans="1:11" x14ac:dyDescent="0.35">
      <c r="A273" s="7" t="str">
        <f>Detalle_OC[[#This Row],[Centro]]&amp;Detalle_OC[[#This Row],[Nom Almacen]]&amp;Detalle_OC[[#This Row],[Material]]&amp;Detalle_OC[[#This Row],[Pedido]]&amp;Detalle_OC[[#This Row],[Posicion]]</f>
        <v>Agricola del Chira PlantaMontelima72166955000224351400</v>
      </c>
      <c r="B273" t="s">
        <v>38</v>
      </c>
      <c r="C273" t="s">
        <v>413</v>
      </c>
      <c r="D273" s="17">
        <v>44755</v>
      </c>
      <c r="E273" t="s">
        <v>26</v>
      </c>
      <c r="F273" t="s">
        <v>27</v>
      </c>
      <c r="G273">
        <v>721669</v>
      </c>
      <c r="H273">
        <v>5500022435</v>
      </c>
      <c r="I273">
        <v>1400</v>
      </c>
      <c r="J273" s="7">
        <v>1</v>
      </c>
      <c r="K273" s="7" t="str">
        <f>IFERROR(VLOOKUP(Detalle_OC[[#This Row],[Centro]]&amp;Detalle_OC[[#This Row],[Nro Almacen]],Almacen!A:D,4,FALSE),"")</f>
        <v>Montelima</v>
      </c>
    </row>
    <row r="274" spans="1:11" x14ac:dyDescent="0.35">
      <c r="A274" s="7" t="str">
        <f>Detalle_OC[[#This Row],[Centro]]&amp;Detalle_OC[[#This Row],[Nom Almacen]]&amp;Detalle_OC[[#This Row],[Material]]&amp;Detalle_OC[[#This Row],[Pedido]]&amp;Detalle_OC[[#This Row],[Posicion]]</f>
        <v>Agricola del Chira PlantaMontelima72166955000224351400</v>
      </c>
      <c r="B274" t="s">
        <v>38</v>
      </c>
      <c r="C274" t="s">
        <v>413</v>
      </c>
      <c r="D274" s="17">
        <v>44783</v>
      </c>
      <c r="E274" t="s">
        <v>26</v>
      </c>
      <c r="F274" t="s">
        <v>27</v>
      </c>
      <c r="G274">
        <v>721669</v>
      </c>
      <c r="H274">
        <v>5500022435</v>
      </c>
      <c r="I274">
        <v>1400</v>
      </c>
      <c r="J274" s="7">
        <v>1</v>
      </c>
      <c r="K274" s="7" t="str">
        <f>IFERROR(VLOOKUP(Detalle_OC[[#This Row],[Centro]]&amp;Detalle_OC[[#This Row],[Nro Almacen]],Almacen!A:D,4,FALSE),"")</f>
        <v>Montelima</v>
      </c>
    </row>
    <row r="275" spans="1:11" x14ac:dyDescent="0.35">
      <c r="A275" s="7" t="str">
        <f>Detalle_OC[[#This Row],[Centro]]&amp;Detalle_OC[[#This Row],[Nom Almacen]]&amp;Detalle_OC[[#This Row],[Material]]&amp;Detalle_OC[[#This Row],[Pedido]]&amp;Detalle_OC[[#This Row],[Posicion]]</f>
        <v>Agricola del Chira PlantaMontelima72166955000224351400</v>
      </c>
      <c r="B275" t="s">
        <v>38</v>
      </c>
      <c r="C275" t="s">
        <v>413</v>
      </c>
      <c r="D275" s="17">
        <v>44812</v>
      </c>
      <c r="E275" t="s">
        <v>26</v>
      </c>
      <c r="F275" t="s">
        <v>27</v>
      </c>
      <c r="G275">
        <v>721669</v>
      </c>
      <c r="H275">
        <v>5500022435</v>
      </c>
      <c r="I275">
        <v>1400</v>
      </c>
      <c r="J275" s="7">
        <v>1</v>
      </c>
      <c r="K275" s="7" t="str">
        <f>IFERROR(VLOOKUP(Detalle_OC[[#This Row],[Centro]]&amp;Detalle_OC[[#This Row],[Nro Almacen]],Almacen!A:D,4,FALSE),"")</f>
        <v>Montelima</v>
      </c>
    </row>
    <row r="276" spans="1:11" x14ac:dyDescent="0.35">
      <c r="A276" s="7" t="str">
        <f>Detalle_OC[[#This Row],[Centro]]&amp;Detalle_OC[[#This Row],[Nom Almacen]]&amp;Detalle_OC[[#This Row],[Material]]&amp;Detalle_OC[[#This Row],[Pedido]]&amp;Detalle_OC[[#This Row],[Posicion]]</f>
        <v>Agricola del Chira PlantaMontelima72166955000224351400</v>
      </c>
      <c r="B276" t="s">
        <v>38</v>
      </c>
      <c r="C276" t="s">
        <v>413</v>
      </c>
      <c r="D276" s="17">
        <v>44909</v>
      </c>
      <c r="E276" t="s">
        <v>26</v>
      </c>
      <c r="F276" t="s">
        <v>27</v>
      </c>
      <c r="G276">
        <v>721669</v>
      </c>
      <c r="H276">
        <v>5500022435</v>
      </c>
      <c r="I276">
        <v>1400</v>
      </c>
      <c r="J276" s="7">
        <v>1</v>
      </c>
      <c r="K276" s="7" t="str">
        <f>IFERROR(VLOOKUP(Detalle_OC[[#This Row],[Centro]]&amp;Detalle_OC[[#This Row],[Nro Almacen]],Almacen!A:D,4,FALSE),"")</f>
        <v>Montelima</v>
      </c>
    </row>
    <row r="277" spans="1:11" x14ac:dyDescent="0.35">
      <c r="A277" s="7" t="str">
        <f>Detalle_OC[[#This Row],[Centro]]&amp;Detalle_OC[[#This Row],[Nom Almacen]]&amp;Detalle_OC[[#This Row],[Material]]&amp;Detalle_OC[[#This Row],[Pedido]]&amp;Detalle_OC[[#This Row],[Posicion]]</f>
        <v>Agricola del Chira PlantaMontelima72166955000224351400</v>
      </c>
      <c r="B277" t="s">
        <v>38</v>
      </c>
      <c r="C277" t="s">
        <v>413</v>
      </c>
      <c r="D277" s="17">
        <v>45000</v>
      </c>
      <c r="E277" t="s">
        <v>26</v>
      </c>
      <c r="F277" t="s">
        <v>27</v>
      </c>
      <c r="G277">
        <v>721669</v>
      </c>
      <c r="H277">
        <v>5500022435</v>
      </c>
      <c r="I277">
        <v>1400</v>
      </c>
      <c r="J277" s="7">
        <v>1</v>
      </c>
      <c r="K277" s="7" t="str">
        <f>IFERROR(VLOOKUP(Detalle_OC[[#This Row],[Centro]]&amp;Detalle_OC[[#This Row],[Nro Almacen]],Almacen!A:D,4,FALSE),"")</f>
        <v>Montelima</v>
      </c>
    </row>
    <row r="278" spans="1:11" x14ac:dyDescent="0.35">
      <c r="A278" s="7" t="str">
        <f>Detalle_OC[[#This Row],[Centro]]&amp;Detalle_OC[[#This Row],[Nom Almacen]]&amp;Detalle_OC[[#This Row],[Material]]&amp;Detalle_OC[[#This Row],[Pedido]]&amp;Detalle_OC[[#This Row],[Posicion]]</f>
        <v>Agricola del Chira PlantaMontelima72166955000224351400</v>
      </c>
      <c r="B278" t="s">
        <v>38</v>
      </c>
      <c r="C278" t="s">
        <v>413</v>
      </c>
      <c r="D278" s="17">
        <v>44993</v>
      </c>
      <c r="E278" t="s">
        <v>26</v>
      </c>
      <c r="F278" t="s">
        <v>27</v>
      </c>
      <c r="G278">
        <v>721669</v>
      </c>
      <c r="H278">
        <v>5500022435</v>
      </c>
      <c r="I278">
        <v>1400</v>
      </c>
      <c r="J278" s="7">
        <v>1</v>
      </c>
      <c r="K278" s="7" t="str">
        <f>IFERROR(VLOOKUP(Detalle_OC[[#This Row],[Centro]]&amp;Detalle_OC[[#This Row],[Nro Almacen]],Almacen!A:D,4,FALSE),"")</f>
        <v>Montelima</v>
      </c>
    </row>
    <row r="279" spans="1:11" x14ac:dyDescent="0.35">
      <c r="A279" s="7" t="str">
        <f>Detalle_OC[[#This Row],[Centro]]&amp;Detalle_OC[[#This Row],[Nom Almacen]]&amp;Detalle_OC[[#This Row],[Material]]&amp;Detalle_OC[[#This Row],[Pedido]]&amp;Detalle_OC[[#This Row],[Posicion]]</f>
        <v>Agricola del Chira PlantaLa Huaca72166955000224351490</v>
      </c>
      <c r="B279" t="s">
        <v>38</v>
      </c>
      <c r="C279" t="s">
        <v>413</v>
      </c>
      <c r="D279" s="17">
        <v>44664</v>
      </c>
      <c r="E279" t="s">
        <v>26</v>
      </c>
      <c r="F279" t="s">
        <v>27</v>
      </c>
      <c r="G279">
        <v>721669</v>
      </c>
      <c r="H279">
        <v>5500022435</v>
      </c>
      <c r="I279">
        <v>1490</v>
      </c>
      <c r="J279" s="7">
        <v>2</v>
      </c>
      <c r="K279" s="7" t="str">
        <f>IFERROR(VLOOKUP(Detalle_OC[[#This Row],[Centro]]&amp;Detalle_OC[[#This Row],[Nro Almacen]],Almacen!A:D,4,FALSE),"")</f>
        <v>La Huaca</v>
      </c>
    </row>
    <row r="280" spans="1:11" x14ac:dyDescent="0.35">
      <c r="A280" s="7" t="str">
        <f>Detalle_OC[[#This Row],[Centro]]&amp;Detalle_OC[[#This Row],[Nom Almacen]]&amp;Detalle_OC[[#This Row],[Material]]&amp;Detalle_OC[[#This Row],[Pedido]]&amp;Detalle_OC[[#This Row],[Posicion]]</f>
        <v>Agricola del Chira PlantaLa Huaca72166955000224351490</v>
      </c>
      <c r="B280" t="s">
        <v>38</v>
      </c>
      <c r="C280" t="s">
        <v>413</v>
      </c>
      <c r="D280" s="17">
        <v>44749</v>
      </c>
      <c r="E280" t="s">
        <v>26</v>
      </c>
      <c r="F280" t="s">
        <v>27</v>
      </c>
      <c r="G280">
        <v>721669</v>
      </c>
      <c r="H280">
        <v>5500022435</v>
      </c>
      <c r="I280">
        <v>1490</v>
      </c>
      <c r="J280" s="7">
        <v>2</v>
      </c>
      <c r="K280" s="7" t="str">
        <f>IFERROR(VLOOKUP(Detalle_OC[[#This Row],[Centro]]&amp;Detalle_OC[[#This Row],[Nro Almacen]],Almacen!A:D,4,FALSE),"")</f>
        <v>La Huaca</v>
      </c>
    </row>
    <row r="281" spans="1:11" x14ac:dyDescent="0.35">
      <c r="A281" s="7" t="str">
        <f>Detalle_OC[[#This Row],[Centro]]&amp;Detalle_OC[[#This Row],[Nom Almacen]]&amp;Detalle_OC[[#This Row],[Material]]&amp;Detalle_OC[[#This Row],[Pedido]]&amp;Detalle_OC[[#This Row],[Posicion]]</f>
        <v>Agricola del Chira PlantaLa Huaca72166955000224351490</v>
      </c>
      <c r="B281" t="s">
        <v>38</v>
      </c>
      <c r="C281" t="s">
        <v>413</v>
      </c>
      <c r="D281" s="17">
        <v>44812</v>
      </c>
      <c r="E281" t="s">
        <v>26</v>
      </c>
      <c r="F281" t="s">
        <v>27</v>
      </c>
      <c r="G281">
        <v>721669</v>
      </c>
      <c r="H281">
        <v>5500022435</v>
      </c>
      <c r="I281">
        <v>1490</v>
      </c>
      <c r="J281" s="7">
        <v>2</v>
      </c>
      <c r="K281" s="7" t="str">
        <f>IFERROR(VLOOKUP(Detalle_OC[[#This Row],[Centro]]&amp;Detalle_OC[[#This Row],[Nro Almacen]],Almacen!A:D,4,FALSE),"")</f>
        <v>La Huaca</v>
      </c>
    </row>
    <row r="282" spans="1:11" x14ac:dyDescent="0.35">
      <c r="A282" s="7" t="str">
        <f>Detalle_OC[[#This Row],[Centro]]&amp;Detalle_OC[[#This Row],[Nom Almacen]]&amp;Detalle_OC[[#This Row],[Material]]&amp;Detalle_OC[[#This Row],[Pedido]]&amp;Detalle_OC[[#This Row],[Posicion]]</f>
        <v>Agricola del Chira PlantaLa Huaca72166955000224351490</v>
      </c>
      <c r="B282" t="s">
        <v>38</v>
      </c>
      <c r="C282" t="s">
        <v>413</v>
      </c>
      <c r="D282" s="17">
        <v>44936</v>
      </c>
      <c r="E282" t="s">
        <v>26</v>
      </c>
      <c r="F282" t="s">
        <v>27</v>
      </c>
      <c r="G282">
        <v>721669</v>
      </c>
      <c r="H282">
        <v>5500022435</v>
      </c>
      <c r="I282">
        <v>1490</v>
      </c>
      <c r="J282" s="7">
        <v>2</v>
      </c>
      <c r="K282" s="7" t="str">
        <f>IFERROR(VLOOKUP(Detalle_OC[[#This Row],[Centro]]&amp;Detalle_OC[[#This Row],[Nro Almacen]],Almacen!A:D,4,FALSE),"")</f>
        <v>La Huaca</v>
      </c>
    </row>
    <row r="283" spans="1:11" x14ac:dyDescent="0.35">
      <c r="A283" s="7" t="str">
        <f>Detalle_OC[[#This Row],[Centro]]&amp;Detalle_OC[[#This Row],[Nom Almacen]]&amp;Detalle_OC[[#This Row],[Material]]&amp;Detalle_OC[[#This Row],[Pedido]]&amp;Detalle_OC[[#This Row],[Posicion]]</f>
        <v>Agricola del Chira PlantaLa Huaca72166955000224351490</v>
      </c>
      <c r="B283" t="s">
        <v>38</v>
      </c>
      <c r="C283" t="s">
        <v>413</v>
      </c>
      <c r="D283" s="17">
        <v>44965</v>
      </c>
      <c r="E283" t="s">
        <v>26</v>
      </c>
      <c r="F283" t="s">
        <v>27</v>
      </c>
      <c r="G283">
        <v>721669</v>
      </c>
      <c r="H283">
        <v>5500022435</v>
      </c>
      <c r="I283">
        <v>1490</v>
      </c>
      <c r="J283" s="7">
        <v>2</v>
      </c>
      <c r="K283" s="7" t="str">
        <f>IFERROR(VLOOKUP(Detalle_OC[[#This Row],[Centro]]&amp;Detalle_OC[[#This Row],[Nro Almacen]],Almacen!A:D,4,FALSE),"")</f>
        <v>La Huaca</v>
      </c>
    </row>
    <row r="284" spans="1:11" x14ac:dyDescent="0.35">
      <c r="A284" s="7" t="str">
        <f>Detalle_OC[[#This Row],[Centro]]&amp;Detalle_OC[[#This Row],[Nom Almacen]]&amp;Detalle_OC[[#This Row],[Material]]&amp;Detalle_OC[[#This Row],[Pedido]]&amp;Detalle_OC[[#This Row],[Posicion]]</f>
        <v>Agricola del Chira PlantaAlmacen Lobo72166955000224351580</v>
      </c>
      <c r="B284" t="s">
        <v>38</v>
      </c>
      <c r="C284" t="s">
        <v>413</v>
      </c>
      <c r="D284" s="17">
        <v>44702</v>
      </c>
      <c r="E284" t="s">
        <v>26</v>
      </c>
      <c r="F284" t="s">
        <v>27</v>
      </c>
      <c r="G284">
        <v>721669</v>
      </c>
      <c r="H284">
        <v>5500022435</v>
      </c>
      <c r="I284">
        <v>1580</v>
      </c>
      <c r="J284" s="7">
        <v>7</v>
      </c>
      <c r="K284" s="7" t="str">
        <f>IFERROR(VLOOKUP(Detalle_OC[[#This Row],[Centro]]&amp;Detalle_OC[[#This Row],[Nro Almacen]],Almacen!A:D,4,FALSE),"")</f>
        <v>Almacen Lobo</v>
      </c>
    </row>
    <row r="285" spans="1:11" x14ac:dyDescent="0.35">
      <c r="A285" s="7" t="str">
        <f>Detalle_OC[[#This Row],[Centro]]&amp;Detalle_OC[[#This Row],[Nom Almacen]]&amp;Detalle_OC[[#This Row],[Material]]&amp;Detalle_OC[[#This Row],[Pedido]]&amp;Detalle_OC[[#This Row],[Posicion]]</f>
        <v>Agricola del Chira PlantaAlmacen Lobo72166955000224351580</v>
      </c>
      <c r="B285" t="s">
        <v>38</v>
      </c>
      <c r="C285" t="s">
        <v>413</v>
      </c>
      <c r="D285" s="17">
        <v>45000</v>
      </c>
      <c r="E285" t="s">
        <v>26</v>
      </c>
      <c r="F285" t="s">
        <v>27</v>
      </c>
      <c r="G285">
        <v>721669</v>
      </c>
      <c r="H285">
        <v>5500022435</v>
      </c>
      <c r="I285">
        <v>1580</v>
      </c>
      <c r="J285" s="7">
        <v>7</v>
      </c>
      <c r="K285" s="7" t="str">
        <f>IFERROR(VLOOKUP(Detalle_OC[[#This Row],[Centro]]&amp;Detalle_OC[[#This Row],[Nro Almacen]],Almacen!A:D,4,FALSE),"")</f>
        <v>Almacen Lobo</v>
      </c>
    </row>
    <row r="286" spans="1:11" x14ac:dyDescent="0.35">
      <c r="A286" s="7" t="str">
        <f>Detalle_OC[[#This Row],[Centro]]&amp;Detalle_OC[[#This Row],[Nom Almacen]]&amp;Detalle_OC[[#This Row],[Material]]&amp;Detalle_OC[[#This Row],[Pedido]]&amp;Detalle_OC[[#This Row],[Posicion]]</f>
        <v>Agricola del Chira PlantaSan Vicente72166955000224351670</v>
      </c>
      <c r="B286" t="s">
        <v>38</v>
      </c>
      <c r="C286" t="s">
        <v>413</v>
      </c>
      <c r="D286" s="17">
        <v>44687</v>
      </c>
      <c r="E286" t="s">
        <v>26</v>
      </c>
      <c r="F286" t="s">
        <v>27</v>
      </c>
      <c r="G286">
        <v>721669</v>
      </c>
      <c r="H286">
        <v>5500022435</v>
      </c>
      <c r="I286">
        <v>1670</v>
      </c>
      <c r="J286" s="7">
        <v>3</v>
      </c>
      <c r="K286" s="7" t="str">
        <f>IFERROR(VLOOKUP(Detalle_OC[[#This Row],[Centro]]&amp;Detalle_OC[[#This Row],[Nro Almacen]],Almacen!A:D,4,FALSE),"")</f>
        <v>San Vicente</v>
      </c>
    </row>
    <row r="287" spans="1:11" x14ac:dyDescent="0.35">
      <c r="A287" s="7" t="str">
        <f>Detalle_OC[[#This Row],[Centro]]&amp;Detalle_OC[[#This Row],[Nom Almacen]]&amp;Detalle_OC[[#This Row],[Material]]&amp;Detalle_OC[[#This Row],[Pedido]]&amp;Detalle_OC[[#This Row],[Posicion]]</f>
        <v>Agricola del Chira PlantaSan Vicente72166955000224351670</v>
      </c>
      <c r="B287" t="s">
        <v>38</v>
      </c>
      <c r="C287" t="s">
        <v>413</v>
      </c>
      <c r="D287" s="17">
        <v>44691</v>
      </c>
      <c r="E287" t="s">
        <v>26</v>
      </c>
      <c r="F287" t="s">
        <v>27</v>
      </c>
      <c r="G287">
        <v>721669</v>
      </c>
      <c r="H287">
        <v>5500022435</v>
      </c>
      <c r="I287">
        <v>1670</v>
      </c>
      <c r="J287" s="7">
        <v>3</v>
      </c>
      <c r="K287" s="7" t="str">
        <f>IFERROR(VLOOKUP(Detalle_OC[[#This Row],[Centro]]&amp;Detalle_OC[[#This Row],[Nro Almacen]],Almacen!A:D,4,FALSE),"")</f>
        <v>San Vicente</v>
      </c>
    </row>
    <row r="288" spans="1:11" x14ac:dyDescent="0.35">
      <c r="A288" s="7" t="str">
        <f>Detalle_OC[[#This Row],[Centro]]&amp;Detalle_OC[[#This Row],[Nom Almacen]]&amp;Detalle_OC[[#This Row],[Material]]&amp;Detalle_OC[[#This Row],[Pedido]]&amp;Detalle_OC[[#This Row],[Posicion]]</f>
        <v>Agricola del Chira PlantaSan Vicente72166955000224351670</v>
      </c>
      <c r="B288" t="s">
        <v>38</v>
      </c>
      <c r="C288" t="s">
        <v>413</v>
      </c>
      <c r="D288" s="17">
        <v>44727</v>
      </c>
      <c r="E288" t="s">
        <v>26</v>
      </c>
      <c r="F288" t="s">
        <v>27</v>
      </c>
      <c r="G288">
        <v>721669</v>
      </c>
      <c r="H288">
        <v>5500022435</v>
      </c>
      <c r="I288">
        <v>1670</v>
      </c>
      <c r="J288" s="7">
        <v>3</v>
      </c>
      <c r="K288" s="7" t="str">
        <f>IFERROR(VLOOKUP(Detalle_OC[[#This Row],[Centro]]&amp;Detalle_OC[[#This Row],[Nro Almacen]],Almacen!A:D,4,FALSE),"")</f>
        <v>San Vicente</v>
      </c>
    </row>
    <row r="289" spans="1:11" x14ac:dyDescent="0.35">
      <c r="A289" s="7" t="str">
        <f>Detalle_OC[[#This Row],[Centro]]&amp;Detalle_OC[[#This Row],[Nom Almacen]]&amp;Detalle_OC[[#This Row],[Material]]&amp;Detalle_OC[[#This Row],[Pedido]]&amp;Detalle_OC[[#This Row],[Posicion]]</f>
        <v>Agricola del Chira PlantaSan Vicente72166955000224351670</v>
      </c>
      <c r="B289" t="s">
        <v>38</v>
      </c>
      <c r="C289" t="s">
        <v>413</v>
      </c>
      <c r="D289" s="17">
        <v>44806</v>
      </c>
      <c r="E289" t="s">
        <v>26</v>
      </c>
      <c r="F289" t="s">
        <v>27</v>
      </c>
      <c r="G289">
        <v>721669</v>
      </c>
      <c r="H289">
        <v>5500022435</v>
      </c>
      <c r="I289">
        <v>1670</v>
      </c>
      <c r="J289" s="7">
        <v>3</v>
      </c>
      <c r="K289" s="7" t="str">
        <f>IFERROR(VLOOKUP(Detalle_OC[[#This Row],[Centro]]&amp;Detalle_OC[[#This Row],[Nro Almacen]],Almacen!A:D,4,FALSE),"")</f>
        <v>San Vicente</v>
      </c>
    </row>
    <row r="290" spans="1:11" x14ac:dyDescent="0.35">
      <c r="A290" s="7" t="str">
        <f>Detalle_OC[[#This Row],[Centro]]&amp;Detalle_OC[[#This Row],[Nom Almacen]]&amp;Detalle_OC[[#This Row],[Material]]&amp;Detalle_OC[[#This Row],[Pedido]]&amp;Detalle_OC[[#This Row],[Posicion]]</f>
        <v>Agricola del Chira PlantaSan Vicente72166955000224351670</v>
      </c>
      <c r="B290" t="s">
        <v>38</v>
      </c>
      <c r="C290" t="s">
        <v>413</v>
      </c>
      <c r="D290" s="17">
        <v>44816</v>
      </c>
      <c r="E290" t="s">
        <v>26</v>
      </c>
      <c r="F290" t="s">
        <v>27</v>
      </c>
      <c r="G290">
        <v>721669</v>
      </c>
      <c r="H290">
        <v>5500022435</v>
      </c>
      <c r="I290">
        <v>1670</v>
      </c>
      <c r="J290" s="7">
        <v>3</v>
      </c>
      <c r="K290" s="7" t="str">
        <f>IFERROR(VLOOKUP(Detalle_OC[[#This Row],[Centro]]&amp;Detalle_OC[[#This Row],[Nro Almacen]],Almacen!A:D,4,FALSE),"")</f>
        <v>San Vicente</v>
      </c>
    </row>
    <row r="291" spans="1:11" x14ac:dyDescent="0.35">
      <c r="A291" s="7" t="str">
        <f>Detalle_OC[[#This Row],[Centro]]&amp;Detalle_OC[[#This Row],[Nom Almacen]]&amp;Detalle_OC[[#This Row],[Material]]&amp;Detalle_OC[[#This Row],[Pedido]]&amp;Detalle_OC[[#This Row],[Posicion]]</f>
        <v>Agricola del Chira PlantaSan Vicente72166955000224351670</v>
      </c>
      <c r="B291" t="s">
        <v>38</v>
      </c>
      <c r="C291" t="s">
        <v>413</v>
      </c>
      <c r="D291" s="17">
        <v>44827</v>
      </c>
      <c r="E291" t="s">
        <v>26</v>
      </c>
      <c r="F291" t="s">
        <v>27</v>
      </c>
      <c r="G291">
        <v>721669</v>
      </c>
      <c r="H291">
        <v>5500022435</v>
      </c>
      <c r="I291">
        <v>1670</v>
      </c>
      <c r="J291" s="7">
        <v>3</v>
      </c>
      <c r="K291" s="7" t="str">
        <f>IFERROR(VLOOKUP(Detalle_OC[[#This Row],[Centro]]&amp;Detalle_OC[[#This Row],[Nro Almacen]],Almacen!A:D,4,FALSE),"")</f>
        <v>San Vicente</v>
      </c>
    </row>
    <row r="292" spans="1:11" x14ac:dyDescent="0.35">
      <c r="A292" s="7" t="str">
        <f>Detalle_OC[[#This Row],[Centro]]&amp;Detalle_OC[[#This Row],[Nom Almacen]]&amp;Detalle_OC[[#This Row],[Material]]&amp;Detalle_OC[[#This Row],[Pedido]]&amp;Detalle_OC[[#This Row],[Posicion]]</f>
        <v>Agricola del Chira PlantaSan Vicente72166955000224351670</v>
      </c>
      <c r="B292" t="s">
        <v>38</v>
      </c>
      <c r="C292" t="s">
        <v>413</v>
      </c>
      <c r="D292" s="17">
        <v>44855</v>
      </c>
      <c r="E292" t="s">
        <v>26</v>
      </c>
      <c r="F292" t="s">
        <v>27</v>
      </c>
      <c r="G292">
        <v>721669</v>
      </c>
      <c r="H292">
        <v>5500022435</v>
      </c>
      <c r="I292">
        <v>1670</v>
      </c>
      <c r="J292" s="7">
        <v>3</v>
      </c>
      <c r="K292" s="7" t="str">
        <f>IFERROR(VLOOKUP(Detalle_OC[[#This Row],[Centro]]&amp;Detalle_OC[[#This Row],[Nro Almacen]],Almacen!A:D,4,FALSE),"")</f>
        <v>San Vicente</v>
      </c>
    </row>
    <row r="293" spans="1:11" x14ac:dyDescent="0.35">
      <c r="A293" s="7" t="str">
        <f>Detalle_OC[[#This Row],[Centro]]&amp;Detalle_OC[[#This Row],[Nom Almacen]]&amp;Detalle_OC[[#This Row],[Material]]&amp;Detalle_OC[[#This Row],[Pedido]]&amp;Detalle_OC[[#This Row],[Posicion]]</f>
        <v>Agricola del Chira PlantaSan Vicente72166955000224351670</v>
      </c>
      <c r="B293" t="s">
        <v>38</v>
      </c>
      <c r="C293" t="s">
        <v>413</v>
      </c>
      <c r="D293" s="17">
        <v>44874</v>
      </c>
      <c r="E293" t="s">
        <v>26</v>
      </c>
      <c r="F293" t="s">
        <v>27</v>
      </c>
      <c r="G293">
        <v>721669</v>
      </c>
      <c r="H293">
        <v>5500022435</v>
      </c>
      <c r="I293">
        <v>1670</v>
      </c>
      <c r="J293" s="7">
        <v>3</v>
      </c>
      <c r="K293" s="7" t="str">
        <f>IFERROR(VLOOKUP(Detalle_OC[[#This Row],[Centro]]&amp;Detalle_OC[[#This Row],[Nro Almacen]],Almacen!A:D,4,FALSE),"")</f>
        <v>San Vicente</v>
      </c>
    </row>
    <row r="294" spans="1:11" x14ac:dyDescent="0.35">
      <c r="A294" s="7" t="str">
        <f>Detalle_OC[[#This Row],[Centro]]&amp;Detalle_OC[[#This Row],[Nom Almacen]]&amp;Detalle_OC[[#This Row],[Material]]&amp;Detalle_OC[[#This Row],[Pedido]]&amp;Detalle_OC[[#This Row],[Posicion]]</f>
        <v>Agricola del Chira PlantaSan Vicente72166955000224351670</v>
      </c>
      <c r="B294" t="s">
        <v>38</v>
      </c>
      <c r="C294" t="s">
        <v>413</v>
      </c>
      <c r="D294" s="17">
        <v>44874</v>
      </c>
      <c r="E294" t="s">
        <v>26</v>
      </c>
      <c r="F294" t="s">
        <v>27</v>
      </c>
      <c r="G294">
        <v>721669</v>
      </c>
      <c r="H294">
        <v>5500022435</v>
      </c>
      <c r="I294">
        <v>1670</v>
      </c>
      <c r="J294" s="7">
        <v>3</v>
      </c>
      <c r="K294" s="7" t="str">
        <f>IFERROR(VLOOKUP(Detalle_OC[[#This Row],[Centro]]&amp;Detalle_OC[[#This Row],[Nro Almacen]],Almacen!A:D,4,FALSE),"")</f>
        <v>San Vicente</v>
      </c>
    </row>
    <row r="295" spans="1:11" x14ac:dyDescent="0.35">
      <c r="A295" s="7" t="str">
        <f>Detalle_OC[[#This Row],[Centro]]&amp;Detalle_OC[[#This Row],[Nom Almacen]]&amp;Detalle_OC[[#This Row],[Material]]&amp;Detalle_OC[[#This Row],[Pedido]]&amp;Detalle_OC[[#This Row],[Posicion]]</f>
        <v>Agricola del Chira PlantaSan Vicente72166955000224351670</v>
      </c>
      <c r="B295" t="s">
        <v>38</v>
      </c>
      <c r="C295" t="s">
        <v>413</v>
      </c>
      <c r="D295" s="17">
        <v>44880</v>
      </c>
      <c r="E295" t="s">
        <v>26</v>
      </c>
      <c r="F295" t="s">
        <v>27</v>
      </c>
      <c r="G295">
        <v>721669</v>
      </c>
      <c r="H295">
        <v>5500022435</v>
      </c>
      <c r="I295">
        <v>1670</v>
      </c>
      <c r="J295" s="7">
        <v>3</v>
      </c>
      <c r="K295" s="7" t="str">
        <f>IFERROR(VLOOKUP(Detalle_OC[[#This Row],[Centro]]&amp;Detalle_OC[[#This Row],[Nro Almacen]],Almacen!A:D,4,FALSE),"")</f>
        <v>San Vicente</v>
      </c>
    </row>
    <row r="296" spans="1:11" x14ac:dyDescent="0.35">
      <c r="A296" s="7" t="str">
        <f>Detalle_OC[[#This Row],[Centro]]&amp;Detalle_OC[[#This Row],[Nom Almacen]]&amp;Detalle_OC[[#This Row],[Material]]&amp;Detalle_OC[[#This Row],[Pedido]]&amp;Detalle_OC[[#This Row],[Posicion]]</f>
        <v>Agricola del Chira PlantaSan Vicente72166955000224351670</v>
      </c>
      <c r="B296" t="s">
        <v>38</v>
      </c>
      <c r="C296" t="s">
        <v>413</v>
      </c>
      <c r="D296" s="17">
        <v>44950</v>
      </c>
      <c r="E296" t="s">
        <v>26</v>
      </c>
      <c r="F296" t="s">
        <v>27</v>
      </c>
      <c r="G296">
        <v>721669</v>
      </c>
      <c r="H296">
        <v>5500022435</v>
      </c>
      <c r="I296">
        <v>1670</v>
      </c>
      <c r="J296" s="7">
        <v>3</v>
      </c>
      <c r="K296" s="7" t="str">
        <f>IFERROR(VLOOKUP(Detalle_OC[[#This Row],[Centro]]&amp;Detalle_OC[[#This Row],[Nro Almacen]],Almacen!A:D,4,FALSE),"")</f>
        <v>San Vicente</v>
      </c>
    </row>
    <row r="297" spans="1:11" x14ac:dyDescent="0.35">
      <c r="A297" s="7" t="str">
        <f>Detalle_OC[[#This Row],[Centro]]&amp;Detalle_OC[[#This Row],[Nom Almacen]]&amp;Detalle_OC[[#This Row],[Material]]&amp;Detalle_OC[[#This Row],[Pedido]]&amp;Detalle_OC[[#This Row],[Posicion]]</f>
        <v>Agricola del Chira PlantaSan Vicente72166955000224351670</v>
      </c>
      <c r="B297" t="s">
        <v>38</v>
      </c>
      <c r="C297" t="s">
        <v>413</v>
      </c>
      <c r="D297" s="17">
        <v>44951</v>
      </c>
      <c r="E297" t="s">
        <v>26</v>
      </c>
      <c r="F297" t="s">
        <v>27</v>
      </c>
      <c r="G297">
        <v>721669</v>
      </c>
      <c r="H297">
        <v>5500022435</v>
      </c>
      <c r="I297">
        <v>1670</v>
      </c>
      <c r="J297" s="7">
        <v>3</v>
      </c>
      <c r="K297" s="7" t="str">
        <f>IFERROR(VLOOKUP(Detalle_OC[[#This Row],[Centro]]&amp;Detalle_OC[[#This Row],[Nro Almacen]],Almacen!A:D,4,FALSE),"")</f>
        <v>San Vicente</v>
      </c>
    </row>
    <row r="298" spans="1:11" x14ac:dyDescent="0.35">
      <c r="A298" s="7" t="str">
        <f>Detalle_OC[[#This Row],[Centro]]&amp;Detalle_OC[[#This Row],[Nom Almacen]]&amp;Detalle_OC[[#This Row],[Material]]&amp;Detalle_OC[[#This Row],[Pedido]]&amp;Detalle_OC[[#This Row],[Posicion]]</f>
        <v>Agricola del Chira PlantaSan Vicente72166955000224351670</v>
      </c>
      <c r="B298" t="s">
        <v>38</v>
      </c>
      <c r="C298" t="s">
        <v>413</v>
      </c>
      <c r="D298" s="17">
        <v>44993</v>
      </c>
      <c r="E298" t="s">
        <v>26</v>
      </c>
      <c r="F298" t="s">
        <v>27</v>
      </c>
      <c r="G298">
        <v>721669</v>
      </c>
      <c r="H298">
        <v>5500022435</v>
      </c>
      <c r="I298">
        <v>1670</v>
      </c>
      <c r="J298" s="7">
        <v>3</v>
      </c>
      <c r="K298" s="7" t="str">
        <f>IFERROR(VLOOKUP(Detalle_OC[[#This Row],[Centro]]&amp;Detalle_OC[[#This Row],[Nro Almacen]],Almacen!A:D,4,FALSE),"")</f>
        <v>San Vicente</v>
      </c>
    </row>
    <row r="299" spans="1:11" x14ac:dyDescent="0.35">
      <c r="A299" s="7" t="str">
        <f>Detalle_OC[[#This Row],[Centro]]&amp;Detalle_OC[[#This Row],[Nom Almacen]]&amp;Detalle_OC[[#This Row],[Material]]&amp;Detalle_OC[[#This Row],[Pedido]]&amp;Detalle_OC[[#This Row],[Posicion]]</f>
        <v>Sucroalcolera del Chira PlantaMontelima7216695500022436420</v>
      </c>
      <c r="B299" t="s">
        <v>38</v>
      </c>
      <c r="C299" t="s">
        <v>413</v>
      </c>
      <c r="D299" s="17">
        <v>44637</v>
      </c>
      <c r="E299" t="s">
        <v>26</v>
      </c>
      <c r="F299" t="s">
        <v>41</v>
      </c>
      <c r="G299">
        <v>721669</v>
      </c>
      <c r="H299">
        <v>5500022436</v>
      </c>
      <c r="I299">
        <v>420</v>
      </c>
      <c r="J299" s="7">
        <v>1</v>
      </c>
      <c r="K299" s="7" t="str">
        <f>IFERROR(VLOOKUP(Detalle_OC[[#This Row],[Centro]]&amp;Detalle_OC[[#This Row],[Nro Almacen]],Almacen!A:D,4,FALSE),"")</f>
        <v>Montelima</v>
      </c>
    </row>
    <row r="300" spans="1:11" x14ac:dyDescent="0.35">
      <c r="A300" s="7" t="str">
        <f>Detalle_OC[[#This Row],[Centro]]&amp;Detalle_OC[[#This Row],[Nom Almacen]]&amp;Detalle_OC[[#This Row],[Material]]&amp;Detalle_OC[[#This Row],[Pedido]]&amp;Detalle_OC[[#This Row],[Posicion]]</f>
        <v>Sucroalcolera del Chira PlantaMontelima7216695500022436420</v>
      </c>
      <c r="B300" t="s">
        <v>38</v>
      </c>
      <c r="C300" t="s">
        <v>413</v>
      </c>
      <c r="D300" s="17">
        <v>44659</v>
      </c>
      <c r="E300" t="s">
        <v>26</v>
      </c>
      <c r="F300" t="s">
        <v>41</v>
      </c>
      <c r="G300">
        <v>721669</v>
      </c>
      <c r="H300">
        <v>5500022436</v>
      </c>
      <c r="I300">
        <v>420</v>
      </c>
      <c r="J300" s="7">
        <v>1</v>
      </c>
      <c r="K300" s="7" t="str">
        <f>IFERROR(VLOOKUP(Detalle_OC[[#This Row],[Centro]]&amp;Detalle_OC[[#This Row],[Nro Almacen]],Almacen!A:D,4,FALSE),"")</f>
        <v>Montelima</v>
      </c>
    </row>
    <row r="301" spans="1:11" x14ac:dyDescent="0.35">
      <c r="A301" s="7" t="str">
        <f>Detalle_OC[[#This Row],[Centro]]&amp;Detalle_OC[[#This Row],[Nom Almacen]]&amp;Detalle_OC[[#This Row],[Material]]&amp;Detalle_OC[[#This Row],[Pedido]]&amp;Detalle_OC[[#This Row],[Posicion]]</f>
        <v>Sucroalcolera del Chira PlantaMontelima7216695500022436420</v>
      </c>
      <c r="B301" t="s">
        <v>38</v>
      </c>
      <c r="C301" t="s">
        <v>413</v>
      </c>
      <c r="D301" s="17">
        <v>44687</v>
      </c>
      <c r="E301" t="s">
        <v>26</v>
      </c>
      <c r="F301" t="s">
        <v>41</v>
      </c>
      <c r="G301">
        <v>721669</v>
      </c>
      <c r="H301">
        <v>5500022436</v>
      </c>
      <c r="I301">
        <v>420</v>
      </c>
      <c r="J301" s="7">
        <v>1</v>
      </c>
      <c r="K301" s="7" t="str">
        <f>IFERROR(VLOOKUP(Detalle_OC[[#This Row],[Centro]]&amp;Detalle_OC[[#This Row],[Nro Almacen]],Almacen!A:D,4,FALSE),"")</f>
        <v>Montelima</v>
      </c>
    </row>
    <row r="302" spans="1:11" x14ac:dyDescent="0.35">
      <c r="A302" s="7" t="str">
        <f>Detalle_OC[[#This Row],[Centro]]&amp;Detalle_OC[[#This Row],[Nom Almacen]]&amp;Detalle_OC[[#This Row],[Material]]&amp;Detalle_OC[[#This Row],[Pedido]]&amp;Detalle_OC[[#This Row],[Posicion]]</f>
        <v>Sucroalcolera del Chira PlantaMontelima7216695500022436420</v>
      </c>
      <c r="B302" t="s">
        <v>38</v>
      </c>
      <c r="C302" t="s">
        <v>413</v>
      </c>
      <c r="D302" s="17">
        <v>44783</v>
      </c>
      <c r="E302" t="s">
        <v>26</v>
      </c>
      <c r="F302" t="s">
        <v>41</v>
      </c>
      <c r="G302">
        <v>721669</v>
      </c>
      <c r="H302">
        <v>5500022436</v>
      </c>
      <c r="I302">
        <v>420</v>
      </c>
      <c r="J302" s="7">
        <v>1</v>
      </c>
      <c r="K302" s="7" t="str">
        <f>IFERROR(VLOOKUP(Detalle_OC[[#This Row],[Centro]]&amp;Detalle_OC[[#This Row],[Nro Almacen]],Almacen!A:D,4,FALSE),"")</f>
        <v>Montelima</v>
      </c>
    </row>
    <row r="303" spans="1:11" x14ac:dyDescent="0.35">
      <c r="A303" s="7" t="str">
        <f>Detalle_OC[[#This Row],[Centro]]&amp;Detalle_OC[[#This Row],[Nom Almacen]]&amp;Detalle_OC[[#This Row],[Material]]&amp;Detalle_OC[[#This Row],[Pedido]]&amp;Detalle_OC[[#This Row],[Posicion]]</f>
        <v>Sucroalcolera del Chira PlantaMontelima7216695500022436420</v>
      </c>
      <c r="B303" t="s">
        <v>38</v>
      </c>
      <c r="C303" t="s">
        <v>413</v>
      </c>
      <c r="D303" s="17">
        <v>44806</v>
      </c>
      <c r="E303" t="s">
        <v>26</v>
      </c>
      <c r="F303" t="s">
        <v>41</v>
      </c>
      <c r="G303">
        <v>721669</v>
      </c>
      <c r="H303">
        <v>5500022436</v>
      </c>
      <c r="I303">
        <v>420</v>
      </c>
      <c r="J303" s="7">
        <v>1</v>
      </c>
      <c r="K303" s="7" t="str">
        <f>IFERROR(VLOOKUP(Detalle_OC[[#This Row],[Centro]]&amp;Detalle_OC[[#This Row],[Nro Almacen]],Almacen!A:D,4,FALSE),"")</f>
        <v>Montelima</v>
      </c>
    </row>
    <row r="304" spans="1:11" x14ac:dyDescent="0.35">
      <c r="A304" s="7" t="str">
        <f>Detalle_OC[[#This Row],[Centro]]&amp;Detalle_OC[[#This Row],[Nom Almacen]]&amp;Detalle_OC[[#This Row],[Material]]&amp;Detalle_OC[[#This Row],[Pedido]]&amp;Detalle_OC[[#This Row],[Posicion]]</f>
        <v>Sucroalcolera del Chira PlantaMontelima7216695500022436420</v>
      </c>
      <c r="B304" t="s">
        <v>38</v>
      </c>
      <c r="C304" t="s">
        <v>413</v>
      </c>
      <c r="D304" s="17">
        <v>44827</v>
      </c>
      <c r="E304" t="s">
        <v>26</v>
      </c>
      <c r="F304" t="s">
        <v>41</v>
      </c>
      <c r="G304">
        <v>721669</v>
      </c>
      <c r="H304">
        <v>5500022436</v>
      </c>
      <c r="I304">
        <v>420</v>
      </c>
      <c r="J304" s="7">
        <v>1</v>
      </c>
      <c r="K304" s="7" t="str">
        <f>IFERROR(VLOOKUP(Detalle_OC[[#This Row],[Centro]]&amp;Detalle_OC[[#This Row],[Nro Almacen]],Almacen!A:D,4,FALSE),"")</f>
        <v>Montelima</v>
      </c>
    </row>
    <row r="305" spans="1:11" x14ac:dyDescent="0.35">
      <c r="A305" s="7" t="str">
        <f>Detalle_OC[[#This Row],[Centro]]&amp;Detalle_OC[[#This Row],[Nom Almacen]]&amp;Detalle_OC[[#This Row],[Material]]&amp;Detalle_OC[[#This Row],[Pedido]]&amp;Detalle_OC[[#This Row],[Posicion]]</f>
        <v>Sucroalcolera del Chira PlantaMontelima7216695500022436420</v>
      </c>
      <c r="B305" t="s">
        <v>38</v>
      </c>
      <c r="C305" t="s">
        <v>413</v>
      </c>
      <c r="D305" s="17">
        <v>44858</v>
      </c>
      <c r="E305" t="s">
        <v>26</v>
      </c>
      <c r="F305" t="s">
        <v>41</v>
      </c>
      <c r="G305">
        <v>721669</v>
      </c>
      <c r="H305">
        <v>5500022436</v>
      </c>
      <c r="I305">
        <v>420</v>
      </c>
      <c r="J305" s="7">
        <v>1</v>
      </c>
      <c r="K305" s="7" t="str">
        <f>IFERROR(VLOOKUP(Detalle_OC[[#This Row],[Centro]]&amp;Detalle_OC[[#This Row],[Nro Almacen]],Almacen!A:D,4,FALSE),"")</f>
        <v>Montelima</v>
      </c>
    </row>
    <row r="306" spans="1:11" x14ac:dyDescent="0.35">
      <c r="A306" s="7" t="str">
        <f>Detalle_OC[[#This Row],[Centro]]&amp;Detalle_OC[[#This Row],[Nom Almacen]]&amp;Detalle_OC[[#This Row],[Material]]&amp;Detalle_OC[[#This Row],[Pedido]]&amp;Detalle_OC[[#This Row],[Posicion]]</f>
        <v>Sucroalcolera del Chira PlantaMontelima7216695500022436420</v>
      </c>
      <c r="B306" t="s">
        <v>38</v>
      </c>
      <c r="C306" t="s">
        <v>413</v>
      </c>
      <c r="D306" s="17">
        <v>44880</v>
      </c>
      <c r="E306" t="s">
        <v>26</v>
      </c>
      <c r="F306" t="s">
        <v>41</v>
      </c>
      <c r="G306">
        <v>721669</v>
      </c>
      <c r="H306">
        <v>5500022436</v>
      </c>
      <c r="I306">
        <v>420</v>
      </c>
      <c r="J306" s="7">
        <v>1</v>
      </c>
      <c r="K306" s="7" t="str">
        <f>IFERROR(VLOOKUP(Detalle_OC[[#This Row],[Centro]]&amp;Detalle_OC[[#This Row],[Nro Almacen]],Almacen!A:D,4,FALSE),"")</f>
        <v>Montelima</v>
      </c>
    </row>
    <row r="307" spans="1:11" x14ac:dyDescent="0.35">
      <c r="A307" s="7" t="str">
        <f>Detalle_OC[[#This Row],[Centro]]&amp;Detalle_OC[[#This Row],[Nom Almacen]]&amp;Detalle_OC[[#This Row],[Material]]&amp;Detalle_OC[[#This Row],[Pedido]]&amp;Detalle_OC[[#This Row],[Posicion]]</f>
        <v>Sucroalcolera del Chira PlantaMontelima7216695500022436420</v>
      </c>
      <c r="B307" t="s">
        <v>38</v>
      </c>
      <c r="C307" t="s">
        <v>413</v>
      </c>
      <c r="D307" s="17">
        <v>44950</v>
      </c>
      <c r="E307" t="s">
        <v>26</v>
      </c>
      <c r="F307" t="s">
        <v>41</v>
      </c>
      <c r="G307">
        <v>721669</v>
      </c>
      <c r="H307">
        <v>5500022436</v>
      </c>
      <c r="I307">
        <v>420</v>
      </c>
      <c r="J307" s="7">
        <v>1</v>
      </c>
      <c r="K307" s="7" t="str">
        <f>IFERROR(VLOOKUP(Detalle_OC[[#This Row],[Centro]]&amp;Detalle_OC[[#This Row],[Nro Almacen]],Almacen!A:D,4,FALSE),"")</f>
        <v>Montelima</v>
      </c>
    </row>
    <row r="308" spans="1:11" x14ac:dyDescent="0.35">
      <c r="A308" s="7" t="str">
        <f>Detalle_OC[[#This Row],[Centro]]&amp;Detalle_OC[[#This Row],[Nom Almacen]]&amp;Detalle_OC[[#This Row],[Material]]&amp;Detalle_OC[[#This Row],[Pedido]]&amp;Detalle_OC[[#This Row],[Posicion]]</f>
        <v>Sucroalcolera del Chira PlantaMontelima7216695500022436420</v>
      </c>
      <c r="B308" t="s">
        <v>38</v>
      </c>
      <c r="C308" t="s">
        <v>413</v>
      </c>
      <c r="D308" s="17">
        <v>44965</v>
      </c>
      <c r="E308" t="s">
        <v>26</v>
      </c>
      <c r="F308" t="s">
        <v>41</v>
      </c>
      <c r="G308">
        <v>721669</v>
      </c>
      <c r="H308">
        <v>5500022436</v>
      </c>
      <c r="I308">
        <v>420</v>
      </c>
      <c r="J308" s="7">
        <v>1</v>
      </c>
      <c r="K308" s="7" t="str">
        <f>IFERROR(VLOOKUP(Detalle_OC[[#This Row],[Centro]]&amp;Detalle_OC[[#This Row],[Nro Almacen]],Almacen!A:D,4,FALSE),"")</f>
        <v>Montelima</v>
      </c>
    </row>
    <row r="309" spans="1:11" x14ac:dyDescent="0.35">
      <c r="A309" s="7" t="str">
        <f>Detalle_OC[[#This Row],[Centro]]&amp;Detalle_OC[[#This Row],[Nom Almacen]]&amp;Detalle_OC[[#This Row],[Material]]&amp;Detalle_OC[[#This Row],[Pedido]]&amp;Detalle_OC[[#This Row],[Posicion]]</f>
        <v>Agricola del Chira PlantaMontelima721955451144607830</v>
      </c>
      <c r="B309" t="s">
        <v>414</v>
      </c>
      <c r="C309" t="s">
        <v>409</v>
      </c>
      <c r="D309" s="17">
        <v>44995</v>
      </c>
      <c r="E309" t="s">
        <v>120</v>
      </c>
      <c r="F309" t="s">
        <v>27</v>
      </c>
      <c r="G309">
        <v>721955</v>
      </c>
      <c r="H309">
        <v>4511446078</v>
      </c>
      <c r="I309">
        <v>30</v>
      </c>
      <c r="J309" s="7">
        <v>1</v>
      </c>
      <c r="K309" s="7" t="str">
        <f>IFERROR(VLOOKUP(Detalle_OC[[#This Row],[Centro]]&amp;Detalle_OC[[#This Row],[Nro Almacen]],Almacen!A:D,4,FALSE),"")</f>
        <v>Montelima</v>
      </c>
    </row>
    <row r="310" spans="1:11" x14ac:dyDescent="0.35">
      <c r="A310" s="7" t="str">
        <f>Detalle_OC[[#This Row],[Centro]]&amp;Detalle_OC[[#This Row],[Nom Almacen]]&amp;Detalle_OC[[#This Row],[Material]]&amp;Detalle_OC[[#This Row],[Pedido]]&amp;Detalle_OC[[#This Row],[Posicion]]</f>
        <v>Agricola del Chira Planta722278451141631410</v>
      </c>
      <c r="B310" t="s">
        <v>46</v>
      </c>
      <c r="C310" t="s">
        <v>415</v>
      </c>
      <c r="D310" s="17">
        <v>44984</v>
      </c>
      <c r="E310" t="s">
        <v>26</v>
      </c>
      <c r="F310" t="s">
        <v>27</v>
      </c>
      <c r="G310">
        <v>722278</v>
      </c>
      <c r="H310">
        <v>4511416314</v>
      </c>
      <c r="I310">
        <v>10</v>
      </c>
      <c r="J310" s="7" t="s">
        <v>42</v>
      </c>
      <c r="K310" s="7" t="str">
        <f>IFERROR(VLOOKUP(Detalle_OC[[#This Row],[Centro]]&amp;Detalle_OC[[#This Row],[Nro Almacen]],Almacen!A:D,4,FALSE),"")</f>
        <v/>
      </c>
    </row>
    <row r="311" spans="1:11" x14ac:dyDescent="0.35">
      <c r="A311" s="7" t="str">
        <f>Detalle_OC[[#This Row],[Centro]]&amp;Detalle_OC[[#This Row],[Nom Almacen]]&amp;Detalle_OC[[#This Row],[Material]]&amp;Detalle_OC[[#This Row],[Pedido]]&amp;Detalle_OC[[#This Row],[Posicion]]</f>
        <v>Agricola del Chira PlantaMontelima722283550002212590</v>
      </c>
      <c r="B311" t="s">
        <v>38</v>
      </c>
      <c r="C311" t="s">
        <v>416</v>
      </c>
      <c r="D311" s="17">
        <v>44708</v>
      </c>
      <c r="E311" t="s">
        <v>26</v>
      </c>
      <c r="F311" t="s">
        <v>27</v>
      </c>
      <c r="G311">
        <v>722283</v>
      </c>
      <c r="H311">
        <v>5500022125</v>
      </c>
      <c r="I311">
        <v>90</v>
      </c>
      <c r="J311" s="7">
        <v>1</v>
      </c>
      <c r="K311" s="7" t="str">
        <f>IFERROR(VLOOKUP(Detalle_OC[[#This Row],[Centro]]&amp;Detalle_OC[[#This Row],[Nro Almacen]],Almacen!A:D,4,FALSE),"")</f>
        <v>Montelima</v>
      </c>
    </row>
    <row r="312" spans="1:11" x14ac:dyDescent="0.35">
      <c r="A312" s="7" t="str">
        <f>Detalle_OC[[#This Row],[Centro]]&amp;Detalle_OC[[#This Row],[Nom Almacen]]&amp;Detalle_OC[[#This Row],[Material]]&amp;Detalle_OC[[#This Row],[Pedido]]&amp;Detalle_OC[[#This Row],[Posicion]]</f>
        <v>Agricola del Chira PlantaMontelima722283550002212590</v>
      </c>
      <c r="B312" t="s">
        <v>38</v>
      </c>
      <c r="C312" t="s">
        <v>416</v>
      </c>
      <c r="D312" s="17">
        <v>44732</v>
      </c>
      <c r="E312" t="s">
        <v>26</v>
      </c>
      <c r="F312" t="s">
        <v>27</v>
      </c>
      <c r="G312">
        <v>722283</v>
      </c>
      <c r="H312">
        <v>5500022125</v>
      </c>
      <c r="I312">
        <v>90</v>
      </c>
      <c r="J312" s="7">
        <v>1</v>
      </c>
      <c r="K312" s="7" t="str">
        <f>IFERROR(VLOOKUP(Detalle_OC[[#This Row],[Centro]]&amp;Detalle_OC[[#This Row],[Nro Almacen]],Almacen!A:D,4,FALSE),"")</f>
        <v>Montelima</v>
      </c>
    </row>
    <row r="313" spans="1:11" x14ac:dyDescent="0.35">
      <c r="A313" s="7" t="str">
        <f>Detalle_OC[[#This Row],[Centro]]&amp;Detalle_OC[[#This Row],[Nom Almacen]]&amp;Detalle_OC[[#This Row],[Material]]&amp;Detalle_OC[[#This Row],[Pedido]]&amp;Detalle_OC[[#This Row],[Posicion]]</f>
        <v>Agricola del Chira PlantaMontelima722283550002212590</v>
      </c>
      <c r="B313" t="s">
        <v>38</v>
      </c>
      <c r="C313" t="s">
        <v>416</v>
      </c>
      <c r="D313" s="17">
        <v>44762</v>
      </c>
      <c r="E313" t="s">
        <v>26</v>
      </c>
      <c r="F313" t="s">
        <v>27</v>
      </c>
      <c r="G313">
        <v>722283</v>
      </c>
      <c r="H313">
        <v>5500022125</v>
      </c>
      <c r="I313">
        <v>90</v>
      </c>
      <c r="J313" s="7">
        <v>1</v>
      </c>
      <c r="K313" s="7" t="str">
        <f>IFERROR(VLOOKUP(Detalle_OC[[#This Row],[Centro]]&amp;Detalle_OC[[#This Row],[Nro Almacen]],Almacen!A:D,4,FALSE),"")</f>
        <v>Montelima</v>
      </c>
    </row>
    <row r="314" spans="1:11" x14ac:dyDescent="0.35">
      <c r="A314" s="7" t="str">
        <f>Detalle_OC[[#This Row],[Centro]]&amp;Detalle_OC[[#This Row],[Nom Almacen]]&amp;Detalle_OC[[#This Row],[Material]]&amp;Detalle_OC[[#This Row],[Pedido]]&amp;Detalle_OC[[#This Row],[Posicion]]</f>
        <v>Agricola del Chira PlantaMontelima722283550002212590</v>
      </c>
      <c r="B314" t="s">
        <v>38</v>
      </c>
      <c r="C314" t="s">
        <v>416</v>
      </c>
      <c r="D314" s="17">
        <v>44775</v>
      </c>
      <c r="E314" t="s">
        <v>26</v>
      </c>
      <c r="F314" t="s">
        <v>27</v>
      </c>
      <c r="G314">
        <v>722283</v>
      </c>
      <c r="H314">
        <v>5500022125</v>
      </c>
      <c r="I314">
        <v>90</v>
      </c>
      <c r="J314" s="7">
        <v>1</v>
      </c>
      <c r="K314" s="7" t="str">
        <f>IFERROR(VLOOKUP(Detalle_OC[[#This Row],[Centro]]&amp;Detalle_OC[[#This Row],[Nro Almacen]],Almacen!A:D,4,FALSE),"")</f>
        <v>Montelima</v>
      </c>
    </row>
    <row r="315" spans="1:11" x14ac:dyDescent="0.35">
      <c r="A315" s="7" t="str">
        <f>Detalle_OC[[#This Row],[Centro]]&amp;Detalle_OC[[#This Row],[Nom Almacen]]&amp;Detalle_OC[[#This Row],[Material]]&amp;Detalle_OC[[#This Row],[Pedido]]&amp;Detalle_OC[[#This Row],[Posicion]]</f>
        <v>Agricola del Chira PlantaMontelima722283550002212590</v>
      </c>
      <c r="B315" t="s">
        <v>38</v>
      </c>
      <c r="C315" t="s">
        <v>416</v>
      </c>
      <c r="D315" s="17">
        <v>44796</v>
      </c>
      <c r="E315" t="s">
        <v>26</v>
      </c>
      <c r="F315" t="s">
        <v>27</v>
      </c>
      <c r="G315">
        <v>722283</v>
      </c>
      <c r="H315">
        <v>5500022125</v>
      </c>
      <c r="I315">
        <v>90</v>
      </c>
      <c r="J315" s="7">
        <v>1</v>
      </c>
      <c r="K315" s="7" t="str">
        <f>IFERROR(VLOOKUP(Detalle_OC[[#This Row],[Centro]]&amp;Detalle_OC[[#This Row],[Nro Almacen]],Almacen!A:D,4,FALSE),"")</f>
        <v>Montelima</v>
      </c>
    </row>
    <row r="316" spans="1:11" x14ac:dyDescent="0.35">
      <c r="A316" s="7" t="str">
        <f>Detalle_OC[[#This Row],[Centro]]&amp;Detalle_OC[[#This Row],[Nom Almacen]]&amp;Detalle_OC[[#This Row],[Material]]&amp;Detalle_OC[[#This Row],[Pedido]]&amp;Detalle_OC[[#This Row],[Posicion]]</f>
        <v>Agricola del Chira PlantaMontelima722283550002212590</v>
      </c>
      <c r="B316" t="s">
        <v>38</v>
      </c>
      <c r="C316" t="s">
        <v>416</v>
      </c>
      <c r="D316" s="17">
        <v>44823</v>
      </c>
      <c r="E316" t="s">
        <v>26</v>
      </c>
      <c r="F316" t="s">
        <v>27</v>
      </c>
      <c r="G316">
        <v>722283</v>
      </c>
      <c r="H316">
        <v>5500022125</v>
      </c>
      <c r="I316">
        <v>90</v>
      </c>
      <c r="J316" s="7">
        <v>1</v>
      </c>
      <c r="K316" s="7" t="str">
        <f>IFERROR(VLOOKUP(Detalle_OC[[#This Row],[Centro]]&amp;Detalle_OC[[#This Row],[Nro Almacen]],Almacen!A:D,4,FALSE),"")</f>
        <v>Montelima</v>
      </c>
    </row>
    <row r="317" spans="1:11" x14ac:dyDescent="0.35">
      <c r="A317" s="7" t="str">
        <f>Detalle_OC[[#This Row],[Centro]]&amp;Detalle_OC[[#This Row],[Nom Almacen]]&amp;Detalle_OC[[#This Row],[Material]]&amp;Detalle_OC[[#This Row],[Pedido]]&amp;Detalle_OC[[#This Row],[Posicion]]</f>
        <v>Agricola del Chira PlantaMontelima722283550002212590</v>
      </c>
      <c r="B317" t="s">
        <v>38</v>
      </c>
      <c r="C317" t="s">
        <v>416</v>
      </c>
      <c r="D317" s="17">
        <v>44840</v>
      </c>
      <c r="E317" t="s">
        <v>26</v>
      </c>
      <c r="F317" t="s">
        <v>27</v>
      </c>
      <c r="G317">
        <v>722283</v>
      </c>
      <c r="H317">
        <v>5500022125</v>
      </c>
      <c r="I317">
        <v>90</v>
      </c>
      <c r="J317" s="7">
        <v>1</v>
      </c>
      <c r="K317" s="7" t="str">
        <f>IFERROR(VLOOKUP(Detalle_OC[[#This Row],[Centro]]&amp;Detalle_OC[[#This Row],[Nro Almacen]],Almacen!A:D,4,FALSE),"")</f>
        <v>Montelima</v>
      </c>
    </row>
    <row r="318" spans="1:11" x14ac:dyDescent="0.35">
      <c r="A318" s="7" t="str">
        <f>Detalle_OC[[#This Row],[Centro]]&amp;Detalle_OC[[#This Row],[Nom Almacen]]&amp;Detalle_OC[[#This Row],[Material]]&amp;Detalle_OC[[#This Row],[Pedido]]&amp;Detalle_OC[[#This Row],[Posicion]]</f>
        <v>Agricola del Chira PlantaMontelima722283550002212590</v>
      </c>
      <c r="B318" t="s">
        <v>38</v>
      </c>
      <c r="C318" t="s">
        <v>416</v>
      </c>
      <c r="D318" s="17">
        <v>44840</v>
      </c>
      <c r="E318" t="s">
        <v>26</v>
      </c>
      <c r="F318" t="s">
        <v>27</v>
      </c>
      <c r="G318">
        <v>722283</v>
      </c>
      <c r="H318">
        <v>5500022125</v>
      </c>
      <c r="I318">
        <v>90</v>
      </c>
      <c r="J318" s="7">
        <v>1</v>
      </c>
      <c r="K318" s="7" t="str">
        <f>IFERROR(VLOOKUP(Detalle_OC[[#This Row],[Centro]]&amp;Detalle_OC[[#This Row],[Nro Almacen]],Almacen!A:D,4,FALSE),"")</f>
        <v>Montelima</v>
      </c>
    </row>
    <row r="319" spans="1:11" x14ac:dyDescent="0.35">
      <c r="A319" s="7" t="str">
        <f>Detalle_OC[[#This Row],[Centro]]&amp;Detalle_OC[[#This Row],[Nom Almacen]]&amp;Detalle_OC[[#This Row],[Material]]&amp;Detalle_OC[[#This Row],[Pedido]]&amp;Detalle_OC[[#This Row],[Posicion]]</f>
        <v>Agricola del Chira PlantaMontelima722283550002212590</v>
      </c>
      <c r="B319" t="s">
        <v>38</v>
      </c>
      <c r="C319" t="s">
        <v>416</v>
      </c>
      <c r="D319" s="17">
        <v>44859</v>
      </c>
      <c r="E319" t="s">
        <v>26</v>
      </c>
      <c r="F319" t="s">
        <v>27</v>
      </c>
      <c r="G319">
        <v>722283</v>
      </c>
      <c r="H319">
        <v>5500022125</v>
      </c>
      <c r="I319">
        <v>90</v>
      </c>
      <c r="J319" s="7">
        <v>1</v>
      </c>
      <c r="K319" s="7" t="str">
        <f>IFERROR(VLOOKUP(Detalle_OC[[#This Row],[Centro]]&amp;Detalle_OC[[#This Row],[Nro Almacen]],Almacen!A:D,4,FALSE),"")</f>
        <v>Montelima</v>
      </c>
    </row>
    <row r="320" spans="1:11" x14ac:dyDescent="0.35">
      <c r="A320" s="7" t="str">
        <f>Detalle_OC[[#This Row],[Centro]]&amp;Detalle_OC[[#This Row],[Nom Almacen]]&amp;Detalle_OC[[#This Row],[Material]]&amp;Detalle_OC[[#This Row],[Pedido]]&amp;Detalle_OC[[#This Row],[Posicion]]</f>
        <v>Agricola del Chira PlantaMontelima722283550002212590</v>
      </c>
      <c r="B320" t="s">
        <v>38</v>
      </c>
      <c r="C320" t="s">
        <v>416</v>
      </c>
      <c r="D320" s="17">
        <v>44859</v>
      </c>
      <c r="E320" t="s">
        <v>26</v>
      </c>
      <c r="F320" t="s">
        <v>27</v>
      </c>
      <c r="G320">
        <v>722283</v>
      </c>
      <c r="H320">
        <v>5500022125</v>
      </c>
      <c r="I320">
        <v>90</v>
      </c>
      <c r="J320" s="7">
        <v>1</v>
      </c>
      <c r="K320" s="7" t="str">
        <f>IFERROR(VLOOKUP(Detalle_OC[[#This Row],[Centro]]&amp;Detalle_OC[[#This Row],[Nro Almacen]],Almacen!A:D,4,FALSE),"")</f>
        <v>Montelima</v>
      </c>
    </row>
    <row r="321" spans="1:11" x14ac:dyDescent="0.35">
      <c r="A321" s="7" t="str">
        <f>Detalle_OC[[#This Row],[Centro]]&amp;Detalle_OC[[#This Row],[Nom Almacen]]&amp;Detalle_OC[[#This Row],[Material]]&amp;Detalle_OC[[#This Row],[Pedido]]&amp;Detalle_OC[[#This Row],[Posicion]]</f>
        <v>Agricola del Chira PlantaMontelima722283550002212590</v>
      </c>
      <c r="B321" t="s">
        <v>38</v>
      </c>
      <c r="C321" t="s">
        <v>416</v>
      </c>
      <c r="D321" s="17">
        <v>44887</v>
      </c>
      <c r="E321" t="s">
        <v>26</v>
      </c>
      <c r="F321" t="s">
        <v>27</v>
      </c>
      <c r="G321">
        <v>722283</v>
      </c>
      <c r="H321">
        <v>5500022125</v>
      </c>
      <c r="I321">
        <v>90</v>
      </c>
      <c r="J321" s="7">
        <v>1</v>
      </c>
      <c r="K321" s="7" t="str">
        <f>IFERROR(VLOOKUP(Detalle_OC[[#This Row],[Centro]]&amp;Detalle_OC[[#This Row],[Nro Almacen]],Almacen!A:D,4,FALSE),"")</f>
        <v>Montelima</v>
      </c>
    </row>
    <row r="322" spans="1:11" x14ac:dyDescent="0.35">
      <c r="A322" s="7" t="str">
        <f>Detalle_OC[[#This Row],[Centro]]&amp;Detalle_OC[[#This Row],[Nom Almacen]]&amp;Detalle_OC[[#This Row],[Material]]&amp;Detalle_OC[[#This Row],[Pedido]]&amp;Detalle_OC[[#This Row],[Posicion]]</f>
        <v>Agricola del Chira PlantaMontelima722283550002212590</v>
      </c>
      <c r="B322" t="s">
        <v>38</v>
      </c>
      <c r="C322" t="s">
        <v>416</v>
      </c>
      <c r="D322" s="17">
        <v>44914</v>
      </c>
      <c r="E322" t="s">
        <v>26</v>
      </c>
      <c r="F322" t="s">
        <v>27</v>
      </c>
      <c r="G322">
        <v>722283</v>
      </c>
      <c r="H322">
        <v>5500022125</v>
      </c>
      <c r="I322">
        <v>90</v>
      </c>
      <c r="J322" s="7">
        <v>1</v>
      </c>
      <c r="K322" s="7" t="str">
        <f>IFERROR(VLOOKUP(Detalle_OC[[#This Row],[Centro]]&amp;Detalle_OC[[#This Row],[Nro Almacen]],Almacen!A:D,4,FALSE),"")</f>
        <v>Montelima</v>
      </c>
    </row>
    <row r="323" spans="1:11" x14ac:dyDescent="0.35">
      <c r="A323" s="7" t="str">
        <f>Detalle_OC[[#This Row],[Centro]]&amp;Detalle_OC[[#This Row],[Nom Almacen]]&amp;Detalle_OC[[#This Row],[Material]]&amp;Detalle_OC[[#This Row],[Pedido]]&amp;Detalle_OC[[#This Row],[Posicion]]</f>
        <v>Agricola del Chira PlantaMontelima722283550002212590</v>
      </c>
      <c r="B323" t="s">
        <v>38</v>
      </c>
      <c r="C323" t="s">
        <v>416</v>
      </c>
      <c r="D323" s="17">
        <v>44914</v>
      </c>
      <c r="E323" t="s">
        <v>26</v>
      </c>
      <c r="F323" t="s">
        <v>27</v>
      </c>
      <c r="G323">
        <v>722283</v>
      </c>
      <c r="H323">
        <v>5500022125</v>
      </c>
      <c r="I323">
        <v>90</v>
      </c>
      <c r="J323" s="7">
        <v>1</v>
      </c>
      <c r="K323" s="7" t="str">
        <f>IFERROR(VLOOKUP(Detalle_OC[[#This Row],[Centro]]&amp;Detalle_OC[[#This Row],[Nro Almacen]],Almacen!A:D,4,FALSE),"")</f>
        <v>Montelima</v>
      </c>
    </row>
    <row r="324" spans="1:11" x14ac:dyDescent="0.35">
      <c r="A324" s="7" t="str">
        <f>Detalle_OC[[#This Row],[Centro]]&amp;Detalle_OC[[#This Row],[Nom Almacen]]&amp;Detalle_OC[[#This Row],[Material]]&amp;Detalle_OC[[#This Row],[Pedido]]&amp;Detalle_OC[[#This Row],[Posicion]]</f>
        <v>Agricola del Chira PlantaMontelima722283550002212590</v>
      </c>
      <c r="B324" t="s">
        <v>38</v>
      </c>
      <c r="C324" t="s">
        <v>416</v>
      </c>
      <c r="D324" s="17">
        <v>44947</v>
      </c>
      <c r="E324" t="s">
        <v>26</v>
      </c>
      <c r="F324" t="s">
        <v>27</v>
      </c>
      <c r="G324">
        <v>722283</v>
      </c>
      <c r="H324">
        <v>5500022125</v>
      </c>
      <c r="I324">
        <v>90</v>
      </c>
      <c r="J324" s="7">
        <v>1</v>
      </c>
      <c r="K324" s="7" t="str">
        <f>IFERROR(VLOOKUP(Detalle_OC[[#This Row],[Centro]]&amp;Detalle_OC[[#This Row],[Nro Almacen]],Almacen!A:D,4,FALSE),"")</f>
        <v>Montelima</v>
      </c>
    </row>
    <row r="325" spans="1:11" x14ac:dyDescent="0.35">
      <c r="A325" s="7" t="str">
        <f>Detalle_OC[[#This Row],[Centro]]&amp;Detalle_OC[[#This Row],[Nom Almacen]]&amp;Detalle_OC[[#This Row],[Material]]&amp;Detalle_OC[[#This Row],[Pedido]]&amp;Detalle_OC[[#This Row],[Posicion]]</f>
        <v>Agricola del Chira PlantaMontelima722283550002212590</v>
      </c>
      <c r="B325" t="s">
        <v>38</v>
      </c>
      <c r="C325" t="s">
        <v>416</v>
      </c>
      <c r="D325" s="17">
        <v>44973</v>
      </c>
      <c r="E325" t="s">
        <v>26</v>
      </c>
      <c r="F325" t="s">
        <v>27</v>
      </c>
      <c r="G325">
        <v>722283</v>
      </c>
      <c r="H325">
        <v>5500022125</v>
      </c>
      <c r="I325">
        <v>90</v>
      </c>
      <c r="J325" s="7">
        <v>1</v>
      </c>
      <c r="K325" s="7" t="str">
        <f>IFERROR(VLOOKUP(Detalle_OC[[#This Row],[Centro]]&amp;Detalle_OC[[#This Row],[Nro Almacen]],Almacen!A:D,4,FALSE),"")</f>
        <v>Montelima</v>
      </c>
    </row>
    <row r="326" spans="1:11" x14ac:dyDescent="0.35">
      <c r="A326" s="7" t="str">
        <f>Detalle_OC[[#This Row],[Centro]]&amp;Detalle_OC[[#This Row],[Nom Almacen]]&amp;Detalle_OC[[#This Row],[Material]]&amp;Detalle_OC[[#This Row],[Pedido]]&amp;Detalle_OC[[#This Row],[Posicion]]</f>
        <v>Agricola del Chira PlantaMontelima722283550002212590</v>
      </c>
      <c r="B326" t="s">
        <v>38</v>
      </c>
      <c r="C326" t="s">
        <v>416</v>
      </c>
      <c r="D326" s="17">
        <v>44992</v>
      </c>
      <c r="E326" t="s">
        <v>26</v>
      </c>
      <c r="F326" t="s">
        <v>27</v>
      </c>
      <c r="G326">
        <v>722283</v>
      </c>
      <c r="H326">
        <v>5500022125</v>
      </c>
      <c r="I326">
        <v>90</v>
      </c>
      <c r="J326" s="7">
        <v>1</v>
      </c>
      <c r="K326" s="7" t="str">
        <f>IFERROR(VLOOKUP(Detalle_OC[[#This Row],[Centro]]&amp;Detalle_OC[[#This Row],[Nro Almacen]],Almacen!A:D,4,FALSE),"")</f>
        <v>Montelima</v>
      </c>
    </row>
    <row r="327" spans="1:11" x14ac:dyDescent="0.35">
      <c r="A327" s="7" t="str">
        <f>Detalle_OC[[#This Row],[Centro]]&amp;Detalle_OC[[#This Row],[Nom Almacen]]&amp;Detalle_OC[[#This Row],[Material]]&amp;Detalle_OC[[#This Row],[Pedido]]&amp;Detalle_OC[[#This Row],[Posicion]]</f>
        <v>Agricola del Chira PlantaMontelima722283550002212590</v>
      </c>
      <c r="B327" t="s">
        <v>38</v>
      </c>
      <c r="C327" t="s">
        <v>416</v>
      </c>
      <c r="D327" s="17">
        <v>44993</v>
      </c>
      <c r="E327" t="s">
        <v>26</v>
      </c>
      <c r="F327" t="s">
        <v>27</v>
      </c>
      <c r="G327">
        <v>722283</v>
      </c>
      <c r="H327">
        <v>5500022125</v>
      </c>
      <c r="I327">
        <v>90</v>
      </c>
      <c r="J327" s="7">
        <v>1</v>
      </c>
      <c r="K327" s="7" t="str">
        <f>IFERROR(VLOOKUP(Detalle_OC[[#This Row],[Centro]]&amp;Detalle_OC[[#This Row],[Nro Almacen]],Almacen!A:D,4,FALSE),"")</f>
        <v>Montelima</v>
      </c>
    </row>
    <row r="328" spans="1:11" x14ac:dyDescent="0.35">
      <c r="A328" s="7" t="str">
        <f>Detalle_OC[[#This Row],[Centro]]&amp;Detalle_OC[[#This Row],[Nom Almacen]]&amp;Detalle_OC[[#This Row],[Material]]&amp;Detalle_OC[[#This Row],[Pedido]]&amp;Detalle_OC[[#This Row],[Posicion]]</f>
        <v>Sucroalcolera del Chira PlantaMontelima722283550002212610</v>
      </c>
      <c r="B328" t="s">
        <v>38</v>
      </c>
      <c r="C328" t="s">
        <v>416</v>
      </c>
      <c r="D328" s="17">
        <v>43934</v>
      </c>
      <c r="E328" t="s">
        <v>26</v>
      </c>
      <c r="F328" t="s">
        <v>41</v>
      </c>
      <c r="G328">
        <v>722283</v>
      </c>
      <c r="H328">
        <v>5500022126</v>
      </c>
      <c r="I328">
        <v>10</v>
      </c>
      <c r="J328" s="7">
        <v>1</v>
      </c>
      <c r="K328" s="7" t="str">
        <f>IFERROR(VLOOKUP(Detalle_OC[[#This Row],[Centro]]&amp;Detalle_OC[[#This Row],[Nro Almacen]],Almacen!A:D,4,FALSE),"")</f>
        <v>Montelima</v>
      </c>
    </row>
    <row r="329" spans="1:11" x14ac:dyDescent="0.35">
      <c r="A329" s="7" t="str">
        <f>Detalle_OC[[#This Row],[Centro]]&amp;Detalle_OC[[#This Row],[Nom Almacen]]&amp;Detalle_OC[[#This Row],[Material]]&amp;Detalle_OC[[#This Row],[Pedido]]&amp;Detalle_OC[[#This Row],[Posicion]]</f>
        <v>Sucroalcolera del Chira PlantaMontelima722283550002212610</v>
      </c>
      <c r="B329" t="s">
        <v>38</v>
      </c>
      <c r="C329" t="s">
        <v>416</v>
      </c>
      <c r="D329" s="17">
        <v>44021</v>
      </c>
      <c r="E329" t="s">
        <v>26</v>
      </c>
      <c r="F329" t="s">
        <v>41</v>
      </c>
      <c r="G329">
        <v>722283</v>
      </c>
      <c r="H329">
        <v>5500022126</v>
      </c>
      <c r="I329">
        <v>10</v>
      </c>
      <c r="J329" s="7">
        <v>1</v>
      </c>
      <c r="K329" s="7" t="str">
        <f>IFERROR(VLOOKUP(Detalle_OC[[#This Row],[Centro]]&amp;Detalle_OC[[#This Row],[Nro Almacen]],Almacen!A:D,4,FALSE),"")</f>
        <v>Montelima</v>
      </c>
    </row>
    <row r="330" spans="1:11" x14ac:dyDescent="0.35">
      <c r="A330" s="7" t="str">
        <f>Detalle_OC[[#This Row],[Centro]]&amp;Detalle_OC[[#This Row],[Nom Almacen]]&amp;Detalle_OC[[#This Row],[Material]]&amp;Detalle_OC[[#This Row],[Pedido]]&amp;Detalle_OC[[#This Row],[Posicion]]</f>
        <v>Sucroalcolera del Chira PlantaMontelima722283550002212610</v>
      </c>
      <c r="B330" t="s">
        <v>38</v>
      </c>
      <c r="C330" t="s">
        <v>416</v>
      </c>
      <c r="D330" s="17">
        <v>44023</v>
      </c>
      <c r="E330" t="s">
        <v>26</v>
      </c>
      <c r="F330" t="s">
        <v>41</v>
      </c>
      <c r="G330">
        <v>722283</v>
      </c>
      <c r="H330">
        <v>5500022126</v>
      </c>
      <c r="I330">
        <v>10</v>
      </c>
      <c r="J330" s="7">
        <v>1</v>
      </c>
      <c r="K330" s="7" t="str">
        <f>IFERROR(VLOOKUP(Detalle_OC[[#This Row],[Centro]]&amp;Detalle_OC[[#This Row],[Nro Almacen]],Almacen!A:D,4,FALSE),"")</f>
        <v>Montelima</v>
      </c>
    </row>
    <row r="331" spans="1:11" x14ac:dyDescent="0.35">
      <c r="A331" s="7" t="str">
        <f>Detalle_OC[[#This Row],[Centro]]&amp;Detalle_OC[[#This Row],[Nom Almacen]]&amp;Detalle_OC[[#This Row],[Material]]&amp;Detalle_OC[[#This Row],[Pedido]]&amp;Detalle_OC[[#This Row],[Posicion]]</f>
        <v>Sucroalcolera del Chira PlantaMontelima722283550002212610</v>
      </c>
      <c r="B331" t="s">
        <v>38</v>
      </c>
      <c r="C331" t="s">
        <v>416</v>
      </c>
      <c r="D331" s="17">
        <v>44026</v>
      </c>
      <c r="E331" t="s">
        <v>26</v>
      </c>
      <c r="F331" t="s">
        <v>41</v>
      </c>
      <c r="G331">
        <v>722283</v>
      </c>
      <c r="H331">
        <v>5500022126</v>
      </c>
      <c r="I331">
        <v>10</v>
      </c>
      <c r="J331" s="7">
        <v>1</v>
      </c>
      <c r="K331" s="7" t="str">
        <f>IFERROR(VLOOKUP(Detalle_OC[[#This Row],[Centro]]&amp;Detalle_OC[[#This Row],[Nro Almacen]],Almacen!A:D,4,FALSE),"")</f>
        <v>Montelima</v>
      </c>
    </row>
    <row r="332" spans="1:11" x14ac:dyDescent="0.35">
      <c r="A332" s="7" t="str">
        <f>Detalle_OC[[#This Row],[Centro]]&amp;Detalle_OC[[#This Row],[Nom Almacen]]&amp;Detalle_OC[[#This Row],[Material]]&amp;Detalle_OC[[#This Row],[Pedido]]&amp;Detalle_OC[[#This Row],[Posicion]]</f>
        <v>Sucroalcolera del Chira PlantaMontelima722283550002212610</v>
      </c>
      <c r="B332" t="s">
        <v>38</v>
      </c>
      <c r="C332" t="s">
        <v>416</v>
      </c>
      <c r="D332" s="17">
        <v>44033</v>
      </c>
      <c r="E332" t="s">
        <v>26</v>
      </c>
      <c r="F332" t="s">
        <v>41</v>
      </c>
      <c r="G332">
        <v>722283</v>
      </c>
      <c r="H332">
        <v>5500022126</v>
      </c>
      <c r="I332">
        <v>10</v>
      </c>
      <c r="J332" s="7">
        <v>1</v>
      </c>
      <c r="K332" s="7" t="str">
        <f>IFERROR(VLOOKUP(Detalle_OC[[#This Row],[Centro]]&amp;Detalle_OC[[#This Row],[Nro Almacen]],Almacen!A:D,4,FALSE),"")</f>
        <v>Montelima</v>
      </c>
    </row>
    <row r="333" spans="1:11" x14ac:dyDescent="0.35">
      <c r="A333" s="7" t="str">
        <f>Detalle_OC[[#This Row],[Centro]]&amp;Detalle_OC[[#This Row],[Nom Almacen]]&amp;Detalle_OC[[#This Row],[Material]]&amp;Detalle_OC[[#This Row],[Pedido]]&amp;Detalle_OC[[#This Row],[Posicion]]</f>
        <v>Sucroalcolera del Chira PlantaMontelima722283550002212610</v>
      </c>
      <c r="B333" t="s">
        <v>38</v>
      </c>
      <c r="C333" t="s">
        <v>416</v>
      </c>
      <c r="D333" s="17">
        <v>44034</v>
      </c>
      <c r="E333" t="s">
        <v>26</v>
      </c>
      <c r="F333" t="s">
        <v>41</v>
      </c>
      <c r="G333">
        <v>722283</v>
      </c>
      <c r="H333">
        <v>5500022126</v>
      </c>
      <c r="I333">
        <v>10</v>
      </c>
      <c r="J333" s="7">
        <v>1</v>
      </c>
      <c r="K333" s="7" t="str">
        <f>IFERROR(VLOOKUP(Detalle_OC[[#This Row],[Centro]]&amp;Detalle_OC[[#This Row],[Nro Almacen]],Almacen!A:D,4,FALSE),"")</f>
        <v>Montelima</v>
      </c>
    </row>
    <row r="334" spans="1:11" x14ac:dyDescent="0.35">
      <c r="A334" s="7" t="str">
        <f>Detalle_OC[[#This Row],[Centro]]&amp;Detalle_OC[[#This Row],[Nom Almacen]]&amp;Detalle_OC[[#This Row],[Material]]&amp;Detalle_OC[[#This Row],[Pedido]]&amp;Detalle_OC[[#This Row],[Posicion]]</f>
        <v>Sucroalcolera del Chira PlantaMontelima722283550002212610</v>
      </c>
      <c r="B334" t="s">
        <v>38</v>
      </c>
      <c r="C334" t="s">
        <v>416</v>
      </c>
      <c r="D334" s="17">
        <v>44035</v>
      </c>
      <c r="E334" t="s">
        <v>26</v>
      </c>
      <c r="F334" t="s">
        <v>41</v>
      </c>
      <c r="G334">
        <v>722283</v>
      </c>
      <c r="H334">
        <v>5500022126</v>
      </c>
      <c r="I334">
        <v>10</v>
      </c>
      <c r="J334" s="7">
        <v>1</v>
      </c>
      <c r="K334" s="7" t="str">
        <f>IFERROR(VLOOKUP(Detalle_OC[[#This Row],[Centro]]&amp;Detalle_OC[[#This Row],[Nro Almacen]],Almacen!A:D,4,FALSE),"")</f>
        <v>Montelima</v>
      </c>
    </row>
    <row r="335" spans="1:11" x14ac:dyDescent="0.35">
      <c r="A335" s="7" t="str">
        <f>Detalle_OC[[#This Row],[Centro]]&amp;Detalle_OC[[#This Row],[Nom Almacen]]&amp;Detalle_OC[[#This Row],[Material]]&amp;Detalle_OC[[#This Row],[Pedido]]&amp;Detalle_OC[[#This Row],[Posicion]]</f>
        <v>Sucroalcolera del Chira PlantaMontelima722283550002212610</v>
      </c>
      <c r="B335" t="s">
        <v>38</v>
      </c>
      <c r="C335" t="s">
        <v>416</v>
      </c>
      <c r="D335" s="17">
        <v>44037</v>
      </c>
      <c r="E335" t="s">
        <v>26</v>
      </c>
      <c r="F335" t="s">
        <v>41</v>
      </c>
      <c r="G335">
        <v>722283</v>
      </c>
      <c r="H335">
        <v>5500022126</v>
      </c>
      <c r="I335">
        <v>10</v>
      </c>
      <c r="J335" s="7">
        <v>1</v>
      </c>
      <c r="K335" s="7" t="str">
        <f>IFERROR(VLOOKUP(Detalle_OC[[#This Row],[Centro]]&amp;Detalle_OC[[#This Row],[Nro Almacen]],Almacen!A:D,4,FALSE),"")</f>
        <v>Montelima</v>
      </c>
    </row>
    <row r="336" spans="1:11" x14ac:dyDescent="0.35">
      <c r="A336" s="7" t="str">
        <f>Detalle_OC[[#This Row],[Centro]]&amp;Detalle_OC[[#This Row],[Nom Almacen]]&amp;Detalle_OC[[#This Row],[Material]]&amp;Detalle_OC[[#This Row],[Pedido]]&amp;Detalle_OC[[#This Row],[Posicion]]</f>
        <v>Sucroalcolera del Chira PlantaMontelima722283550002212610</v>
      </c>
      <c r="B336" t="s">
        <v>38</v>
      </c>
      <c r="C336" t="s">
        <v>416</v>
      </c>
      <c r="D336" s="17">
        <v>44039</v>
      </c>
      <c r="E336" t="s">
        <v>26</v>
      </c>
      <c r="F336" t="s">
        <v>41</v>
      </c>
      <c r="G336">
        <v>722283</v>
      </c>
      <c r="H336">
        <v>5500022126</v>
      </c>
      <c r="I336">
        <v>10</v>
      </c>
      <c r="J336" s="7">
        <v>1</v>
      </c>
      <c r="K336" s="7" t="str">
        <f>IFERROR(VLOOKUP(Detalle_OC[[#This Row],[Centro]]&amp;Detalle_OC[[#This Row],[Nro Almacen]],Almacen!A:D,4,FALSE),"")</f>
        <v>Montelima</v>
      </c>
    </row>
    <row r="337" spans="1:11" x14ac:dyDescent="0.35">
      <c r="A337" s="7" t="str">
        <f>Detalle_OC[[#This Row],[Centro]]&amp;Detalle_OC[[#This Row],[Nom Almacen]]&amp;Detalle_OC[[#This Row],[Material]]&amp;Detalle_OC[[#This Row],[Pedido]]&amp;Detalle_OC[[#This Row],[Posicion]]</f>
        <v>Sucroalcolera del Chira PlantaMontelima722283550002212610</v>
      </c>
      <c r="B337" t="s">
        <v>38</v>
      </c>
      <c r="C337" t="s">
        <v>416</v>
      </c>
      <c r="D337" s="17">
        <v>44039</v>
      </c>
      <c r="E337" t="s">
        <v>26</v>
      </c>
      <c r="F337" t="s">
        <v>41</v>
      </c>
      <c r="G337">
        <v>722283</v>
      </c>
      <c r="H337">
        <v>5500022126</v>
      </c>
      <c r="I337">
        <v>10</v>
      </c>
      <c r="J337" s="7">
        <v>1</v>
      </c>
      <c r="K337" s="7" t="str">
        <f>IFERROR(VLOOKUP(Detalle_OC[[#This Row],[Centro]]&amp;Detalle_OC[[#This Row],[Nro Almacen]],Almacen!A:D,4,FALSE),"")</f>
        <v>Montelima</v>
      </c>
    </row>
    <row r="338" spans="1:11" x14ac:dyDescent="0.35">
      <c r="A338" s="7" t="str">
        <f>Detalle_OC[[#This Row],[Centro]]&amp;Detalle_OC[[#This Row],[Nom Almacen]]&amp;Detalle_OC[[#This Row],[Material]]&amp;Detalle_OC[[#This Row],[Pedido]]&amp;Detalle_OC[[#This Row],[Posicion]]</f>
        <v>Sucroalcolera del Chira PlantaMontelima722283550002212610</v>
      </c>
      <c r="B338" t="s">
        <v>38</v>
      </c>
      <c r="C338" t="s">
        <v>416</v>
      </c>
      <c r="D338" s="17">
        <v>44040</v>
      </c>
      <c r="E338" t="s">
        <v>26</v>
      </c>
      <c r="F338" t="s">
        <v>41</v>
      </c>
      <c r="G338">
        <v>722283</v>
      </c>
      <c r="H338">
        <v>5500022126</v>
      </c>
      <c r="I338">
        <v>10</v>
      </c>
      <c r="J338" s="7">
        <v>1</v>
      </c>
      <c r="K338" s="7" t="str">
        <f>IFERROR(VLOOKUP(Detalle_OC[[#This Row],[Centro]]&amp;Detalle_OC[[#This Row],[Nro Almacen]],Almacen!A:D,4,FALSE),"")</f>
        <v>Montelima</v>
      </c>
    </row>
    <row r="339" spans="1:11" x14ac:dyDescent="0.35">
      <c r="A339" s="7" t="str">
        <f>Detalle_OC[[#This Row],[Centro]]&amp;Detalle_OC[[#This Row],[Nom Almacen]]&amp;Detalle_OC[[#This Row],[Material]]&amp;Detalle_OC[[#This Row],[Pedido]]&amp;Detalle_OC[[#This Row],[Posicion]]</f>
        <v>Sucroalcolera del Chira PlantaMontelima722283550002212610</v>
      </c>
      <c r="B339" t="s">
        <v>38</v>
      </c>
      <c r="C339" t="s">
        <v>416</v>
      </c>
      <c r="D339" s="17">
        <v>44042</v>
      </c>
      <c r="E339" t="s">
        <v>26</v>
      </c>
      <c r="F339" t="s">
        <v>41</v>
      </c>
      <c r="G339">
        <v>722283</v>
      </c>
      <c r="H339">
        <v>5500022126</v>
      </c>
      <c r="I339">
        <v>10</v>
      </c>
      <c r="J339" s="7">
        <v>1</v>
      </c>
      <c r="K339" s="7" t="str">
        <f>IFERROR(VLOOKUP(Detalle_OC[[#This Row],[Centro]]&amp;Detalle_OC[[#This Row],[Nro Almacen]],Almacen!A:D,4,FALSE),"")</f>
        <v>Montelima</v>
      </c>
    </row>
    <row r="340" spans="1:11" x14ac:dyDescent="0.35">
      <c r="A340" s="7" t="str">
        <f>Detalle_OC[[#This Row],[Centro]]&amp;Detalle_OC[[#This Row],[Nom Almacen]]&amp;Detalle_OC[[#This Row],[Material]]&amp;Detalle_OC[[#This Row],[Pedido]]&amp;Detalle_OC[[#This Row],[Posicion]]</f>
        <v>Sucroalcolera del Chira PlantaMontelima722283550002212610</v>
      </c>
      <c r="B340" t="s">
        <v>38</v>
      </c>
      <c r="C340" t="s">
        <v>416</v>
      </c>
      <c r="D340" s="17">
        <v>44044</v>
      </c>
      <c r="E340" t="s">
        <v>26</v>
      </c>
      <c r="F340" t="s">
        <v>41</v>
      </c>
      <c r="G340">
        <v>722283</v>
      </c>
      <c r="H340">
        <v>5500022126</v>
      </c>
      <c r="I340">
        <v>10</v>
      </c>
      <c r="J340" s="7">
        <v>1</v>
      </c>
      <c r="K340" s="7" t="str">
        <f>IFERROR(VLOOKUP(Detalle_OC[[#This Row],[Centro]]&amp;Detalle_OC[[#This Row],[Nro Almacen]],Almacen!A:D,4,FALSE),"")</f>
        <v>Montelima</v>
      </c>
    </row>
    <row r="341" spans="1:11" x14ac:dyDescent="0.35">
      <c r="A341" s="7" t="str">
        <f>Detalle_OC[[#This Row],[Centro]]&amp;Detalle_OC[[#This Row],[Nom Almacen]]&amp;Detalle_OC[[#This Row],[Material]]&amp;Detalle_OC[[#This Row],[Pedido]]&amp;Detalle_OC[[#This Row],[Posicion]]</f>
        <v>Sucroalcolera del Chira PlantaMontelima722283550002212610</v>
      </c>
      <c r="B341" t="s">
        <v>38</v>
      </c>
      <c r="C341" t="s">
        <v>416</v>
      </c>
      <c r="D341" s="17">
        <v>44047</v>
      </c>
      <c r="E341" t="s">
        <v>26</v>
      </c>
      <c r="F341" t="s">
        <v>41</v>
      </c>
      <c r="G341">
        <v>722283</v>
      </c>
      <c r="H341">
        <v>5500022126</v>
      </c>
      <c r="I341">
        <v>10</v>
      </c>
      <c r="J341" s="7">
        <v>1</v>
      </c>
      <c r="K341" s="7" t="str">
        <f>IFERROR(VLOOKUP(Detalle_OC[[#This Row],[Centro]]&amp;Detalle_OC[[#This Row],[Nro Almacen]],Almacen!A:D,4,FALSE),"")</f>
        <v>Montelima</v>
      </c>
    </row>
    <row r="342" spans="1:11" x14ac:dyDescent="0.35">
      <c r="A342" s="7" t="str">
        <f>Detalle_OC[[#This Row],[Centro]]&amp;Detalle_OC[[#This Row],[Nom Almacen]]&amp;Detalle_OC[[#This Row],[Material]]&amp;Detalle_OC[[#This Row],[Pedido]]&amp;Detalle_OC[[#This Row],[Posicion]]</f>
        <v>Sucroalcolera del Chira PlantaMontelima722283550002212610</v>
      </c>
      <c r="B342" t="s">
        <v>38</v>
      </c>
      <c r="C342" t="s">
        <v>416</v>
      </c>
      <c r="D342" s="17">
        <v>44102</v>
      </c>
      <c r="E342" t="s">
        <v>26</v>
      </c>
      <c r="F342" t="s">
        <v>41</v>
      </c>
      <c r="G342">
        <v>722283</v>
      </c>
      <c r="H342">
        <v>5500022126</v>
      </c>
      <c r="I342">
        <v>10</v>
      </c>
      <c r="J342" s="7">
        <v>1</v>
      </c>
      <c r="K342" s="7" t="str">
        <f>IFERROR(VLOOKUP(Detalle_OC[[#This Row],[Centro]]&amp;Detalle_OC[[#This Row],[Nro Almacen]],Almacen!A:D,4,FALSE),"")</f>
        <v>Montelima</v>
      </c>
    </row>
    <row r="343" spans="1:11" x14ac:dyDescent="0.35">
      <c r="A343" s="7" t="str">
        <f>Detalle_OC[[#This Row],[Centro]]&amp;Detalle_OC[[#This Row],[Nom Almacen]]&amp;Detalle_OC[[#This Row],[Material]]&amp;Detalle_OC[[#This Row],[Pedido]]&amp;Detalle_OC[[#This Row],[Posicion]]</f>
        <v>Sucroalcolera del Chira PlantaMontelima722283550002212610</v>
      </c>
      <c r="B343" t="s">
        <v>38</v>
      </c>
      <c r="C343" t="s">
        <v>416</v>
      </c>
      <c r="D343" s="17">
        <v>44184</v>
      </c>
      <c r="E343" t="s">
        <v>26</v>
      </c>
      <c r="F343" t="s">
        <v>41</v>
      </c>
      <c r="G343">
        <v>722283</v>
      </c>
      <c r="H343">
        <v>5500022126</v>
      </c>
      <c r="I343">
        <v>10</v>
      </c>
      <c r="J343" s="7">
        <v>1</v>
      </c>
      <c r="K343" s="7" t="str">
        <f>IFERROR(VLOOKUP(Detalle_OC[[#This Row],[Centro]]&amp;Detalle_OC[[#This Row],[Nro Almacen]],Almacen!A:D,4,FALSE),"")</f>
        <v>Montelima</v>
      </c>
    </row>
    <row r="344" spans="1:11" x14ac:dyDescent="0.35">
      <c r="A344" s="7" t="str">
        <f>Detalle_OC[[#This Row],[Centro]]&amp;Detalle_OC[[#This Row],[Nom Almacen]]&amp;Detalle_OC[[#This Row],[Material]]&amp;Detalle_OC[[#This Row],[Pedido]]&amp;Detalle_OC[[#This Row],[Posicion]]</f>
        <v>Sucroalcolera del Chira PlantaMontelima722283550002212610</v>
      </c>
      <c r="B344" t="s">
        <v>38</v>
      </c>
      <c r="C344" t="s">
        <v>416</v>
      </c>
      <c r="D344" s="17">
        <v>44252</v>
      </c>
      <c r="E344" t="s">
        <v>26</v>
      </c>
      <c r="F344" t="s">
        <v>41</v>
      </c>
      <c r="G344">
        <v>722283</v>
      </c>
      <c r="H344">
        <v>5500022126</v>
      </c>
      <c r="I344">
        <v>10</v>
      </c>
      <c r="J344" s="7">
        <v>1</v>
      </c>
      <c r="K344" s="7" t="str">
        <f>IFERROR(VLOOKUP(Detalle_OC[[#This Row],[Centro]]&amp;Detalle_OC[[#This Row],[Nro Almacen]],Almacen!A:D,4,FALSE),"")</f>
        <v>Montelima</v>
      </c>
    </row>
    <row r="345" spans="1:11" x14ac:dyDescent="0.35">
      <c r="A345" s="7" t="str">
        <f>Detalle_OC[[#This Row],[Centro]]&amp;Detalle_OC[[#This Row],[Nom Almacen]]&amp;Detalle_OC[[#This Row],[Material]]&amp;Detalle_OC[[#This Row],[Pedido]]&amp;Detalle_OC[[#This Row],[Posicion]]</f>
        <v>Sucroalcolera del Chira PlantaMontelima722283550002212610</v>
      </c>
      <c r="B345" t="s">
        <v>38</v>
      </c>
      <c r="C345" t="s">
        <v>416</v>
      </c>
      <c r="D345" s="17">
        <v>44257</v>
      </c>
      <c r="E345" t="s">
        <v>26</v>
      </c>
      <c r="F345" t="s">
        <v>41</v>
      </c>
      <c r="G345">
        <v>722283</v>
      </c>
      <c r="H345">
        <v>5500022126</v>
      </c>
      <c r="I345">
        <v>10</v>
      </c>
      <c r="J345" s="7">
        <v>1</v>
      </c>
      <c r="K345" s="7" t="str">
        <f>IFERROR(VLOOKUP(Detalle_OC[[#This Row],[Centro]]&amp;Detalle_OC[[#This Row],[Nro Almacen]],Almacen!A:D,4,FALSE),"")</f>
        <v>Montelima</v>
      </c>
    </row>
    <row r="346" spans="1:11" x14ac:dyDescent="0.35">
      <c r="A346" s="7" t="str">
        <f>Detalle_OC[[#This Row],[Centro]]&amp;Detalle_OC[[#This Row],[Nom Almacen]]&amp;Detalle_OC[[#This Row],[Material]]&amp;Detalle_OC[[#This Row],[Pedido]]&amp;Detalle_OC[[#This Row],[Posicion]]</f>
        <v>Sucroalcolera del Chira PlantaMontelima722283550002212610</v>
      </c>
      <c r="B346" t="s">
        <v>38</v>
      </c>
      <c r="C346" t="s">
        <v>416</v>
      </c>
      <c r="D346" s="17">
        <v>44261</v>
      </c>
      <c r="E346" t="s">
        <v>26</v>
      </c>
      <c r="F346" t="s">
        <v>41</v>
      </c>
      <c r="G346">
        <v>722283</v>
      </c>
      <c r="H346">
        <v>5500022126</v>
      </c>
      <c r="I346">
        <v>10</v>
      </c>
      <c r="J346" s="7">
        <v>1</v>
      </c>
      <c r="K346" s="7" t="str">
        <f>IFERROR(VLOOKUP(Detalle_OC[[#This Row],[Centro]]&amp;Detalle_OC[[#This Row],[Nro Almacen]],Almacen!A:D,4,FALSE),"")</f>
        <v>Montelima</v>
      </c>
    </row>
    <row r="347" spans="1:11" x14ac:dyDescent="0.35">
      <c r="A347" s="7" t="str">
        <f>Detalle_OC[[#This Row],[Centro]]&amp;Detalle_OC[[#This Row],[Nom Almacen]]&amp;Detalle_OC[[#This Row],[Material]]&amp;Detalle_OC[[#This Row],[Pedido]]&amp;Detalle_OC[[#This Row],[Posicion]]</f>
        <v>Sucroalcolera del Chira PlantaMontelima722283550002212610</v>
      </c>
      <c r="B347" t="s">
        <v>38</v>
      </c>
      <c r="C347" t="s">
        <v>416</v>
      </c>
      <c r="D347" s="17">
        <v>44271</v>
      </c>
      <c r="E347" t="s">
        <v>26</v>
      </c>
      <c r="F347" t="s">
        <v>41</v>
      </c>
      <c r="G347">
        <v>722283</v>
      </c>
      <c r="H347">
        <v>5500022126</v>
      </c>
      <c r="I347">
        <v>10</v>
      </c>
      <c r="J347" s="7">
        <v>1</v>
      </c>
      <c r="K347" s="7" t="str">
        <f>IFERROR(VLOOKUP(Detalle_OC[[#This Row],[Centro]]&amp;Detalle_OC[[#This Row],[Nro Almacen]],Almacen!A:D,4,FALSE),"")</f>
        <v>Montelima</v>
      </c>
    </row>
    <row r="348" spans="1:11" x14ac:dyDescent="0.35">
      <c r="A348" s="7" t="str">
        <f>Detalle_OC[[#This Row],[Centro]]&amp;Detalle_OC[[#This Row],[Nom Almacen]]&amp;Detalle_OC[[#This Row],[Material]]&amp;Detalle_OC[[#This Row],[Pedido]]&amp;Detalle_OC[[#This Row],[Posicion]]</f>
        <v>Sucroalcolera del Chira PlantaMontelima722283550002212610</v>
      </c>
      <c r="B348" t="s">
        <v>38</v>
      </c>
      <c r="C348" t="s">
        <v>416</v>
      </c>
      <c r="D348" s="17">
        <v>44279</v>
      </c>
      <c r="E348" t="s">
        <v>26</v>
      </c>
      <c r="F348" t="s">
        <v>41</v>
      </c>
      <c r="G348">
        <v>722283</v>
      </c>
      <c r="H348">
        <v>5500022126</v>
      </c>
      <c r="I348">
        <v>10</v>
      </c>
      <c r="J348" s="7">
        <v>1</v>
      </c>
      <c r="K348" s="7" t="str">
        <f>IFERROR(VLOOKUP(Detalle_OC[[#This Row],[Centro]]&amp;Detalle_OC[[#This Row],[Nro Almacen]],Almacen!A:D,4,FALSE),"")</f>
        <v>Montelima</v>
      </c>
    </row>
    <row r="349" spans="1:11" x14ac:dyDescent="0.35">
      <c r="A349" s="7" t="str">
        <f>Detalle_OC[[#This Row],[Centro]]&amp;Detalle_OC[[#This Row],[Nom Almacen]]&amp;Detalle_OC[[#This Row],[Material]]&amp;Detalle_OC[[#This Row],[Pedido]]&amp;Detalle_OC[[#This Row],[Posicion]]</f>
        <v>Sucroalcolera del Chira PlantaMontelima722283550002212610</v>
      </c>
      <c r="B349" t="s">
        <v>38</v>
      </c>
      <c r="C349" t="s">
        <v>416</v>
      </c>
      <c r="D349" s="17">
        <v>44320</v>
      </c>
      <c r="E349" t="s">
        <v>26</v>
      </c>
      <c r="F349" t="s">
        <v>41</v>
      </c>
      <c r="G349">
        <v>722283</v>
      </c>
      <c r="H349">
        <v>5500022126</v>
      </c>
      <c r="I349">
        <v>10</v>
      </c>
      <c r="J349" s="7">
        <v>1</v>
      </c>
      <c r="K349" s="7" t="str">
        <f>IFERROR(VLOOKUP(Detalle_OC[[#This Row],[Centro]]&amp;Detalle_OC[[#This Row],[Nro Almacen]],Almacen!A:D,4,FALSE),"")</f>
        <v>Montelima</v>
      </c>
    </row>
    <row r="350" spans="1:11" x14ac:dyDescent="0.35">
      <c r="A350" s="7" t="str">
        <f>Detalle_OC[[#This Row],[Centro]]&amp;Detalle_OC[[#This Row],[Nom Almacen]]&amp;Detalle_OC[[#This Row],[Material]]&amp;Detalle_OC[[#This Row],[Pedido]]&amp;Detalle_OC[[#This Row],[Posicion]]</f>
        <v>Sucroalcolera del Chira PlantaMontelima722283550002212610</v>
      </c>
      <c r="B350" t="s">
        <v>38</v>
      </c>
      <c r="C350" t="s">
        <v>416</v>
      </c>
      <c r="D350" s="17">
        <v>44329</v>
      </c>
      <c r="E350" t="s">
        <v>26</v>
      </c>
      <c r="F350" t="s">
        <v>41</v>
      </c>
      <c r="G350">
        <v>722283</v>
      </c>
      <c r="H350">
        <v>5500022126</v>
      </c>
      <c r="I350">
        <v>10</v>
      </c>
      <c r="J350" s="7">
        <v>1</v>
      </c>
      <c r="K350" s="7" t="str">
        <f>IFERROR(VLOOKUP(Detalle_OC[[#This Row],[Centro]]&amp;Detalle_OC[[#This Row],[Nro Almacen]],Almacen!A:D,4,FALSE),"")</f>
        <v>Montelima</v>
      </c>
    </row>
    <row r="351" spans="1:11" x14ac:dyDescent="0.35">
      <c r="A351" s="7" t="str">
        <f>Detalle_OC[[#This Row],[Centro]]&amp;Detalle_OC[[#This Row],[Nom Almacen]]&amp;Detalle_OC[[#This Row],[Material]]&amp;Detalle_OC[[#This Row],[Pedido]]&amp;Detalle_OC[[#This Row],[Posicion]]</f>
        <v>Sucroalcolera del Chira PlantaMontelima722283550002212610</v>
      </c>
      <c r="B351" t="s">
        <v>38</v>
      </c>
      <c r="C351" t="s">
        <v>416</v>
      </c>
      <c r="D351" s="17">
        <v>44363</v>
      </c>
      <c r="E351" t="s">
        <v>26</v>
      </c>
      <c r="F351" t="s">
        <v>41</v>
      </c>
      <c r="G351">
        <v>722283</v>
      </c>
      <c r="H351">
        <v>5500022126</v>
      </c>
      <c r="I351">
        <v>10</v>
      </c>
      <c r="J351" s="7">
        <v>1</v>
      </c>
      <c r="K351" s="7" t="str">
        <f>IFERROR(VLOOKUP(Detalle_OC[[#This Row],[Centro]]&amp;Detalle_OC[[#This Row],[Nro Almacen]],Almacen!A:D,4,FALSE),"")</f>
        <v>Montelima</v>
      </c>
    </row>
    <row r="352" spans="1:11" x14ac:dyDescent="0.35">
      <c r="A352" s="7" t="str">
        <f>Detalle_OC[[#This Row],[Centro]]&amp;Detalle_OC[[#This Row],[Nom Almacen]]&amp;Detalle_OC[[#This Row],[Material]]&amp;Detalle_OC[[#This Row],[Pedido]]&amp;Detalle_OC[[#This Row],[Posicion]]</f>
        <v>Sucroalcolera del Chira PlantaMontelima722283550002212610</v>
      </c>
      <c r="B352" t="s">
        <v>38</v>
      </c>
      <c r="C352" t="s">
        <v>416</v>
      </c>
      <c r="D352" s="17">
        <v>44404</v>
      </c>
      <c r="E352" t="s">
        <v>26</v>
      </c>
      <c r="F352" t="s">
        <v>41</v>
      </c>
      <c r="G352">
        <v>722283</v>
      </c>
      <c r="H352">
        <v>5500022126</v>
      </c>
      <c r="I352">
        <v>10</v>
      </c>
      <c r="J352" s="7">
        <v>1</v>
      </c>
      <c r="K352" s="7" t="str">
        <f>IFERROR(VLOOKUP(Detalle_OC[[#This Row],[Centro]]&amp;Detalle_OC[[#This Row],[Nro Almacen]],Almacen!A:D,4,FALSE),"")</f>
        <v>Montelima</v>
      </c>
    </row>
    <row r="353" spans="1:11" x14ac:dyDescent="0.35">
      <c r="A353" s="7" t="str">
        <f>Detalle_OC[[#This Row],[Centro]]&amp;Detalle_OC[[#This Row],[Nom Almacen]]&amp;Detalle_OC[[#This Row],[Material]]&amp;Detalle_OC[[#This Row],[Pedido]]&amp;Detalle_OC[[#This Row],[Posicion]]</f>
        <v>Sucroalcolera del Chira PlantaMontelima722283550002212650</v>
      </c>
      <c r="B353" t="s">
        <v>38</v>
      </c>
      <c r="C353" t="s">
        <v>416</v>
      </c>
      <c r="D353" s="17">
        <v>44453</v>
      </c>
      <c r="E353" t="s">
        <v>26</v>
      </c>
      <c r="F353" t="s">
        <v>41</v>
      </c>
      <c r="G353">
        <v>722283</v>
      </c>
      <c r="H353">
        <v>5500022126</v>
      </c>
      <c r="I353">
        <v>50</v>
      </c>
      <c r="J353" s="7">
        <v>1</v>
      </c>
      <c r="K353" s="7" t="str">
        <f>IFERROR(VLOOKUP(Detalle_OC[[#This Row],[Centro]]&amp;Detalle_OC[[#This Row],[Nro Almacen]],Almacen!A:D,4,FALSE),"")</f>
        <v>Montelima</v>
      </c>
    </row>
    <row r="354" spans="1:11" x14ac:dyDescent="0.35">
      <c r="A354" s="7" t="str">
        <f>Detalle_OC[[#This Row],[Centro]]&amp;Detalle_OC[[#This Row],[Nom Almacen]]&amp;Detalle_OC[[#This Row],[Material]]&amp;Detalle_OC[[#This Row],[Pedido]]&amp;Detalle_OC[[#This Row],[Posicion]]</f>
        <v>Sucroalcolera del Chira PlantaMontelima722283550002212650</v>
      </c>
      <c r="B354" t="s">
        <v>38</v>
      </c>
      <c r="C354" t="s">
        <v>416</v>
      </c>
      <c r="D354" s="17">
        <v>44459</v>
      </c>
      <c r="E354" t="s">
        <v>26</v>
      </c>
      <c r="F354" t="s">
        <v>41</v>
      </c>
      <c r="G354">
        <v>722283</v>
      </c>
      <c r="H354">
        <v>5500022126</v>
      </c>
      <c r="I354">
        <v>50</v>
      </c>
      <c r="J354" s="7">
        <v>1</v>
      </c>
      <c r="K354" s="7" t="str">
        <f>IFERROR(VLOOKUP(Detalle_OC[[#This Row],[Centro]]&amp;Detalle_OC[[#This Row],[Nro Almacen]],Almacen!A:D,4,FALSE),"")</f>
        <v>Montelima</v>
      </c>
    </row>
    <row r="355" spans="1:11" x14ac:dyDescent="0.35">
      <c r="A355" s="7" t="str">
        <f>Detalle_OC[[#This Row],[Centro]]&amp;Detalle_OC[[#This Row],[Nom Almacen]]&amp;Detalle_OC[[#This Row],[Material]]&amp;Detalle_OC[[#This Row],[Pedido]]&amp;Detalle_OC[[#This Row],[Posicion]]</f>
        <v>Sucroalcolera del Chira PlantaMontelima722283550002212650</v>
      </c>
      <c r="B355" t="s">
        <v>38</v>
      </c>
      <c r="C355" t="s">
        <v>416</v>
      </c>
      <c r="D355" s="17">
        <v>44530</v>
      </c>
      <c r="E355" t="s">
        <v>26</v>
      </c>
      <c r="F355" t="s">
        <v>41</v>
      </c>
      <c r="G355">
        <v>722283</v>
      </c>
      <c r="H355">
        <v>5500022126</v>
      </c>
      <c r="I355">
        <v>50</v>
      </c>
      <c r="J355" s="7">
        <v>1</v>
      </c>
      <c r="K355" s="7" t="str">
        <f>IFERROR(VLOOKUP(Detalle_OC[[#This Row],[Centro]]&amp;Detalle_OC[[#This Row],[Nro Almacen]],Almacen!A:D,4,FALSE),"")</f>
        <v>Montelima</v>
      </c>
    </row>
    <row r="356" spans="1:11" x14ac:dyDescent="0.35">
      <c r="A356" s="7" t="str">
        <f>Detalle_OC[[#This Row],[Centro]]&amp;Detalle_OC[[#This Row],[Nom Almacen]]&amp;Detalle_OC[[#This Row],[Material]]&amp;Detalle_OC[[#This Row],[Pedido]]&amp;Detalle_OC[[#This Row],[Posicion]]</f>
        <v>Sucroalcolera del Chira PlantaMontelima722283550002212650</v>
      </c>
      <c r="B356" t="s">
        <v>38</v>
      </c>
      <c r="C356" t="s">
        <v>416</v>
      </c>
      <c r="D356" s="17">
        <v>44641</v>
      </c>
      <c r="E356" t="s">
        <v>26</v>
      </c>
      <c r="F356" t="s">
        <v>41</v>
      </c>
      <c r="G356">
        <v>722283</v>
      </c>
      <c r="H356">
        <v>5500022126</v>
      </c>
      <c r="I356">
        <v>50</v>
      </c>
      <c r="J356" s="7">
        <v>1</v>
      </c>
      <c r="K356" s="7" t="str">
        <f>IFERROR(VLOOKUP(Detalle_OC[[#This Row],[Centro]]&amp;Detalle_OC[[#This Row],[Nro Almacen]],Almacen!A:D,4,FALSE),"")</f>
        <v>Montelima</v>
      </c>
    </row>
    <row r="357" spans="1:11" x14ac:dyDescent="0.35">
      <c r="A357" s="7" t="str">
        <f>Detalle_OC[[#This Row],[Centro]]&amp;Detalle_OC[[#This Row],[Nom Almacen]]&amp;Detalle_OC[[#This Row],[Material]]&amp;Detalle_OC[[#This Row],[Pedido]]&amp;Detalle_OC[[#This Row],[Posicion]]</f>
        <v>Sucroalcolera del Chira PlantaMontelima722283550002212650</v>
      </c>
      <c r="B357" t="s">
        <v>38</v>
      </c>
      <c r="C357" t="s">
        <v>416</v>
      </c>
      <c r="D357" s="17">
        <v>44646</v>
      </c>
      <c r="E357" t="s">
        <v>26</v>
      </c>
      <c r="F357" t="s">
        <v>41</v>
      </c>
      <c r="G357">
        <v>722283</v>
      </c>
      <c r="H357">
        <v>5500022126</v>
      </c>
      <c r="I357">
        <v>50</v>
      </c>
      <c r="J357" s="7">
        <v>1</v>
      </c>
      <c r="K357" s="7" t="str">
        <f>IFERROR(VLOOKUP(Detalle_OC[[#This Row],[Centro]]&amp;Detalle_OC[[#This Row],[Nro Almacen]],Almacen!A:D,4,FALSE),"")</f>
        <v>Montelima</v>
      </c>
    </row>
    <row r="358" spans="1:11" x14ac:dyDescent="0.35">
      <c r="A358" s="7" t="str">
        <f>Detalle_OC[[#This Row],[Centro]]&amp;Detalle_OC[[#This Row],[Nom Almacen]]&amp;Detalle_OC[[#This Row],[Material]]&amp;Detalle_OC[[#This Row],[Pedido]]&amp;Detalle_OC[[#This Row],[Posicion]]</f>
        <v>Sucroalcolera del Chira PlantaMontelima722283550002212680</v>
      </c>
      <c r="B358" t="s">
        <v>38</v>
      </c>
      <c r="C358" t="s">
        <v>416</v>
      </c>
      <c r="D358" s="17">
        <v>44651</v>
      </c>
      <c r="E358" t="s">
        <v>26</v>
      </c>
      <c r="F358" t="s">
        <v>41</v>
      </c>
      <c r="G358">
        <v>722283</v>
      </c>
      <c r="H358">
        <v>5500022126</v>
      </c>
      <c r="I358">
        <v>80</v>
      </c>
      <c r="J358" s="7">
        <v>1</v>
      </c>
      <c r="K358" s="7" t="str">
        <f>IFERROR(VLOOKUP(Detalle_OC[[#This Row],[Centro]]&amp;Detalle_OC[[#This Row],[Nro Almacen]],Almacen!A:D,4,FALSE),"")</f>
        <v>Montelima</v>
      </c>
    </row>
    <row r="359" spans="1:11" x14ac:dyDescent="0.35">
      <c r="A359" s="7" t="str">
        <f>Detalle_OC[[#This Row],[Centro]]&amp;Detalle_OC[[#This Row],[Nom Almacen]]&amp;Detalle_OC[[#This Row],[Material]]&amp;Detalle_OC[[#This Row],[Pedido]]&amp;Detalle_OC[[#This Row],[Posicion]]</f>
        <v>Sucroalcolera del Chira PlantaMontelima722283550002212680</v>
      </c>
      <c r="B359" t="s">
        <v>38</v>
      </c>
      <c r="C359" t="s">
        <v>416</v>
      </c>
      <c r="D359" s="17">
        <v>44660</v>
      </c>
      <c r="E359" t="s">
        <v>26</v>
      </c>
      <c r="F359" t="s">
        <v>41</v>
      </c>
      <c r="G359">
        <v>722283</v>
      </c>
      <c r="H359">
        <v>5500022126</v>
      </c>
      <c r="I359">
        <v>80</v>
      </c>
      <c r="J359" s="7">
        <v>1</v>
      </c>
      <c r="K359" s="7" t="str">
        <f>IFERROR(VLOOKUP(Detalle_OC[[#This Row],[Centro]]&amp;Detalle_OC[[#This Row],[Nro Almacen]],Almacen!A:D,4,FALSE),"")</f>
        <v>Montelima</v>
      </c>
    </row>
    <row r="360" spans="1:11" x14ac:dyDescent="0.35">
      <c r="A360" s="7" t="str">
        <f>Detalle_OC[[#This Row],[Centro]]&amp;Detalle_OC[[#This Row],[Nom Almacen]]&amp;Detalle_OC[[#This Row],[Material]]&amp;Detalle_OC[[#This Row],[Pedido]]&amp;Detalle_OC[[#This Row],[Posicion]]</f>
        <v>Sucroalcolera del Chira PlantaMontelima722283550002212680</v>
      </c>
      <c r="B360" t="s">
        <v>38</v>
      </c>
      <c r="C360" t="s">
        <v>416</v>
      </c>
      <c r="D360" s="17">
        <v>44708</v>
      </c>
      <c r="E360" t="s">
        <v>26</v>
      </c>
      <c r="F360" t="s">
        <v>41</v>
      </c>
      <c r="G360">
        <v>722283</v>
      </c>
      <c r="H360">
        <v>5500022126</v>
      </c>
      <c r="I360">
        <v>80</v>
      </c>
      <c r="J360" s="7">
        <v>1</v>
      </c>
      <c r="K360" s="7" t="str">
        <f>IFERROR(VLOOKUP(Detalle_OC[[#This Row],[Centro]]&amp;Detalle_OC[[#This Row],[Nro Almacen]],Almacen!A:D,4,FALSE),"")</f>
        <v>Montelima</v>
      </c>
    </row>
    <row r="361" spans="1:11" x14ac:dyDescent="0.35">
      <c r="A361" s="7" t="str">
        <f>Detalle_OC[[#This Row],[Centro]]&amp;Detalle_OC[[#This Row],[Nom Almacen]]&amp;Detalle_OC[[#This Row],[Material]]&amp;Detalle_OC[[#This Row],[Pedido]]&amp;Detalle_OC[[#This Row],[Posicion]]</f>
        <v>Sucroalcolera del Chira PlantaMontelima722283550002212680</v>
      </c>
      <c r="B361" t="s">
        <v>38</v>
      </c>
      <c r="C361" t="s">
        <v>416</v>
      </c>
      <c r="D361" s="17">
        <v>44732</v>
      </c>
      <c r="E361" t="s">
        <v>26</v>
      </c>
      <c r="F361" t="s">
        <v>41</v>
      </c>
      <c r="G361">
        <v>722283</v>
      </c>
      <c r="H361">
        <v>5500022126</v>
      </c>
      <c r="I361">
        <v>80</v>
      </c>
      <c r="J361" s="7">
        <v>1</v>
      </c>
      <c r="K361" s="7" t="str">
        <f>IFERROR(VLOOKUP(Detalle_OC[[#This Row],[Centro]]&amp;Detalle_OC[[#This Row],[Nro Almacen]],Almacen!A:D,4,FALSE),"")</f>
        <v>Montelima</v>
      </c>
    </row>
    <row r="362" spans="1:11" x14ac:dyDescent="0.35">
      <c r="A362" s="7" t="str">
        <f>Detalle_OC[[#This Row],[Centro]]&amp;Detalle_OC[[#This Row],[Nom Almacen]]&amp;Detalle_OC[[#This Row],[Material]]&amp;Detalle_OC[[#This Row],[Pedido]]&amp;Detalle_OC[[#This Row],[Posicion]]</f>
        <v>Sucroalcolera del Chira PlantaMontelima722283550002212680</v>
      </c>
      <c r="B362" t="s">
        <v>38</v>
      </c>
      <c r="C362" t="s">
        <v>416</v>
      </c>
      <c r="D362" s="17">
        <v>44762</v>
      </c>
      <c r="E362" t="s">
        <v>26</v>
      </c>
      <c r="F362" t="s">
        <v>41</v>
      </c>
      <c r="G362">
        <v>722283</v>
      </c>
      <c r="H362">
        <v>5500022126</v>
      </c>
      <c r="I362">
        <v>80</v>
      </c>
      <c r="J362" s="7">
        <v>1</v>
      </c>
      <c r="K362" s="7" t="str">
        <f>IFERROR(VLOOKUP(Detalle_OC[[#This Row],[Centro]]&amp;Detalle_OC[[#This Row],[Nro Almacen]],Almacen!A:D,4,FALSE),"")</f>
        <v>Montelima</v>
      </c>
    </row>
    <row r="363" spans="1:11" x14ac:dyDescent="0.35">
      <c r="A363" s="7" t="str">
        <f>Detalle_OC[[#This Row],[Centro]]&amp;Detalle_OC[[#This Row],[Nom Almacen]]&amp;Detalle_OC[[#This Row],[Material]]&amp;Detalle_OC[[#This Row],[Pedido]]&amp;Detalle_OC[[#This Row],[Posicion]]</f>
        <v>Sucroalcolera del Chira PlantaMontelima722283550002212680</v>
      </c>
      <c r="B363" t="s">
        <v>38</v>
      </c>
      <c r="C363" t="s">
        <v>416</v>
      </c>
      <c r="D363" s="17">
        <v>44775</v>
      </c>
      <c r="E363" t="s">
        <v>26</v>
      </c>
      <c r="F363" t="s">
        <v>41</v>
      </c>
      <c r="G363">
        <v>722283</v>
      </c>
      <c r="H363">
        <v>5500022126</v>
      </c>
      <c r="I363">
        <v>80</v>
      </c>
      <c r="J363" s="7">
        <v>1</v>
      </c>
      <c r="K363" s="7" t="str">
        <f>IFERROR(VLOOKUP(Detalle_OC[[#This Row],[Centro]]&amp;Detalle_OC[[#This Row],[Nro Almacen]],Almacen!A:D,4,FALSE),"")</f>
        <v>Montelima</v>
      </c>
    </row>
    <row r="364" spans="1:11" x14ac:dyDescent="0.35">
      <c r="A364" s="7" t="str">
        <f>Detalle_OC[[#This Row],[Centro]]&amp;Detalle_OC[[#This Row],[Nom Almacen]]&amp;Detalle_OC[[#This Row],[Material]]&amp;Detalle_OC[[#This Row],[Pedido]]&amp;Detalle_OC[[#This Row],[Posicion]]</f>
        <v>Sucroalcolera del Chira PlantaMontelima722283550002212680</v>
      </c>
      <c r="B364" t="s">
        <v>38</v>
      </c>
      <c r="C364" t="s">
        <v>416</v>
      </c>
      <c r="D364" s="17">
        <v>44859</v>
      </c>
      <c r="E364" t="s">
        <v>26</v>
      </c>
      <c r="F364" t="s">
        <v>41</v>
      </c>
      <c r="G364">
        <v>722283</v>
      </c>
      <c r="H364">
        <v>5500022126</v>
      </c>
      <c r="I364">
        <v>80</v>
      </c>
      <c r="J364" s="7">
        <v>1</v>
      </c>
      <c r="K364" s="7" t="str">
        <f>IFERROR(VLOOKUP(Detalle_OC[[#This Row],[Centro]]&amp;Detalle_OC[[#This Row],[Nro Almacen]],Almacen!A:D,4,FALSE),"")</f>
        <v>Montelima</v>
      </c>
    </row>
    <row r="365" spans="1:11" x14ac:dyDescent="0.35">
      <c r="A365" s="7" t="str">
        <f>Detalle_OC[[#This Row],[Centro]]&amp;Detalle_OC[[#This Row],[Nom Almacen]]&amp;Detalle_OC[[#This Row],[Material]]&amp;Detalle_OC[[#This Row],[Pedido]]&amp;Detalle_OC[[#This Row],[Posicion]]</f>
        <v>Sucroalcolera del Chira PlantaMontelima722283550002212680</v>
      </c>
      <c r="B365" t="s">
        <v>38</v>
      </c>
      <c r="C365" t="s">
        <v>416</v>
      </c>
      <c r="D365" s="17">
        <v>44914</v>
      </c>
      <c r="E365" t="s">
        <v>26</v>
      </c>
      <c r="F365" t="s">
        <v>41</v>
      </c>
      <c r="G365">
        <v>722283</v>
      </c>
      <c r="H365">
        <v>5500022126</v>
      </c>
      <c r="I365">
        <v>80</v>
      </c>
      <c r="J365" s="7">
        <v>1</v>
      </c>
      <c r="K365" s="7" t="str">
        <f>IFERROR(VLOOKUP(Detalle_OC[[#This Row],[Centro]]&amp;Detalle_OC[[#This Row],[Nro Almacen]],Almacen!A:D,4,FALSE),"")</f>
        <v>Montelima</v>
      </c>
    </row>
    <row r="366" spans="1:11" x14ac:dyDescent="0.35">
      <c r="A366" s="7" t="str">
        <f>Detalle_OC[[#This Row],[Centro]]&amp;Detalle_OC[[#This Row],[Nom Almacen]]&amp;Detalle_OC[[#This Row],[Material]]&amp;Detalle_OC[[#This Row],[Pedido]]&amp;Detalle_OC[[#This Row],[Posicion]]</f>
        <v>Sucroalcolera del Chira PlantaMontelima722283550002212680</v>
      </c>
      <c r="B366" t="s">
        <v>38</v>
      </c>
      <c r="C366" t="s">
        <v>416</v>
      </c>
      <c r="D366" s="17">
        <v>44942</v>
      </c>
      <c r="E366" t="s">
        <v>26</v>
      </c>
      <c r="F366" t="s">
        <v>41</v>
      </c>
      <c r="G366">
        <v>722283</v>
      </c>
      <c r="H366">
        <v>5500022126</v>
      </c>
      <c r="I366">
        <v>80</v>
      </c>
      <c r="J366" s="7">
        <v>1</v>
      </c>
      <c r="K366" s="7" t="str">
        <f>IFERROR(VLOOKUP(Detalle_OC[[#This Row],[Centro]]&amp;Detalle_OC[[#This Row],[Nro Almacen]],Almacen!A:D,4,FALSE),"")</f>
        <v>Montelima</v>
      </c>
    </row>
    <row r="367" spans="1:11" x14ac:dyDescent="0.35">
      <c r="A367" s="7" t="str">
        <f>Detalle_OC[[#This Row],[Centro]]&amp;Detalle_OC[[#This Row],[Nom Almacen]]&amp;Detalle_OC[[#This Row],[Material]]&amp;Detalle_OC[[#This Row],[Pedido]]&amp;Detalle_OC[[#This Row],[Posicion]]</f>
        <v>Sucroalcolera del Chira PlantaMontelima722283550002212680</v>
      </c>
      <c r="B367" t="s">
        <v>38</v>
      </c>
      <c r="C367" t="s">
        <v>416</v>
      </c>
      <c r="D367" s="17">
        <v>44973</v>
      </c>
      <c r="E367" t="s">
        <v>26</v>
      </c>
      <c r="F367" t="s">
        <v>41</v>
      </c>
      <c r="G367">
        <v>722283</v>
      </c>
      <c r="H367">
        <v>5500022126</v>
      </c>
      <c r="I367">
        <v>80</v>
      </c>
      <c r="J367" s="7">
        <v>1</v>
      </c>
      <c r="K367" s="7" t="str">
        <f>IFERROR(VLOOKUP(Detalle_OC[[#This Row],[Centro]]&amp;Detalle_OC[[#This Row],[Nro Almacen]],Almacen!A:D,4,FALSE),"")</f>
        <v>Montelima</v>
      </c>
    </row>
    <row r="368" spans="1:11" x14ac:dyDescent="0.35">
      <c r="A368" s="7" t="str">
        <f>Detalle_OC[[#This Row],[Centro]]&amp;Detalle_OC[[#This Row],[Nom Almacen]]&amp;Detalle_OC[[#This Row],[Material]]&amp;Detalle_OC[[#This Row],[Pedido]]&amp;Detalle_OC[[#This Row],[Posicion]]</f>
        <v>Sucroalcolera del Chira PlantaMontelima722283550002212680</v>
      </c>
      <c r="B368" t="s">
        <v>38</v>
      </c>
      <c r="C368" t="s">
        <v>416</v>
      </c>
      <c r="D368" s="17">
        <v>44992</v>
      </c>
      <c r="E368" t="s">
        <v>26</v>
      </c>
      <c r="F368" t="s">
        <v>41</v>
      </c>
      <c r="G368">
        <v>722283</v>
      </c>
      <c r="H368">
        <v>5500022126</v>
      </c>
      <c r="I368">
        <v>80</v>
      </c>
      <c r="J368" s="7">
        <v>1</v>
      </c>
      <c r="K368" s="7" t="str">
        <f>IFERROR(VLOOKUP(Detalle_OC[[#This Row],[Centro]]&amp;Detalle_OC[[#This Row],[Nro Almacen]],Almacen!A:D,4,FALSE),"")</f>
        <v>Montelima</v>
      </c>
    </row>
    <row r="369" spans="1:11" x14ac:dyDescent="0.35">
      <c r="A369" s="7" t="str">
        <f>Detalle_OC[[#This Row],[Centro]]&amp;Detalle_OC[[#This Row],[Nom Almacen]]&amp;Detalle_OC[[#This Row],[Material]]&amp;Detalle_OC[[#This Row],[Pedido]]&amp;Detalle_OC[[#This Row],[Posicion]]</f>
        <v>Sucroalcolera del Chira PlantaMontelima722284451145465010</v>
      </c>
      <c r="B369" t="s">
        <v>123</v>
      </c>
      <c r="C369" t="s">
        <v>416</v>
      </c>
      <c r="D369" s="17">
        <v>44984</v>
      </c>
      <c r="E369" t="s">
        <v>26</v>
      </c>
      <c r="F369" t="s">
        <v>41</v>
      </c>
      <c r="G369">
        <v>722284</v>
      </c>
      <c r="H369">
        <v>4511454650</v>
      </c>
      <c r="I369">
        <v>10</v>
      </c>
      <c r="J369" s="7">
        <v>1</v>
      </c>
      <c r="K369" s="7" t="str">
        <f>IFERROR(VLOOKUP(Detalle_OC[[#This Row],[Centro]]&amp;Detalle_OC[[#This Row],[Nro Almacen]],Almacen!A:D,4,FALSE),"")</f>
        <v>Montelima</v>
      </c>
    </row>
    <row r="370" spans="1:11" x14ac:dyDescent="0.35">
      <c r="A370" s="7" t="str">
        <f>Detalle_OC[[#This Row],[Centro]]&amp;Detalle_OC[[#This Row],[Nom Almacen]]&amp;Detalle_OC[[#This Row],[Material]]&amp;Detalle_OC[[#This Row],[Pedido]]&amp;Detalle_OC[[#This Row],[Posicion]]</f>
        <v>Agricola del Chira PlantaMontelima722284451145465310</v>
      </c>
      <c r="B370" t="s">
        <v>46</v>
      </c>
      <c r="C370" t="s">
        <v>416</v>
      </c>
      <c r="D370" s="17">
        <v>45013</v>
      </c>
      <c r="E370" t="s">
        <v>26</v>
      </c>
      <c r="F370" t="s">
        <v>27</v>
      </c>
      <c r="G370">
        <v>722284</v>
      </c>
      <c r="H370">
        <v>4511454653</v>
      </c>
      <c r="I370">
        <v>10</v>
      </c>
      <c r="J370" s="7">
        <v>1</v>
      </c>
      <c r="K370" s="7" t="str">
        <f>IFERROR(VLOOKUP(Detalle_OC[[#This Row],[Centro]]&amp;Detalle_OC[[#This Row],[Nro Almacen]],Almacen!A:D,4,FALSE),"")</f>
        <v>Montelima</v>
      </c>
    </row>
    <row r="371" spans="1:11" x14ac:dyDescent="0.35">
      <c r="A371" s="7" t="str">
        <f>Detalle_OC[[#This Row],[Centro]]&amp;Detalle_OC[[#This Row],[Nom Almacen]]&amp;Detalle_OC[[#This Row],[Material]]&amp;Detalle_OC[[#This Row],[Pedido]]&amp;Detalle_OC[[#This Row],[Posicion]]</f>
        <v>Sucroalcolera del Chira PlantaMontelima722284550002212660</v>
      </c>
      <c r="B371" t="s">
        <v>38</v>
      </c>
      <c r="C371" t="s">
        <v>416</v>
      </c>
      <c r="D371" s="17">
        <v>44453</v>
      </c>
      <c r="E371" t="s">
        <v>26</v>
      </c>
      <c r="F371" t="s">
        <v>41</v>
      </c>
      <c r="G371">
        <v>722284</v>
      </c>
      <c r="H371">
        <v>5500022126</v>
      </c>
      <c r="I371">
        <v>60</v>
      </c>
      <c r="J371" s="7">
        <v>1</v>
      </c>
      <c r="K371" s="7" t="str">
        <f>IFERROR(VLOOKUP(Detalle_OC[[#This Row],[Centro]]&amp;Detalle_OC[[#This Row],[Nro Almacen]],Almacen!A:D,4,FALSE),"")</f>
        <v>Montelima</v>
      </c>
    </row>
    <row r="372" spans="1:11" x14ac:dyDescent="0.35">
      <c r="A372" s="7" t="str">
        <f>Detalle_OC[[#This Row],[Centro]]&amp;Detalle_OC[[#This Row],[Nom Almacen]]&amp;Detalle_OC[[#This Row],[Material]]&amp;Detalle_OC[[#This Row],[Pedido]]&amp;Detalle_OC[[#This Row],[Posicion]]</f>
        <v>Sucroalcolera del Chira PlantaMontelima722284550002212660</v>
      </c>
      <c r="B372" t="s">
        <v>38</v>
      </c>
      <c r="C372" t="s">
        <v>416</v>
      </c>
      <c r="D372" s="17">
        <v>44453</v>
      </c>
      <c r="E372" t="s">
        <v>26</v>
      </c>
      <c r="F372" t="s">
        <v>41</v>
      </c>
      <c r="G372">
        <v>722284</v>
      </c>
      <c r="H372">
        <v>5500022126</v>
      </c>
      <c r="I372">
        <v>60</v>
      </c>
      <c r="J372" s="7">
        <v>1</v>
      </c>
      <c r="K372" s="7" t="str">
        <f>IFERROR(VLOOKUP(Detalle_OC[[#This Row],[Centro]]&amp;Detalle_OC[[#This Row],[Nro Almacen]],Almacen!A:D,4,FALSE),"")</f>
        <v>Montelima</v>
      </c>
    </row>
    <row r="373" spans="1:11" x14ac:dyDescent="0.35">
      <c r="A373" s="7" t="str">
        <f>Detalle_OC[[#This Row],[Centro]]&amp;Detalle_OC[[#This Row],[Nom Almacen]]&amp;Detalle_OC[[#This Row],[Material]]&amp;Detalle_OC[[#This Row],[Pedido]]&amp;Detalle_OC[[#This Row],[Posicion]]</f>
        <v>Sucroalcolera del Chira PlantaMontelima722284550002212660</v>
      </c>
      <c r="B373" t="s">
        <v>38</v>
      </c>
      <c r="C373" t="s">
        <v>416</v>
      </c>
      <c r="D373" s="17">
        <v>44637</v>
      </c>
      <c r="E373" t="s">
        <v>26</v>
      </c>
      <c r="F373" t="s">
        <v>41</v>
      </c>
      <c r="G373">
        <v>722284</v>
      </c>
      <c r="H373">
        <v>5500022126</v>
      </c>
      <c r="I373">
        <v>60</v>
      </c>
      <c r="J373" s="7">
        <v>1</v>
      </c>
      <c r="K373" s="7" t="str">
        <f>IFERROR(VLOOKUP(Detalle_OC[[#This Row],[Centro]]&amp;Detalle_OC[[#This Row],[Nro Almacen]],Almacen!A:D,4,FALSE),"")</f>
        <v>Montelima</v>
      </c>
    </row>
    <row r="374" spans="1:11" x14ac:dyDescent="0.35">
      <c r="A374" s="7" t="str">
        <f>Detalle_OC[[#This Row],[Centro]]&amp;Detalle_OC[[#This Row],[Nom Almacen]]&amp;Detalle_OC[[#This Row],[Material]]&amp;Detalle_OC[[#This Row],[Pedido]]&amp;Detalle_OC[[#This Row],[Posicion]]</f>
        <v>Sucroalcolera del Chira PlantaMontelima722284550002212660</v>
      </c>
      <c r="B374" t="s">
        <v>38</v>
      </c>
      <c r="C374" t="s">
        <v>416</v>
      </c>
      <c r="D374" s="17">
        <v>44646</v>
      </c>
      <c r="E374" t="s">
        <v>26</v>
      </c>
      <c r="F374" t="s">
        <v>41</v>
      </c>
      <c r="G374">
        <v>722284</v>
      </c>
      <c r="H374">
        <v>5500022126</v>
      </c>
      <c r="I374">
        <v>60</v>
      </c>
      <c r="J374" s="7">
        <v>1</v>
      </c>
      <c r="K374" s="7" t="str">
        <f>IFERROR(VLOOKUP(Detalle_OC[[#This Row],[Centro]]&amp;Detalle_OC[[#This Row],[Nro Almacen]],Almacen!A:D,4,FALSE),"")</f>
        <v>Montelima</v>
      </c>
    </row>
    <row r="375" spans="1:11" x14ac:dyDescent="0.35">
      <c r="A375" s="7" t="str">
        <f>Detalle_OC[[#This Row],[Centro]]&amp;Detalle_OC[[#This Row],[Nom Almacen]]&amp;Detalle_OC[[#This Row],[Material]]&amp;Detalle_OC[[#This Row],[Pedido]]&amp;Detalle_OC[[#This Row],[Posicion]]</f>
        <v>Sucroalcolera del Chira PlantaMontelima722284550002212660</v>
      </c>
      <c r="B375" t="s">
        <v>38</v>
      </c>
      <c r="C375" t="s">
        <v>416</v>
      </c>
      <c r="D375" s="17">
        <v>44991</v>
      </c>
      <c r="E375" t="s">
        <v>26</v>
      </c>
      <c r="F375" t="s">
        <v>41</v>
      </c>
      <c r="G375">
        <v>722284</v>
      </c>
      <c r="H375">
        <v>5500022126</v>
      </c>
      <c r="I375">
        <v>60</v>
      </c>
      <c r="J375" s="7">
        <v>1</v>
      </c>
      <c r="K375" s="7" t="str">
        <f>IFERROR(VLOOKUP(Detalle_OC[[#This Row],[Centro]]&amp;Detalle_OC[[#This Row],[Nro Almacen]],Almacen!A:D,4,FALSE),"")</f>
        <v>Montelima</v>
      </c>
    </row>
    <row r="376" spans="1:11" x14ac:dyDescent="0.35">
      <c r="A376" s="7" t="str">
        <f>Detalle_OC[[#This Row],[Centro]]&amp;Detalle_OC[[#This Row],[Nom Almacen]]&amp;Detalle_OC[[#This Row],[Material]]&amp;Detalle_OC[[#This Row],[Pedido]]&amp;Detalle_OC[[#This Row],[Posicion]]</f>
        <v>Agricola del Chira PlantaSan Vicente7231475500022435150</v>
      </c>
      <c r="B376" t="s">
        <v>38</v>
      </c>
      <c r="C376" t="s">
        <v>413</v>
      </c>
      <c r="D376" s="17">
        <v>44181</v>
      </c>
      <c r="E376" t="s">
        <v>26</v>
      </c>
      <c r="F376" t="s">
        <v>27</v>
      </c>
      <c r="G376">
        <v>723147</v>
      </c>
      <c r="H376">
        <v>5500022435</v>
      </c>
      <c r="I376">
        <v>150</v>
      </c>
      <c r="J376" s="7">
        <v>3</v>
      </c>
      <c r="K376" s="7" t="str">
        <f>IFERROR(VLOOKUP(Detalle_OC[[#This Row],[Centro]]&amp;Detalle_OC[[#This Row],[Nro Almacen]],Almacen!A:D,4,FALSE),"")</f>
        <v>San Vicente</v>
      </c>
    </row>
    <row r="377" spans="1:11" x14ac:dyDescent="0.35">
      <c r="A377" s="7" t="str">
        <f>Detalle_OC[[#This Row],[Centro]]&amp;Detalle_OC[[#This Row],[Nom Almacen]]&amp;Detalle_OC[[#This Row],[Material]]&amp;Detalle_OC[[#This Row],[Pedido]]&amp;Detalle_OC[[#This Row],[Posicion]]</f>
        <v>Agricola del Chira PlantaSan Vicente7231475500022435150</v>
      </c>
      <c r="B377" t="s">
        <v>38</v>
      </c>
      <c r="C377" t="s">
        <v>413</v>
      </c>
      <c r="D377" s="17">
        <v>44272</v>
      </c>
      <c r="E377" t="s">
        <v>26</v>
      </c>
      <c r="F377" t="s">
        <v>27</v>
      </c>
      <c r="G377">
        <v>723147</v>
      </c>
      <c r="H377">
        <v>5500022435</v>
      </c>
      <c r="I377">
        <v>150</v>
      </c>
      <c r="J377" s="7">
        <v>3</v>
      </c>
      <c r="K377" s="7" t="str">
        <f>IFERROR(VLOOKUP(Detalle_OC[[#This Row],[Centro]]&amp;Detalle_OC[[#This Row],[Nro Almacen]],Almacen!A:D,4,FALSE),"")</f>
        <v>San Vicente</v>
      </c>
    </row>
    <row r="378" spans="1:11" x14ac:dyDescent="0.35">
      <c r="A378" s="7" t="str">
        <f>Detalle_OC[[#This Row],[Centro]]&amp;Detalle_OC[[#This Row],[Nom Almacen]]&amp;Detalle_OC[[#This Row],[Material]]&amp;Detalle_OC[[#This Row],[Pedido]]&amp;Detalle_OC[[#This Row],[Posicion]]</f>
        <v>Agricola del Chira PlantaSan Vicente7231475500022435150</v>
      </c>
      <c r="B378" t="s">
        <v>38</v>
      </c>
      <c r="C378" t="s">
        <v>413</v>
      </c>
      <c r="D378" s="17">
        <v>44748</v>
      </c>
      <c r="E378" t="s">
        <v>26</v>
      </c>
      <c r="F378" t="s">
        <v>27</v>
      </c>
      <c r="G378">
        <v>723147</v>
      </c>
      <c r="H378">
        <v>5500022435</v>
      </c>
      <c r="I378">
        <v>150</v>
      </c>
      <c r="J378" s="7">
        <v>3</v>
      </c>
      <c r="K378" s="7" t="str">
        <f>IFERROR(VLOOKUP(Detalle_OC[[#This Row],[Centro]]&amp;Detalle_OC[[#This Row],[Nro Almacen]],Almacen!A:D,4,FALSE),"")</f>
        <v>San Vicente</v>
      </c>
    </row>
    <row r="379" spans="1:11" x14ac:dyDescent="0.35">
      <c r="A379" s="7" t="str">
        <f>Detalle_OC[[#This Row],[Centro]]&amp;Detalle_OC[[#This Row],[Nom Almacen]]&amp;Detalle_OC[[#This Row],[Material]]&amp;Detalle_OC[[#This Row],[Pedido]]&amp;Detalle_OC[[#This Row],[Posicion]]</f>
        <v>Agricola del Chira PlantaLa Huaca72314755000224351450</v>
      </c>
      <c r="B379" t="s">
        <v>38</v>
      </c>
      <c r="C379" t="s">
        <v>413</v>
      </c>
      <c r="D379" s="17">
        <v>44812</v>
      </c>
      <c r="E379" t="s">
        <v>26</v>
      </c>
      <c r="F379" t="s">
        <v>27</v>
      </c>
      <c r="G379">
        <v>723147</v>
      </c>
      <c r="H379">
        <v>5500022435</v>
      </c>
      <c r="I379">
        <v>1450</v>
      </c>
      <c r="J379" s="7">
        <v>2</v>
      </c>
      <c r="K379" s="7" t="str">
        <f>IFERROR(VLOOKUP(Detalle_OC[[#This Row],[Centro]]&amp;Detalle_OC[[#This Row],[Nro Almacen]],Almacen!A:D,4,FALSE),"")</f>
        <v>La Huaca</v>
      </c>
    </row>
    <row r="380" spans="1:11" x14ac:dyDescent="0.35">
      <c r="A380" s="7" t="str">
        <f>Detalle_OC[[#This Row],[Centro]]&amp;Detalle_OC[[#This Row],[Nom Almacen]]&amp;Detalle_OC[[#This Row],[Material]]&amp;Detalle_OC[[#This Row],[Pedido]]&amp;Detalle_OC[[#This Row],[Posicion]]</f>
        <v>Agricola del Chira PlantaAlmacen Lobo72314755000224351530</v>
      </c>
      <c r="B380" t="s">
        <v>38</v>
      </c>
      <c r="C380" t="s">
        <v>413</v>
      </c>
      <c r="D380" s="17">
        <v>44812</v>
      </c>
      <c r="E380" t="s">
        <v>26</v>
      </c>
      <c r="F380" t="s">
        <v>27</v>
      </c>
      <c r="G380">
        <v>723147</v>
      </c>
      <c r="H380">
        <v>5500022435</v>
      </c>
      <c r="I380">
        <v>1530</v>
      </c>
      <c r="J380" s="7">
        <v>7</v>
      </c>
      <c r="K380" s="7" t="str">
        <f>IFERROR(VLOOKUP(Detalle_OC[[#This Row],[Centro]]&amp;Detalle_OC[[#This Row],[Nro Almacen]],Almacen!A:D,4,FALSE),"")</f>
        <v>Almacen Lobo</v>
      </c>
    </row>
    <row r="381" spans="1:11" x14ac:dyDescent="0.35">
      <c r="A381" s="7" t="str">
        <f>Detalle_OC[[#This Row],[Centro]]&amp;Detalle_OC[[#This Row],[Nom Almacen]]&amp;Detalle_OC[[#This Row],[Material]]&amp;Detalle_OC[[#This Row],[Pedido]]&amp;Detalle_OC[[#This Row],[Posicion]]</f>
        <v>Sucroalcolera del Chira PlantaMontelima723754451145298710</v>
      </c>
      <c r="B381" t="s">
        <v>123</v>
      </c>
      <c r="C381" t="s">
        <v>411</v>
      </c>
      <c r="D381" s="17">
        <v>44986</v>
      </c>
      <c r="E381" t="s">
        <v>26</v>
      </c>
      <c r="F381" t="s">
        <v>41</v>
      </c>
      <c r="G381">
        <v>723754</v>
      </c>
      <c r="H381">
        <v>4511452987</v>
      </c>
      <c r="I381">
        <v>10</v>
      </c>
      <c r="J381" s="7">
        <v>1</v>
      </c>
      <c r="K381" s="7" t="str">
        <f>IFERROR(VLOOKUP(Detalle_OC[[#This Row],[Centro]]&amp;Detalle_OC[[#This Row],[Nro Almacen]],Almacen!A:D,4,FALSE),"")</f>
        <v>Montelima</v>
      </c>
    </row>
    <row r="382" spans="1:11" x14ac:dyDescent="0.35">
      <c r="A382" s="7" t="str">
        <f>Detalle_OC[[#This Row],[Centro]]&amp;Detalle_OC[[#This Row],[Nom Almacen]]&amp;Detalle_OC[[#This Row],[Material]]&amp;Detalle_OC[[#This Row],[Pedido]]&amp;Detalle_OC[[#This Row],[Posicion]]</f>
        <v>Agricola del Chira PlantaMontelima732154451144974820</v>
      </c>
      <c r="B382" t="s">
        <v>114</v>
      </c>
      <c r="C382" t="s">
        <v>417</v>
      </c>
      <c r="D382" s="17">
        <v>44995</v>
      </c>
      <c r="E382" t="s">
        <v>26</v>
      </c>
      <c r="F382" t="s">
        <v>27</v>
      </c>
      <c r="G382">
        <v>732154</v>
      </c>
      <c r="H382">
        <v>4511449748</v>
      </c>
      <c r="I382">
        <v>20</v>
      </c>
      <c r="J382" s="7">
        <v>1</v>
      </c>
      <c r="K382" s="7" t="str">
        <f>IFERROR(VLOOKUP(Detalle_OC[[#This Row],[Centro]]&amp;Detalle_OC[[#This Row],[Nro Almacen]],Almacen!A:D,4,FALSE),"")</f>
        <v>Montelima</v>
      </c>
    </row>
    <row r="383" spans="1:11" x14ac:dyDescent="0.35">
      <c r="A383" s="7" t="str">
        <f>Detalle_OC[[#This Row],[Centro]]&amp;Detalle_OC[[#This Row],[Nom Almacen]]&amp;Detalle_OC[[#This Row],[Material]]&amp;Detalle_OC[[#This Row],[Pedido]]&amp;Detalle_OC[[#This Row],[Posicion]]</f>
        <v>Agricola del Chira PlantaMontelima732479451144658820</v>
      </c>
      <c r="B383" t="s">
        <v>46</v>
      </c>
      <c r="C383" t="s">
        <v>418</v>
      </c>
      <c r="D383" s="17">
        <v>44977</v>
      </c>
      <c r="E383" t="s">
        <v>26</v>
      </c>
      <c r="F383" t="s">
        <v>27</v>
      </c>
      <c r="G383">
        <v>732479</v>
      </c>
      <c r="H383">
        <v>4511446588</v>
      </c>
      <c r="I383">
        <v>20</v>
      </c>
      <c r="J383" s="7">
        <v>1</v>
      </c>
      <c r="K383" s="7" t="str">
        <f>IFERROR(VLOOKUP(Detalle_OC[[#This Row],[Centro]]&amp;Detalle_OC[[#This Row],[Nro Almacen]],Almacen!A:D,4,FALSE),"")</f>
        <v>Montelima</v>
      </c>
    </row>
    <row r="384" spans="1:11" x14ac:dyDescent="0.35">
      <c r="A384" s="7" t="str">
        <f>Detalle_OC[[#This Row],[Centro]]&amp;Detalle_OC[[#This Row],[Nom Almacen]]&amp;Detalle_OC[[#This Row],[Material]]&amp;Detalle_OC[[#This Row],[Pedido]]&amp;Detalle_OC[[#This Row],[Posicion]]</f>
        <v>Agricola del Chira PlantaMontelima733186451144607820</v>
      </c>
      <c r="B384" t="s">
        <v>414</v>
      </c>
      <c r="C384" t="s">
        <v>409</v>
      </c>
      <c r="D384" s="17">
        <v>44995</v>
      </c>
      <c r="E384" t="s">
        <v>120</v>
      </c>
      <c r="F384" t="s">
        <v>27</v>
      </c>
      <c r="G384">
        <v>733186</v>
      </c>
      <c r="H384">
        <v>4511446078</v>
      </c>
      <c r="I384">
        <v>20</v>
      </c>
      <c r="J384" s="7">
        <v>1</v>
      </c>
      <c r="K384" s="7" t="str">
        <f>IFERROR(VLOOKUP(Detalle_OC[[#This Row],[Centro]]&amp;Detalle_OC[[#This Row],[Nro Almacen]],Almacen!A:D,4,FALSE),"")</f>
        <v>Montelima</v>
      </c>
    </row>
    <row r="385" spans="1:11" x14ac:dyDescent="0.35">
      <c r="A385" s="7" t="str">
        <f>Detalle_OC[[#This Row],[Centro]]&amp;Detalle_OC[[#This Row],[Nom Almacen]]&amp;Detalle_OC[[#This Row],[Material]]&amp;Detalle_OC[[#This Row],[Pedido]]&amp;Detalle_OC[[#This Row],[Posicion]]</f>
        <v>Agricola del Chira PlantaMontelima734123451144704520</v>
      </c>
      <c r="B385" t="s">
        <v>114</v>
      </c>
      <c r="C385" t="s">
        <v>418</v>
      </c>
      <c r="D385" s="17">
        <v>44982</v>
      </c>
      <c r="E385" t="s">
        <v>26</v>
      </c>
      <c r="F385" t="s">
        <v>27</v>
      </c>
      <c r="G385">
        <v>734123</v>
      </c>
      <c r="H385">
        <v>4511447045</v>
      </c>
      <c r="I385">
        <v>20</v>
      </c>
      <c r="J385" s="7">
        <v>1</v>
      </c>
      <c r="K385" s="7" t="str">
        <f>IFERROR(VLOOKUP(Detalle_OC[[#This Row],[Centro]]&amp;Detalle_OC[[#This Row],[Nro Almacen]],Almacen!A:D,4,FALSE),"")</f>
        <v>Montelima</v>
      </c>
    </row>
    <row r="386" spans="1:11" x14ac:dyDescent="0.35">
      <c r="A386" s="7" t="str">
        <f>Detalle_OC[[#This Row],[Centro]]&amp;Detalle_OC[[#This Row],[Nom Almacen]]&amp;Detalle_OC[[#This Row],[Material]]&amp;Detalle_OC[[#This Row],[Pedido]]&amp;Detalle_OC[[#This Row],[Posicion]]</f>
        <v>Agricola del Chira PlantaMontelima734124451144658830</v>
      </c>
      <c r="B386" t="s">
        <v>114</v>
      </c>
      <c r="C386" t="s">
        <v>418</v>
      </c>
      <c r="D386" s="17">
        <v>44977</v>
      </c>
      <c r="E386" t="s">
        <v>26</v>
      </c>
      <c r="F386" t="s">
        <v>27</v>
      </c>
      <c r="G386">
        <v>734124</v>
      </c>
      <c r="H386">
        <v>4511446588</v>
      </c>
      <c r="I386">
        <v>30</v>
      </c>
      <c r="J386" s="7">
        <v>1</v>
      </c>
      <c r="K386" s="7" t="str">
        <f>IFERROR(VLOOKUP(Detalle_OC[[#This Row],[Centro]]&amp;Detalle_OC[[#This Row],[Nro Almacen]],Almacen!A:D,4,FALSE),"")</f>
        <v>Montelima</v>
      </c>
    </row>
    <row r="387" spans="1:11" x14ac:dyDescent="0.35">
      <c r="A387" s="7" t="str">
        <f>Detalle_OC[[#This Row],[Centro]]&amp;Detalle_OC[[#This Row],[Nom Almacen]]&amp;Detalle_OC[[#This Row],[Material]]&amp;Detalle_OC[[#This Row],[Pedido]]&amp;Detalle_OC[[#This Row],[Posicion]]</f>
        <v>Sucroalcolera del Chira PlantaMontelima735893451145310510</v>
      </c>
      <c r="B387" t="s">
        <v>123</v>
      </c>
      <c r="C387" t="s">
        <v>411</v>
      </c>
      <c r="D387" s="17">
        <v>44995</v>
      </c>
      <c r="E387" t="s">
        <v>26</v>
      </c>
      <c r="F387" t="s">
        <v>41</v>
      </c>
      <c r="G387">
        <v>735893</v>
      </c>
      <c r="H387">
        <v>4511453105</v>
      </c>
      <c r="I387">
        <v>10</v>
      </c>
      <c r="J387" s="7">
        <v>1</v>
      </c>
      <c r="K387" s="7" t="str">
        <f>IFERROR(VLOOKUP(Detalle_OC[[#This Row],[Centro]]&amp;Detalle_OC[[#This Row],[Nro Almacen]],Almacen!A:D,4,FALSE),"")</f>
        <v>Montelima</v>
      </c>
    </row>
    <row r="388" spans="1:11" x14ac:dyDescent="0.35">
      <c r="A388" s="7" t="str">
        <f>Detalle_OC[[#This Row],[Centro]]&amp;Detalle_OC[[#This Row],[Nom Almacen]]&amp;Detalle_OC[[#This Row],[Material]]&amp;Detalle_OC[[#This Row],[Pedido]]&amp;Detalle_OC[[#This Row],[Posicion]]</f>
        <v>Bioenergía del Chira PlantaMontelima735893451145310910</v>
      </c>
      <c r="B388" t="s">
        <v>161</v>
      </c>
      <c r="C388" t="s">
        <v>411</v>
      </c>
      <c r="D388" s="17">
        <v>44995</v>
      </c>
      <c r="E388" t="s">
        <v>26</v>
      </c>
      <c r="F388" t="s">
        <v>57</v>
      </c>
      <c r="G388">
        <v>735893</v>
      </c>
      <c r="H388">
        <v>4511453109</v>
      </c>
      <c r="I388">
        <v>10</v>
      </c>
      <c r="J388" s="7">
        <v>1</v>
      </c>
      <c r="K388" s="7" t="str">
        <f>IFERROR(VLOOKUP(Detalle_OC[[#This Row],[Centro]]&amp;Detalle_OC[[#This Row],[Nro Almacen]],Almacen!A:D,4,FALSE),"")</f>
        <v>Montelima</v>
      </c>
    </row>
    <row r="389" spans="1:11" x14ac:dyDescent="0.35">
      <c r="A389" s="7" t="str">
        <f>Detalle_OC[[#This Row],[Centro]]&amp;Detalle_OC[[#This Row],[Nom Almacen]]&amp;Detalle_OC[[#This Row],[Material]]&amp;Detalle_OC[[#This Row],[Pedido]]&amp;Detalle_OC[[#This Row],[Posicion]]</f>
        <v>Agricola del Chira PlantaMontelima736148451144916610</v>
      </c>
      <c r="B389" t="s">
        <v>109</v>
      </c>
      <c r="C389" t="s">
        <v>418</v>
      </c>
      <c r="D389" s="17">
        <v>44988</v>
      </c>
      <c r="E389" t="s">
        <v>26</v>
      </c>
      <c r="F389" t="s">
        <v>27</v>
      </c>
      <c r="G389">
        <v>736148</v>
      </c>
      <c r="H389">
        <v>4511449166</v>
      </c>
      <c r="I389">
        <v>10</v>
      </c>
      <c r="J389" s="7">
        <v>1</v>
      </c>
      <c r="K389" s="7" t="str">
        <f>IFERROR(VLOOKUP(Detalle_OC[[#This Row],[Centro]]&amp;Detalle_OC[[#This Row],[Nro Almacen]],Almacen!A:D,4,FALSE),"")</f>
        <v>Montelima</v>
      </c>
    </row>
    <row r="390" spans="1:11" x14ac:dyDescent="0.35">
      <c r="A390" s="7" t="str">
        <f>Detalle_OC[[#This Row],[Centro]]&amp;Detalle_OC[[#This Row],[Nom Almacen]]&amp;Detalle_OC[[#This Row],[Material]]&amp;Detalle_OC[[#This Row],[Pedido]]&amp;Detalle_OC[[#This Row],[Posicion]]</f>
        <v>Sucroalcolera del Chira PlantaMontelima736439451145361230</v>
      </c>
      <c r="B390" t="s">
        <v>123</v>
      </c>
      <c r="C390" t="s">
        <v>409</v>
      </c>
      <c r="D390" s="17">
        <v>44995</v>
      </c>
      <c r="E390" t="s">
        <v>26</v>
      </c>
      <c r="F390" t="s">
        <v>41</v>
      </c>
      <c r="G390">
        <v>736439</v>
      </c>
      <c r="H390">
        <v>4511453612</v>
      </c>
      <c r="I390">
        <v>30</v>
      </c>
      <c r="J390" s="7">
        <v>1</v>
      </c>
      <c r="K390" s="7" t="str">
        <f>IFERROR(VLOOKUP(Detalle_OC[[#This Row],[Centro]]&amp;Detalle_OC[[#This Row],[Nro Almacen]],Almacen!A:D,4,FALSE),"")</f>
        <v>Montelima</v>
      </c>
    </row>
    <row r="391" spans="1:11" x14ac:dyDescent="0.35">
      <c r="A391" s="7" t="str">
        <f>Detalle_OC[[#This Row],[Centro]]&amp;Detalle_OC[[#This Row],[Nom Almacen]]&amp;Detalle_OC[[#This Row],[Material]]&amp;Detalle_OC[[#This Row],[Pedido]]&amp;Detalle_OC[[#This Row],[Posicion]]</f>
        <v>Sucroalcolera del Chira PlantaMontelima744011451144994410</v>
      </c>
      <c r="B391" t="s">
        <v>419</v>
      </c>
      <c r="C391" t="s">
        <v>420</v>
      </c>
      <c r="D391" s="17">
        <v>44988</v>
      </c>
      <c r="E391" t="s">
        <v>26</v>
      </c>
      <c r="F391" t="s">
        <v>41</v>
      </c>
      <c r="G391">
        <v>744011</v>
      </c>
      <c r="H391">
        <v>4511449944</v>
      </c>
      <c r="I391">
        <v>10</v>
      </c>
      <c r="J391" s="7">
        <v>1</v>
      </c>
      <c r="K391" s="7" t="str">
        <f>IFERROR(VLOOKUP(Detalle_OC[[#This Row],[Centro]]&amp;Detalle_OC[[#This Row],[Nro Almacen]],Almacen!A:D,4,FALSE),"")</f>
        <v>Montelima</v>
      </c>
    </row>
    <row r="392" spans="1:11" x14ac:dyDescent="0.35">
      <c r="A392" s="7" t="str">
        <f>Detalle_OC[[#This Row],[Centro]]&amp;Detalle_OC[[#This Row],[Nom Almacen]]&amp;Detalle_OC[[#This Row],[Material]]&amp;Detalle_OC[[#This Row],[Pedido]]&amp;Detalle_OC[[#This Row],[Posicion]]</f>
        <v>Agricola del Chira PlantaMontelima746375451145298540</v>
      </c>
      <c r="B392" t="s">
        <v>46</v>
      </c>
      <c r="C392" t="s">
        <v>411</v>
      </c>
      <c r="D392" s="17">
        <v>45002</v>
      </c>
      <c r="E392" t="s">
        <v>26</v>
      </c>
      <c r="F392" t="s">
        <v>27</v>
      </c>
      <c r="G392">
        <v>746375</v>
      </c>
      <c r="H392">
        <v>4511452985</v>
      </c>
      <c r="I392">
        <v>40</v>
      </c>
      <c r="J392" s="7">
        <v>1</v>
      </c>
      <c r="K392" s="7" t="str">
        <f>IFERROR(VLOOKUP(Detalle_OC[[#This Row],[Centro]]&amp;Detalle_OC[[#This Row],[Nro Almacen]],Almacen!A:D,4,FALSE),"")</f>
        <v>Montelima</v>
      </c>
    </row>
    <row r="393" spans="1:11" x14ac:dyDescent="0.35">
      <c r="A393" s="7" t="str">
        <f>Detalle_OC[[#This Row],[Centro]]&amp;Detalle_OC[[#This Row],[Nom Almacen]]&amp;Detalle_OC[[#This Row],[Material]]&amp;Detalle_OC[[#This Row],[Pedido]]&amp;Detalle_OC[[#This Row],[Posicion]]</f>
        <v>Sucroalcolera del Chira PlantaMontelima750393451144816910</v>
      </c>
      <c r="B393" t="s">
        <v>113</v>
      </c>
      <c r="C393" t="s">
        <v>413</v>
      </c>
      <c r="D393" s="17">
        <v>44988</v>
      </c>
      <c r="E393" t="s">
        <v>26</v>
      </c>
      <c r="F393" t="s">
        <v>41</v>
      </c>
      <c r="G393">
        <v>750393</v>
      </c>
      <c r="H393">
        <v>4511448169</v>
      </c>
      <c r="I393">
        <v>10</v>
      </c>
      <c r="J393" s="7">
        <v>1</v>
      </c>
      <c r="K393" s="7" t="str">
        <f>IFERROR(VLOOKUP(Detalle_OC[[#This Row],[Centro]]&amp;Detalle_OC[[#This Row],[Nro Almacen]],Almacen!A:D,4,FALSE),"")</f>
        <v>Montelima</v>
      </c>
    </row>
    <row r="394" spans="1:11" x14ac:dyDescent="0.35">
      <c r="A394" s="7" t="str">
        <f>Detalle_OC[[#This Row],[Centro]]&amp;Detalle_OC[[#This Row],[Nom Almacen]]&amp;Detalle_OC[[#This Row],[Material]]&amp;Detalle_OC[[#This Row],[Pedido]]&amp;Detalle_OC[[#This Row],[Posicion]]</f>
        <v>Bioenergía del Chira PlantaMontelima752729451145309460</v>
      </c>
      <c r="B394" t="s">
        <v>159</v>
      </c>
      <c r="C394" t="s">
        <v>411</v>
      </c>
      <c r="D394" s="17">
        <v>45002</v>
      </c>
      <c r="E394" t="s">
        <v>26</v>
      </c>
      <c r="F394" t="s">
        <v>57</v>
      </c>
      <c r="G394">
        <v>752729</v>
      </c>
      <c r="H394">
        <v>4511453094</v>
      </c>
      <c r="I394">
        <v>60</v>
      </c>
      <c r="J394" s="7">
        <v>1</v>
      </c>
      <c r="K394" s="7" t="str">
        <f>IFERROR(VLOOKUP(Detalle_OC[[#This Row],[Centro]]&amp;Detalle_OC[[#This Row],[Nro Almacen]],Almacen!A:D,4,FALSE),"")</f>
        <v>Montelima</v>
      </c>
    </row>
    <row r="395" spans="1:11" x14ac:dyDescent="0.35">
      <c r="A395" s="7" t="str">
        <f>Detalle_OC[[#This Row],[Centro]]&amp;Detalle_OC[[#This Row],[Nom Almacen]]&amp;Detalle_OC[[#This Row],[Material]]&amp;Detalle_OC[[#This Row],[Pedido]]&amp;Detalle_OC[[#This Row],[Posicion]]</f>
        <v>Agricola del Chira PlantaMontelima759361451144916620</v>
      </c>
      <c r="B395" t="s">
        <v>114</v>
      </c>
      <c r="C395" t="s">
        <v>418</v>
      </c>
      <c r="D395" s="17">
        <v>44988</v>
      </c>
      <c r="E395" t="s">
        <v>26</v>
      </c>
      <c r="F395" t="s">
        <v>27</v>
      </c>
      <c r="G395">
        <v>759361</v>
      </c>
      <c r="H395">
        <v>4511449166</v>
      </c>
      <c r="I395">
        <v>20</v>
      </c>
      <c r="J395" s="7">
        <v>1</v>
      </c>
      <c r="K395" s="7" t="str">
        <f>IFERROR(VLOOKUP(Detalle_OC[[#This Row],[Centro]]&amp;Detalle_OC[[#This Row],[Nro Almacen]],Almacen!A:D,4,FALSE),"")</f>
        <v>Montelima</v>
      </c>
    </row>
    <row r="396" spans="1:11" x14ac:dyDescent="0.35">
      <c r="A396" s="7" t="str">
        <f>Detalle_OC[[#This Row],[Centro]]&amp;Detalle_OC[[#This Row],[Nom Almacen]]&amp;Detalle_OC[[#This Row],[Material]]&amp;Detalle_OC[[#This Row],[Pedido]]&amp;Detalle_OC[[#This Row],[Posicion]]</f>
        <v>Sucroalcolera del Chira PlantaMontelima763819550002212630</v>
      </c>
      <c r="B396" t="s">
        <v>38</v>
      </c>
      <c r="C396" t="s">
        <v>416</v>
      </c>
      <c r="D396" s="17">
        <v>44230</v>
      </c>
      <c r="E396" t="s">
        <v>26</v>
      </c>
      <c r="F396" t="s">
        <v>41</v>
      </c>
      <c r="G396">
        <v>763819</v>
      </c>
      <c r="H396">
        <v>5500022126</v>
      </c>
      <c r="I396">
        <v>30</v>
      </c>
      <c r="J396" s="7">
        <v>1</v>
      </c>
      <c r="K396" s="7" t="str">
        <f>IFERROR(VLOOKUP(Detalle_OC[[#This Row],[Centro]]&amp;Detalle_OC[[#This Row],[Nro Almacen]],Almacen!A:D,4,FALSE),"")</f>
        <v>Montelima</v>
      </c>
    </row>
    <row r="397" spans="1:11" x14ac:dyDescent="0.35">
      <c r="A397" s="7" t="str">
        <f>Detalle_OC[[#This Row],[Centro]]&amp;Detalle_OC[[#This Row],[Nom Almacen]]&amp;Detalle_OC[[#This Row],[Material]]&amp;Detalle_OC[[#This Row],[Pedido]]&amp;Detalle_OC[[#This Row],[Posicion]]</f>
        <v>Sucroalcolera del Chira PlantaMontelima763819550002212630</v>
      </c>
      <c r="B397" t="s">
        <v>38</v>
      </c>
      <c r="C397" t="s">
        <v>416</v>
      </c>
      <c r="D397" s="17">
        <v>44261</v>
      </c>
      <c r="E397" t="s">
        <v>26</v>
      </c>
      <c r="F397" t="s">
        <v>41</v>
      </c>
      <c r="G397">
        <v>763819</v>
      </c>
      <c r="H397">
        <v>5500022126</v>
      </c>
      <c r="I397">
        <v>30</v>
      </c>
      <c r="J397" s="7">
        <v>1</v>
      </c>
      <c r="K397" s="7" t="str">
        <f>IFERROR(VLOOKUP(Detalle_OC[[#This Row],[Centro]]&amp;Detalle_OC[[#This Row],[Nro Almacen]],Almacen!A:D,4,FALSE),"")</f>
        <v>Montelima</v>
      </c>
    </row>
    <row r="398" spans="1:11" x14ac:dyDescent="0.35">
      <c r="A398" s="7" t="str">
        <f>Detalle_OC[[#This Row],[Centro]]&amp;Detalle_OC[[#This Row],[Nom Almacen]]&amp;Detalle_OC[[#This Row],[Material]]&amp;Detalle_OC[[#This Row],[Pedido]]&amp;Detalle_OC[[#This Row],[Posicion]]</f>
        <v>Sucroalcolera del Chira PlantaMontelima763819550002212630</v>
      </c>
      <c r="B398" t="s">
        <v>38</v>
      </c>
      <c r="C398" t="s">
        <v>416</v>
      </c>
      <c r="D398" s="17">
        <v>44363</v>
      </c>
      <c r="E398" t="s">
        <v>26</v>
      </c>
      <c r="F398" t="s">
        <v>41</v>
      </c>
      <c r="G398">
        <v>763819</v>
      </c>
      <c r="H398">
        <v>5500022126</v>
      </c>
      <c r="I398">
        <v>30</v>
      </c>
      <c r="J398" s="7">
        <v>1</v>
      </c>
      <c r="K398" s="7" t="str">
        <f>IFERROR(VLOOKUP(Detalle_OC[[#This Row],[Centro]]&amp;Detalle_OC[[#This Row],[Nro Almacen]],Almacen!A:D,4,FALSE),"")</f>
        <v>Montelima</v>
      </c>
    </row>
    <row r="399" spans="1:11" x14ac:dyDescent="0.35">
      <c r="A399" s="7" t="str">
        <f>Detalle_OC[[#This Row],[Centro]]&amp;Detalle_OC[[#This Row],[Nom Almacen]]&amp;Detalle_OC[[#This Row],[Material]]&amp;Detalle_OC[[#This Row],[Pedido]]&amp;Detalle_OC[[#This Row],[Posicion]]</f>
        <v>Sucroalcolera del Chira PlantaMontelima763819550002212630</v>
      </c>
      <c r="B399" t="s">
        <v>38</v>
      </c>
      <c r="C399" t="s">
        <v>416</v>
      </c>
      <c r="D399" s="17">
        <v>44963</v>
      </c>
      <c r="E399" t="s">
        <v>26</v>
      </c>
      <c r="F399" t="s">
        <v>41</v>
      </c>
      <c r="G399">
        <v>763819</v>
      </c>
      <c r="H399">
        <v>5500022126</v>
      </c>
      <c r="I399">
        <v>30</v>
      </c>
      <c r="J399" s="7">
        <v>1</v>
      </c>
      <c r="K399" s="7" t="str">
        <f>IFERROR(VLOOKUP(Detalle_OC[[#This Row],[Centro]]&amp;Detalle_OC[[#This Row],[Nro Almacen]],Almacen!A:D,4,FALSE),"")</f>
        <v>Montelima</v>
      </c>
    </row>
    <row r="400" spans="1:11" x14ac:dyDescent="0.35">
      <c r="A400" s="7" t="str">
        <f>Detalle_OC[[#This Row],[Centro]]&amp;Detalle_OC[[#This Row],[Nom Almacen]]&amp;Detalle_OC[[#This Row],[Material]]&amp;Detalle_OC[[#This Row],[Pedido]]&amp;Detalle_OC[[#This Row],[Posicion]]</f>
        <v>Sucroalcolera del Chira PlantaMontelima7638195500022126100</v>
      </c>
      <c r="B400" t="s">
        <v>38</v>
      </c>
      <c r="C400" t="s">
        <v>416</v>
      </c>
      <c r="D400" s="17">
        <v>44651</v>
      </c>
      <c r="E400" t="s">
        <v>26</v>
      </c>
      <c r="F400" t="s">
        <v>41</v>
      </c>
      <c r="G400">
        <v>763819</v>
      </c>
      <c r="H400">
        <v>5500022126</v>
      </c>
      <c r="I400">
        <v>100</v>
      </c>
      <c r="J400" s="7">
        <v>1</v>
      </c>
      <c r="K400" s="7" t="str">
        <f>IFERROR(VLOOKUP(Detalle_OC[[#This Row],[Centro]]&amp;Detalle_OC[[#This Row],[Nro Almacen]],Almacen!A:D,4,FALSE),"")</f>
        <v>Montelima</v>
      </c>
    </row>
    <row r="401" spans="1:11" x14ac:dyDescent="0.35">
      <c r="A401" s="7" t="str">
        <f>Detalle_OC[[#This Row],[Centro]]&amp;Detalle_OC[[#This Row],[Nom Almacen]]&amp;Detalle_OC[[#This Row],[Material]]&amp;Detalle_OC[[#This Row],[Pedido]]&amp;Detalle_OC[[#This Row],[Posicion]]</f>
        <v>Sucroalcolera del Chira PlantaMontelima7638195500022126100</v>
      </c>
      <c r="B401" t="s">
        <v>38</v>
      </c>
      <c r="C401" t="s">
        <v>416</v>
      </c>
      <c r="D401" s="17">
        <v>44662</v>
      </c>
      <c r="E401" t="s">
        <v>26</v>
      </c>
      <c r="F401" t="s">
        <v>41</v>
      </c>
      <c r="G401">
        <v>763819</v>
      </c>
      <c r="H401">
        <v>5500022126</v>
      </c>
      <c r="I401">
        <v>100</v>
      </c>
      <c r="J401" s="7">
        <v>1</v>
      </c>
      <c r="K401" s="7" t="str">
        <f>IFERROR(VLOOKUP(Detalle_OC[[#This Row],[Centro]]&amp;Detalle_OC[[#This Row],[Nro Almacen]],Almacen!A:D,4,FALSE),"")</f>
        <v>Montelima</v>
      </c>
    </row>
    <row r="402" spans="1:11" x14ac:dyDescent="0.35">
      <c r="A402" s="7" t="str">
        <f>Detalle_OC[[#This Row],[Centro]]&amp;Detalle_OC[[#This Row],[Nom Almacen]]&amp;Detalle_OC[[#This Row],[Material]]&amp;Detalle_OC[[#This Row],[Pedido]]&amp;Detalle_OC[[#This Row],[Posicion]]</f>
        <v>Sucroalcolera del Chira PlantaMontelima7638195500022126100</v>
      </c>
      <c r="B402" t="s">
        <v>38</v>
      </c>
      <c r="C402" t="s">
        <v>416</v>
      </c>
      <c r="D402" s="17">
        <v>44662</v>
      </c>
      <c r="E402" t="s">
        <v>26</v>
      </c>
      <c r="F402" t="s">
        <v>41</v>
      </c>
      <c r="G402">
        <v>763819</v>
      </c>
      <c r="H402">
        <v>5500022126</v>
      </c>
      <c r="I402">
        <v>100</v>
      </c>
      <c r="J402" s="7">
        <v>1</v>
      </c>
      <c r="K402" s="7" t="str">
        <f>IFERROR(VLOOKUP(Detalle_OC[[#This Row],[Centro]]&amp;Detalle_OC[[#This Row],[Nro Almacen]],Almacen!A:D,4,FALSE),"")</f>
        <v>Montelima</v>
      </c>
    </row>
    <row r="403" spans="1:11" x14ac:dyDescent="0.35">
      <c r="A403" s="7" t="str">
        <f>Detalle_OC[[#This Row],[Centro]]&amp;Detalle_OC[[#This Row],[Nom Almacen]]&amp;Detalle_OC[[#This Row],[Material]]&amp;Detalle_OC[[#This Row],[Pedido]]&amp;Detalle_OC[[#This Row],[Posicion]]</f>
        <v>Sucroalcolera del Chira PlantaMontelima766049451144885510</v>
      </c>
      <c r="B403" t="s">
        <v>108</v>
      </c>
      <c r="C403" t="s">
        <v>409</v>
      </c>
      <c r="D403" s="17">
        <v>44995</v>
      </c>
      <c r="E403" t="s">
        <v>26</v>
      </c>
      <c r="F403" t="s">
        <v>41</v>
      </c>
      <c r="G403">
        <v>766049</v>
      </c>
      <c r="H403">
        <v>4511448855</v>
      </c>
      <c r="I403">
        <v>10</v>
      </c>
      <c r="J403" s="7">
        <v>1</v>
      </c>
      <c r="K403" s="7" t="str">
        <f>IFERROR(VLOOKUP(Detalle_OC[[#This Row],[Centro]]&amp;Detalle_OC[[#This Row],[Nro Almacen]],Almacen!A:D,4,FALSE),"")</f>
        <v>Montelima</v>
      </c>
    </row>
    <row r="404" spans="1:11" x14ac:dyDescent="0.35">
      <c r="A404" s="7" t="str">
        <f>Detalle_OC[[#This Row],[Centro]]&amp;Detalle_OC[[#This Row],[Nom Almacen]]&amp;Detalle_OC[[#This Row],[Material]]&amp;Detalle_OC[[#This Row],[Pedido]]&amp;Detalle_OC[[#This Row],[Posicion]]</f>
        <v>Sucroalcolera del Chira PlantaMontelima773993451145323820</v>
      </c>
      <c r="B404" t="s">
        <v>124</v>
      </c>
      <c r="C404" t="s">
        <v>417</v>
      </c>
      <c r="D404" s="17">
        <v>44995</v>
      </c>
      <c r="E404" t="s">
        <v>26</v>
      </c>
      <c r="F404" t="s">
        <v>41</v>
      </c>
      <c r="G404">
        <v>773993</v>
      </c>
      <c r="H404">
        <v>4511453238</v>
      </c>
      <c r="I404">
        <v>20</v>
      </c>
      <c r="J404" s="7">
        <v>1</v>
      </c>
      <c r="K404" s="7" t="str">
        <f>IFERROR(VLOOKUP(Detalle_OC[[#This Row],[Centro]]&amp;Detalle_OC[[#This Row],[Nro Almacen]],Almacen!A:D,4,FALSE),"")</f>
        <v>Montelima</v>
      </c>
    </row>
    <row r="405" spans="1:11" x14ac:dyDescent="0.35">
      <c r="A405" s="7" t="str">
        <f>Detalle_OC[[#This Row],[Centro]]&amp;Detalle_OC[[#This Row],[Nom Almacen]]&amp;Detalle_OC[[#This Row],[Material]]&amp;Detalle_OC[[#This Row],[Pedido]]&amp;Detalle_OC[[#This Row],[Posicion]]</f>
        <v>Sucroalcolera del Chira PlantaMontelima776850451145300320</v>
      </c>
      <c r="B405" t="s">
        <v>43</v>
      </c>
      <c r="C405" t="s">
        <v>409</v>
      </c>
      <c r="D405" s="17">
        <v>44995</v>
      </c>
      <c r="E405" t="s">
        <v>26</v>
      </c>
      <c r="F405" t="s">
        <v>41</v>
      </c>
      <c r="G405">
        <v>776850</v>
      </c>
      <c r="H405">
        <v>4511453003</v>
      </c>
      <c r="I405">
        <v>20</v>
      </c>
      <c r="J405" s="7">
        <v>1</v>
      </c>
      <c r="K405" s="7" t="str">
        <f>IFERROR(VLOOKUP(Detalle_OC[[#This Row],[Centro]]&amp;Detalle_OC[[#This Row],[Nro Almacen]],Almacen!A:D,4,FALSE),"")</f>
        <v>Montelima</v>
      </c>
    </row>
    <row r="406" spans="1:11" x14ac:dyDescent="0.35">
      <c r="A406" s="7" t="str">
        <f>Detalle_OC[[#This Row],[Centro]]&amp;Detalle_OC[[#This Row],[Nom Almacen]]&amp;Detalle_OC[[#This Row],[Material]]&amp;Detalle_OC[[#This Row],[Pedido]]&amp;Detalle_OC[[#This Row],[Posicion]]</f>
        <v>Agricola del Chira PlantaMontelima77730555000224351360</v>
      </c>
      <c r="B406" t="s">
        <v>38</v>
      </c>
      <c r="C406" t="s">
        <v>413</v>
      </c>
      <c r="D406" s="17">
        <v>44783</v>
      </c>
      <c r="E406" t="s">
        <v>26</v>
      </c>
      <c r="F406" t="s">
        <v>27</v>
      </c>
      <c r="G406">
        <v>777305</v>
      </c>
      <c r="H406">
        <v>5500022435</v>
      </c>
      <c r="I406">
        <v>1360</v>
      </c>
      <c r="J406" s="7">
        <v>1</v>
      </c>
      <c r="K406" s="7" t="str">
        <f>IFERROR(VLOOKUP(Detalle_OC[[#This Row],[Centro]]&amp;Detalle_OC[[#This Row],[Nro Almacen]],Almacen!A:D,4,FALSE),"")</f>
        <v>Montelima</v>
      </c>
    </row>
    <row r="407" spans="1:11" x14ac:dyDescent="0.35">
      <c r="A407" s="7" t="str">
        <f>Detalle_OC[[#This Row],[Centro]]&amp;Detalle_OC[[#This Row],[Nom Almacen]]&amp;Detalle_OC[[#This Row],[Material]]&amp;Detalle_OC[[#This Row],[Pedido]]&amp;Detalle_OC[[#This Row],[Posicion]]</f>
        <v>Agricola del Chira PlantaMontelima77730555000224351360</v>
      </c>
      <c r="B407" t="s">
        <v>38</v>
      </c>
      <c r="C407" t="s">
        <v>413</v>
      </c>
      <c r="D407" s="17">
        <v>44910</v>
      </c>
      <c r="E407" t="s">
        <v>26</v>
      </c>
      <c r="F407" t="s">
        <v>27</v>
      </c>
      <c r="G407">
        <v>777305</v>
      </c>
      <c r="H407">
        <v>5500022435</v>
      </c>
      <c r="I407">
        <v>1360</v>
      </c>
      <c r="J407" s="7">
        <v>1</v>
      </c>
      <c r="K407" s="7" t="str">
        <f>IFERROR(VLOOKUP(Detalle_OC[[#This Row],[Centro]]&amp;Detalle_OC[[#This Row],[Nro Almacen]],Almacen!A:D,4,FALSE),"")</f>
        <v>Montelima</v>
      </c>
    </row>
    <row r="408" spans="1:11" x14ac:dyDescent="0.35">
      <c r="A408" s="7" t="str">
        <f>Detalle_OC[[#This Row],[Centro]]&amp;Detalle_OC[[#This Row],[Nom Almacen]]&amp;Detalle_OC[[#This Row],[Material]]&amp;Detalle_OC[[#This Row],[Pedido]]&amp;Detalle_OC[[#This Row],[Posicion]]</f>
        <v>Agricola del Chira PlantaMontelima77730555000224351360</v>
      </c>
      <c r="B408" t="s">
        <v>38</v>
      </c>
      <c r="C408" t="s">
        <v>413</v>
      </c>
      <c r="D408" s="17">
        <v>44936</v>
      </c>
      <c r="E408" t="s">
        <v>26</v>
      </c>
      <c r="F408" t="s">
        <v>27</v>
      </c>
      <c r="G408">
        <v>777305</v>
      </c>
      <c r="H408">
        <v>5500022435</v>
      </c>
      <c r="I408">
        <v>1360</v>
      </c>
      <c r="J408" s="7">
        <v>1</v>
      </c>
      <c r="K408" s="7" t="str">
        <f>IFERROR(VLOOKUP(Detalle_OC[[#This Row],[Centro]]&amp;Detalle_OC[[#This Row],[Nro Almacen]],Almacen!A:D,4,FALSE),"")</f>
        <v>Montelima</v>
      </c>
    </row>
    <row r="409" spans="1:11" x14ac:dyDescent="0.35">
      <c r="A409" s="7" t="str">
        <f>Detalle_OC[[#This Row],[Centro]]&amp;Detalle_OC[[#This Row],[Nom Almacen]]&amp;Detalle_OC[[#This Row],[Material]]&amp;Detalle_OC[[#This Row],[Pedido]]&amp;Detalle_OC[[#This Row],[Posicion]]</f>
        <v>Agricola del Chira PlantaMontelima77730555000224351360</v>
      </c>
      <c r="B409" t="s">
        <v>38</v>
      </c>
      <c r="C409" t="s">
        <v>413</v>
      </c>
      <c r="D409" s="17">
        <v>44950</v>
      </c>
      <c r="E409" t="s">
        <v>26</v>
      </c>
      <c r="F409" t="s">
        <v>27</v>
      </c>
      <c r="G409">
        <v>777305</v>
      </c>
      <c r="H409">
        <v>5500022435</v>
      </c>
      <c r="I409">
        <v>1360</v>
      </c>
      <c r="J409" s="7">
        <v>1</v>
      </c>
      <c r="K409" s="7" t="str">
        <f>IFERROR(VLOOKUP(Detalle_OC[[#This Row],[Centro]]&amp;Detalle_OC[[#This Row],[Nro Almacen]],Almacen!A:D,4,FALSE),"")</f>
        <v>Montelima</v>
      </c>
    </row>
    <row r="410" spans="1:11" x14ac:dyDescent="0.35">
      <c r="A410" s="7" t="str">
        <f>Detalle_OC[[#This Row],[Centro]]&amp;Detalle_OC[[#This Row],[Nom Almacen]]&amp;Detalle_OC[[#This Row],[Material]]&amp;Detalle_OC[[#This Row],[Pedido]]&amp;Detalle_OC[[#This Row],[Posicion]]</f>
        <v>Agricola del Chira PlantaMontelima77730555000224351360</v>
      </c>
      <c r="B410" t="s">
        <v>38</v>
      </c>
      <c r="C410" t="s">
        <v>413</v>
      </c>
      <c r="D410" s="17">
        <v>44965</v>
      </c>
      <c r="E410" t="s">
        <v>26</v>
      </c>
      <c r="F410" t="s">
        <v>27</v>
      </c>
      <c r="G410">
        <v>777305</v>
      </c>
      <c r="H410">
        <v>5500022435</v>
      </c>
      <c r="I410">
        <v>1360</v>
      </c>
      <c r="J410" s="7">
        <v>1</v>
      </c>
      <c r="K410" s="7" t="str">
        <f>IFERROR(VLOOKUP(Detalle_OC[[#This Row],[Centro]]&amp;Detalle_OC[[#This Row],[Nro Almacen]],Almacen!A:D,4,FALSE),"")</f>
        <v>Montelima</v>
      </c>
    </row>
    <row r="411" spans="1:11" x14ac:dyDescent="0.35">
      <c r="A411" s="7" t="str">
        <f>Detalle_OC[[#This Row],[Centro]]&amp;Detalle_OC[[#This Row],[Nom Almacen]]&amp;Detalle_OC[[#This Row],[Material]]&amp;Detalle_OC[[#This Row],[Pedido]]&amp;Detalle_OC[[#This Row],[Posicion]]</f>
        <v>Agricola del Chira PlantaMontelima77730555000224351360</v>
      </c>
      <c r="B411" t="s">
        <v>38</v>
      </c>
      <c r="C411" t="s">
        <v>413</v>
      </c>
      <c r="D411" s="17">
        <v>45000</v>
      </c>
      <c r="E411" t="s">
        <v>26</v>
      </c>
      <c r="F411" t="s">
        <v>27</v>
      </c>
      <c r="G411">
        <v>777305</v>
      </c>
      <c r="H411">
        <v>5500022435</v>
      </c>
      <c r="I411">
        <v>1360</v>
      </c>
      <c r="J411" s="7">
        <v>1</v>
      </c>
      <c r="K411" s="7" t="str">
        <f>IFERROR(VLOOKUP(Detalle_OC[[#This Row],[Centro]]&amp;Detalle_OC[[#This Row],[Nro Almacen]],Almacen!A:D,4,FALSE),"")</f>
        <v>Montelima</v>
      </c>
    </row>
    <row r="412" spans="1:11" x14ac:dyDescent="0.35">
      <c r="A412" s="7" t="str">
        <f>Detalle_OC[[#This Row],[Centro]]&amp;Detalle_OC[[#This Row],[Nom Almacen]]&amp;Detalle_OC[[#This Row],[Material]]&amp;Detalle_OC[[#This Row],[Pedido]]&amp;Detalle_OC[[#This Row],[Posicion]]</f>
        <v>Agricola del Chira PlantaMontelima77730555000224351360</v>
      </c>
      <c r="B412" t="s">
        <v>38</v>
      </c>
      <c r="C412" t="s">
        <v>413</v>
      </c>
      <c r="D412" s="17">
        <v>44993</v>
      </c>
      <c r="E412" t="s">
        <v>26</v>
      </c>
      <c r="F412" t="s">
        <v>27</v>
      </c>
      <c r="G412">
        <v>777305</v>
      </c>
      <c r="H412">
        <v>5500022435</v>
      </c>
      <c r="I412">
        <v>1360</v>
      </c>
      <c r="J412" s="7">
        <v>1</v>
      </c>
      <c r="K412" s="7" t="str">
        <f>IFERROR(VLOOKUP(Detalle_OC[[#This Row],[Centro]]&amp;Detalle_OC[[#This Row],[Nro Almacen]],Almacen!A:D,4,FALSE),"")</f>
        <v>Montelima</v>
      </c>
    </row>
    <row r="413" spans="1:11" x14ac:dyDescent="0.35">
      <c r="A413" s="7" t="str">
        <f>Detalle_OC[[#This Row],[Centro]]&amp;Detalle_OC[[#This Row],[Nom Almacen]]&amp;Detalle_OC[[#This Row],[Material]]&amp;Detalle_OC[[#This Row],[Pedido]]&amp;Detalle_OC[[#This Row],[Posicion]]</f>
        <v>Agricola del Chira PlantaAlmacen Lobo77730555000224351550</v>
      </c>
      <c r="B413" t="s">
        <v>38</v>
      </c>
      <c r="C413" t="s">
        <v>413</v>
      </c>
      <c r="D413" s="17">
        <v>44702</v>
      </c>
      <c r="E413" t="s">
        <v>26</v>
      </c>
      <c r="F413" t="s">
        <v>27</v>
      </c>
      <c r="G413">
        <v>777305</v>
      </c>
      <c r="H413">
        <v>5500022435</v>
      </c>
      <c r="I413">
        <v>1550</v>
      </c>
      <c r="J413" s="7">
        <v>7</v>
      </c>
      <c r="K413" s="7" t="str">
        <f>IFERROR(VLOOKUP(Detalle_OC[[#This Row],[Centro]]&amp;Detalle_OC[[#This Row],[Nro Almacen]],Almacen!A:D,4,FALSE),"")</f>
        <v>Almacen Lobo</v>
      </c>
    </row>
    <row r="414" spans="1:11" x14ac:dyDescent="0.35">
      <c r="A414" s="7" t="str">
        <f>Detalle_OC[[#This Row],[Centro]]&amp;Detalle_OC[[#This Row],[Nom Almacen]]&amp;Detalle_OC[[#This Row],[Material]]&amp;Detalle_OC[[#This Row],[Pedido]]&amp;Detalle_OC[[#This Row],[Posicion]]</f>
        <v>Agricola del Chira PlantaAlmacen Lobo77730555000224351550</v>
      </c>
      <c r="B414" t="s">
        <v>38</v>
      </c>
      <c r="C414" t="s">
        <v>413</v>
      </c>
      <c r="D414" s="17">
        <v>45000</v>
      </c>
      <c r="E414" t="s">
        <v>26</v>
      </c>
      <c r="F414" t="s">
        <v>27</v>
      </c>
      <c r="G414">
        <v>777305</v>
      </c>
      <c r="H414">
        <v>5500022435</v>
      </c>
      <c r="I414">
        <v>1550</v>
      </c>
      <c r="J414" s="7">
        <v>7</v>
      </c>
      <c r="K414" s="7" t="str">
        <f>IFERROR(VLOOKUP(Detalle_OC[[#This Row],[Centro]]&amp;Detalle_OC[[#This Row],[Nro Almacen]],Almacen!A:D,4,FALSE),"")</f>
        <v>Almacen Lobo</v>
      </c>
    </row>
    <row r="415" spans="1:11" x14ac:dyDescent="0.35">
      <c r="A415" s="7" t="str">
        <f>Detalle_OC[[#This Row],[Centro]]&amp;Detalle_OC[[#This Row],[Nom Almacen]]&amp;Detalle_OC[[#This Row],[Material]]&amp;Detalle_OC[[#This Row],[Pedido]]&amp;Detalle_OC[[#This Row],[Posicion]]</f>
        <v>Agricola del Chira PlantaSan Vicente77730555000224351640</v>
      </c>
      <c r="B415" t="s">
        <v>38</v>
      </c>
      <c r="C415" t="s">
        <v>413</v>
      </c>
      <c r="D415" s="17">
        <v>44680</v>
      </c>
      <c r="E415" t="s">
        <v>26</v>
      </c>
      <c r="F415" t="s">
        <v>27</v>
      </c>
      <c r="G415">
        <v>777305</v>
      </c>
      <c r="H415">
        <v>5500022435</v>
      </c>
      <c r="I415">
        <v>1640</v>
      </c>
      <c r="J415" s="7">
        <v>3</v>
      </c>
      <c r="K415" s="7" t="str">
        <f>IFERROR(VLOOKUP(Detalle_OC[[#This Row],[Centro]]&amp;Detalle_OC[[#This Row],[Nro Almacen]],Almacen!A:D,4,FALSE),"")</f>
        <v>San Vicente</v>
      </c>
    </row>
    <row r="416" spans="1:11" x14ac:dyDescent="0.35">
      <c r="A416" s="7" t="str">
        <f>Detalle_OC[[#This Row],[Centro]]&amp;Detalle_OC[[#This Row],[Nom Almacen]]&amp;Detalle_OC[[#This Row],[Material]]&amp;Detalle_OC[[#This Row],[Pedido]]&amp;Detalle_OC[[#This Row],[Posicion]]</f>
        <v>Agricola del Chira PlantaSan Vicente77730555000224351640</v>
      </c>
      <c r="B416" t="s">
        <v>38</v>
      </c>
      <c r="C416" t="s">
        <v>413</v>
      </c>
      <c r="D416" s="17">
        <v>44727</v>
      </c>
      <c r="E416" t="s">
        <v>26</v>
      </c>
      <c r="F416" t="s">
        <v>27</v>
      </c>
      <c r="G416">
        <v>777305</v>
      </c>
      <c r="H416">
        <v>5500022435</v>
      </c>
      <c r="I416">
        <v>1640</v>
      </c>
      <c r="J416" s="7">
        <v>3</v>
      </c>
      <c r="K416" s="7" t="str">
        <f>IFERROR(VLOOKUP(Detalle_OC[[#This Row],[Centro]]&amp;Detalle_OC[[#This Row],[Nro Almacen]],Almacen!A:D,4,FALSE),"")</f>
        <v>San Vicente</v>
      </c>
    </row>
    <row r="417" spans="1:11" x14ac:dyDescent="0.35">
      <c r="A417" s="7" t="str">
        <f>Detalle_OC[[#This Row],[Centro]]&amp;Detalle_OC[[#This Row],[Nom Almacen]]&amp;Detalle_OC[[#This Row],[Material]]&amp;Detalle_OC[[#This Row],[Pedido]]&amp;Detalle_OC[[#This Row],[Posicion]]</f>
        <v>Agricola del Chira PlantaSan Vicente77730555000224351640</v>
      </c>
      <c r="B417" t="s">
        <v>38</v>
      </c>
      <c r="C417" t="s">
        <v>413</v>
      </c>
      <c r="D417" s="17">
        <v>44855</v>
      </c>
      <c r="E417" t="s">
        <v>26</v>
      </c>
      <c r="F417" t="s">
        <v>27</v>
      </c>
      <c r="G417">
        <v>777305</v>
      </c>
      <c r="H417">
        <v>5500022435</v>
      </c>
      <c r="I417">
        <v>1640</v>
      </c>
      <c r="J417" s="7">
        <v>3</v>
      </c>
      <c r="K417" s="7" t="str">
        <f>IFERROR(VLOOKUP(Detalle_OC[[#This Row],[Centro]]&amp;Detalle_OC[[#This Row],[Nro Almacen]],Almacen!A:D,4,FALSE),"")</f>
        <v>San Vicente</v>
      </c>
    </row>
    <row r="418" spans="1:11" x14ac:dyDescent="0.35">
      <c r="A418" s="7" t="str">
        <f>Detalle_OC[[#This Row],[Centro]]&amp;Detalle_OC[[#This Row],[Nom Almacen]]&amp;Detalle_OC[[#This Row],[Material]]&amp;Detalle_OC[[#This Row],[Pedido]]&amp;Detalle_OC[[#This Row],[Posicion]]</f>
        <v>Agricola del Chira PlantaSan Vicente77730555000224351640</v>
      </c>
      <c r="B418" t="s">
        <v>38</v>
      </c>
      <c r="C418" t="s">
        <v>413</v>
      </c>
      <c r="D418" s="17">
        <v>44874</v>
      </c>
      <c r="E418" t="s">
        <v>26</v>
      </c>
      <c r="F418" t="s">
        <v>27</v>
      </c>
      <c r="G418">
        <v>777305</v>
      </c>
      <c r="H418">
        <v>5500022435</v>
      </c>
      <c r="I418">
        <v>1640</v>
      </c>
      <c r="J418" s="7">
        <v>3</v>
      </c>
      <c r="K418" s="7" t="str">
        <f>IFERROR(VLOOKUP(Detalle_OC[[#This Row],[Centro]]&amp;Detalle_OC[[#This Row],[Nro Almacen]],Almacen!A:D,4,FALSE),"")</f>
        <v>San Vicente</v>
      </c>
    </row>
    <row r="419" spans="1:11" x14ac:dyDescent="0.35">
      <c r="A419" s="7" t="str">
        <f>Detalle_OC[[#This Row],[Centro]]&amp;Detalle_OC[[#This Row],[Nom Almacen]]&amp;Detalle_OC[[#This Row],[Material]]&amp;Detalle_OC[[#This Row],[Pedido]]&amp;Detalle_OC[[#This Row],[Posicion]]</f>
        <v>Agricola del Chira PlantaSan Vicente77730555000224351640</v>
      </c>
      <c r="B419" t="s">
        <v>38</v>
      </c>
      <c r="C419" t="s">
        <v>413</v>
      </c>
      <c r="D419" s="17">
        <v>44880</v>
      </c>
      <c r="E419" t="s">
        <v>26</v>
      </c>
      <c r="F419" t="s">
        <v>27</v>
      </c>
      <c r="G419">
        <v>777305</v>
      </c>
      <c r="H419">
        <v>5500022435</v>
      </c>
      <c r="I419">
        <v>1640</v>
      </c>
      <c r="J419" s="7">
        <v>3</v>
      </c>
      <c r="K419" s="7" t="str">
        <f>IFERROR(VLOOKUP(Detalle_OC[[#This Row],[Centro]]&amp;Detalle_OC[[#This Row],[Nro Almacen]],Almacen!A:D,4,FALSE),"")</f>
        <v>San Vicente</v>
      </c>
    </row>
    <row r="420" spans="1:11" x14ac:dyDescent="0.35">
      <c r="A420" s="7" t="str">
        <f>Detalle_OC[[#This Row],[Centro]]&amp;Detalle_OC[[#This Row],[Nom Almacen]]&amp;Detalle_OC[[#This Row],[Material]]&amp;Detalle_OC[[#This Row],[Pedido]]&amp;Detalle_OC[[#This Row],[Posicion]]</f>
        <v>Agricola del Chira PlantaSan Vicente77730555000224351640</v>
      </c>
      <c r="B420" t="s">
        <v>38</v>
      </c>
      <c r="C420" t="s">
        <v>413</v>
      </c>
      <c r="D420" s="17">
        <v>44951</v>
      </c>
      <c r="E420" t="s">
        <v>26</v>
      </c>
      <c r="F420" t="s">
        <v>27</v>
      </c>
      <c r="G420">
        <v>777305</v>
      </c>
      <c r="H420">
        <v>5500022435</v>
      </c>
      <c r="I420">
        <v>1640</v>
      </c>
      <c r="J420" s="7">
        <v>3</v>
      </c>
      <c r="K420" s="7" t="str">
        <f>IFERROR(VLOOKUP(Detalle_OC[[#This Row],[Centro]]&amp;Detalle_OC[[#This Row],[Nro Almacen]],Almacen!A:D,4,FALSE),"")</f>
        <v>San Vicente</v>
      </c>
    </row>
    <row r="421" spans="1:11" x14ac:dyDescent="0.35">
      <c r="A421" s="7" t="str">
        <f>Detalle_OC[[#This Row],[Centro]]&amp;Detalle_OC[[#This Row],[Nom Almacen]]&amp;Detalle_OC[[#This Row],[Material]]&amp;Detalle_OC[[#This Row],[Pedido]]&amp;Detalle_OC[[#This Row],[Posicion]]</f>
        <v>Agricola del Chira PlantaSan Vicente77730555000224351640</v>
      </c>
      <c r="B421" t="s">
        <v>38</v>
      </c>
      <c r="C421" t="s">
        <v>413</v>
      </c>
      <c r="D421" s="17">
        <v>45000</v>
      </c>
      <c r="E421" t="s">
        <v>26</v>
      </c>
      <c r="F421" t="s">
        <v>27</v>
      </c>
      <c r="G421">
        <v>777305</v>
      </c>
      <c r="H421">
        <v>5500022435</v>
      </c>
      <c r="I421">
        <v>1640</v>
      </c>
      <c r="J421" s="7">
        <v>3</v>
      </c>
      <c r="K421" s="7" t="str">
        <f>IFERROR(VLOOKUP(Detalle_OC[[#This Row],[Centro]]&amp;Detalle_OC[[#This Row],[Nro Almacen]],Almacen!A:D,4,FALSE),"")</f>
        <v>San Vicente</v>
      </c>
    </row>
    <row r="422" spans="1:11" x14ac:dyDescent="0.35">
      <c r="A422" s="7" t="str">
        <f>Detalle_OC[[#This Row],[Centro]]&amp;Detalle_OC[[#This Row],[Nom Almacen]]&amp;Detalle_OC[[#This Row],[Material]]&amp;Detalle_OC[[#This Row],[Pedido]]&amp;Detalle_OC[[#This Row],[Posicion]]</f>
        <v>Agricola del Chira PlantaSan Vicente77730555000224351640</v>
      </c>
      <c r="B422" t="s">
        <v>38</v>
      </c>
      <c r="C422" t="s">
        <v>413</v>
      </c>
      <c r="D422" s="17">
        <v>44993</v>
      </c>
      <c r="E422" t="s">
        <v>26</v>
      </c>
      <c r="F422" t="s">
        <v>27</v>
      </c>
      <c r="G422">
        <v>777305</v>
      </c>
      <c r="H422">
        <v>5500022435</v>
      </c>
      <c r="I422">
        <v>1640</v>
      </c>
      <c r="J422" s="7">
        <v>3</v>
      </c>
      <c r="K422" s="7" t="str">
        <f>IFERROR(VLOOKUP(Detalle_OC[[#This Row],[Centro]]&amp;Detalle_OC[[#This Row],[Nro Almacen]],Almacen!A:D,4,FALSE),"")</f>
        <v>San Vicente</v>
      </c>
    </row>
    <row r="423" spans="1:11" x14ac:dyDescent="0.35">
      <c r="A423" s="7" t="str">
        <f>Detalle_OC[[#This Row],[Centro]]&amp;Detalle_OC[[#This Row],[Nom Almacen]]&amp;Detalle_OC[[#This Row],[Material]]&amp;Detalle_OC[[#This Row],[Pedido]]&amp;Detalle_OC[[#This Row],[Posicion]]</f>
        <v>Sucroalcolera del Chira PlantaMontelima7773055500022436400</v>
      </c>
      <c r="B423" t="s">
        <v>38</v>
      </c>
      <c r="C423" t="s">
        <v>413</v>
      </c>
      <c r="D423" s="17">
        <v>44687</v>
      </c>
      <c r="E423" t="s">
        <v>26</v>
      </c>
      <c r="F423" t="s">
        <v>41</v>
      </c>
      <c r="G423">
        <v>777305</v>
      </c>
      <c r="H423">
        <v>5500022436</v>
      </c>
      <c r="I423">
        <v>400</v>
      </c>
      <c r="J423" s="7">
        <v>1</v>
      </c>
      <c r="K423" s="7" t="str">
        <f>IFERROR(VLOOKUP(Detalle_OC[[#This Row],[Centro]]&amp;Detalle_OC[[#This Row],[Nro Almacen]],Almacen!A:D,4,FALSE),"")</f>
        <v>Montelima</v>
      </c>
    </row>
    <row r="424" spans="1:11" x14ac:dyDescent="0.35">
      <c r="A424" s="7" t="str">
        <f>Detalle_OC[[#This Row],[Centro]]&amp;Detalle_OC[[#This Row],[Nom Almacen]]&amp;Detalle_OC[[#This Row],[Material]]&amp;Detalle_OC[[#This Row],[Pedido]]&amp;Detalle_OC[[#This Row],[Posicion]]</f>
        <v>Sucroalcolera del Chira PlantaMontelima7773055500022436400</v>
      </c>
      <c r="B424" t="s">
        <v>38</v>
      </c>
      <c r="C424" t="s">
        <v>413</v>
      </c>
      <c r="D424" s="17">
        <v>44874</v>
      </c>
      <c r="E424" t="s">
        <v>26</v>
      </c>
      <c r="F424" t="s">
        <v>41</v>
      </c>
      <c r="G424">
        <v>777305</v>
      </c>
      <c r="H424">
        <v>5500022436</v>
      </c>
      <c r="I424">
        <v>400</v>
      </c>
      <c r="J424" s="7">
        <v>1</v>
      </c>
      <c r="K424" s="7" t="str">
        <f>IFERROR(VLOOKUP(Detalle_OC[[#This Row],[Centro]]&amp;Detalle_OC[[#This Row],[Nro Almacen]],Almacen!A:D,4,FALSE),"")</f>
        <v>Montelima</v>
      </c>
    </row>
    <row r="425" spans="1:11" x14ac:dyDescent="0.35">
      <c r="A425" s="7" t="str">
        <f>Detalle_OC[[#This Row],[Centro]]&amp;Detalle_OC[[#This Row],[Nom Almacen]]&amp;Detalle_OC[[#This Row],[Material]]&amp;Detalle_OC[[#This Row],[Pedido]]&amp;Detalle_OC[[#This Row],[Posicion]]</f>
        <v>Sucroalcolera del Chira PlantaMontelima7773055500022436400</v>
      </c>
      <c r="B425" t="s">
        <v>38</v>
      </c>
      <c r="C425" t="s">
        <v>413</v>
      </c>
      <c r="D425" s="17">
        <v>44874</v>
      </c>
      <c r="E425" t="s">
        <v>26</v>
      </c>
      <c r="F425" t="s">
        <v>41</v>
      </c>
      <c r="G425">
        <v>777305</v>
      </c>
      <c r="H425">
        <v>5500022436</v>
      </c>
      <c r="I425">
        <v>400</v>
      </c>
      <c r="J425" s="7">
        <v>1</v>
      </c>
      <c r="K425" s="7" t="str">
        <f>IFERROR(VLOOKUP(Detalle_OC[[#This Row],[Centro]]&amp;Detalle_OC[[#This Row],[Nro Almacen]],Almacen!A:D,4,FALSE),"")</f>
        <v>Montelima</v>
      </c>
    </row>
    <row r="426" spans="1:11" x14ac:dyDescent="0.35">
      <c r="A426" s="7" t="str">
        <f>Detalle_OC[[#This Row],[Centro]]&amp;Detalle_OC[[#This Row],[Nom Almacen]]&amp;Detalle_OC[[#This Row],[Material]]&amp;Detalle_OC[[#This Row],[Pedido]]&amp;Detalle_OC[[#This Row],[Posicion]]</f>
        <v>Sucroalcolera del Chira PlantaMontelima7773055500022436400</v>
      </c>
      <c r="B426" t="s">
        <v>38</v>
      </c>
      <c r="C426" t="s">
        <v>413</v>
      </c>
      <c r="D426" s="17">
        <v>44910</v>
      </c>
      <c r="E426" t="s">
        <v>26</v>
      </c>
      <c r="F426" t="s">
        <v>41</v>
      </c>
      <c r="G426">
        <v>777305</v>
      </c>
      <c r="H426">
        <v>5500022436</v>
      </c>
      <c r="I426">
        <v>400</v>
      </c>
      <c r="J426" s="7">
        <v>1</v>
      </c>
      <c r="K426" s="7" t="str">
        <f>IFERROR(VLOOKUP(Detalle_OC[[#This Row],[Centro]]&amp;Detalle_OC[[#This Row],[Nro Almacen]],Almacen!A:D,4,FALSE),"")</f>
        <v>Montelima</v>
      </c>
    </row>
    <row r="427" spans="1:11" x14ac:dyDescent="0.35">
      <c r="A427" s="7" t="str">
        <f>Detalle_OC[[#This Row],[Centro]]&amp;Detalle_OC[[#This Row],[Nom Almacen]]&amp;Detalle_OC[[#This Row],[Material]]&amp;Detalle_OC[[#This Row],[Pedido]]&amp;Detalle_OC[[#This Row],[Posicion]]</f>
        <v>Sucroalcolera del Chira PlantaMontelima7773055500022436400</v>
      </c>
      <c r="B427" t="s">
        <v>38</v>
      </c>
      <c r="C427" t="s">
        <v>413</v>
      </c>
      <c r="D427" s="17">
        <v>44926</v>
      </c>
      <c r="E427" t="s">
        <v>26</v>
      </c>
      <c r="F427" t="s">
        <v>41</v>
      </c>
      <c r="G427">
        <v>777305</v>
      </c>
      <c r="H427">
        <v>5500022436</v>
      </c>
      <c r="I427">
        <v>400</v>
      </c>
      <c r="J427" s="7">
        <v>1</v>
      </c>
      <c r="K427" s="7" t="str">
        <f>IFERROR(VLOOKUP(Detalle_OC[[#This Row],[Centro]]&amp;Detalle_OC[[#This Row],[Nro Almacen]],Almacen!A:D,4,FALSE),"")</f>
        <v>Montelima</v>
      </c>
    </row>
    <row r="428" spans="1:11" x14ac:dyDescent="0.35">
      <c r="A428" s="7" t="str">
        <f>Detalle_OC[[#This Row],[Centro]]&amp;Detalle_OC[[#This Row],[Nom Almacen]]&amp;Detalle_OC[[#This Row],[Material]]&amp;Detalle_OC[[#This Row],[Pedido]]&amp;Detalle_OC[[#This Row],[Posicion]]</f>
        <v>Sucroalcolera del Chira PlantaMontelima7773055500022436400</v>
      </c>
      <c r="B428" t="s">
        <v>38</v>
      </c>
      <c r="C428" t="s">
        <v>413</v>
      </c>
      <c r="D428" s="17">
        <v>45000</v>
      </c>
      <c r="E428" t="s">
        <v>26</v>
      </c>
      <c r="F428" t="s">
        <v>41</v>
      </c>
      <c r="G428">
        <v>777305</v>
      </c>
      <c r="H428">
        <v>5500022436</v>
      </c>
      <c r="I428">
        <v>400</v>
      </c>
      <c r="J428" s="7">
        <v>1</v>
      </c>
      <c r="K428" s="7" t="str">
        <f>IFERROR(VLOOKUP(Detalle_OC[[#This Row],[Centro]]&amp;Detalle_OC[[#This Row],[Nro Almacen]],Almacen!A:D,4,FALSE),"")</f>
        <v>Montelima</v>
      </c>
    </row>
    <row r="429" spans="1:11" x14ac:dyDescent="0.35">
      <c r="A429" s="7" t="str">
        <f>Detalle_OC[[#This Row],[Centro]]&amp;Detalle_OC[[#This Row],[Nom Almacen]]&amp;Detalle_OC[[#This Row],[Material]]&amp;Detalle_OC[[#This Row],[Pedido]]&amp;Detalle_OC[[#This Row],[Posicion]]</f>
        <v>Sucroalcolera del Chira PlantaMontelima7773055500022436400</v>
      </c>
      <c r="B429" t="s">
        <v>38</v>
      </c>
      <c r="C429" t="s">
        <v>413</v>
      </c>
      <c r="D429" s="17">
        <v>44993</v>
      </c>
      <c r="E429" t="s">
        <v>26</v>
      </c>
      <c r="F429" t="s">
        <v>41</v>
      </c>
      <c r="G429">
        <v>777305</v>
      </c>
      <c r="H429">
        <v>5500022436</v>
      </c>
      <c r="I429">
        <v>400</v>
      </c>
      <c r="J429" s="7">
        <v>1</v>
      </c>
      <c r="K429" s="7" t="str">
        <f>IFERROR(VLOOKUP(Detalle_OC[[#This Row],[Centro]]&amp;Detalle_OC[[#This Row],[Nro Almacen]],Almacen!A:D,4,FALSE),"")</f>
        <v>Montelima</v>
      </c>
    </row>
    <row r="430" spans="1:11" x14ac:dyDescent="0.35">
      <c r="A430" s="7" t="str">
        <f>Detalle_OC[[#This Row],[Centro]]&amp;Detalle_OC[[#This Row],[Nom Almacen]]&amp;Detalle_OC[[#This Row],[Material]]&amp;Detalle_OC[[#This Row],[Pedido]]&amp;Detalle_OC[[#This Row],[Posicion]]</f>
        <v>Agricola del Chira PlantaSan Vicente77814655000224351730</v>
      </c>
      <c r="B430" t="s">
        <v>38</v>
      </c>
      <c r="C430" t="s">
        <v>413</v>
      </c>
      <c r="D430" s="17">
        <v>44733</v>
      </c>
      <c r="E430" t="s">
        <v>26</v>
      </c>
      <c r="F430" t="s">
        <v>27</v>
      </c>
      <c r="G430">
        <v>778146</v>
      </c>
      <c r="H430">
        <v>5500022435</v>
      </c>
      <c r="I430">
        <v>1730</v>
      </c>
      <c r="J430" s="7">
        <v>3</v>
      </c>
      <c r="K430" s="7" t="str">
        <f>IFERROR(VLOOKUP(Detalle_OC[[#This Row],[Centro]]&amp;Detalle_OC[[#This Row],[Nro Almacen]],Almacen!A:D,4,FALSE),"")</f>
        <v>San Vicente</v>
      </c>
    </row>
    <row r="431" spans="1:11" x14ac:dyDescent="0.35">
      <c r="A431" s="7" t="str">
        <f>Detalle_OC[[#This Row],[Centro]]&amp;Detalle_OC[[#This Row],[Nom Almacen]]&amp;Detalle_OC[[#This Row],[Material]]&amp;Detalle_OC[[#This Row],[Pedido]]&amp;Detalle_OC[[#This Row],[Posicion]]</f>
        <v>Agricola del Chira PlantaMontelima7823515500022435380</v>
      </c>
      <c r="B431" t="s">
        <v>38</v>
      </c>
      <c r="C431" t="s">
        <v>413</v>
      </c>
      <c r="D431" s="17">
        <v>44177</v>
      </c>
      <c r="E431" t="s">
        <v>26</v>
      </c>
      <c r="F431" t="s">
        <v>27</v>
      </c>
      <c r="G431">
        <v>782351</v>
      </c>
      <c r="H431">
        <v>5500022435</v>
      </c>
      <c r="I431">
        <v>380</v>
      </c>
      <c r="J431" s="7">
        <v>1</v>
      </c>
      <c r="K431" s="7" t="str">
        <f>IFERROR(VLOOKUP(Detalle_OC[[#This Row],[Centro]]&amp;Detalle_OC[[#This Row],[Nro Almacen]],Almacen!A:D,4,FALSE),"")</f>
        <v>Montelima</v>
      </c>
    </row>
    <row r="432" spans="1:11" x14ac:dyDescent="0.35">
      <c r="A432" s="7" t="str">
        <f>Detalle_OC[[#This Row],[Centro]]&amp;Detalle_OC[[#This Row],[Nom Almacen]]&amp;Detalle_OC[[#This Row],[Material]]&amp;Detalle_OC[[#This Row],[Pedido]]&amp;Detalle_OC[[#This Row],[Posicion]]</f>
        <v>Agricola del Chira PlantaMontelima7823515500022435380</v>
      </c>
      <c r="B432" t="s">
        <v>38</v>
      </c>
      <c r="C432" t="s">
        <v>413</v>
      </c>
      <c r="D432" s="17">
        <v>44334</v>
      </c>
      <c r="E432" t="s">
        <v>26</v>
      </c>
      <c r="F432" t="s">
        <v>27</v>
      </c>
      <c r="G432">
        <v>782351</v>
      </c>
      <c r="H432">
        <v>5500022435</v>
      </c>
      <c r="I432">
        <v>380</v>
      </c>
      <c r="J432" s="7">
        <v>1</v>
      </c>
      <c r="K432" s="7" t="str">
        <f>IFERROR(VLOOKUP(Detalle_OC[[#This Row],[Centro]]&amp;Detalle_OC[[#This Row],[Nro Almacen]],Almacen!A:D,4,FALSE),"")</f>
        <v>Montelima</v>
      </c>
    </row>
    <row r="433" spans="1:11" x14ac:dyDescent="0.35">
      <c r="A433" s="7" t="str">
        <f>Detalle_OC[[#This Row],[Centro]]&amp;Detalle_OC[[#This Row],[Nom Almacen]]&amp;Detalle_OC[[#This Row],[Material]]&amp;Detalle_OC[[#This Row],[Pedido]]&amp;Detalle_OC[[#This Row],[Posicion]]</f>
        <v>Agricola del Chira PlantaMontelima7823515500022435380</v>
      </c>
      <c r="B433" t="s">
        <v>38</v>
      </c>
      <c r="C433" t="s">
        <v>413</v>
      </c>
      <c r="D433" s="17">
        <v>44464</v>
      </c>
      <c r="E433" t="s">
        <v>26</v>
      </c>
      <c r="F433" t="s">
        <v>27</v>
      </c>
      <c r="G433">
        <v>782351</v>
      </c>
      <c r="H433">
        <v>5500022435</v>
      </c>
      <c r="I433">
        <v>380</v>
      </c>
      <c r="J433" s="7">
        <v>1</v>
      </c>
      <c r="K433" s="7" t="str">
        <f>IFERROR(VLOOKUP(Detalle_OC[[#This Row],[Centro]]&amp;Detalle_OC[[#This Row],[Nro Almacen]],Almacen!A:D,4,FALSE),"")</f>
        <v>Montelima</v>
      </c>
    </row>
    <row r="434" spans="1:11" x14ac:dyDescent="0.35">
      <c r="A434" s="7" t="str">
        <f>Detalle_OC[[#This Row],[Centro]]&amp;Detalle_OC[[#This Row],[Nom Almacen]]&amp;Detalle_OC[[#This Row],[Material]]&amp;Detalle_OC[[#This Row],[Pedido]]&amp;Detalle_OC[[#This Row],[Posicion]]</f>
        <v>Agricola del Chira PlantaMontelima7823515500022435380</v>
      </c>
      <c r="B434" t="s">
        <v>38</v>
      </c>
      <c r="C434" t="s">
        <v>413</v>
      </c>
      <c r="D434" s="17">
        <v>44491</v>
      </c>
      <c r="E434" t="s">
        <v>26</v>
      </c>
      <c r="F434" t="s">
        <v>27</v>
      </c>
      <c r="G434">
        <v>782351</v>
      </c>
      <c r="H434">
        <v>5500022435</v>
      </c>
      <c r="I434">
        <v>380</v>
      </c>
      <c r="J434" s="7">
        <v>1</v>
      </c>
      <c r="K434" s="7" t="str">
        <f>IFERROR(VLOOKUP(Detalle_OC[[#This Row],[Centro]]&amp;Detalle_OC[[#This Row],[Nro Almacen]],Almacen!A:D,4,FALSE),"")</f>
        <v>Montelima</v>
      </c>
    </row>
    <row r="435" spans="1:11" x14ac:dyDescent="0.35">
      <c r="A435" s="7" t="str">
        <f>Detalle_OC[[#This Row],[Centro]]&amp;Detalle_OC[[#This Row],[Nom Almacen]]&amp;Detalle_OC[[#This Row],[Material]]&amp;Detalle_OC[[#This Row],[Pedido]]&amp;Detalle_OC[[#This Row],[Posicion]]</f>
        <v>Agricola del Chira PlantaSan Vicente7823515500022435390</v>
      </c>
      <c r="B435" t="s">
        <v>38</v>
      </c>
      <c r="C435" t="s">
        <v>413</v>
      </c>
      <c r="D435" s="17">
        <v>44177</v>
      </c>
      <c r="E435" t="s">
        <v>26</v>
      </c>
      <c r="F435" t="s">
        <v>27</v>
      </c>
      <c r="G435">
        <v>782351</v>
      </c>
      <c r="H435">
        <v>5500022435</v>
      </c>
      <c r="I435">
        <v>390</v>
      </c>
      <c r="J435" s="7">
        <v>3</v>
      </c>
      <c r="K435" s="7" t="str">
        <f>IFERROR(VLOOKUP(Detalle_OC[[#This Row],[Centro]]&amp;Detalle_OC[[#This Row],[Nro Almacen]],Almacen!A:D,4,FALSE),"")</f>
        <v>San Vicente</v>
      </c>
    </row>
    <row r="436" spans="1:11" x14ac:dyDescent="0.35">
      <c r="A436" s="7" t="str">
        <f>Detalle_OC[[#This Row],[Centro]]&amp;Detalle_OC[[#This Row],[Nom Almacen]]&amp;Detalle_OC[[#This Row],[Material]]&amp;Detalle_OC[[#This Row],[Pedido]]&amp;Detalle_OC[[#This Row],[Posicion]]</f>
        <v>Agricola del Chira PlantaSan Vicente7823515500022435390</v>
      </c>
      <c r="B436" t="s">
        <v>38</v>
      </c>
      <c r="C436" t="s">
        <v>413</v>
      </c>
      <c r="D436" s="17">
        <v>44183</v>
      </c>
      <c r="E436" t="s">
        <v>26</v>
      </c>
      <c r="F436" t="s">
        <v>27</v>
      </c>
      <c r="G436">
        <v>782351</v>
      </c>
      <c r="H436">
        <v>5500022435</v>
      </c>
      <c r="I436">
        <v>390</v>
      </c>
      <c r="J436" s="7">
        <v>3</v>
      </c>
      <c r="K436" s="7" t="str">
        <f>IFERROR(VLOOKUP(Detalle_OC[[#This Row],[Centro]]&amp;Detalle_OC[[#This Row],[Nro Almacen]],Almacen!A:D,4,FALSE),"")</f>
        <v>San Vicente</v>
      </c>
    </row>
    <row r="437" spans="1:11" x14ac:dyDescent="0.35">
      <c r="A437" s="7" t="str">
        <f>Detalle_OC[[#This Row],[Centro]]&amp;Detalle_OC[[#This Row],[Nom Almacen]]&amp;Detalle_OC[[#This Row],[Material]]&amp;Detalle_OC[[#This Row],[Pedido]]&amp;Detalle_OC[[#This Row],[Posicion]]</f>
        <v>Agricola del Chira PlantaSan Vicente7823515500022435390</v>
      </c>
      <c r="B437" t="s">
        <v>38</v>
      </c>
      <c r="C437" t="s">
        <v>413</v>
      </c>
      <c r="D437" s="17">
        <v>44214</v>
      </c>
      <c r="E437" t="s">
        <v>26</v>
      </c>
      <c r="F437" t="s">
        <v>27</v>
      </c>
      <c r="G437">
        <v>782351</v>
      </c>
      <c r="H437">
        <v>5500022435</v>
      </c>
      <c r="I437">
        <v>390</v>
      </c>
      <c r="J437" s="7">
        <v>3</v>
      </c>
      <c r="K437" s="7" t="str">
        <f>IFERROR(VLOOKUP(Detalle_OC[[#This Row],[Centro]]&amp;Detalle_OC[[#This Row],[Nro Almacen]],Almacen!A:D,4,FALSE),"")</f>
        <v>San Vicente</v>
      </c>
    </row>
    <row r="438" spans="1:11" x14ac:dyDescent="0.35">
      <c r="A438" s="7" t="str">
        <f>Detalle_OC[[#This Row],[Centro]]&amp;Detalle_OC[[#This Row],[Nom Almacen]]&amp;Detalle_OC[[#This Row],[Material]]&amp;Detalle_OC[[#This Row],[Pedido]]&amp;Detalle_OC[[#This Row],[Posicion]]</f>
        <v>Agricola del Chira PlantaSan Vicente7823515500022435390</v>
      </c>
      <c r="B438" t="s">
        <v>38</v>
      </c>
      <c r="C438" t="s">
        <v>413</v>
      </c>
      <c r="D438" s="17">
        <v>44244</v>
      </c>
      <c r="E438" t="s">
        <v>26</v>
      </c>
      <c r="F438" t="s">
        <v>27</v>
      </c>
      <c r="G438">
        <v>782351</v>
      </c>
      <c r="H438">
        <v>5500022435</v>
      </c>
      <c r="I438">
        <v>390</v>
      </c>
      <c r="J438" s="7">
        <v>3</v>
      </c>
      <c r="K438" s="7" t="str">
        <f>IFERROR(VLOOKUP(Detalle_OC[[#This Row],[Centro]]&amp;Detalle_OC[[#This Row],[Nro Almacen]],Almacen!A:D,4,FALSE),"")</f>
        <v>San Vicente</v>
      </c>
    </row>
    <row r="439" spans="1:11" x14ac:dyDescent="0.35">
      <c r="A439" s="7" t="str">
        <f>Detalle_OC[[#This Row],[Centro]]&amp;Detalle_OC[[#This Row],[Nom Almacen]]&amp;Detalle_OC[[#This Row],[Material]]&amp;Detalle_OC[[#This Row],[Pedido]]&amp;Detalle_OC[[#This Row],[Posicion]]</f>
        <v>Agricola del Chira PlantaSan Vicente7823515500022435390</v>
      </c>
      <c r="B439" t="s">
        <v>38</v>
      </c>
      <c r="C439" t="s">
        <v>413</v>
      </c>
      <c r="D439" s="17">
        <v>44270</v>
      </c>
      <c r="E439" t="s">
        <v>26</v>
      </c>
      <c r="F439" t="s">
        <v>27</v>
      </c>
      <c r="G439">
        <v>782351</v>
      </c>
      <c r="H439">
        <v>5500022435</v>
      </c>
      <c r="I439">
        <v>390</v>
      </c>
      <c r="J439" s="7">
        <v>3</v>
      </c>
      <c r="K439" s="7" t="str">
        <f>IFERROR(VLOOKUP(Detalle_OC[[#This Row],[Centro]]&amp;Detalle_OC[[#This Row],[Nro Almacen]],Almacen!A:D,4,FALSE),"")</f>
        <v>San Vicente</v>
      </c>
    </row>
    <row r="440" spans="1:11" x14ac:dyDescent="0.35">
      <c r="A440" s="7" t="str">
        <f>Detalle_OC[[#This Row],[Centro]]&amp;Detalle_OC[[#This Row],[Nom Almacen]]&amp;Detalle_OC[[#This Row],[Material]]&amp;Detalle_OC[[#This Row],[Pedido]]&amp;Detalle_OC[[#This Row],[Posicion]]</f>
        <v>Agricola del Chira PlantaSan Vicente7823515500022435390</v>
      </c>
      <c r="B440" t="s">
        <v>38</v>
      </c>
      <c r="C440" t="s">
        <v>413</v>
      </c>
      <c r="D440" s="17">
        <v>44370</v>
      </c>
      <c r="E440" t="s">
        <v>26</v>
      </c>
      <c r="F440" t="s">
        <v>27</v>
      </c>
      <c r="G440">
        <v>782351</v>
      </c>
      <c r="H440">
        <v>5500022435</v>
      </c>
      <c r="I440">
        <v>390</v>
      </c>
      <c r="J440" s="7">
        <v>3</v>
      </c>
      <c r="K440" s="7" t="str">
        <f>IFERROR(VLOOKUP(Detalle_OC[[#This Row],[Centro]]&amp;Detalle_OC[[#This Row],[Nro Almacen]],Almacen!A:D,4,FALSE),"")</f>
        <v>San Vicente</v>
      </c>
    </row>
    <row r="441" spans="1:11" x14ac:dyDescent="0.35">
      <c r="A441" s="7" t="str">
        <f>Detalle_OC[[#This Row],[Centro]]&amp;Detalle_OC[[#This Row],[Nom Almacen]]&amp;Detalle_OC[[#This Row],[Material]]&amp;Detalle_OC[[#This Row],[Pedido]]&amp;Detalle_OC[[#This Row],[Posicion]]</f>
        <v>Agricola del Chira PlantaSan Vicente7823515500022435390</v>
      </c>
      <c r="B441" t="s">
        <v>38</v>
      </c>
      <c r="C441" t="s">
        <v>413</v>
      </c>
      <c r="D441" s="17">
        <v>44459</v>
      </c>
      <c r="E441" t="s">
        <v>26</v>
      </c>
      <c r="F441" t="s">
        <v>27</v>
      </c>
      <c r="G441">
        <v>782351</v>
      </c>
      <c r="H441">
        <v>5500022435</v>
      </c>
      <c r="I441">
        <v>390</v>
      </c>
      <c r="J441" s="7">
        <v>3</v>
      </c>
      <c r="K441" s="7" t="str">
        <f>IFERROR(VLOOKUP(Detalle_OC[[#This Row],[Centro]]&amp;Detalle_OC[[#This Row],[Nro Almacen]],Almacen!A:D,4,FALSE),"")</f>
        <v>San Vicente</v>
      </c>
    </row>
    <row r="442" spans="1:11" x14ac:dyDescent="0.35">
      <c r="A442" s="7" t="str">
        <f>Detalle_OC[[#This Row],[Centro]]&amp;Detalle_OC[[#This Row],[Nom Almacen]]&amp;Detalle_OC[[#This Row],[Material]]&amp;Detalle_OC[[#This Row],[Pedido]]&amp;Detalle_OC[[#This Row],[Posicion]]</f>
        <v>Agricola del Chira PlantaSan Vicente7823515500022435390</v>
      </c>
      <c r="B442" t="s">
        <v>38</v>
      </c>
      <c r="C442" t="s">
        <v>413</v>
      </c>
      <c r="D442" s="17">
        <v>44616</v>
      </c>
      <c r="E442" t="s">
        <v>26</v>
      </c>
      <c r="F442" t="s">
        <v>27</v>
      </c>
      <c r="G442">
        <v>782351</v>
      </c>
      <c r="H442">
        <v>5500022435</v>
      </c>
      <c r="I442">
        <v>390</v>
      </c>
      <c r="J442" s="7">
        <v>3</v>
      </c>
      <c r="K442" s="7" t="str">
        <f>IFERROR(VLOOKUP(Detalle_OC[[#This Row],[Centro]]&amp;Detalle_OC[[#This Row],[Nro Almacen]],Almacen!A:D,4,FALSE),"")</f>
        <v>San Vicente</v>
      </c>
    </row>
    <row r="443" spans="1:11" x14ac:dyDescent="0.35">
      <c r="A443" s="7" t="str">
        <f>Detalle_OC[[#This Row],[Centro]]&amp;Detalle_OC[[#This Row],[Nom Almacen]]&amp;Detalle_OC[[#This Row],[Material]]&amp;Detalle_OC[[#This Row],[Pedido]]&amp;Detalle_OC[[#This Row],[Posicion]]</f>
        <v>Agricola del Chira PlantaSan Vicente78235155000224351700</v>
      </c>
      <c r="B443" t="s">
        <v>38</v>
      </c>
      <c r="C443" t="s">
        <v>413</v>
      </c>
      <c r="D443" s="17">
        <v>44680</v>
      </c>
      <c r="E443" t="s">
        <v>26</v>
      </c>
      <c r="F443" t="s">
        <v>27</v>
      </c>
      <c r="G443">
        <v>782351</v>
      </c>
      <c r="H443">
        <v>5500022435</v>
      </c>
      <c r="I443">
        <v>1700</v>
      </c>
      <c r="J443" s="7">
        <v>3</v>
      </c>
      <c r="K443" s="7" t="str">
        <f>IFERROR(VLOOKUP(Detalle_OC[[#This Row],[Centro]]&amp;Detalle_OC[[#This Row],[Nro Almacen]],Almacen!A:D,4,FALSE),"")</f>
        <v>San Vicente</v>
      </c>
    </row>
    <row r="444" spans="1:11" x14ac:dyDescent="0.35">
      <c r="A444" s="7" t="str">
        <f>Detalle_OC[[#This Row],[Centro]]&amp;Detalle_OC[[#This Row],[Nom Almacen]]&amp;Detalle_OC[[#This Row],[Material]]&amp;Detalle_OC[[#This Row],[Pedido]]&amp;Detalle_OC[[#This Row],[Posicion]]</f>
        <v>Agricola del Chira PlantaSan Vicente78235155000224351700</v>
      </c>
      <c r="B444" t="s">
        <v>38</v>
      </c>
      <c r="C444" t="s">
        <v>413</v>
      </c>
      <c r="D444" s="17">
        <v>44733</v>
      </c>
      <c r="E444" t="s">
        <v>26</v>
      </c>
      <c r="F444" t="s">
        <v>27</v>
      </c>
      <c r="G444">
        <v>782351</v>
      </c>
      <c r="H444">
        <v>5500022435</v>
      </c>
      <c r="I444">
        <v>1700</v>
      </c>
      <c r="J444" s="7">
        <v>3</v>
      </c>
      <c r="K444" s="7" t="str">
        <f>IFERROR(VLOOKUP(Detalle_OC[[#This Row],[Centro]]&amp;Detalle_OC[[#This Row],[Nro Almacen]],Almacen!A:D,4,FALSE),"")</f>
        <v>San Vicente</v>
      </c>
    </row>
    <row r="445" spans="1:11" x14ac:dyDescent="0.35">
      <c r="A445" s="7" t="str">
        <f>Detalle_OC[[#This Row],[Centro]]&amp;Detalle_OC[[#This Row],[Nom Almacen]]&amp;Detalle_OC[[#This Row],[Material]]&amp;Detalle_OC[[#This Row],[Pedido]]&amp;Detalle_OC[[#This Row],[Posicion]]</f>
        <v>Agricola del Chira PlantaSan Vicente78235155000224351700</v>
      </c>
      <c r="B445" t="s">
        <v>38</v>
      </c>
      <c r="C445" t="s">
        <v>413</v>
      </c>
      <c r="D445" s="17">
        <v>44855</v>
      </c>
      <c r="E445" t="s">
        <v>26</v>
      </c>
      <c r="F445" t="s">
        <v>27</v>
      </c>
      <c r="G445">
        <v>782351</v>
      </c>
      <c r="H445">
        <v>5500022435</v>
      </c>
      <c r="I445">
        <v>1700</v>
      </c>
      <c r="J445" s="7">
        <v>3</v>
      </c>
      <c r="K445" s="7" t="str">
        <f>IFERROR(VLOOKUP(Detalle_OC[[#This Row],[Centro]]&amp;Detalle_OC[[#This Row],[Nro Almacen]],Almacen!A:D,4,FALSE),"")</f>
        <v>San Vicente</v>
      </c>
    </row>
    <row r="446" spans="1:11" x14ac:dyDescent="0.35">
      <c r="A446" s="7" t="str">
        <f>Detalle_OC[[#This Row],[Centro]]&amp;Detalle_OC[[#This Row],[Nom Almacen]]&amp;Detalle_OC[[#This Row],[Material]]&amp;Detalle_OC[[#This Row],[Pedido]]&amp;Detalle_OC[[#This Row],[Posicion]]</f>
        <v>Agricola del Chira PlantaAlmacen Lobo7870825500022435420</v>
      </c>
      <c r="B446" t="s">
        <v>38</v>
      </c>
      <c r="C446" t="s">
        <v>413</v>
      </c>
      <c r="D446" s="17">
        <v>44239</v>
      </c>
      <c r="E446" t="s">
        <v>26</v>
      </c>
      <c r="F446" t="s">
        <v>27</v>
      </c>
      <c r="G446">
        <v>787082</v>
      </c>
      <c r="H446">
        <v>5500022435</v>
      </c>
      <c r="I446">
        <v>420</v>
      </c>
      <c r="J446" s="7">
        <v>7</v>
      </c>
      <c r="K446" s="7" t="str">
        <f>IFERROR(VLOOKUP(Detalle_OC[[#This Row],[Centro]]&amp;Detalle_OC[[#This Row],[Nro Almacen]],Almacen!A:D,4,FALSE),"")</f>
        <v>Almacen Lobo</v>
      </c>
    </row>
    <row r="447" spans="1:11" x14ac:dyDescent="0.35">
      <c r="A447" s="7" t="str">
        <f>Detalle_OC[[#This Row],[Centro]]&amp;Detalle_OC[[#This Row],[Nom Almacen]]&amp;Detalle_OC[[#This Row],[Material]]&amp;Detalle_OC[[#This Row],[Pedido]]&amp;Detalle_OC[[#This Row],[Posicion]]</f>
        <v>Agricola del Chira PlantaAlmacen Lobo7870825500022435420</v>
      </c>
      <c r="B447" t="s">
        <v>38</v>
      </c>
      <c r="C447" t="s">
        <v>413</v>
      </c>
      <c r="D447" s="17">
        <v>44365</v>
      </c>
      <c r="E447" t="s">
        <v>26</v>
      </c>
      <c r="F447" t="s">
        <v>27</v>
      </c>
      <c r="G447">
        <v>787082</v>
      </c>
      <c r="H447">
        <v>5500022435</v>
      </c>
      <c r="I447">
        <v>420</v>
      </c>
      <c r="J447" s="7">
        <v>7</v>
      </c>
      <c r="K447" s="7" t="str">
        <f>IFERROR(VLOOKUP(Detalle_OC[[#This Row],[Centro]]&amp;Detalle_OC[[#This Row],[Nro Almacen]],Almacen!A:D,4,FALSE),"")</f>
        <v>Almacen Lobo</v>
      </c>
    </row>
    <row r="448" spans="1:11" x14ac:dyDescent="0.35">
      <c r="A448" s="7" t="str">
        <f>Detalle_OC[[#This Row],[Centro]]&amp;Detalle_OC[[#This Row],[Nom Almacen]]&amp;Detalle_OC[[#This Row],[Material]]&amp;Detalle_OC[[#This Row],[Pedido]]&amp;Detalle_OC[[#This Row],[Posicion]]</f>
        <v>Agricola del Chira PlantaSan Vicente78708255000224351710</v>
      </c>
      <c r="B448" t="s">
        <v>38</v>
      </c>
      <c r="C448" t="s">
        <v>413</v>
      </c>
      <c r="D448" s="17">
        <v>44680</v>
      </c>
      <c r="E448" t="s">
        <v>26</v>
      </c>
      <c r="F448" t="s">
        <v>27</v>
      </c>
      <c r="G448">
        <v>787082</v>
      </c>
      <c r="H448">
        <v>5500022435</v>
      </c>
      <c r="I448">
        <v>1710</v>
      </c>
      <c r="J448" s="7">
        <v>3</v>
      </c>
      <c r="K448" s="7" t="str">
        <f>IFERROR(VLOOKUP(Detalle_OC[[#This Row],[Centro]]&amp;Detalle_OC[[#This Row],[Nro Almacen]],Almacen!A:D,4,FALSE),"")</f>
        <v>San Vicente</v>
      </c>
    </row>
    <row r="449" spans="1:11" x14ac:dyDescent="0.35">
      <c r="A449" s="7" t="str">
        <f>Detalle_OC[[#This Row],[Centro]]&amp;Detalle_OC[[#This Row],[Nom Almacen]]&amp;Detalle_OC[[#This Row],[Material]]&amp;Detalle_OC[[#This Row],[Pedido]]&amp;Detalle_OC[[#This Row],[Posicion]]</f>
        <v>Agricola del Chira PlantaMontelima787785451144536910</v>
      </c>
      <c r="B449" t="s">
        <v>421</v>
      </c>
      <c r="C449" t="s">
        <v>422</v>
      </c>
      <c r="D449" s="17">
        <v>44977</v>
      </c>
      <c r="E449" t="s">
        <v>26</v>
      </c>
      <c r="F449" t="s">
        <v>27</v>
      </c>
      <c r="G449">
        <v>787785</v>
      </c>
      <c r="H449">
        <v>4511445369</v>
      </c>
      <c r="I449">
        <v>10</v>
      </c>
      <c r="J449" s="7">
        <v>1</v>
      </c>
      <c r="K449" s="7" t="str">
        <f>IFERROR(VLOOKUP(Detalle_OC[[#This Row],[Centro]]&amp;Detalle_OC[[#This Row],[Nro Almacen]],Almacen!A:D,4,FALSE),"")</f>
        <v>Montelima</v>
      </c>
    </row>
    <row r="450" spans="1:11" x14ac:dyDescent="0.35">
      <c r="A450" s="7" t="str">
        <f>Detalle_OC[[#This Row],[Centro]]&amp;Detalle_OC[[#This Row],[Nom Almacen]]&amp;Detalle_OC[[#This Row],[Material]]&amp;Detalle_OC[[#This Row],[Pedido]]&amp;Detalle_OC[[#This Row],[Posicion]]</f>
        <v>Agricola del Chira PlantaMontelima788247451144992940</v>
      </c>
      <c r="B450" t="s">
        <v>46</v>
      </c>
      <c r="C450" t="s">
        <v>409</v>
      </c>
      <c r="D450" s="17">
        <v>44995</v>
      </c>
      <c r="E450" t="s">
        <v>26</v>
      </c>
      <c r="F450" t="s">
        <v>27</v>
      </c>
      <c r="G450">
        <v>788247</v>
      </c>
      <c r="H450">
        <v>4511449929</v>
      </c>
      <c r="I450">
        <v>40</v>
      </c>
      <c r="J450" s="7">
        <v>1</v>
      </c>
      <c r="K450" s="7" t="str">
        <f>IFERROR(VLOOKUP(Detalle_OC[[#This Row],[Centro]]&amp;Detalle_OC[[#This Row],[Nro Almacen]],Almacen!A:D,4,FALSE),"")</f>
        <v>Montelima</v>
      </c>
    </row>
    <row r="451" spans="1:11" x14ac:dyDescent="0.35">
      <c r="A451" s="7" t="str">
        <f>Detalle_OC[[#This Row],[Centro]]&amp;Detalle_OC[[#This Row],[Nom Almacen]]&amp;Detalle_OC[[#This Row],[Material]]&amp;Detalle_OC[[#This Row],[Pedido]]&amp;Detalle_OC[[#This Row],[Posicion]]</f>
        <v>Agricola del Chira PlantaMontelima788249451144992950</v>
      </c>
      <c r="B451" t="s">
        <v>46</v>
      </c>
      <c r="C451" t="s">
        <v>409</v>
      </c>
      <c r="D451" s="17">
        <v>44995</v>
      </c>
      <c r="E451" t="s">
        <v>26</v>
      </c>
      <c r="F451" t="s">
        <v>27</v>
      </c>
      <c r="G451">
        <v>788249</v>
      </c>
      <c r="H451">
        <v>4511449929</v>
      </c>
      <c r="I451">
        <v>50</v>
      </c>
      <c r="J451" s="7">
        <v>1</v>
      </c>
      <c r="K451" s="7" t="str">
        <f>IFERROR(VLOOKUP(Detalle_OC[[#This Row],[Centro]]&amp;Detalle_OC[[#This Row],[Nro Almacen]],Almacen!A:D,4,FALSE),"")</f>
        <v>Montelima</v>
      </c>
    </row>
    <row r="452" spans="1:11" x14ac:dyDescent="0.35">
      <c r="A452" s="7" t="str">
        <f>Detalle_OC[[#This Row],[Centro]]&amp;Detalle_OC[[#This Row],[Nom Almacen]]&amp;Detalle_OC[[#This Row],[Material]]&amp;Detalle_OC[[#This Row],[Pedido]]&amp;Detalle_OC[[#This Row],[Posicion]]</f>
        <v>Agricola del Chira PlantaMontelima795186451144607810</v>
      </c>
      <c r="B452" t="s">
        <v>414</v>
      </c>
      <c r="C452" t="s">
        <v>409</v>
      </c>
      <c r="D452" s="17">
        <v>44995</v>
      </c>
      <c r="E452" t="s">
        <v>120</v>
      </c>
      <c r="F452" t="s">
        <v>27</v>
      </c>
      <c r="G452">
        <v>795186</v>
      </c>
      <c r="H452">
        <v>4511446078</v>
      </c>
      <c r="I452">
        <v>10</v>
      </c>
      <c r="J452" s="7">
        <v>1</v>
      </c>
      <c r="K452" s="7" t="str">
        <f>IFERROR(VLOOKUP(Detalle_OC[[#This Row],[Centro]]&amp;Detalle_OC[[#This Row],[Nro Almacen]],Almacen!A:D,4,FALSE),"")</f>
        <v>Montelima</v>
      </c>
    </row>
    <row r="453" spans="1:11" x14ac:dyDescent="0.35">
      <c r="A453" s="7" t="str">
        <f>Detalle_OC[[#This Row],[Centro]]&amp;Detalle_OC[[#This Row],[Nom Almacen]]&amp;Detalle_OC[[#This Row],[Material]]&amp;Detalle_OC[[#This Row],[Pedido]]&amp;Detalle_OC[[#This Row],[Posicion]]</f>
        <v>Agricola del Chira Planta798917451145298550</v>
      </c>
      <c r="B453" t="s">
        <v>108</v>
      </c>
      <c r="C453" t="s">
        <v>411</v>
      </c>
      <c r="D453" s="17">
        <v>45002</v>
      </c>
      <c r="E453" t="s">
        <v>26</v>
      </c>
      <c r="F453" t="s">
        <v>27</v>
      </c>
      <c r="G453">
        <v>798917</v>
      </c>
      <c r="H453">
        <v>4511452985</v>
      </c>
      <c r="I453">
        <v>50</v>
      </c>
      <c r="J453" s="7" t="s">
        <v>42</v>
      </c>
      <c r="K453" s="7" t="str">
        <f>IFERROR(VLOOKUP(Detalle_OC[[#This Row],[Centro]]&amp;Detalle_OC[[#This Row],[Nro Almacen]],Almacen!A:D,4,FALSE),"")</f>
        <v/>
      </c>
    </row>
    <row r="454" spans="1:11" x14ac:dyDescent="0.35">
      <c r="A454" s="7" t="str">
        <f>Detalle_OC[[#This Row],[Centro]]&amp;Detalle_OC[[#This Row],[Nom Almacen]]&amp;Detalle_OC[[#This Row],[Material]]&amp;Detalle_OC[[#This Row],[Pedido]]&amp;Detalle_OC[[#This Row],[Posicion]]</f>
        <v>Agricola del Chira Planta798917451145298560</v>
      </c>
      <c r="B454" t="s">
        <v>108</v>
      </c>
      <c r="C454" t="s">
        <v>411</v>
      </c>
      <c r="D454" s="17">
        <v>45002</v>
      </c>
      <c r="E454" t="s">
        <v>26</v>
      </c>
      <c r="F454" t="s">
        <v>27</v>
      </c>
      <c r="G454">
        <v>798917</v>
      </c>
      <c r="H454">
        <v>4511452985</v>
      </c>
      <c r="I454">
        <v>60</v>
      </c>
      <c r="J454" s="7" t="s">
        <v>42</v>
      </c>
      <c r="K454" s="7" t="str">
        <f>IFERROR(VLOOKUP(Detalle_OC[[#This Row],[Centro]]&amp;Detalle_OC[[#This Row],[Nro Almacen]],Almacen!A:D,4,FALSE),"")</f>
        <v/>
      </c>
    </row>
    <row r="455" spans="1:11" x14ac:dyDescent="0.35">
      <c r="A455" s="7" t="str">
        <f>Detalle_OC[[#This Row],[Centro]]&amp;Detalle_OC[[#This Row],[Nom Almacen]]&amp;Detalle_OC[[#This Row],[Material]]&amp;Detalle_OC[[#This Row],[Pedido]]&amp;Detalle_OC[[#This Row],[Posicion]]</f>
        <v>Bioenergía del Chira PlantaMontelima798919451145309450</v>
      </c>
      <c r="B455" t="s">
        <v>159</v>
      </c>
      <c r="C455" t="s">
        <v>411</v>
      </c>
      <c r="D455" s="17">
        <v>45002</v>
      </c>
      <c r="E455" t="s">
        <v>26</v>
      </c>
      <c r="F455" t="s">
        <v>57</v>
      </c>
      <c r="G455">
        <v>798919</v>
      </c>
      <c r="H455">
        <v>4511453094</v>
      </c>
      <c r="I455">
        <v>50</v>
      </c>
      <c r="J455" s="7">
        <v>1</v>
      </c>
      <c r="K455" s="7" t="str">
        <f>IFERROR(VLOOKUP(Detalle_OC[[#This Row],[Centro]]&amp;Detalle_OC[[#This Row],[Nro Almacen]],Almacen!A:D,4,FALSE),"")</f>
        <v>Montelima</v>
      </c>
    </row>
    <row r="456" spans="1:11" x14ac:dyDescent="0.35">
      <c r="A456" s="7" t="str">
        <f>Detalle_OC[[#This Row],[Centro]]&amp;Detalle_OC[[#This Row],[Nom Almacen]]&amp;Detalle_OC[[#This Row],[Material]]&amp;Detalle_OC[[#This Row],[Pedido]]&amp;Detalle_OC[[#This Row],[Posicion]]</f>
        <v>Agricola del Chira PlantaMontelima801459451144441510</v>
      </c>
      <c r="B456" t="s">
        <v>46</v>
      </c>
      <c r="C456" t="s">
        <v>423</v>
      </c>
      <c r="D456" s="17">
        <v>44986</v>
      </c>
      <c r="E456" t="s">
        <v>26</v>
      </c>
      <c r="F456" t="s">
        <v>27</v>
      </c>
      <c r="G456">
        <v>801459</v>
      </c>
      <c r="H456">
        <v>4511444415</v>
      </c>
      <c r="I456">
        <v>10</v>
      </c>
      <c r="J456" s="7">
        <v>1</v>
      </c>
      <c r="K456" s="7" t="str">
        <f>IFERROR(VLOOKUP(Detalle_OC[[#This Row],[Centro]]&amp;Detalle_OC[[#This Row],[Nro Almacen]],Almacen!A:D,4,FALSE),"")</f>
        <v>Montelima</v>
      </c>
    </row>
    <row r="457" spans="1:11" x14ac:dyDescent="0.35">
      <c r="A457" s="7" t="str">
        <f>Detalle_OC[[#This Row],[Centro]]&amp;Detalle_OC[[#This Row],[Nom Almacen]]&amp;Detalle_OC[[#This Row],[Material]]&amp;Detalle_OC[[#This Row],[Pedido]]&amp;Detalle_OC[[#This Row],[Posicion]]</f>
        <v>Sucroalcolera del Chira PlantaParada fábrica805227451144726750</v>
      </c>
      <c r="B457" t="s">
        <v>108</v>
      </c>
      <c r="C457" t="s">
        <v>424</v>
      </c>
      <c r="D457" s="17">
        <v>44995</v>
      </c>
      <c r="E457" t="s">
        <v>26</v>
      </c>
      <c r="F457" t="s">
        <v>41</v>
      </c>
      <c r="G457">
        <v>805227</v>
      </c>
      <c r="H457">
        <v>4511447267</v>
      </c>
      <c r="I457">
        <v>50</v>
      </c>
      <c r="J457" s="7">
        <v>9</v>
      </c>
      <c r="K457" s="7" t="str">
        <f>IFERROR(VLOOKUP(Detalle_OC[[#This Row],[Centro]]&amp;Detalle_OC[[#This Row],[Nro Almacen]],Almacen!A:D,4,FALSE),"")</f>
        <v>Parada fábrica</v>
      </c>
    </row>
    <row r="458" spans="1:11" x14ac:dyDescent="0.35">
      <c r="A458" s="7" t="str">
        <f>Detalle_OC[[#This Row],[Centro]]&amp;Detalle_OC[[#This Row],[Nom Almacen]]&amp;Detalle_OC[[#This Row],[Material]]&amp;Detalle_OC[[#This Row],[Pedido]]&amp;Detalle_OC[[#This Row],[Posicion]]</f>
        <v>Sucroalcolera del Chira PlantaParada fábrica805229451144726740</v>
      </c>
      <c r="B458" t="s">
        <v>108</v>
      </c>
      <c r="C458" t="s">
        <v>424</v>
      </c>
      <c r="D458" s="17">
        <v>44995</v>
      </c>
      <c r="E458" t="s">
        <v>26</v>
      </c>
      <c r="F458" t="s">
        <v>41</v>
      </c>
      <c r="G458">
        <v>805229</v>
      </c>
      <c r="H458">
        <v>4511447267</v>
      </c>
      <c r="I458">
        <v>40</v>
      </c>
      <c r="J458" s="7">
        <v>9</v>
      </c>
      <c r="K458" s="7" t="str">
        <f>IFERROR(VLOOKUP(Detalle_OC[[#This Row],[Centro]]&amp;Detalle_OC[[#This Row],[Nro Almacen]],Almacen!A:D,4,FALSE),"")</f>
        <v>Parada fábrica</v>
      </c>
    </row>
    <row r="459" spans="1:11" x14ac:dyDescent="0.35">
      <c r="A459" s="7" t="str">
        <f>Detalle_OC[[#This Row],[Centro]]&amp;Detalle_OC[[#This Row],[Nom Almacen]]&amp;Detalle_OC[[#This Row],[Material]]&amp;Detalle_OC[[#This Row],[Pedido]]&amp;Detalle_OC[[#This Row],[Posicion]]</f>
        <v>Sucroalcolera del Chira PlantaMontelima805229451145102910</v>
      </c>
      <c r="B459" t="s">
        <v>123</v>
      </c>
      <c r="C459" t="s">
        <v>424</v>
      </c>
      <c r="D459" s="17">
        <v>45009</v>
      </c>
      <c r="E459" t="s">
        <v>26</v>
      </c>
      <c r="F459" t="s">
        <v>41</v>
      </c>
      <c r="G459">
        <v>805229</v>
      </c>
      <c r="H459">
        <v>4511451029</v>
      </c>
      <c r="I459">
        <v>10</v>
      </c>
      <c r="J459" s="7">
        <v>1</v>
      </c>
      <c r="K459" s="7" t="str">
        <f>IFERROR(VLOOKUP(Detalle_OC[[#This Row],[Centro]]&amp;Detalle_OC[[#This Row],[Nro Almacen]],Almacen!A:D,4,FALSE),"")</f>
        <v>Montelima</v>
      </c>
    </row>
    <row r="460" spans="1:11" x14ac:dyDescent="0.35">
      <c r="A460" s="7" t="str">
        <f>Detalle_OC[[#This Row],[Centro]]&amp;Detalle_OC[[#This Row],[Nom Almacen]]&amp;Detalle_OC[[#This Row],[Material]]&amp;Detalle_OC[[#This Row],[Pedido]]&amp;Detalle_OC[[#This Row],[Posicion]]</f>
        <v>Sucroalcolera del Chira PlantaParada fábrica805274451144726730</v>
      </c>
      <c r="B460" t="s">
        <v>108</v>
      </c>
      <c r="C460" t="s">
        <v>424</v>
      </c>
      <c r="D460" s="17">
        <v>44995</v>
      </c>
      <c r="E460" t="s">
        <v>26</v>
      </c>
      <c r="F460" t="s">
        <v>41</v>
      </c>
      <c r="G460">
        <v>805274</v>
      </c>
      <c r="H460">
        <v>4511447267</v>
      </c>
      <c r="I460">
        <v>30</v>
      </c>
      <c r="J460" s="7">
        <v>9</v>
      </c>
      <c r="K460" s="7" t="str">
        <f>IFERROR(VLOOKUP(Detalle_OC[[#This Row],[Centro]]&amp;Detalle_OC[[#This Row],[Nro Almacen]],Almacen!A:D,4,FALSE),"")</f>
        <v>Parada fábrica</v>
      </c>
    </row>
    <row r="461" spans="1:11" x14ac:dyDescent="0.35">
      <c r="A461" s="7" t="str">
        <f>Detalle_OC[[#This Row],[Centro]]&amp;Detalle_OC[[#This Row],[Nom Almacen]]&amp;Detalle_OC[[#This Row],[Material]]&amp;Detalle_OC[[#This Row],[Pedido]]&amp;Detalle_OC[[#This Row],[Posicion]]</f>
        <v>Sucroalcolera del Chira PlantaParada fábrica805382451144726710</v>
      </c>
      <c r="B461" t="s">
        <v>108</v>
      </c>
      <c r="C461" t="s">
        <v>424</v>
      </c>
      <c r="D461" s="17">
        <v>44995</v>
      </c>
      <c r="E461" t="s">
        <v>26</v>
      </c>
      <c r="F461" t="s">
        <v>41</v>
      </c>
      <c r="G461">
        <v>805382</v>
      </c>
      <c r="H461">
        <v>4511447267</v>
      </c>
      <c r="I461">
        <v>10</v>
      </c>
      <c r="J461" s="7">
        <v>9</v>
      </c>
      <c r="K461" s="7" t="str">
        <f>IFERROR(VLOOKUP(Detalle_OC[[#This Row],[Centro]]&amp;Detalle_OC[[#This Row],[Nro Almacen]],Almacen!A:D,4,FALSE),"")</f>
        <v>Parada fábrica</v>
      </c>
    </row>
    <row r="462" spans="1:11" x14ac:dyDescent="0.35">
      <c r="A462" s="7" t="str">
        <f>Detalle_OC[[#This Row],[Centro]]&amp;Detalle_OC[[#This Row],[Nom Almacen]]&amp;Detalle_OC[[#This Row],[Material]]&amp;Detalle_OC[[#This Row],[Pedido]]&amp;Detalle_OC[[#This Row],[Posicion]]</f>
        <v>Sucroalcolera del Chira PlantaParada fábrica805382451144726720</v>
      </c>
      <c r="B462" t="s">
        <v>108</v>
      </c>
      <c r="C462" t="s">
        <v>424</v>
      </c>
      <c r="D462" s="17">
        <v>44995</v>
      </c>
      <c r="E462" t="s">
        <v>26</v>
      </c>
      <c r="F462" t="s">
        <v>41</v>
      </c>
      <c r="G462">
        <v>805382</v>
      </c>
      <c r="H462">
        <v>4511447267</v>
      </c>
      <c r="I462">
        <v>20</v>
      </c>
      <c r="J462" s="7">
        <v>9</v>
      </c>
      <c r="K462" s="7" t="str">
        <f>IFERROR(VLOOKUP(Detalle_OC[[#This Row],[Centro]]&amp;Detalle_OC[[#This Row],[Nro Almacen]],Almacen!A:D,4,FALSE),"")</f>
        <v>Parada fábrica</v>
      </c>
    </row>
    <row r="463" spans="1:11" x14ac:dyDescent="0.35">
      <c r="A463" s="7" t="str">
        <f>Detalle_OC[[#This Row],[Centro]]&amp;Detalle_OC[[#This Row],[Nom Almacen]]&amp;Detalle_OC[[#This Row],[Material]]&amp;Detalle_OC[[#This Row],[Pedido]]&amp;Detalle_OC[[#This Row],[Posicion]]</f>
        <v>Sucroalcolera del Chira PlantaMontelima806149451144957310</v>
      </c>
      <c r="B463" t="s">
        <v>119</v>
      </c>
      <c r="C463" t="s">
        <v>425</v>
      </c>
      <c r="D463" s="17">
        <v>44988</v>
      </c>
      <c r="E463" t="s">
        <v>26</v>
      </c>
      <c r="F463" t="s">
        <v>41</v>
      </c>
      <c r="G463">
        <v>806149</v>
      </c>
      <c r="H463">
        <v>4511449573</v>
      </c>
      <c r="I463">
        <v>10</v>
      </c>
      <c r="J463" s="7">
        <v>1</v>
      </c>
      <c r="K463" s="7" t="str">
        <f>IFERROR(VLOOKUP(Detalle_OC[[#This Row],[Centro]]&amp;Detalle_OC[[#This Row],[Nro Almacen]],Almacen!A:D,4,FALSE),"")</f>
        <v>Montelima</v>
      </c>
    </row>
    <row r="464" spans="1:11" x14ac:dyDescent="0.35">
      <c r="A464" s="7" t="str">
        <f>Detalle_OC[[#This Row],[Centro]]&amp;Detalle_OC[[#This Row],[Nom Almacen]]&amp;Detalle_OC[[#This Row],[Material]]&amp;Detalle_OC[[#This Row],[Pedido]]&amp;Detalle_OC[[#This Row],[Posicion]]</f>
        <v>Sucroalcolera del Chira PlantaMontelima806591451145320810</v>
      </c>
      <c r="B464" t="s">
        <v>124</v>
      </c>
      <c r="C464" t="s">
        <v>409</v>
      </c>
      <c r="D464" s="17">
        <v>44995</v>
      </c>
      <c r="E464" t="s">
        <v>26</v>
      </c>
      <c r="F464" t="s">
        <v>41</v>
      </c>
      <c r="G464">
        <v>806591</v>
      </c>
      <c r="H464">
        <v>4511453208</v>
      </c>
      <c r="I464">
        <v>10</v>
      </c>
      <c r="J464" s="7">
        <v>1</v>
      </c>
      <c r="K464" s="7" t="str">
        <f>IFERROR(VLOOKUP(Detalle_OC[[#This Row],[Centro]]&amp;Detalle_OC[[#This Row],[Nro Almacen]],Almacen!A:D,4,FALSE),"")</f>
        <v>Montelima</v>
      </c>
    </row>
    <row r="465" spans="1:11" x14ac:dyDescent="0.35">
      <c r="A465" s="7" t="str">
        <f>Detalle_OC[[#This Row],[Centro]]&amp;Detalle_OC[[#This Row],[Nom Almacen]]&amp;Detalle_OC[[#This Row],[Material]]&amp;Detalle_OC[[#This Row],[Pedido]]&amp;Detalle_OC[[#This Row],[Posicion]]</f>
        <v>Sucroalcolera del Chira PlantaMontelima806591451145642640</v>
      </c>
      <c r="B465" t="s">
        <v>123</v>
      </c>
      <c r="C465" t="s">
        <v>409</v>
      </c>
      <c r="D465" s="17">
        <v>45005</v>
      </c>
      <c r="E465" t="s">
        <v>26</v>
      </c>
      <c r="F465" t="s">
        <v>41</v>
      </c>
      <c r="G465">
        <v>806591</v>
      </c>
      <c r="H465">
        <v>4511456426</v>
      </c>
      <c r="I465">
        <v>40</v>
      </c>
      <c r="J465" s="7">
        <v>1</v>
      </c>
      <c r="K465" s="7" t="str">
        <f>IFERROR(VLOOKUP(Detalle_OC[[#This Row],[Centro]]&amp;Detalle_OC[[#This Row],[Nro Almacen]],Almacen!A:D,4,FALSE),"")</f>
        <v>Montelima</v>
      </c>
    </row>
    <row r="466" spans="1:11" x14ac:dyDescent="0.35">
      <c r="A466" s="7" t="str">
        <f>Detalle_OC[[#This Row],[Centro]]&amp;Detalle_OC[[#This Row],[Nom Almacen]]&amp;Detalle_OC[[#This Row],[Material]]&amp;Detalle_OC[[#This Row],[Pedido]]&amp;Detalle_OC[[#This Row],[Posicion]]</f>
        <v>Sucroalcolera del Chira PlantaParada fábrica807291451144726760</v>
      </c>
      <c r="B466" t="s">
        <v>108</v>
      </c>
      <c r="C466" t="s">
        <v>424</v>
      </c>
      <c r="D466" s="17">
        <v>44995</v>
      </c>
      <c r="E466" t="s">
        <v>26</v>
      </c>
      <c r="F466" t="s">
        <v>41</v>
      </c>
      <c r="G466">
        <v>807291</v>
      </c>
      <c r="H466">
        <v>4511447267</v>
      </c>
      <c r="I466">
        <v>60</v>
      </c>
      <c r="J466" s="7">
        <v>9</v>
      </c>
      <c r="K466" s="7" t="str">
        <f>IFERROR(VLOOKUP(Detalle_OC[[#This Row],[Centro]]&amp;Detalle_OC[[#This Row],[Nro Almacen]],Almacen!A:D,4,FALSE),"")</f>
        <v>Parada fábrica</v>
      </c>
    </row>
    <row r="467" spans="1:11" x14ac:dyDescent="0.35">
      <c r="A467" s="7" t="str">
        <f>Detalle_OC[[#This Row],[Centro]]&amp;Detalle_OC[[#This Row],[Nom Almacen]]&amp;Detalle_OC[[#This Row],[Material]]&amp;Detalle_OC[[#This Row],[Pedido]]&amp;Detalle_OC[[#This Row],[Posicion]]</f>
        <v>Sucroalcolera del Chira PlantaMontelima807801451145358110</v>
      </c>
      <c r="B467" t="s">
        <v>124</v>
      </c>
      <c r="C467" t="s">
        <v>417</v>
      </c>
      <c r="D467" s="17">
        <v>44995</v>
      </c>
      <c r="E467" t="s">
        <v>26</v>
      </c>
      <c r="F467" t="s">
        <v>41</v>
      </c>
      <c r="G467">
        <v>807801</v>
      </c>
      <c r="H467">
        <v>4511453581</v>
      </c>
      <c r="I467">
        <v>10</v>
      </c>
      <c r="J467" s="7">
        <v>1</v>
      </c>
      <c r="K467" s="7" t="str">
        <f>IFERROR(VLOOKUP(Detalle_OC[[#This Row],[Centro]]&amp;Detalle_OC[[#This Row],[Nro Almacen]],Almacen!A:D,4,FALSE),"")</f>
        <v>Montelima</v>
      </c>
    </row>
    <row r="468" spans="1:11" x14ac:dyDescent="0.35">
      <c r="A468" s="7" t="str">
        <f>Detalle_OC[[#This Row],[Centro]]&amp;Detalle_OC[[#This Row],[Nom Almacen]]&amp;Detalle_OC[[#This Row],[Material]]&amp;Detalle_OC[[#This Row],[Pedido]]&amp;Detalle_OC[[#This Row],[Posicion]]</f>
        <v>Agricola del Chira PlantaMontelima808835451144992920</v>
      </c>
      <c r="B468" t="s">
        <v>48</v>
      </c>
      <c r="C468" t="s">
        <v>409</v>
      </c>
      <c r="D468" s="17">
        <v>44995</v>
      </c>
      <c r="E468" t="s">
        <v>26</v>
      </c>
      <c r="F468" t="s">
        <v>27</v>
      </c>
      <c r="G468">
        <v>808835</v>
      </c>
      <c r="H468">
        <v>4511449929</v>
      </c>
      <c r="I468">
        <v>20</v>
      </c>
      <c r="J468" s="7">
        <v>1</v>
      </c>
      <c r="K468" s="7" t="str">
        <f>IFERROR(VLOOKUP(Detalle_OC[[#This Row],[Centro]]&amp;Detalle_OC[[#This Row],[Nro Almacen]],Almacen!A:D,4,FALSE),"")</f>
        <v>Montelima</v>
      </c>
    </row>
    <row r="469" spans="1:11" x14ac:dyDescent="0.35">
      <c r="A469" s="7" t="str">
        <f>Detalle_OC[[#This Row],[Centro]]&amp;Detalle_OC[[#This Row],[Nom Almacen]]&amp;Detalle_OC[[#This Row],[Material]]&amp;Detalle_OC[[#This Row],[Pedido]]&amp;Detalle_OC[[#This Row],[Posicion]]</f>
        <v>Bioenergía del Chira PlantaMontelima809718451145366110</v>
      </c>
      <c r="B469" t="s">
        <v>161</v>
      </c>
      <c r="C469" t="s">
        <v>418</v>
      </c>
      <c r="D469" s="17">
        <v>45000</v>
      </c>
      <c r="E469" t="s">
        <v>26</v>
      </c>
      <c r="F469" t="s">
        <v>57</v>
      </c>
      <c r="G469">
        <v>809718</v>
      </c>
      <c r="H469">
        <v>4511453661</v>
      </c>
      <c r="I469">
        <v>10</v>
      </c>
      <c r="J469" s="7">
        <v>1</v>
      </c>
      <c r="K469" s="7" t="str">
        <f>IFERROR(VLOOKUP(Detalle_OC[[#This Row],[Centro]]&amp;Detalle_OC[[#This Row],[Nro Almacen]],Almacen!A:D,4,FALSE),"")</f>
        <v>Montelima</v>
      </c>
    </row>
    <row r="470" spans="1:11" x14ac:dyDescent="0.35">
      <c r="A470" s="7" t="str">
        <f>Detalle_OC[[#This Row],[Centro]]&amp;Detalle_OC[[#This Row],[Nom Almacen]]&amp;Detalle_OC[[#This Row],[Material]]&amp;Detalle_OC[[#This Row],[Pedido]]&amp;Detalle_OC[[#This Row],[Posicion]]</f>
        <v>Agricola del Chira PlantaMontelima81048155000224351390</v>
      </c>
      <c r="B470" t="s">
        <v>38</v>
      </c>
      <c r="C470" t="s">
        <v>413</v>
      </c>
      <c r="D470" s="17">
        <v>44936</v>
      </c>
      <c r="E470" t="s">
        <v>26</v>
      </c>
      <c r="F470" t="s">
        <v>27</v>
      </c>
      <c r="G470">
        <v>810481</v>
      </c>
      <c r="H470">
        <v>5500022435</v>
      </c>
      <c r="I470">
        <v>1390</v>
      </c>
      <c r="J470" s="7">
        <v>1</v>
      </c>
      <c r="K470" s="7" t="str">
        <f>IFERROR(VLOOKUP(Detalle_OC[[#This Row],[Centro]]&amp;Detalle_OC[[#This Row],[Nro Almacen]],Almacen!A:D,4,FALSE),"")</f>
        <v>Montelima</v>
      </c>
    </row>
    <row r="471" spans="1:11" x14ac:dyDescent="0.35">
      <c r="A471" s="7" t="str">
        <f>Detalle_OC[[#This Row],[Centro]]&amp;Detalle_OC[[#This Row],[Nom Almacen]]&amp;Detalle_OC[[#This Row],[Material]]&amp;Detalle_OC[[#This Row],[Pedido]]&amp;Detalle_OC[[#This Row],[Posicion]]</f>
        <v>Agricola del Chira PlantaLa Huaca81048155000224351500</v>
      </c>
      <c r="B471" t="s">
        <v>38</v>
      </c>
      <c r="C471" t="s">
        <v>413</v>
      </c>
      <c r="D471" s="17">
        <v>44812</v>
      </c>
      <c r="E471" t="s">
        <v>26</v>
      </c>
      <c r="F471" t="s">
        <v>27</v>
      </c>
      <c r="G471">
        <v>810481</v>
      </c>
      <c r="H471">
        <v>5500022435</v>
      </c>
      <c r="I471">
        <v>1500</v>
      </c>
      <c r="J471" s="7">
        <v>2</v>
      </c>
      <c r="K471" s="7" t="str">
        <f>IFERROR(VLOOKUP(Detalle_OC[[#This Row],[Centro]]&amp;Detalle_OC[[#This Row],[Nro Almacen]],Almacen!A:D,4,FALSE),"")</f>
        <v>La Huaca</v>
      </c>
    </row>
    <row r="472" spans="1:11" x14ac:dyDescent="0.35">
      <c r="A472" s="7" t="str">
        <f>Detalle_OC[[#This Row],[Centro]]&amp;Detalle_OC[[#This Row],[Nom Almacen]]&amp;Detalle_OC[[#This Row],[Material]]&amp;Detalle_OC[[#This Row],[Pedido]]&amp;Detalle_OC[[#This Row],[Posicion]]</f>
        <v>Agricola del Chira PlantaSan Vicente81048155000224351660</v>
      </c>
      <c r="B472" t="s">
        <v>38</v>
      </c>
      <c r="C472" t="s">
        <v>413</v>
      </c>
      <c r="D472" s="17">
        <v>44680</v>
      </c>
      <c r="E472" t="s">
        <v>26</v>
      </c>
      <c r="F472" t="s">
        <v>27</v>
      </c>
      <c r="G472">
        <v>810481</v>
      </c>
      <c r="H472">
        <v>5500022435</v>
      </c>
      <c r="I472">
        <v>1660</v>
      </c>
      <c r="J472" s="7">
        <v>3</v>
      </c>
      <c r="K472" s="7" t="str">
        <f>IFERROR(VLOOKUP(Detalle_OC[[#This Row],[Centro]]&amp;Detalle_OC[[#This Row],[Nro Almacen]],Almacen!A:D,4,FALSE),"")</f>
        <v>San Vicente</v>
      </c>
    </row>
    <row r="473" spans="1:11" x14ac:dyDescent="0.35">
      <c r="A473" s="7" t="str">
        <f>Detalle_OC[[#This Row],[Centro]]&amp;Detalle_OC[[#This Row],[Nom Almacen]]&amp;Detalle_OC[[#This Row],[Material]]&amp;Detalle_OC[[#This Row],[Pedido]]&amp;Detalle_OC[[#This Row],[Posicion]]</f>
        <v>Agricola del Chira PlantaSan Vicente81048155000224351660</v>
      </c>
      <c r="B473" t="s">
        <v>38</v>
      </c>
      <c r="C473" t="s">
        <v>413</v>
      </c>
      <c r="D473" s="17">
        <v>44816</v>
      </c>
      <c r="E473" t="s">
        <v>26</v>
      </c>
      <c r="F473" t="s">
        <v>27</v>
      </c>
      <c r="G473">
        <v>810481</v>
      </c>
      <c r="H473">
        <v>5500022435</v>
      </c>
      <c r="I473">
        <v>1660</v>
      </c>
      <c r="J473" s="7">
        <v>3</v>
      </c>
      <c r="K473" s="7" t="str">
        <f>IFERROR(VLOOKUP(Detalle_OC[[#This Row],[Centro]]&amp;Detalle_OC[[#This Row],[Nro Almacen]],Almacen!A:D,4,FALSE),"")</f>
        <v>San Vicente</v>
      </c>
    </row>
    <row r="474" spans="1:11" x14ac:dyDescent="0.35">
      <c r="A474" s="7" t="str">
        <f>Detalle_OC[[#This Row],[Centro]]&amp;Detalle_OC[[#This Row],[Nom Almacen]]&amp;Detalle_OC[[#This Row],[Material]]&amp;Detalle_OC[[#This Row],[Pedido]]&amp;Detalle_OC[[#This Row],[Posicion]]</f>
        <v>Agricola del Chira PlantaSan Vicente81048155000224351660</v>
      </c>
      <c r="B474" t="s">
        <v>38</v>
      </c>
      <c r="C474" t="s">
        <v>413</v>
      </c>
      <c r="D474" s="17">
        <v>44910</v>
      </c>
      <c r="E474" t="s">
        <v>26</v>
      </c>
      <c r="F474" t="s">
        <v>27</v>
      </c>
      <c r="G474">
        <v>810481</v>
      </c>
      <c r="H474">
        <v>5500022435</v>
      </c>
      <c r="I474">
        <v>1660</v>
      </c>
      <c r="J474" s="7">
        <v>3</v>
      </c>
      <c r="K474" s="7" t="str">
        <f>IFERROR(VLOOKUP(Detalle_OC[[#This Row],[Centro]]&amp;Detalle_OC[[#This Row],[Nro Almacen]],Almacen!A:D,4,FALSE),"")</f>
        <v>San Vicente</v>
      </c>
    </row>
    <row r="475" spans="1:11" x14ac:dyDescent="0.35">
      <c r="A475" s="7" t="str">
        <f>Detalle_OC[[#This Row],[Centro]]&amp;Detalle_OC[[#This Row],[Nom Almacen]]&amp;Detalle_OC[[#This Row],[Material]]&amp;Detalle_OC[[#This Row],[Pedido]]&amp;Detalle_OC[[#This Row],[Posicion]]</f>
        <v>Sucroalcolera del Chira PlantaMontelima810906451143152640</v>
      </c>
      <c r="B475" t="s">
        <v>43</v>
      </c>
      <c r="C475" t="s">
        <v>426</v>
      </c>
      <c r="D475" s="17">
        <v>44981</v>
      </c>
      <c r="E475" t="s">
        <v>26</v>
      </c>
      <c r="F475" t="s">
        <v>41</v>
      </c>
      <c r="G475">
        <v>810906</v>
      </c>
      <c r="H475">
        <v>4511431526</v>
      </c>
      <c r="I475">
        <v>40</v>
      </c>
      <c r="J475" s="7">
        <v>1</v>
      </c>
      <c r="K475" s="7" t="str">
        <f>IFERROR(VLOOKUP(Detalle_OC[[#This Row],[Centro]]&amp;Detalle_OC[[#This Row],[Nro Almacen]],Almacen!A:D,4,FALSE),"")</f>
        <v>Montelima</v>
      </c>
    </row>
    <row r="476" spans="1:11" x14ac:dyDescent="0.35">
      <c r="A476" s="7" t="str">
        <f>Detalle_OC[[#This Row],[Centro]]&amp;Detalle_OC[[#This Row],[Nom Almacen]]&amp;Detalle_OC[[#This Row],[Material]]&amp;Detalle_OC[[#This Row],[Pedido]]&amp;Detalle_OC[[#This Row],[Posicion]]</f>
        <v>Sucroalcolera del Chira PlantaMontelima811119451143152630</v>
      </c>
      <c r="B476" t="s">
        <v>43</v>
      </c>
      <c r="C476" t="s">
        <v>426</v>
      </c>
      <c r="D476" s="17">
        <v>44981</v>
      </c>
      <c r="E476" t="s">
        <v>26</v>
      </c>
      <c r="F476" t="s">
        <v>41</v>
      </c>
      <c r="G476">
        <v>811119</v>
      </c>
      <c r="H476">
        <v>4511431526</v>
      </c>
      <c r="I476">
        <v>30</v>
      </c>
      <c r="J476" s="7">
        <v>1</v>
      </c>
      <c r="K476" s="7" t="str">
        <f>IFERROR(VLOOKUP(Detalle_OC[[#This Row],[Centro]]&amp;Detalle_OC[[#This Row],[Nro Almacen]],Almacen!A:D,4,FALSE),"")</f>
        <v>Montelima</v>
      </c>
    </row>
    <row r="477" spans="1:11" x14ac:dyDescent="0.35">
      <c r="A477" s="7" t="str">
        <f>Detalle_OC[[#This Row],[Centro]]&amp;Detalle_OC[[#This Row],[Nom Almacen]]&amp;Detalle_OC[[#This Row],[Material]]&amp;Detalle_OC[[#This Row],[Pedido]]&amp;Detalle_OC[[#This Row],[Posicion]]</f>
        <v>Sucroalcolera del Chira PlantaMontelima811217451144585640</v>
      </c>
      <c r="B477" t="s">
        <v>108</v>
      </c>
      <c r="C477" t="s">
        <v>418</v>
      </c>
      <c r="D477" s="17">
        <v>44995</v>
      </c>
      <c r="E477" t="s">
        <v>26</v>
      </c>
      <c r="F477" t="s">
        <v>41</v>
      </c>
      <c r="G477">
        <v>811217</v>
      </c>
      <c r="H477">
        <v>4511445856</v>
      </c>
      <c r="I477">
        <v>40</v>
      </c>
      <c r="J477" s="7">
        <v>1</v>
      </c>
      <c r="K477" s="7" t="str">
        <f>IFERROR(VLOOKUP(Detalle_OC[[#This Row],[Centro]]&amp;Detalle_OC[[#This Row],[Nro Almacen]],Almacen!A:D,4,FALSE),"")</f>
        <v>Montelima</v>
      </c>
    </row>
    <row r="478" spans="1:11" x14ac:dyDescent="0.35">
      <c r="A478" s="7" t="str">
        <f>Detalle_OC[[#This Row],[Centro]]&amp;Detalle_OC[[#This Row],[Nom Almacen]]&amp;Detalle_OC[[#This Row],[Material]]&amp;Detalle_OC[[#This Row],[Pedido]]&amp;Detalle_OC[[#This Row],[Posicion]]</f>
        <v>Sucroalcolera del Chira PlantaMontelima811217451144891160</v>
      </c>
      <c r="B478" t="s">
        <v>122</v>
      </c>
      <c r="C478" t="s">
        <v>418</v>
      </c>
      <c r="D478" s="17">
        <v>44981</v>
      </c>
      <c r="E478" t="s">
        <v>26</v>
      </c>
      <c r="F478" t="s">
        <v>41</v>
      </c>
      <c r="G478">
        <v>811217</v>
      </c>
      <c r="H478">
        <v>4511448911</v>
      </c>
      <c r="I478">
        <v>60</v>
      </c>
      <c r="J478" s="7">
        <v>1</v>
      </c>
      <c r="K478" s="7" t="str">
        <f>IFERROR(VLOOKUP(Detalle_OC[[#This Row],[Centro]]&amp;Detalle_OC[[#This Row],[Nro Almacen]],Almacen!A:D,4,FALSE),"")</f>
        <v>Montelima</v>
      </c>
    </row>
    <row r="479" spans="1:11" x14ac:dyDescent="0.35">
      <c r="A479" s="7" t="str">
        <f>Detalle_OC[[#This Row],[Centro]]&amp;Detalle_OC[[#This Row],[Nom Almacen]]&amp;Detalle_OC[[#This Row],[Material]]&amp;Detalle_OC[[#This Row],[Pedido]]&amp;Detalle_OC[[#This Row],[Posicion]]</f>
        <v>Agricola del Chira PlantaLa Huaca8118755500023645240</v>
      </c>
      <c r="B479" t="s">
        <v>38</v>
      </c>
      <c r="C479" t="s">
        <v>427</v>
      </c>
      <c r="D479" s="17">
        <v>44426</v>
      </c>
      <c r="E479" t="s">
        <v>26</v>
      </c>
      <c r="F479" t="s">
        <v>27</v>
      </c>
      <c r="G479">
        <v>811875</v>
      </c>
      <c r="H479">
        <v>5500023645</v>
      </c>
      <c r="I479">
        <v>240</v>
      </c>
      <c r="J479" s="7">
        <v>2</v>
      </c>
      <c r="K479" s="7" t="str">
        <f>IFERROR(VLOOKUP(Detalle_OC[[#This Row],[Centro]]&amp;Detalle_OC[[#This Row],[Nro Almacen]],Almacen!A:D,4,FALSE),"")</f>
        <v>La Huaca</v>
      </c>
    </row>
    <row r="480" spans="1:11" x14ac:dyDescent="0.35">
      <c r="A480" s="7" t="str">
        <f>Detalle_OC[[#This Row],[Centro]]&amp;Detalle_OC[[#This Row],[Nom Almacen]]&amp;Detalle_OC[[#This Row],[Material]]&amp;Detalle_OC[[#This Row],[Pedido]]&amp;Detalle_OC[[#This Row],[Posicion]]</f>
        <v>Agricola del Chira PlantaLa Huaca8118755500023645240</v>
      </c>
      <c r="B480" t="s">
        <v>38</v>
      </c>
      <c r="C480" t="s">
        <v>427</v>
      </c>
      <c r="D480" s="17">
        <v>44482</v>
      </c>
      <c r="E480" t="s">
        <v>26</v>
      </c>
      <c r="F480" t="s">
        <v>27</v>
      </c>
      <c r="G480">
        <v>811875</v>
      </c>
      <c r="H480">
        <v>5500023645</v>
      </c>
      <c r="I480">
        <v>240</v>
      </c>
      <c r="J480" s="7">
        <v>2</v>
      </c>
      <c r="K480" s="7" t="str">
        <f>IFERROR(VLOOKUP(Detalle_OC[[#This Row],[Centro]]&amp;Detalle_OC[[#This Row],[Nro Almacen]],Almacen!A:D,4,FALSE),"")</f>
        <v>La Huaca</v>
      </c>
    </row>
    <row r="481" spans="1:11" x14ac:dyDescent="0.35">
      <c r="A481" s="7" t="str">
        <f>Detalle_OC[[#This Row],[Centro]]&amp;Detalle_OC[[#This Row],[Nom Almacen]]&amp;Detalle_OC[[#This Row],[Material]]&amp;Detalle_OC[[#This Row],[Pedido]]&amp;Detalle_OC[[#This Row],[Posicion]]</f>
        <v>Agricola del Chira PlantaLa Huaca8118755500023645240</v>
      </c>
      <c r="B481" t="s">
        <v>38</v>
      </c>
      <c r="C481" t="s">
        <v>427</v>
      </c>
      <c r="D481" s="17">
        <v>44721</v>
      </c>
      <c r="E481" t="s">
        <v>26</v>
      </c>
      <c r="F481" t="s">
        <v>27</v>
      </c>
      <c r="G481">
        <v>811875</v>
      </c>
      <c r="H481">
        <v>5500023645</v>
      </c>
      <c r="I481">
        <v>240</v>
      </c>
      <c r="J481" s="7">
        <v>2</v>
      </c>
      <c r="K481" s="7" t="str">
        <f>IFERROR(VLOOKUP(Detalle_OC[[#This Row],[Centro]]&amp;Detalle_OC[[#This Row],[Nro Almacen]],Almacen!A:D,4,FALSE),"")</f>
        <v>La Huaca</v>
      </c>
    </row>
    <row r="482" spans="1:11" x14ac:dyDescent="0.35">
      <c r="A482" s="7" t="str">
        <f>Detalle_OC[[#This Row],[Centro]]&amp;Detalle_OC[[#This Row],[Nom Almacen]]&amp;Detalle_OC[[#This Row],[Material]]&amp;Detalle_OC[[#This Row],[Pedido]]&amp;Detalle_OC[[#This Row],[Posicion]]</f>
        <v>Agricola del Chira PlantaLa Huaca8118755500023645240</v>
      </c>
      <c r="B482" t="s">
        <v>38</v>
      </c>
      <c r="C482" t="s">
        <v>427</v>
      </c>
      <c r="D482" s="17">
        <v>44863</v>
      </c>
      <c r="E482" t="s">
        <v>26</v>
      </c>
      <c r="F482" t="s">
        <v>27</v>
      </c>
      <c r="G482">
        <v>811875</v>
      </c>
      <c r="H482">
        <v>5500023645</v>
      </c>
      <c r="I482">
        <v>240</v>
      </c>
      <c r="J482" s="7">
        <v>2</v>
      </c>
      <c r="K482" s="7" t="str">
        <f>IFERROR(VLOOKUP(Detalle_OC[[#This Row],[Centro]]&amp;Detalle_OC[[#This Row],[Nro Almacen]],Almacen!A:D,4,FALSE),"")</f>
        <v>La Huaca</v>
      </c>
    </row>
    <row r="483" spans="1:11" x14ac:dyDescent="0.35">
      <c r="A483" s="7" t="str">
        <f>Detalle_OC[[#This Row],[Centro]]&amp;Detalle_OC[[#This Row],[Nom Almacen]]&amp;Detalle_OC[[#This Row],[Material]]&amp;Detalle_OC[[#This Row],[Pedido]]&amp;Detalle_OC[[#This Row],[Posicion]]</f>
        <v>Agricola del Chira PlantaLa Huaca8118755500023645240</v>
      </c>
      <c r="B483" t="s">
        <v>38</v>
      </c>
      <c r="C483" t="s">
        <v>427</v>
      </c>
      <c r="D483" s="17">
        <v>44949</v>
      </c>
      <c r="E483" t="s">
        <v>26</v>
      </c>
      <c r="F483" t="s">
        <v>27</v>
      </c>
      <c r="G483">
        <v>811875</v>
      </c>
      <c r="H483">
        <v>5500023645</v>
      </c>
      <c r="I483">
        <v>240</v>
      </c>
      <c r="J483" s="7">
        <v>2</v>
      </c>
      <c r="K483" s="7" t="str">
        <f>IFERROR(VLOOKUP(Detalle_OC[[#This Row],[Centro]]&amp;Detalle_OC[[#This Row],[Nro Almacen]],Almacen!A:D,4,FALSE),"")</f>
        <v>La Huaca</v>
      </c>
    </row>
    <row r="484" spans="1:11" x14ac:dyDescent="0.35">
      <c r="A484" s="7" t="str">
        <f>Detalle_OC[[#This Row],[Centro]]&amp;Detalle_OC[[#This Row],[Nom Almacen]]&amp;Detalle_OC[[#This Row],[Material]]&amp;Detalle_OC[[#This Row],[Pedido]]&amp;Detalle_OC[[#This Row],[Posicion]]</f>
        <v>Agricola del Chira PlantaLa Huaca8118755500023645240</v>
      </c>
      <c r="B484" t="s">
        <v>38</v>
      </c>
      <c r="C484" t="s">
        <v>427</v>
      </c>
      <c r="D484" s="17">
        <v>45008</v>
      </c>
      <c r="E484" t="s">
        <v>26</v>
      </c>
      <c r="F484" t="s">
        <v>27</v>
      </c>
      <c r="G484">
        <v>811875</v>
      </c>
      <c r="H484">
        <v>5500023645</v>
      </c>
      <c r="I484">
        <v>240</v>
      </c>
      <c r="J484" s="7">
        <v>2</v>
      </c>
      <c r="K484" s="7" t="str">
        <f>IFERROR(VLOOKUP(Detalle_OC[[#This Row],[Centro]]&amp;Detalle_OC[[#This Row],[Nro Almacen]],Almacen!A:D,4,FALSE),"")</f>
        <v>La Huaca</v>
      </c>
    </row>
    <row r="485" spans="1:11" x14ac:dyDescent="0.35">
      <c r="A485" s="7" t="str">
        <f>Detalle_OC[[#This Row],[Centro]]&amp;Detalle_OC[[#This Row],[Nom Almacen]]&amp;Detalle_OC[[#This Row],[Material]]&amp;Detalle_OC[[#This Row],[Pedido]]&amp;Detalle_OC[[#This Row],[Posicion]]</f>
        <v>Sucroalcolera del Chira PlantaMontelima812300451144891150</v>
      </c>
      <c r="B485" t="s">
        <v>122</v>
      </c>
      <c r="C485" t="s">
        <v>418</v>
      </c>
      <c r="D485" s="17">
        <v>44981</v>
      </c>
      <c r="E485" t="s">
        <v>26</v>
      </c>
      <c r="F485" t="s">
        <v>41</v>
      </c>
      <c r="G485">
        <v>812300</v>
      </c>
      <c r="H485">
        <v>4511448911</v>
      </c>
      <c r="I485">
        <v>50</v>
      </c>
      <c r="J485" s="7">
        <v>1</v>
      </c>
      <c r="K485" s="7" t="str">
        <f>IFERROR(VLOOKUP(Detalle_OC[[#This Row],[Centro]]&amp;Detalle_OC[[#This Row],[Nro Almacen]],Almacen!A:D,4,FALSE),"")</f>
        <v>Montelima</v>
      </c>
    </row>
    <row r="486" spans="1:11" x14ac:dyDescent="0.35">
      <c r="A486" s="7" t="str">
        <f>Detalle_OC[[#This Row],[Centro]]&amp;Detalle_OC[[#This Row],[Nom Almacen]]&amp;Detalle_OC[[#This Row],[Material]]&amp;Detalle_OC[[#This Row],[Pedido]]&amp;Detalle_OC[[#This Row],[Posicion]]</f>
        <v>Bioenergía del Chira PlantaMontelima814041451145406230</v>
      </c>
      <c r="B486" t="s">
        <v>161</v>
      </c>
      <c r="C486" t="s">
        <v>428</v>
      </c>
      <c r="D486" s="17">
        <v>45000</v>
      </c>
      <c r="E486" t="s">
        <v>26</v>
      </c>
      <c r="F486" t="s">
        <v>57</v>
      </c>
      <c r="G486">
        <v>814041</v>
      </c>
      <c r="H486">
        <v>4511454062</v>
      </c>
      <c r="I486">
        <v>30</v>
      </c>
      <c r="J486" s="7">
        <v>1</v>
      </c>
      <c r="K486" s="7" t="str">
        <f>IFERROR(VLOOKUP(Detalle_OC[[#This Row],[Centro]]&amp;Detalle_OC[[#This Row],[Nro Almacen]],Almacen!A:D,4,FALSE),"")</f>
        <v>Montelima</v>
      </c>
    </row>
    <row r="487" spans="1:11" x14ac:dyDescent="0.35">
      <c r="A487" s="7" t="str">
        <f>Detalle_OC[[#This Row],[Centro]]&amp;Detalle_OC[[#This Row],[Nom Almacen]]&amp;Detalle_OC[[#This Row],[Material]]&amp;Detalle_OC[[#This Row],[Pedido]]&amp;Detalle_OC[[#This Row],[Posicion]]</f>
        <v>Bioenergía del Chira PlantaMontelima814041451145406240</v>
      </c>
      <c r="B487" t="s">
        <v>161</v>
      </c>
      <c r="C487" t="s">
        <v>428</v>
      </c>
      <c r="D487" s="17">
        <v>45000</v>
      </c>
      <c r="E487" t="s">
        <v>26</v>
      </c>
      <c r="F487" t="s">
        <v>57</v>
      </c>
      <c r="G487">
        <v>814041</v>
      </c>
      <c r="H487">
        <v>4511454062</v>
      </c>
      <c r="I487">
        <v>40</v>
      </c>
      <c r="J487" s="7">
        <v>1</v>
      </c>
      <c r="K487" s="7" t="str">
        <f>IFERROR(VLOOKUP(Detalle_OC[[#This Row],[Centro]]&amp;Detalle_OC[[#This Row],[Nro Almacen]],Almacen!A:D,4,FALSE),"")</f>
        <v>Montelima</v>
      </c>
    </row>
    <row r="488" spans="1:11" x14ac:dyDescent="0.35">
      <c r="A488" s="7" t="str">
        <f>Detalle_OC[[#This Row],[Centro]]&amp;Detalle_OC[[#This Row],[Nom Almacen]]&amp;Detalle_OC[[#This Row],[Material]]&amp;Detalle_OC[[#This Row],[Pedido]]&amp;Detalle_OC[[#This Row],[Posicion]]</f>
        <v>Bioenergía del Chira PlantaMontelima814788451145309440</v>
      </c>
      <c r="B488" t="s">
        <v>124</v>
      </c>
      <c r="C488" t="s">
        <v>411</v>
      </c>
      <c r="D488" s="17">
        <v>45002</v>
      </c>
      <c r="E488" t="s">
        <v>26</v>
      </c>
      <c r="F488" t="s">
        <v>57</v>
      </c>
      <c r="G488">
        <v>814788</v>
      </c>
      <c r="H488">
        <v>4511453094</v>
      </c>
      <c r="I488">
        <v>40</v>
      </c>
      <c r="J488" s="7">
        <v>1</v>
      </c>
      <c r="K488" s="7" t="str">
        <f>IFERROR(VLOOKUP(Detalle_OC[[#This Row],[Centro]]&amp;Detalle_OC[[#This Row],[Nro Almacen]],Almacen!A:D,4,FALSE),"")</f>
        <v>Montelima</v>
      </c>
    </row>
    <row r="489" spans="1:11" x14ac:dyDescent="0.35">
      <c r="A489" s="7" t="str">
        <f>Detalle_OC[[#This Row],[Centro]]&amp;Detalle_OC[[#This Row],[Nom Almacen]]&amp;Detalle_OC[[#This Row],[Material]]&amp;Detalle_OC[[#This Row],[Pedido]]&amp;Detalle_OC[[#This Row],[Posicion]]</f>
        <v>Bioenergía del Chira PlantaMontelima814917451145406210</v>
      </c>
      <c r="B489" t="s">
        <v>161</v>
      </c>
      <c r="C489" t="s">
        <v>428</v>
      </c>
      <c r="D489" s="17">
        <v>45000</v>
      </c>
      <c r="E489" t="s">
        <v>26</v>
      </c>
      <c r="F489" t="s">
        <v>57</v>
      </c>
      <c r="G489">
        <v>814917</v>
      </c>
      <c r="H489">
        <v>4511454062</v>
      </c>
      <c r="I489">
        <v>10</v>
      </c>
      <c r="J489" s="7">
        <v>1</v>
      </c>
      <c r="K489" s="7" t="str">
        <f>IFERROR(VLOOKUP(Detalle_OC[[#This Row],[Centro]]&amp;Detalle_OC[[#This Row],[Nro Almacen]],Almacen!A:D,4,FALSE),"")</f>
        <v>Montelima</v>
      </c>
    </row>
    <row r="490" spans="1:11" x14ac:dyDescent="0.35">
      <c r="A490" s="7" t="str">
        <f>Detalle_OC[[#This Row],[Centro]]&amp;Detalle_OC[[#This Row],[Nom Almacen]]&amp;Detalle_OC[[#This Row],[Material]]&amp;Detalle_OC[[#This Row],[Pedido]]&amp;Detalle_OC[[#This Row],[Posicion]]</f>
        <v>Bioenergía del Chira PlantaMontelima814917451145406220</v>
      </c>
      <c r="B490" t="s">
        <v>161</v>
      </c>
      <c r="C490" t="s">
        <v>428</v>
      </c>
      <c r="D490" s="17">
        <v>45000</v>
      </c>
      <c r="E490" t="s">
        <v>26</v>
      </c>
      <c r="F490" t="s">
        <v>57</v>
      </c>
      <c r="G490">
        <v>814917</v>
      </c>
      <c r="H490">
        <v>4511454062</v>
      </c>
      <c r="I490">
        <v>20</v>
      </c>
      <c r="J490" s="7">
        <v>1</v>
      </c>
      <c r="K490" s="7" t="str">
        <f>IFERROR(VLOOKUP(Detalle_OC[[#This Row],[Centro]]&amp;Detalle_OC[[#This Row],[Nro Almacen]],Almacen!A:D,4,FALSE),"")</f>
        <v>Montelima</v>
      </c>
    </row>
    <row r="491" spans="1:11" x14ac:dyDescent="0.35">
      <c r="A491" s="7" t="str">
        <f>Detalle_OC[[#This Row],[Centro]]&amp;Detalle_OC[[#This Row],[Nom Almacen]]&amp;Detalle_OC[[#This Row],[Material]]&amp;Detalle_OC[[#This Row],[Pedido]]&amp;Detalle_OC[[#This Row],[Posicion]]</f>
        <v>Agricola del Chira PlantaMontelima816884451144704530</v>
      </c>
      <c r="B491" t="s">
        <v>47</v>
      </c>
      <c r="C491" t="s">
        <v>418</v>
      </c>
      <c r="D491" s="17">
        <v>44982</v>
      </c>
      <c r="E491" t="s">
        <v>26</v>
      </c>
      <c r="F491" t="s">
        <v>27</v>
      </c>
      <c r="G491">
        <v>816884</v>
      </c>
      <c r="H491">
        <v>4511447045</v>
      </c>
      <c r="I491">
        <v>30</v>
      </c>
      <c r="J491" s="7">
        <v>1</v>
      </c>
      <c r="K491" s="7" t="str">
        <f>IFERROR(VLOOKUP(Detalle_OC[[#This Row],[Centro]]&amp;Detalle_OC[[#This Row],[Nro Almacen]],Almacen!A:D,4,FALSE),"")</f>
        <v>Montelima</v>
      </c>
    </row>
    <row r="492" spans="1:11" x14ac:dyDescent="0.35">
      <c r="A492" s="7" t="str">
        <f>Detalle_OC[[#This Row],[Centro]]&amp;Detalle_OC[[#This Row],[Nom Almacen]]&amp;Detalle_OC[[#This Row],[Material]]&amp;Detalle_OC[[#This Row],[Pedido]]&amp;Detalle_OC[[#This Row],[Posicion]]</f>
        <v>Sucroalcolera del Chira PlantaMontelima821158451145581320</v>
      </c>
      <c r="B492" t="s">
        <v>43</v>
      </c>
      <c r="C492" t="s">
        <v>417</v>
      </c>
      <c r="D492" s="17">
        <v>45000</v>
      </c>
      <c r="E492" t="s">
        <v>26</v>
      </c>
      <c r="F492" t="s">
        <v>41</v>
      </c>
      <c r="G492">
        <v>821158</v>
      </c>
      <c r="H492">
        <v>4511455813</v>
      </c>
      <c r="I492">
        <v>20</v>
      </c>
      <c r="J492" s="7">
        <v>1</v>
      </c>
      <c r="K492" s="7" t="str">
        <f>IFERROR(VLOOKUP(Detalle_OC[[#This Row],[Centro]]&amp;Detalle_OC[[#This Row],[Nro Almacen]],Almacen!A:D,4,FALSE),"")</f>
        <v>Montelima</v>
      </c>
    </row>
    <row r="493" spans="1:11" x14ac:dyDescent="0.35">
      <c r="A493" s="7" t="str">
        <f>Detalle_OC[[#This Row],[Centro]]&amp;Detalle_OC[[#This Row],[Nom Almacen]]&amp;Detalle_OC[[#This Row],[Material]]&amp;Detalle_OC[[#This Row],[Pedido]]&amp;Detalle_OC[[#This Row],[Posicion]]</f>
        <v>Agricola del Chira PlantaMontelima821619451145370010</v>
      </c>
      <c r="B493" t="s">
        <v>47</v>
      </c>
      <c r="C493" t="s">
        <v>429</v>
      </c>
      <c r="D493" s="17">
        <v>44995</v>
      </c>
      <c r="E493" t="s">
        <v>26</v>
      </c>
      <c r="F493" t="s">
        <v>27</v>
      </c>
      <c r="G493">
        <v>821619</v>
      </c>
      <c r="H493">
        <v>4511453700</v>
      </c>
      <c r="I493">
        <v>10</v>
      </c>
      <c r="J493" s="7">
        <v>1</v>
      </c>
      <c r="K493" s="7" t="str">
        <f>IFERROR(VLOOKUP(Detalle_OC[[#This Row],[Centro]]&amp;Detalle_OC[[#This Row],[Nro Almacen]],Almacen!A:D,4,FALSE),"")</f>
        <v>Montelima</v>
      </c>
    </row>
    <row r="494" spans="1:11" x14ac:dyDescent="0.35">
      <c r="A494" s="7" t="str">
        <f>Detalle_OC[[#This Row],[Centro]]&amp;Detalle_OC[[#This Row],[Nom Almacen]]&amp;Detalle_OC[[#This Row],[Material]]&amp;Detalle_OC[[#This Row],[Pedido]]&amp;Detalle_OC[[#This Row],[Posicion]]</f>
        <v>Sucroalcolera del Chira PlantaMontelima823148451145261310</v>
      </c>
      <c r="B494" t="s">
        <v>108</v>
      </c>
      <c r="C494" t="s">
        <v>430</v>
      </c>
      <c r="D494" s="17">
        <v>44995</v>
      </c>
      <c r="E494" t="s">
        <v>26</v>
      </c>
      <c r="F494" t="s">
        <v>41</v>
      </c>
      <c r="G494">
        <v>823148</v>
      </c>
      <c r="H494">
        <v>4511452613</v>
      </c>
      <c r="I494">
        <v>10</v>
      </c>
      <c r="J494" s="7">
        <v>1</v>
      </c>
      <c r="K494" s="7" t="str">
        <f>IFERROR(VLOOKUP(Detalle_OC[[#This Row],[Centro]]&amp;Detalle_OC[[#This Row],[Nro Almacen]],Almacen!A:D,4,FALSE),"")</f>
        <v>Montelima</v>
      </c>
    </row>
    <row r="495" spans="1:11" x14ac:dyDescent="0.35">
      <c r="A495" s="7" t="str">
        <f>Detalle_OC[[#This Row],[Centro]]&amp;Detalle_OC[[#This Row],[Nom Almacen]]&amp;Detalle_OC[[#This Row],[Material]]&amp;Detalle_OC[[#This Row],[Pedido]]&amp;Detalle_OC[[#This Row],[Posicion]]</f>
        <v>Sucroalcolera del Chira PlantaMontelima823148451145261320</v>
      </c>
      <c r="B495" t="s">
        <v>122</v>
      </c>
      <c r="C495" t="s">
        <v>430</v>
      </c>
      <c r="D495" s="17">
        <v>44995</v>
      </c>
      <c r="E495" t="s">
        <v>26</v>
      </c>
      <c r="F495" t="s">
        <v>41</v>
      </c>
      <c r="G495">
        <v>823148</v>
      </c>
      <c r="H495">
        <v>4511452613</v>
      </c>
      <c r="I495">
        <v>20</v>
      </c>
      <c r="J495" s="7">
        <v>1</v>
      </c>
      <c r="K495" s="7" t="str">
        <f>IFERROR(VLOOKUP(Detalle_OC[[#This Row],[Centro]]&amp;Detalle_OC[[#This Row],[Nro Almacen]],Almacen!A:D,4,FALSE),"")</f>
        <v>Montelima</v>
      </c>
    </row>
    <row r="496" spans="1:11" x14ac:dyDescent="0.35">
      <c r="A496" s="7" t="str">
        <f>Detalle_OC[[#This Row],[Centro]]&amp;Detalle_OC[[#This Row],[Nom Almacen]]&amp;Detalle_OC[[#This Row],[Material]]&amp;Detalle_OC[[#This Row],[Pedido]]&amp;Detalle_OC[[#This Row],[Posicion]]</f>
        <v>Agricola del Chira PlantaMontelima824529451145057810</v>
      </c>
      <c r="B496" t="s">
        <v>48</v>
      </c>
      <c r="C496" t="s">
        <v>431</v>
      </c>
      <c r="D496" s="17">
        <v>44988</v>
      </c>
      <c r="E496" t="s">
        <v>26</v>
      </c>
      <c r="F496" t="s">
        <v>27</v>
      </c>
      <c r="G496">
        <v>824529</v>
      </c>
      <c r="H496">
        <v>4511450578</v>
      </c>
      <c r="I496">
        <v>10</v>
      </c>
      <c r="J496" s="7">
        <v>1</v>
      </c>
      <c r="K496" s="7" t="str">
        <f>IFERROR(VLOOKUP(Detalle_OC[[#This Row],[Centro]]&amp;Detalle_OC[[#This Row],[Nro Almacen]],Almacen!A:D,4,FALSE),"")</f>
        <v>Montelima</v>
      </c>
    </row>
    <row r="497" spans="1:11" x14ac:dyDescent="0.35">
      <c r="A497" s="7" t="str">
        <f>Detalle_OC[[#This Row],[Centro]]&amp;Detalle_OC[[#This Row],[Nom Almacen]]&amp;Detalle_OC[[#This Row],[Material]]&amp;Detalle_OC[[#This Row],[Pedido]]&amp;Detalle_OC[[#This Row],[Posicion]]</f>
        <v>Sucroalcolera del Chira PlantaMontelima824835451145098040</v>
      </c>
      <c r="B497" t="s">
        <v>158</v>
      </c>
      <c r="C497" t="s">
        <v>410</v>
      </c>
      <c r="D497" s="17">
        <v>44995</v>
      </c>
      <c r="E497" t="s">
        <v>26</v>
      </c>
      <c r="F497" t="s">
        <v>41</v>
      </c>
      <c r="G497">
        <v>824835</v>
      </c>
      <c r="H497">
        <v>4511450980</v>
      </c>
      <c r="I497">
        <v>40</v>
      </c>
      <c r="J497" s="7">
        <v>1</v>
      </c>
      <c r="K497" s="7" t="str">
        <f>IFERROR(VLOOKUP(Detalle_OC[[#This Row],[Centro]]&amp;Detalle_OC[[#This Row],[Nro Almacen]],Almacen!A:D,4,FALSE),"")</f>
        <v>Montelima</v>
      </c>
    </row>
    <row r="498" spans="1:11" x14ac:dyDescent="0.35">
      <c r="A498" s="7" t="str">
        <f>Detalle_OC[[#This Row],[Centro]]&amp;Detalle_OC[[#This Row],[Nom Almacen]]&amp;Detalle_OC[[#This Row],[Material]]&amp;Detalle_OC[[#This Row],[Pedido]]&amp;Detalle_OC[[#This Row],[Posicion]]</f>
        <v>Bioenergía del Chira PlantaMontelima828243451145309420</v>
      </c>
      <c r="B498" t="s">
        <v>124</v>
      </c>
      <c r="C498" t="s">
        <v>411</v>
      </c>
      <c r="D498" s="17">
        <v>45002</v>
      </c>
      <c r="E498" t="s">
        <v>26</v>
      </c>
      <c r="F498" t="s">
        <v>57</v>
      </c>
      <c r="G498">
        <v>828243</v>
      </c>
      <c r="H498">
        <v>4511453094</v>
      </c>
      <c r="I498">
        <v>20</v>
      </c>
      <c r="J498" s="7">
        <v>1</v>
      </c>
      <c r="K498" s="7" t="str">
        <f>IFERROR(VLOOKUP(Detalle_OC[[#This Row],[Centro]]&amp;Detalle_OC[[#This Row],[Nro Almacen]],Almacen!A:D,4,FALSE),"")</f>
        <v>Montelima</v>
      </c>
    </row>
    <row r="499" spans="1:11" x14ac:dyDescent="0.35">
      <c r="A499" s="7" t="str">
        <f>Detalle_OC[[#This Row],[Centro]]&amp;Detalle_OC[[#This Row],[Nom Almacen]]&amp;Detalle_OC[[#This Row],[Material]]&amp;Detalle_OC[[#This Row],[Pedido]]&amp;Detalle_OC[[#This Row],[Posicion]]</f>
        <v>Sucroalcolera del Chira PlantaMontelima828243451145309720</v>
      </c>
      <c r="B499" t="s">
        <v>158</v>
      </c>
      <c r="C499" t="s">
        <v>411</v>
      </c>
      <c r="D499" s="17">
        <v>45002</v>
      </c>
      <c r="E499" t="s">
        <v>26</v>
      </c>
      <c r="F499" t="s">
        <v>41</v>
      </c>
      <c r="G499">
        <v>828243</v>
      </c>
      <c r="H499">
        <v>4511453097</v>
      </c>
      <c r="I499">
        <v>20</v>
      </c>
      <c r="J499" s="7">
        <v>1</v>
      </c>
      <c r="K499" s="7" t="str">
        <f>IFERROR(VLOOKUP(Detalle_OC[[#This Row],[Centro]]&amp;Detalle_OC[[#This Row],[Nro Almacen]],Almacen!A:D,4,FALSE),"")</f>
        <v>Montelima</v>
      </c>
    </row>
    <row r="500" spans="1:11" x14ac:dyDescent="0.35">
      <c r="A500" s="7" t="str">
        <f>Detalle_OC[[#This Row],[Centro]]&amp;Detalle_OC[[#This Row],[Nom Almacen]]&amp;Detalle_OC[[#This Row],[Material]]&amp;Detalle_OC[[#This Row],[Pedido]]&amp;Detalle_OC[[#This Row],[Posicion]]</f>
        <v>Sucroalcolera del Chira PlantaMontelima829084451145419410</v>
      </c>
      <c r="B500" t="s">
        <v>139</v>
      </c>
      <c r="C500" t="s">
        <v>432</v>
      </c>
      <c r="D500" s="17">
        <v>45016</v>
      </c>
      <c r="E500" t="s">
        <v>26</v>
      </c>
      <c r="F500" t="s">
        <v>41</v>
      </c>
      <c r="G500">
        <v>829084</v>
      </c>
      <c r="H500">
        <v>4511454194</v>
      </c>
      <c r="I500">
        <v>10</v>
      </c>
      <c r="J500" s="7">
        <v>1</v>
      </c>
      <c r="K500" s="7" t="str">
        <f>IFERROR(VLOOKUP(Detalle_OC[[#This Row],[Centro]]&amp;Detalle_OC[[#This Row],[Nro Almacen]],Almacen!A:D,4,FALSE),"")</f>
        <v>Montelima</v>
      </c>
    </row>
    <row r="501" spans="1:11" x14ac:dyDescent="0.35">
      <c r="A501" s="7" t="str">
        <f>Detalle_OC[[#This Row],[Centro]]&amp;Detalle_OC[[#This Row],[Nom Almacen]]&amp;Detalle_OC[[#This Row],[Material]]&amp;Detalle_OC[[#This Row],[Pedido]]&amp;Detalle_OC[[#This Row],[Posicion]]</f>
        <v>Agricola del Chira PlantaMontelima829121451145115020</v>
      </c>
      <c r="B501" t="s">
        <v>46</v>
      </c>
      <c r="C501" t="s">
        <v>433</v>
      </c>
      <c r="D501" s="17">
        <v>45002</v>
      </c>
      <c r="E501" t="s">
        <v>26</v>
      </c>
      <c r="F501" t="s">
        <v>27</v>
      </c>
      <c r="G501">
        <v>829121</v>
      </c>
      <c r="H501">
        <v>4511451150</v>
      </c>
      <c r="I501">
        <v>20</v>
      </c>
      <c r="J501" s="7">
        <v>1</v>
      </c>
      <c r="K501" s="7" t="str">
        <f>IFERROR(VLOOKUP(Detalle_OC[[#This Row],[Centro]]&amp;Detalle_OC[[#This Row],[Nro Almacen]],Almacen!A:D,4,FALSE),"")</f>
        <v>Montelima</v>
      </c>
    </row>
    <row r="502" spans="1:11" x14ac:dyDescent="0.35">
      <c r="A502" s="7" t="str">
        <f>Detalle_OC[[#This Row],[Centro]]&amp;Detalle_OC[[#This Row],[Nom Almacen]]&amp;Detalle_OC[[#This Row],[Material]]&amp;Detalle_OC[[#This Row],[Pedido]]&amp;Detalle_OC[[#This Row],[Posicion]]</f>
        <v>Agricola del Chira PlantaLa Huaca8298735500023645360</v>
      </c>
      <c r="B502" t="s">
        <v>38</v>
      </c>
      <c r="C502" t="s">
        <v>427</v>
      </c>
      <c r="D502" s="17">
        <v>44593</v>
      </c>
      <c r="E502" t="s">
        <v>26</v>
      </c>
      <c r="F502" t="s">
        <v>27</v>
      </c>
      <c r="G502">
        <v>829873</v>
      </c>
      <c r="H502">
        <v>5500023645</v>
      </c>
      <c r="I502">
        <v>360</v>
      </c>
      <c r="J502" s="7">
        <v>2</v>
      </c>
      <c r="K502" s="7" t="str">
        <f>IFERROR(VLOOKUP(Detalle_OC[[#This Row],[Centro]]&amp;Detalle_OC[[#This Row],[Nro Almacen]],Almacen!A:D,4,FALSE),"")</f>
        <v>La Huaca</v>
      </c>
    </row>
    <row r="503" spans="1:11" x14ac:dyDescent="0.35">
      <c r="A503" s="7" t="str">
        <f>Detalle_OC[[#This Row],[Centro]]&amp;Detalle_OC[[#This Row],[Nom Almacen]]&amp;Detalle_OC[[#This Row],[Material]]&amp;Detalle_OC[[#This Row],[Pedido]]&amp;Detalle_OC[[#This Row],[Posicion]]</f>
        <v>Agricola del Chira PlantaLa Huaca8298735500023645360</v>
      </c>
      <c r="B503" t="s">
        <v>38</v>
      </c>
      <c r="C503" t="s">
        <v>427</v>
      </c>
      <c r="D503" s="17">
        <v>44746</v>
      </c>
      <c r="E503" t="s">
        <v>26</v>
      </c>
      <c r="F503" t="s">
        <v>27</v>
      </c>
      <c r="G503">
        <v>829873</v>
      </c>
      <c r="H503">
        <v>5500023645</v>
      </c>
      <c r="I503">
        <v>360</v>
      </c>
      <c r="J503" s="7">
        <v>2</v>
      </c>
      <c r="K503" s="7" t="str">
        <f>IFERROR(VLOOKUP(Detalle_OC[[#This Row],[Centro]]&amp;Detalle_OC[[#This Row],[Nro Almacen]],Almacen!A:D,4,FALSE),"")</f>
        <v>La Huaca</v>
      </c>
    </row>
    <row r="504" spans="1:11" x14ac:dyDescent="0.35">
      <c r="A504" s="7" t="str">
        <f>Detalle_OC[[#This Row],[Centro]]&amp;Detalle_OC[[#This Row],[Nom Almacen]]&amp;Detalle_OC[[#This Row],[Material]]&amp;Detalle_OC[[#This Row],[Pedido]]&amp;Detalle_OC[[#This Row],[Posicion]]</f>
        <v>Agricola del Chira PlantaLa Huaca8298735500023645360</v>
      </c>
      <c r="B504" t="s">
        <v>38</v>
      </c>
      <c r="C504" t="s">
        <v>427</v>
      </c>
      <c r="D504" s="17">
        <v>44949</v>
      </c>
      <c r="E504" t="s">
        <v>26</v>
      </c>
      <c r="F504" t="s">
        <v>27</v>
      </c>
      <c r="G504">
        <v>829873</v>
      </c>
      <c r="H504">
        <v>5500023645</v>
      </c>
      <c r="I504">
        <v>360</v>
      </c>
      <c r="J504" s="7">
        <v>2</v>
      </c>
      <c r="K504" s="7" t="str">
        <f>IFERROR(VLOOKUP(Detalle_OC[[#This Row],[Centro]]&amp;Detalle_OC[[#This Row],[Nro Almacen]],Almacen!A:D,4,FALSE),"")</f>
        <v>La Huaca</v>
      </c>
    </row>
    <row r="505" spans="1:11" x14ac:dyDescent="0.35">
      <c r="A505" s="7" t="str">
        <f>Detalle_OC[[#This Row],[Centro]]&amp;Detalle_OC[[#This Row],[Nom Almacen]]&amp;Detalle_OC[[#This Row],[Material]]&amp;Detalle_OC[[#This Row],[Pedido]]&amp;Detalle_OC[[#This Row],[Posicion]]</f>
        <v>Agricola del Chira PlantaLa Huaca829877550002364510</v>
      </c>
      <c r="B505" t="s">
        <v>38</v>
      </c>
      <c r="C505" t="s">
        <v>427</v>
      </c>
      <c r="D505" s="17">
        <v>44949</v>
      </c>
      <c r="E505" t="s">
        <v>26</v>
      </c>
      <c r="F505" t="s">
        <v>27</v>
      </c>
      <c r="G505">
        <v>829877</v>
      </c>
      <c r="H505">
        <v>5500023645</v>
      </c>
      <c r="I505">
        <v>10</v>
      </c>
      <c r="J505" s="7">
        <v>2</v>
      </c>
      <c r="K505" s="7" t="str">
        <f>IFERROR(VLOOKUP(Detalle_OC[[#This Row],[Centro]]&amp;Detalle_OC[[#This Row],[Nro Almacen]],Almacen!A:D,4,FALSE),"")</f>
        <v>La Huaca</v>
      </c>
    </row>
    <row r="506" spans="1:11" x14ac:dyDescent="0.35">
      <c r="A506" s="7" t="str">
        <f>Detalle_OC[[#This Row],[Centro]]&amp;Detalle_OC[[#This Row],[Nom Almacen]]&amp;Detalle_OC[[#This Row],[Material]]&amp;Detalle_OC[[#This Row],[Pedido]]&amp;Detalle_OC[[#This Row],[Posicion]]</f>
        <v>Agricola del Chira PlantaLa Huaca8298825500023645340</v>
      </c>
      <c r="B506" t="s">
        <v>38</v>
      </c>
      <c r="C506" t="s">
        <v>427</v>
      </c>
      <c r="D506" s="17">
        <v>44443</v>
      </c>
      <c r="E506" t="s">
        <v>26</v>
      </c>
      <c r="F506" t="s">
        <v>27</v>
      </c>
      <c r="G506">
        <v>829882</v>
      </c>
      <c r="H506">
        <v>5500023645</v>
      </c>
      <c r="I506">
        <v>340</v>
      </c>
      <c r="J506" s="7">
        <v>2</v>
      </c>
      <c r="K506" s="7" t="str">
        <f>IFERROR(VLOOKUP(Detalle_OC[[#This Row],[Centro]]&amp;Detalle_OC[[#This Row],[Nro Almacen]],Almacen!A:D,4,FALSE),"")</f>
        <v>La Huaca</v>
      </c>
    </row>
    <row r="507" spans="1:11" x14ac:dyDescent="0.35">
      <c r="A507" s="7" t="str">
        <f>Detalle_OC[[#This Row],[Centro]]&amp;Detalle_OC[[#This Row],[Nom Almacen]]&amp;Detalle_OC[[#This Row],[Material]]&amp;Detalle_OC[[#This Row],[Pedido]]&amp;Detalle_OC[[#This Row],[Posicion]]</f>
        <v>Agricola del Chira PlantaLa Huaca8298825500023645340</v>
      </c>
      <c r="B507" t="s">
        <v>38</v>
      </c>
      <c r="C507" t="s">
        <v>427</v>
      </c>
      <c r="D507" s="17">
        <v>44863</v>
      </c>
      <c r="E507" t="s">
        <v>26</v>
      </c>
      <c r="F507" t="s">
        <v>27</v>
      </c>
      <c r="G507">
        <v>829882</v>
      </c>
      <c r="H507">
        <v>5500023645</v>
      </c>
      <c r="I507">
        <v>340</v>
      </c>
      <c r="J507" s="7">
        <v>2</v>
      </c>
      <c r="K507" s="7" t="str">
        <f>IFERROR(VLOOKUP(Detalle_OC[[#This Row],[Centro]]&amp;Detalle_OC[[#This Row],[Nro Almacen]],Almacen!A:D,4,FALSE),"")</f>
        <v>La Huaca</v>
      </c>
    </row>
    <row r="508" spans="1:11" x14ac:dyDescent="0.35">
      <c r="A508" s="7" t="str">
        <f>Detalle_OC[[#This Row],[Centro]]&amp;Detalle_OC[[#This Row],[Nom Almacen]]&amp;Detalle_OC[[#This Row],[Material]]&amp;Detalle_OC[[#This Row],[Pedido]]&amp;Detalle_OC[[#This Row],[Posicion]]</f>
        <v>Agricola del Chira PlantaLa Huaca8298835500023645350</v>
      </c>
      <c r="B508" t="s">
        <v>38</v>
      </c>
      <c r="C508" t="s">
        <v>427</v>
      </c>
      <c r="D508" s="17">
        <v>44442</v>
      </c>
      <c r="E508" t="s">
        <v>26</v>
      </c>
      <c r="F508" t="s">
        <v>27</v>
      </c>
      <c r="G508">
        <v>829883</v>
      </c>
      <c r="H508">
        <v>5500023645</v>
      </c>
      <c r="I508">
        <v>350</v>
      </c>
      <c r="J508" s="7">
        <v>2</v>
      </c>
      <c r="K508" s="7" t="str">
        <f>IFERROR(VLOOKUP(Detalle_OC[[#This Row],[Centro]]&amp;Detalle_OC[[#This Row],[Nro Almacen]],Almacen!A:D,4,FALSE),"")</f>
        <v>La Huaca</v>
      </c>
    </row>
    <row r="509" spans="1:11" x14ac:dyDescent="0.35">
      <c r="A509" s="7" t="str">
        <f>Detalle_OC[[#This Row],[Centro]]&amp;Detalle_OC[[#This Row],[Nom Almacen]]&amp;Detalle_OC[[#This Row],[Material]]&amp;Detalle_OC[[#This Row],[Pedido]]&amp;Detalle_OC[[#This Row],[Posicion]]</f>
        <v>Agricola del Chira PlantaLa Huaca8298835500023645350</v>
      </c>
      <c r="B509" t="s">
        <v>38</v>
      </c>
      <c r="C509" t="s">
        <v>427</v>
      </c>
      <c r="D509" s="17">
        <v>44746</v>
      </c>
      <c r="E509" t="s">
        <v>26</v>
      </c>
      <c r="F509" t="s">
        <v>27</v>
      </c>
      <c r="G509">
        <v>829883</v>
      </c>
      <c r="H509">
        <v>5500023645</v>
      </c>
      <c r="I509">
        <v>350</v>
      </c>
      <c r="J509" s="7">
        <v>2</v>
      </c>
      <c r="K509" s="7" t="str">
        <f>IFERROR(VLOOKUP(Detalle_OC[[#This Row],[Centro]]&amp;Detalle_OC[[#This Row],[Nro Almacen]],Almacen!A:D,4,FALSE),"")</f>
        <v>La Huaca</v>
      </c>
    </row>
    <row r="510" spans="1:11" x14ac:dyDescent="0.35">
      <c r="A510" s="7" t="str">
        <f>Detalle_OC[[#This Row],[Centro]]&amp;Detalle_OC[[#This Row],[Nom Almacen]]&amp;Detalle_OC[[#This Row],[Material]]&amp;Detalle_OC[[#This Row],[Pedido]]&amp;Detalle_OC[[#This Row],[Posicion]]</f>
        <v>Agricola del Chira PlantaLa Huaca8298835500023645350</v>
      </c>
      <c r="B510" t="s">
        <v>38</v>
      </c>
      <c r="C510" t="s">
        <v>427</v>
      </c>
      <c r="D510" s="17">
        <v>44949</v>
      </c>
      <c r="E510" t="s">
        <v>26</v>
      </c>
      <c r="F510" t="s">
        <v>27</v>
      </c>
      <c r="G510">
        <v>829883</v>
      </c>
      <c r="H510">
        <v>5500023645</v>
      </c>
      <c r="I510">
        <v>350</v>
      </c>
      <c r="J510" s="7">
        <v>2</v>
      </c>
      <c r="K510" s="7" t="str">
        <f>IFERROR(VLOOKUP(Detalle_OC[[#This Row],[Centro]]&amp;Detalle_OC[[#This Row],[Nro Almacen]],Almacen!A:D,4,FALSE),"")</f>
        <v>La Huaca</v>
      </c>
    </row>
    <row r="511" spans="1:11" x14ac:dyDescent="0.35">
      <c r="A511" s="7" t="str">
        <f>Detalle_OC[[#This Row],[Centro]]&amp;Detalle_OC[[#This Row],[Nom Almacen]]&amp;Detalle_OC[[#This Row],[Material]]&amp;Detalle_OC[[#This Row],[Pedido]]&amp;Detalle_OC[[#This Row],[Posicion]]</f>
        <v>Sucroalcolera del Chira PlantaMontelima833106451145309710</v>
      </c>
      <c r="B511" t="s">
        <v>158</v>
      </c>
      <c r="C511" t="s">
        <v>411</v>
      </c>
      <c r="D511" s="17">
        <v>45002</v>
      </c>
      <c r="E511" t="s">
        <v>26</v>
      </c>
      <c r="F511" t="s">
        <v>41</v>
      </c>
      <c r="G511">
        <v>833106</v>
      </c>
      <c r="H511">
        <v>4511453097</v>
      </c>
      <c r="I511">
        <v>10</v>
      </c>
      <c r="J511" s="7">
        <v>1</v>
      </c>
      <c r="K511" s="7" t="str">
        <f>IFERROR(VLOOKUP(Detalle_OC[[#This Row],[Centro]]&amp;Detalle_OC[[#This Row],[Nro Almacen]],Almacen!A:D,4,FALSE),"")</f>
        <v>Montelima</v>
      </c>
    </row>
    <row r="512" spans="1:11" x14ac:dyDescent="0.35">
      <c r="A512" s="7" t="str">
        <f>Detalle_OC[[#This Row],[Centro]]&amp;Detalle_OC[[#This Row],[Nom Almacen]]&amp;Detalle_OC[[#This Row],[Material]]&amp;Detalle_OC[[#This Row],[Pedido]]&amp;Detalle_OC[[#This Row],[Posicion]]</f>
        <v>Sucroalcolera del Chira PlantaMontelima833106451145309730</v>
      </c>
      <c r="B512" t="s">
        <v>158</v>
      </c>
      <c r="C512" t="s">
        <v>411</v>
      </c>
      <c r="D512" s="17">
        <v>45002</v>
      </c>
      <c r="E512" t="s">
        <v>26</v>
      </c>
      <c r="F512" t="s">
        <v>41</v>
      </c>
      <c r="G512">
        <v>833106</v>
      </c>
      <c r="H512">
        <v>4511453097</v>
      </c>
      <c r="I512">
        <v>30</v>
      </c>
      <c r="J512" s="7">
        <v>1</v>
      </c>
      <c r="K512" s="7" t="str">
        <f>IFERROR(VLOOKUP(Detalle_OC[[#This Row],[Centro]]&amp;Detalle_OC[[#This Row],[Nro Almacen]],Almacen!A:D,4,FALSE),"")</f>
        <v>Montelima</v>
      </c>
    </row>
    <row r="513" spans="1:11" x14ac:dyDescent="0.35">
      <c r="A513" s="7" t="str">
        <f>Detalle_OC[[#This Row],[Centro]]&amp;Detalle_OC[[#This Row],[Nom Almacen]]&amp;Detalle_OC[[#This Row],[Material]]&amp;Detalle_OC[[#This Row],[Pedido]]&amp;Detalle_OC[[#This Row],[Posicion]]</f>
        <v>Agricola del Chira PlantaLa Huaca8347165500023645270</v>
      </c>
      <c r="B513" t="s">
        <v>38</v>
      </c>
      <c r="C513" t="s">
        <v>427</v>
      </c>
      <c r="D513" s="17">
        <v>44435</v>
      </c>
      <c r="E513" t="s">
        <v>26</v>
      </c>
      <c r="F513" t="s">
        <v>27</v>
      </c>
      <c r="G513">
        <v>834716</v>
      </c>
      <c r="H513">
        <v>5500023645</v>
      </c>
      <c r="I513">
        <v>270</v>
      </c>
      <c r="J513" s="7">
        <v>2</v>
      </c>
      <c r="K513" s="7" t="str">
        <f>IFERROR(VLOOKUP(Detalle_OC[[#This Row],[Centro]]&amp;Detalle_OC[[#This Row],[Nro Almacen]],Almacen!A:D,4,FALSE),"")</f>
        <v>La Huaca</v>
      </c>
    </row>
    <row r="514" spans="1:11" x14ac:dyDescent="0.35">
      <c r="A514" s="7" t="str">
        <f>Detalle_OC[[#This Row],[Centro]]&amp;Detalle_OC[[#This Row],[Nom Almacen]]&amp;Detalle_OC[[#This Row],[Material]]&amp;Detalle_OC[[#This Row],[Pedido]]&amp;Detalle_OC[[#This Row],[Posicion]]</f>
        <v>Agricola del Chira PlantaLa Huaca8350205500023645260</v>
      </c>
      <c r="B514" t="s">
        <v>38</v>
      </c>
      <c r="C514" t="s">
        <v>427</v>
      </c>
      <c r="D514" s="17">
        <v>44426</v>
      </c>
      <c r="E514" t="s">
        <v>26</v>
      </c>
      <c r="F514" t="s">
        <v>27</v>
      </c>
      <c r="G514">
        <v>835020</v>
      </c>
      <c r="H514">
        <v>5500023645</v>
      </c>
      <c r="I514">
        <v>260</v>
      </c>
      <c r="J514" s="7">
        <v>2</v>
      </c>
      <c r="K514" s="7" t="str">
        <f>IFERROR(VLOOKUP(Detalle_OC[[#This Row],[Centro]]&amp;Detalle_OC[[#This Row],[Nro Almacen]],Almacen!A:D,4,FALSE),"")</f>
        <v>La Huaca</v>
      </c>
    </row>
    <row r="515" spans="1:11" x14ac:dyDescent="0.35">
      <c r="A515" s="7" t="str">
        <f>Detalle_OC[[#This Row],[Centro]]&amp;Detalle_OC[[#This Row],[Nom Almacen]]&amp;Detalle_OC[[#This Row],[Material]]&amp;Detalle_OC[[#This Row],[Pedido]]&amp;Detalle_OC[[#This Row],[Posicion]]</f>
        <v>Agricola del Chira PlantaLa Huaca8350205500023645260</v>
      </c>
      <c r="B515" t="s">
        <v>38</v>
      </c>
      <c r="C515" t="s">
        <v>427</v>
      </c>
      <c r="D515" s="17">
        <v>44774</v>
      </c>
      <c r="E515" t="s">
        <v>26</v>
      </c>
      <c r="F515" t="s">
        <v>27</v>
      </c>
      <c r="G515">
        <v>835020</v>
      </c>
      <c r="H515">
        <v>5500023645</v>
      </c>
      <c r="I515">
        <v>260</v>
      </c>
      <c r="J515" s="7">
        <v>2</v>
      </c>
      <c r="K515" s="7" t="str">
        <f>IFERROR(VLOOKUP(Detalle_OC[[#This Row],[Centro]]&amp;Detalle_OC[[#This Row],[Nro Almacen]],Almacen!A:D,4,FALSE),"")</f>
        <v>La Huaca</v>
      </c>
    </row>
    <row r="516" spans="1:11" x14ac:dyDescent="0.35">
      <c r="A516" s="7" t="str">
        <f>Detalle_OC[[#This Row],[Centro]]&amp;Detalle_OC[[#This Row],[Nom Almacen]]&amp;Detalle_OC[[#This Row],[Material]]&amp;Detalle_OC[[#This Row],[Pedido]]&amp;Detalle_OC[[#This Row],[Posicion]]</f>
        <v>Agricola del Chira PlantaLa Huaca8350205500023645260</v>
      </c>
      <c r="B516" t="s">
        <v>38</v>
      </c>
      <c r="C516" t="s">
        <v>427</v>
      </c>
      <c r="D516" s="17">
        <v>45007</v>
      </c>
      <c r="E516" t="s">
        <v>26</v>
      </c>
      <c r="F516" t="s">
        <v>27</v>
      </c>
      <c r="G516">
        <v>835020</v>
      </c>
      <c r="H516">
        <v>5500023645</v>
      </c>
      <c r="I516">
        <v>260</v>
      </c>
      <c r="J516" s="7">
        <v>2</v>
      </c>
      <c r="K516" s="7" t="str">
        <f>IFERROR(VLOOKUP(Detalle_OC[[#This Row],[Centro]]&amp;Detalle_OC[[#This Row],[Nro Almacen]],Almacen!A:D,4,FALSE),"")</f>
        <v>La Huaca</v>
      </c>
    </row>
    <row r="517" spans="1:11" x14ac:dyDescent="0.35">
      <c r="A517" s="7" t="str">
        <f>Detalle_OC[[#This Row],[Centro]]&amp;Detalle_OC[[#This Row],[Nom Almacen]]&amp;Detalle_OC[[#This Row],[Material]]&amp;Detalle_OC[[#This Row],[Pedido]]&amp;Detalle_OC[[#This Row],[Posicion]]</f>
        <v>Agricola del Chira PlantaLa Huaca8350205500023645260</v>
      </c>
      <c r="B517" t="s">
        <v>38</v>
      </c>
      <c r="C517" t="s">
        <v>427</v>
      </c>
      <c r="D517" s="17">
        <v>45008</v>
      </c>
      <c r="E517" t="s">
        <v>26</v>
      </c>
      <c r="F517" t="s">
        <v>27</v>
      </c>
      <c r="G517">
        <v>835020</v>
      </c>
      <c r="H517">
        <v>5500023645</v>
      </c>
      <c r="I517">
        <v>260</v>
      </c>
      <c r="J517" s="7">
        <v>2</v>
      </c>
      <c r="K517" s="7" t="str">
        <f>IFERROR(VLOOKUP(Detalle_OC[[#This Row],[Centro]]&amp;Detalle_OC[[#This Row],[Nro Almacen]],Almacen!A:D,4,FALSE),"")</f>
        <v>La Huaca</v>
      </c>
    </row>
    <row r="518" spans="1:11" x14ac:dyDescent="0.35">
      <c r="A518" s="7" t="str">
        <f>Detalle_OC[[#This Row],[Centro]]&amp;Detalle_OC[[#This Row],[Nom Almacen]]&amp;Detalle_OC[[#This Row],[Material]]&amp;Detalle_OC[[#This Row],[Pedido]]&amp;Detalle_OC[[#This Row],[Posicion]]</f>
        <v>Agricola del Chira PlantaLa Huaca8350245500023645100</v>
      </c>
      <c r="B518" t="s">
        <v>38</v>
      </c>
      <c r="C518" t="s">
        <v>427</v>
      </c>
      <c r="D518" s="17">
        <v>44381</v>
      </c>
      <c r="E518" t="s">
        <v>26</v>
      </c>
      <c r="F518" t="s">
        <v>27</v>
      </c>
      <c r="G518">
        <v>835024</v>
      </c>
      <c r="H518">
        <v>5500023645</v>
      </c>
      <c r="I518">
        <v>100</v>
      </c>
      <c r="J518" s="7">
        <v>2</v>
      </c>
      <c r="K518" s="7" t="str">
        <f>IFERROR(VLOOKUP(Detalle_OC[[#This Row],[Centro]]&amp;Detalle_OC[[#This Row],[Nro Almacen]],Almacen!A:D,4,FALSE),"")</f>
        <v>La Huaca</v>
      </c>
    </row>
    <row r="519" spans="1:11" x14ac:dyDescent="0.35">
      <c r="A519" s="7" t="str">
        <f>Detalle_OC[[#This Row],[Centro]]&amp;Detalle_OC[[#This Row],[Nom Almacen]]&amp;Detalle_OC[[#This Row],[Material]]&amp;Detalle_OC[[#This Row],[Pedido]]&amp;Detalle_OC[[#This Row],[Posicion]]</f>
        <v>Sucroalcolera del Chira PlantaMontelima836296451144384510</v>
      </c>
      <c r="B519" t="s">
        <v>43</v>
      </c>
      <c r="C519" t="s">
        <v>434</v>
      </c>
      <c r="D519" s="17">
        <v>45002</v>
      </c>
      <c r="E519" t="s">
        <v>26</v>
      </c>
      <c r="F519" t="s">
        <v>41</v>
      </c>
      <c r="G519">
        <v>836296</v>
      </c>
      <c r="H519">
        <v>4511443845</v>
      </c>
      <c r="I519">
        <v>10</v>
      </c>
      <c r="J519" s="7">
        <v>1</v>
      </c>
      <c r="K519" s="7" t="str">
        <f>IFERROR(VLOOKUP(Detalle_OC[[#This Row],[Centro]]&amp;Detalle_OC[[#This Row],[Nro Almacen]],Almacen!A:D,4,FALSE),"")</f>
        <v>Montelima</v>
      </c>
    </row>
    <row r="520" spans="1:11" x14ac:dyDescent="0.35">
      <c r="A520" s="7" t="str">
        <f>Detalle_OC[[#This Row],[Centro]]&amp;Detalle_OC[[#This Row],[Nom Almacen]]&amp;Detalle_OC[[#This Row],[Material]]&amp;Detalle_OC[[#This Row],[Pedido]]&amp;Detalle_OC[[#This Row],[Posicion]]</f>
        <v>Agricola del Chira PlantaMontelima839395451145363320</v>
      </c>
      <c r="B520" t="s">
        <v>46</v>
      </c>
      <c r="C520" t="s">
        <v>428</v>
      </c>
      <c r="D520" s="17">
        <v>45000</v>
      </c>
      <c r="E520" t="s">
        <v>26</v>
      </c>
      <c r="F520" t="s">
        <v>27</v>
      </c>
      <c r="G520">
        <v>839395</v>
      </c>
      <c r="H520">
        <v>4511453633</v>
      </c>
      <c r="I520">
        <v>20</v>
      </c>
      <c r="J520" s="7">
        <v>1</v>
      </c>
      <c r="K520" s="7" t="str">
        <f>IFERROR(VLOOKUP(Detalle_OC[[#This Row],[Centro]]&amp;Detalle_OC[[#This Row],[Nro Almacen]],Almacen!A:D,4,FALSE),"")</f>
        <v>Montelima</v>
      </c>
    </row>
    <row r="521" spans="1:11" x14ac:dyDescent="0.35">
      <c r="A521" s="7" t="str">
        <f>Detalle_OC[[#This Row],[Centro]]&amp;Detalle_OC[[#This Row],[Nom Almacen]]&amp;Detalle_OC[[#This Row],[Material]]&amp;Detalle_OC[[#This Row],[Pedido]]&amp;Detalle_OC[[#This Row],[Posicion]]</f>
        <v>Sucroalcolera del Chira PlantaMontelima839498451144345710</v>
      </c>
      <c r="B521" t="s">
        <v>108</v>
      </c>
      <c r="C521" t="s">
        <v>435</v>
      </c>
      <c r="D521" s="17">
        <v>44986</v>
      </c>
      <c r="E521" t="s">
        <v>26</v>
      </c>
      <c r="F521" t="s">
        <v>41</v>
      </c>
      <c r="G521">
        <v>839498</v>
      </c>
      <c r="H521">
        <v>4511443457</v>
      </c>
      <c r="I521">
        <v>10</v>
      </c>
      <c r="J521" s="7">
        <v>1</v>
      </c>
      <c r="K521" s="7" t="str">
        <f>IFERROR(VLOOKUP(Detalle_OC[[#This Row],[Centro]]&amp;Detalle_OC[[#This Row],[Nro Almacen]],Almacen!A:D,4,FALSE),"")</f>
        <v>Montelima</v>
      </c>
    </row>
    <row r="522" spans="1:11" x14ac:dyDescent="0.35">
      <c r="A522" s="7" t="str">
        <f>Detalle_OC[[#This Row],[Centro]]&amp;Detalle_OC[[#This Row],[Nom Almacen]]&amp;Detalle_OC[[#This Row],[Material]]&amp;Detalle_OC[[#This Row],[Pedido]]&amp;Detalle_OC[[#This Row],[Posicion]]</f>
        <v>Sucroalcolera del Chira PlantaMontelima840649451144859530</v>
      </c>
      <c r="B522" t="s">
        <v>108</v>
      </c>
      <c r="C522" t="s">
        <v>424</v>
      </c>
      <c r="D522" s="17">
        <v>45015</v>
      </c>
      <c r="E522" t="s">
        <v>26</v>
      </c>
      <c r="F522" t="s">
        <v>41</v>
      </c>
      <c r="G522">
        <v>840649</v>
      </c>
      <c r="H522">
        <v>4511448595</v>
      </c>
      <c r="I522">
        <v>30</v>
      </c>
      <c r="J522" s="7">
        <v>1</v>
      </c>
      <c r="K522" s="7" t="str">
        <f>IFERROR(VLOOKUP(Detalle_OC[[#This Row],[Centro]]&amp;Detalle_OC[[#This Row],[Nro Almacen]],Almacen!A:D,4,FALSE),"")</f>
        <v>Montelima</v>
      </c>
    </row>
    <row r="523" spans="1:11" x14ac:dyDescent="0.35">
      <c r="A523" s="7" t="str">
        <f>Detalle_OC[[#This Row],[Centro]]&amp;Detalle_OC[[#This Row],[Nom Almacen]]&amp;Detalle_OC[[#This Row],[Material]]&amp;Detalle_OC[[#This Row],[Pedido]]&amp;Detalle_OC[[#This Row],[Posicion]]</f>
        <v>Sucroalcolera del Chira PlantaMontelima840681451144859510</v>
      </c>
      <c r="B523" t="s">
        <v>108</v>
      </c>
      <c r="C523" t="s">
        <v>424</v>
      </c>
      <c r="D523" s="17">
        <v>45015</v>
      </c>
      <c r="E523" t="s">
        <v>26</v>
      </c>
      <c r="F523" t="s">
        <v>41</v>
      </c>
      <c r="G523">
        <v>840681</v>
      </c>
      <c r="H523">
        <v>4511448595</v>
      </c>
      <c r="I523">
        <v>10</v>
      </c>
      <c r="J523" s="7">
        <v>1</v>
      </c>
      <c r="K523" s="7" t="str">
        <f>IFERROR(VLOOKUP(Detalle_OC[[#This Row],[Centro]]&amp;Detalle_OC[[#This Row],[Nro Almacen]],Almacen!A:D,4,FALSE),"")</f>
        <v>Montelima</v>
      </c>
    </row>
    <row r="524" spans="1:11" x14ac:dyDescent="0.35">
      <c r="A524" s="7" t="str">
        <f>Detalle_OC[[#This Row],[Centro]]&amp;Detalle_OC[[#This Row],[Nom Almacen]]&amp;Detalle_OC[[#This Row],[Material]]&amp;Detalle_OC[[#This Row],[Pedido]]&amp;Detalle_OC[[#This Row],[Posicion]]</f>
        <v>Sucroalcolera del Chira PlantaMontelima840720451144528120</v>
      </c>
      <c r="B524" t="s">
        <v>108</v>
      </c>
      <c r="C524" t="s">
        <v>424</v>
      </c>
      <c r="D524" s="17">
        <v>44993</v>
      </c>
      <c r="E524" t="s">
        <v>26</v>
      </c>
      <c r="F524" t="s">
        <v>41</v>
      </c>
      <c r="G524">
        <v>840720</v>
      </c>
      <c r="H524">
        <v>4511445281</v>
      </c>
      <c r="I524">
        <v>20</v>
      </c>
      <c r="J524" s="7">
        <v>1</v>
      </c>
      <c r="K524" s="7" t="str">
        <f>IFERROR(VLOOKUP(Detalle_OC[[#This Row],[Centro]]&amp;Detalle_OC[[#This Row],[Nro Almacen]],Almacen!A:D,4,FALSE),"")</f>
        <v>Montelima</v>
      </c>
    </row>
    <row r="525" spans="1:11" x14ac:dyDescent="0.35">
      <c r="A525" s="7" t="str">
        <f>Detalle_OC[[#This Row],[Centro]]&amp;Detalle_OC[[#This Row],[Nom Almacen]]&amp;Detalle_OC[[#This Row],[Material]]&amp;Detalle_OC[[#This Row],[Pedido]]&amp;Detalle_OC[[#This Row],[Posicion]]</f>
        <v>Agricola del Chira PlantaMontelima841443451144324220</v>
      </c>
      <c r="B525" t="s">
        <v>46</v>
      </c>
      <c r="C525" t="s">
        <v>423</v>
      </c>
      <c r="D525" s="17">
        <v>44981</v>
      </c>
      <c r="E525" t="s">
        <v>26</v>
      </c>
      <c r="F525" t="s">
        <v>27</v>
      </c>
      <c r="G525">
        <v>841443</v>
      </c>
      <c r="H525">
        <v>4511443242</v>
      </c>
      <c r="I525">
        <v>20</v>
      </c>
      <c r="J525" s="7">
        <v>1</v>
      </c>
      <c r="K525" s="7" t="str">
        <f>IFERROR(VLOOKUP(Detalle_OC[[#This Row],[Centro]]&amp;Detalle_OC[[#This Row],[Nro Almacen]],Almacen!A:D,4,FALSE),"")</f>
        <v>Montelima</v>
      </c>
    </row>
    <row r="526" spans="1:11" x14ac:dyDescent="0.35">
      <c r="A526" s="7" t="str">
        <f>Detalle_OC[[#This Row],[Centro]]&amp;Detalle_OC[[#This Row],[Nom Almacen]]&amp;Detalle_OC[[#This Row],[Material]]&amp;Detalle_OC[[#This Row],[Pedido]]&amp;Detalle_OC[[#This Row],[Posicion]]</f>
        <v>Sucroalcolera del Chira PlantaMontelima842520451144917040</v>
      </c>
      <c r="B526" t="s">
        <v>108</v>
      </c>
      <c r="C526" t="s">
        <v>424</v>
      </c>
      <c r="D526" s="17">
        <v>45036</v>
      </c>
      <c r="E526" t="s">
        <v>26</v>
      </c>
      <c r="F526" t="s">
        <v>41</v>
      </c>
      <c r="G526">
        <v>842520</v>
      </c>
      <c r="H526">
        <v>4511449170</v>
      </c>
      <c r="I526">
        <v>40</v>
      </c>
      <c r="J526" s="7">
        <v>1</v>
      </c>
      <c r="K526" s="7" t="str">
        <f>IFERROR(VLOOKUP(Detalle_OC[[#This Row],[Centro]]&amp;Detalle_OC[[#This Row],[Nro Almacen]],Almacen!A:D,4,FALSE),"")</f>
        <v>Montelima</v>
      </c>
    </row>
    <row r="527" spans="1:11" x14ac:dyDescent="0.35">
      <c r="A527" s="7" t="str">
        <f>Detalle_OC[[#This Row],[Centro]]&amp;Detalle_OC[[#This Row],[Nom Almacen]]&amp;Detalle_OC[[#This Row],[Material]]&amp;Detalle_OC[[#This Row],[Pedido]]&amp;Detalle_OC[[#This Row],[Posicion]]</f>
        <v>Sucroalcolera del Chira PlantaMontelima842520451144986610</v>
      </c>
      <c r="B527" t="s">
        <v>108</v>
      </c>
      <c r="C527" t="s">
        <v>424</v>
      </c>
      <c r="D527" s="17">
        <v>44995</v>
      </c>
      <c r="E527" t="s">
        <v>26</v>
      </c>
      <c r="F527" t="s">
        <v>41</v>
      </c>
      <c r="G527">
        <v>842520</v>
      </c>
      <c r="H527">
        <v>4511449866</v>
      </c>
      <c r="I527">
        <v>10</v>
      </c>
      <c r="J527" s="7">
        <v>1</v>
      </c>
      <c r="K527" s="7" t="str">
        <f>IFERROR(VLOOKUP(Detalle_OC[[#This Row],[Centro]]&amp;Detalle_OC[[#This Row],[Nro Almacen]],Almacen!A:D,4,FALSE),"")</f>
        <v>Montelima</v>
      </c>
    </row>
    <row r="528" spans="1:11" x14ac:dyDescent="0.35">
      <c r="A528" s="7" t="str">
        <f>Detalle_OC[[#This Row],[Centro]]&amp;Detalle_OC[[#This Row],[Nom Almacen]]&amp;Detalle_OC[[#This Row],[Material]]&amp;Detalle_OC[[#This Row],[Pedido]]&amp;Detalle_OC[[#This Row],[Posicion]]</f>
        <v>Agricola del Chira PlantaLa Huaca8437125500023645280</v>
      </c>
      <c r="B528" t="s">
        <v>38</v>
      </c>
      <c r="C528" t="s">
        <v>427</v>
      </c>
      <c r="D528" s="17">
        <v>44442</v>
      </c>
      <c r="E528" t="s">
        <v>26</v>
      </c>
      <c r="F528" t="s">
        <v>27</v>
      </c>
      <c r="G528">
        <v>843712</v>
      </c>
      <c r="H528">
        <v>5500023645</v>
      </c>
      <c r="I528">
        <v>280</v>
      </c>
      <c r="J528" s="7">
        <v>2</v>
      </c>
      <c r="K528" s="7" t="str">
        <f>IFERROR(VLOOKUP(Detalle_OC[[#This Row],[Centro]]&amp;Detalle_OC[[#This Row],[Nro Almacen]],Almacen!A:D,4,FALSE),"")</f>
        <v>La Huaca</v>
      </c>
    </row>
    <row r="529" spans="1:11" x14ac:dyDescent="0.35">
      <c r="A529" s="7" t="str">
        <f>Detalle_OC[[#This Row],[Centro]]&amp;Detalle_OC[[#This Row],[Nom Almacen]]&amp;Detalle_OC[[#This Row],[Material]]&amp;Detalle_OC[[#This Row],[Pedido]]&amp;Detalle_OC[[#This Row],[Posicion]]</f>
        <v>Agricola del Chira PlantaLa Huaca8437125500023645280</v>
      </c>
      <c r="B529" t="s">
        <v>38</v>
      </c>
      <c r="C529" t="s">
        <v>427</v>
      </c>
      <c r="D529" s="17">
        <v>44965</v>
      </c>
      <c r="E529" t="s">
        <v>26</v>
      </c>
      <c r="F529" t="s">
        <v>27</v>
      </c>
      <c r="G529">
        <v>843712</v>
      </c>
      <c r="H529">
        <v>5500023645</v>
      </c>
      <c r="I529">
        <v>280</v>
      </c>
      <c r="J529" s="7">
        <v>2</v>
      </c>
      <c r="K529" s="7" t="str">
        <f>IFERROR(VLOOKUP(Detalle_OC[[#This Row],[Centro]]&amp;Detalle_OC[[#This Row],[Nro Almacen]],Almacen!A:D,4,FALSE),"")</f>
        <v>La Huaca</v>
      </c>
    </row>
    <row r="530" spans="1:11" x14ac:dyDescent="0.35">
      <c r="A530" s="7" t="str">
        <f>Detalle_OC[[#This Row],[Centro]]&amp;Detalle_OC[[#This Row],[Nom Almacen]]&amp;Detalle_OC[[#This Row],[Material]]&amp;Detalle_OC[[#This Row],[Pedido]]&amp;Detalle_OC[[#This Row],[Posicion]]</f>
        <v>Agricola del Chira PlantaLa Huaca8440435500023645290</v>
      </c>
      <c r="B530" t="s">
        <v>38</v>
      </c>
      <c r="C530" t="s">
        <v>427</v>
      </c>
      <c r="D530" s="17">
        <v>44986</v>
      </c>
      <c r="E530" t="s">
        <v>26</v>
      </c>
      <c r="F530" t="s">
        <v>27</v>
      </c>
      <c r="G530">
        <v>844043</v>
      </c>
      <c r="H530">
        <v>5500023645</v>
      </c>
      <c r="I530">
        <v>290</v>
      </c>
      <c r="J530" s="7">
        <v>2</v>
      </c>
      <c r="K530" s="7" t="str">
        <f>IFERROR(VLOOKUP(Detalle_OC[[#This Row],[Centro]]&amp;Detalle_OC[[#This Row],[Nro Almacen]],Almacen!A:D,4,FALSE),"")</f>
        <v>La Huaca</v>
      </c>
    </row>
    <row r="531" spans="1:11" x14ac:dyDescent="0.35">
      <c r="A531" s="7" t="str">
        <f>Detalle_OC[[#This Row],[Centro]]&amp;Detalle_OC[[#This Row],[Nom Almacen]]&amp;Detalle_OC[[#This Row],[Material]]&amp;Detalle_OC[[#This Row],[Pedido]]&amp;Detalle_OC[[#This Row],[Posicion]]</f>
        <v>Agricola del Chira PlantaLa Huaca8440485500023645300</v>
      </c>
      <c r="B531" t="s">
        <v>38</v>
      </c>
      <c r="C531" t="s">
        <v>427</v>
      </c>
      <c r="D531" s="17">
        <v>44949</v>
      </c>
      <c r="E531" t="s">
        <v>26</v>
      </c>
      <c r="F531" t="s">
        <v>27</v>
      </c>
      <c r="G531">
        <v>844048</v>
      </c>
      <c r="H531">
        <v>5500023645</v>
      </c>
      <c r="I531">
        <v>300</v>
      </c>
      <c r="J531" s="7">
        <v>2</v>
      </c>
      <c r="K531" s="7" t="str">
        <f>IFERROR(VLOOKUP(Detalle_OC[[#This Row],[Centro]]&amp;Detalle_OC[[#This Row],[Nro Almacen]],Almacen!A:D,4,FALSE),"")</f>
        <v>La Huaca</v>
      </c>
    </row>
    <row r="532" spans="1:11" x14ac:dyDescent="0.35">
      <c r="A532" s="7" t="str">
        <f>Detalle_OC[[#This Row],[Centro]]&amp;Detalle_OC[[#This Row],[Nom Almacen]]&amp;Detalle_OC[[#This Row],[Material]]&amp;Detalle_OC[[#This Row],[Pedido]]&amp;Detalle_OC[[#This Row],[Posicion]]</f>
        <v>Agricola del Chira PlantaLa Huaca8440675500023645310</v>
      </c>
      <c r="B532" t="s">
        <v>38</v>
      </c>
      <c r="C532" t="s">
        <v>427</v>
      </c>
      <c r="D532" s="17">
        <v>44746</v>
      </c>
      <c r="E532" t="s">
        <v>26</v>
      </c>
      <c r="F532" t="s">
        <v>27</v>
      </c>
      <c r="G532">
        <v>844067</v>
      </c>
      <c r="H532">
        <v>5500023645</v>
      </c>
      <c r="I532">
        <v>310</v>
      </c>
      <c r="J532" s="7">
        <v>2</v>
      </c>
      <c r="K532" s="7" t="str">
        <f>IFERROR(VLOOKUP(Detalle_OC[[#This Row],[Centro]]&amp;Detalle_OC[[#This Row],[Nro Almacen]],Almacen!A:D,4,FALSE),"")</f>
        <v>La Huaca</v>
      </c>
    </row>
    <row r="533" spans="1:11" x14ac:dyDescent="0.35">
      <c r="A533" s="7" t="str">
        <f>Detalle_OC[[#This Row],[Centro]]&amp;Detalle_OC[[#This Row],[Nom Almacen]]&amp;Detalle_OC[[#This Row],[Material]]&amp;Detalle_OC[[#This Row],[Pedido]]&amp;Detalle_OC[[#This Row],[Posicion]]</f>
        <v>Sucroalcolera del Chira PlantaMontelima8446544511443949130</v>
      </c>
      <c r="B533" t="s">
        <v>108</v>
      </c>
      <c r="C533" t="s">
        <v>436</v>
      </c>
      <c r="D533" s="17">
        <v>44986</v>
      </c>
      <c r="E533" t="s">
        <v>26</v>
      </c>
      <c r="F533" t="s">
        <v>41</v>
      </c>
      <c r="G533">
        <v>844654</v>
      </c>
      <c r="H533">
        <v>4511443949</v>
      </c>
      <c r="I533">
        <v>130</v>
      </c>
      <c r="J533" s="7">
        <v>1</v>
      </c>
      <c r="K533" s="7" t="str">
        <f>IFERROR(VLOOKUP(Detalle_OC[[#This Row],[Centro]]&amp;Detalle_OC[[#This Row],[Nro Almacen]],Almacen!A:D,4,FALSE),"")</f>
        <v>Montelima</v>
      </c>
    </row>
    <row r="534" spans="1:11" x14ac:dyDescent="0.35">
      <c r="A534" s="7" t="str">
        <f>Detalle_OC[[#This Row],[Centro]]&amp;Detalle_OC[[#This Row],[Nom Almacen]]&amp;Detalle_OC[[#This Row],[Material]]&amp;Detalle_OC[[#This Row],[Pedido]]&amp;Detalle_OC[[#This Row],[Posicion]]</f>
        <v>Sucroalcolera del Chira PlantaMontelima8446544511443949170</v>
      </c>
      <c r="B534" t="s">
        <v>43</v>
      </c>
      <c r="C534" t="s">
        <v>436</v>
      </c>
      <c r="D534" s="17">
        <v>44986</v>
      </c>
      <c r="E534" t="s">
        <v>26</v>
      </c>
      <c r="F534" t="s">
        <v>41</v>
      </c>
      <c r="G534">
        <v>844654</v>
      </c>
      <c r="H534">
        <v>4511443949</v>
      </c>
      <c r="I534">
        <v>170</v>
      </c>
      <c r="J534" s="7">
        <v>1</v>
      </c>
      <c r="K534" s="7" t="str">
        <f>IFERROR(VLOOKUP(Detalle_OC[[#This Row],[Centro]]&amp;Detalle_OC[[#This Row],[Nro Almacen]],Almacen!A:D,4,FALSE),"")</f>
        <v>Montelima</v>
      </c>
    </row>
    <row r="535" spans="1:11" x14ac:dyDescent="0.35">
      <c r="A535" s="7" t="str">
        <f>Detalle_OC[[#This Row],[Centro]]&amp;Detalle_OC[[#This Row],[Nom Almacen]]&amp;Detalle_OC[[#This Row],[Material]]&amp;Detalle_OC[[#This Row],[Pedido]]&amp;Detalle_OC[[#This Row],[Posicion]]</f>
        <v>Agricola del Chira PlantaMontelima847099451145115010</v>
      </c>
      <c r="B535" t="s">
        <v>46</v>
      </c>
      <c r="C535" t="s">
        <v>433</v>
      </c>
      <c r="D535" s="17">
        <v>45002</v>
      </c>
      <c r="E535" t="s">
        <v>26</v>
      </c>
      <c r="F535" t="s">
        <v>27</v>
      </c>
      <c r="G535">
        <v>847099</v>
      </c>
      <c r="H535">
        <v>4511451150</v>
      </c>
      <c r="I535">
        <v>10</v>
      </c>
      <c r="J535" s="7">
        <v>1</v>
      </c>
      <c r="K535" s="7" t="str">
        <f>IFERROR(VLOOKUP(Detalle_OC[[#This Row],[Centro]]&amp;Detalle_OC[[#This Row],[Nro Almacen]],Almacen!A:D,4,FALSE),"")</f>
        <v>Montelima</v>
      </c>
    </row>
    <row r="536" spans="1:11" x14ac:dyDescent="0.35">
      <c r="A536" s="7" t="str">
        <f>Detalle_OC[[#This Row],[Centro]]&amp;Detalle_OC[[#This Row],[Nom Almacen]]&amp;Detalle_OC[[#This Row],[Material]]&amp;Detalle_OC[[#This Row],[Pedido]]&amp;Detalle_OC[[#This Row],[Posicion]]</f>
        <v>Sucroalcolera del Chira PlantaMontelima847424451145125110</v>
      </c>
      <c r="B536" t="s">
        <v>108</v>
      </c>
      <c r="C536" t="s">
        <v>417</v>
      </c>
      <c r="D536" s="17">
        <v>44994</v>
      </c>
      <c r="E536" t="s">
        <v>26</v>
      </c>
      <c r="F536" t="s">
        <v>41</v>
      </c>
      <c r="G536">
        <v>847424</v>
      </c>
      <c r="H536">
        <v>4511451251</v>
      </c>
      <c r="I536">
        <v>10</v>
      </c>
      <c r="J536" s="7">
        <v>1</v>
      </c>
      <c r="K536" s="7" t="str">
        <f>IFERROR(VLOOKUP(Detalle_OC[[#This Row],[Centro]]&amp;Detalle_OC[[#This Row],[Nro Almacen]],Almacen!A:D,4,FALSE),"")</f>
        <v>Montelima</v>
      </c>
    </row>
    <row r="537" spans="1:11" x14ac:dyDescent="0.35">
      <c r="A537" s="7" t="str">
        <f>Detalle_OC[[#This Row],[Centro]]&amp;Detalle_OC[[#This Row],[Nom Almacen]]&amp;Detalle_OC[[#This Row],[Material]]&amp;Detalle_OC[[#This Row],[Pedido]]&amp;Detalle_OC[[#This Row],[Posicion]]</f>
        <v>Agricola del Chira PlantaMontelima8483795500022125100</v>
      </c>
      <c r="B537" t="s">
        <v>38</v>
      </c>
      <c r="C537" t="s">
        <v>416</v>
      </c>
      <c r="D537" s="17">
        <v>44708</v>
      </c>
      <c r="E537" t="s">
        <v>26</v>
      </c>
      <c r="F537" t="s">
        <v>27</v>
      </c>
      <c r="G537">
        <v>848379</v>
      </c>
      <c r="H537">
        <v>5500022125</v>
      </c>
      <c r="I537">
        <v>100</v>
      </c>
      <c r="J537" s="7">
        <v>1</v>
      </c>
      <c r="K537" s="7" t="str">
        <f>IFERROR(VLOOKUP(Detalle_OC[[#This Row],[Centro]]&amp;Detalle_OC[[#This Row],[Nro Almacen]],Almacen!A:D,4,FALSE),"")</f>
        <v>Montelima</v>
      </c>
    </row>
    <row r="538" spans="1:11" x14ac:dyDescent="0.35">
      <c r="A538" s="7" t="str">
        <f>Detalle_OC[[#This Row],[Centro]]&amp;Detalle_OC[[#This Row],[Nom Almacen]]&amp;Detalle_OC[[#This Row],[Material]]&amp;Detalle_OC[[#This Row],[Pedido]]&amp;Detalle_OC[[#This Row],[Posicion]]</f>
        <v>Agricola del Chira PlantaMontelima8483795500022125100</v>
      </c>
      <c r="B538" t="s">
        <v>38</v>
      </c>
      <c r="C538" t="s">
        <v>416</v>
      </c>
      <c r="D538" s="17">
        <v>44887</v>
      </c>
      <c r="E538" t="s">
        <v>26</v>
      </c>
      <c r="F538" t="s">
        <v>27</v>
      </c>
      <c r="G538">
        <v>848379</v>
      </c>
      <c r="H538">
        <v>5500022125</v>
      </c>
      <c r="I538">
        <v>100</v>
      </c>
      <c r="J538" s="7">
        <v>1</v>
      </c>
      <c r="K538" s="7" t="str">
        <f>IFERROR(VLOOKUP(Detalle_OC[[#This Row],[Centro]]&amp;Detalle_OC[[#This Row],[Nro Almacen]],Almacen!A:D,4,FALSE),"")</f>
        <v>Montelima</v>
      </c>
    </row>
    <row r="539" spans="1:11" x14ac:dyDescent="0.35">
      <c r="A539" s="7" t="str">
        <f>Detalle_OC[[#This Row],[Centro]]&amp;Detalle_OC[[#This Row],[Nom Almacen]]&amp;Detalle_OC[[#This Row],[Material]]&amp;Detalle_OC[[#This Row],[Pedido]]&amp;Detalle_OC[[#This Row],[Posicion]]</f>
        <v>Agricola del Chira PlantaMontelima8483795500022125100</v>
      </c>
      <c r="B539" t="s">
        <v>38</v>
      </c>
      <c r="C539" t="s">
        <v>416</v>
      </c>
      <c r="D539" s="17">
        <v>44999</v>
      </c>
      <c r="E539" t="s">
        <v>26</v>
      </c>
      <c r="F539" t="s">
        <v>27</v>
      </c>
      <c r="G539">
        <v>848379</v>
      </c>
      <c r="H539">
        <v>5500022125</v>
      </c>
      <c r="I539">
        <v>100</v>
      </c>
      <c r="J539" s="7">
        <v>1</v>
      </c>
      <c r="K539" s="7" t="str">
        <f>IFERROR(VLOOKUP(Detalle_OC[[#This Row],[Centro]]&amp;Detalle_OC[[#This Row],[Nro Almacen]],Almacen!A:D,4,FALSE),"")</f>
        <v>Montelima</v>
      </c>
    </row>
    <row r="540" spans="1:11" x14ac:dyDescent="0.35">
      <c r="A540" s="7" t="str">
        <f>Detalle_OC[[#This Row],[Centro]]&amp;Detalle_OC[[#This Row],[Nom Almacen]]&amp;Detalle_OC[[#This Row],[Material]]&amp;Detalle_OC[[#This Row],[Pedido]]&amp;Detalle_OC[[#This Row],[Posicion]]</f>
        <v>Agricola del Chira PlantaMontelima8483795500022125100</v>
      </c>
      <c r="B540" t="s">
        <v>38</v>
      </c>
      <c r="C540" t="s">
        <v>416</v>
      </c>
      <c r="D540" s="17">
        <v>45000</v>
      </c>
      <c r="E540" t="s">
        <v>26</v>
      </c>
      <c r="F540" t="s">
        <v>27</v>
      </c>
      <c r="G540">
        <v>848379</v>
      </c>
      <c r="H540">
        <v>5500022125</v>
      </c>
      <c r="I540">
        <v>100</v>
      </c>
      <c r="J540" s="7">
        <v>1</v>
      </c>
      <c r="K540" s="7" t="str">
        <f>IFERROR(VLOOKUP(Detalle_OC[[#This Row],[Centro]]&amp;Detalle_OC[[#This Row],[Nro Almacen]],Almacen!A:D,4,FALSE),"")</f>
        <v>Montelima</v>
      </c>
    </row>
    <row r="541" spans="1:11" x14ac:dyDescent="0.35">
      <c r="A541" s="7" t="str">
        <f>Detalle_OC[[#This Row],[Centro]]&amp;Detalle_OC[[#This Row],[Nom Almacen]]&amp;Detalle_OC[[#This Row],[Material]]&amp;Detalle_OC[[#This Row],[Pedido]]&amp;Detalle_OC[[#This Row],[Posicion]]</f>
        <v>Sucroalcolera del Chira PlantaMontelima848379550002212640</v>
      </c>
      <c r="B541" t="s">
        <v>38</v>
      </c>
      <c r="C541" t="s">
        <v>416</v>
      </c>
      <c r="D541" s="17">
        <v>44156</v>
      </c>
      <c r="E541" t="s">
        <v>26</v>
      </c>
      <c r="F541" t="s">
        <v>41</v>
      </c>
      <c r="G541">
        <v>848379</v>
      </c>
      <c r="H541">
        <v>5500022126</v>
      </c>
      <c r="I541">
        <v>40</v>
      </c>
      <c r="J541" s="7">
        <v>1</v>
      </c>
      <c r="K541" s="7" t="str">
        <f>IFERROR(VLOOKUP(Detalle_OC[[#This Row],[Centro]]&amp;Detalle_OC[[#This Row],[Nro Almacen]],Almacen!A:D,4,FALSE),"")</f>
        <v>Montelima</v>
      </c>
    </row>
    <row r="542" spans="1:11" x14ac:dyDescent="0.35">
      <c r="A542" s="7" t="str">
        <f>Detalle_OC[[#This Row],[Centro]]&amp;Detalle_OC[[#This Row],[Nom Almacen]]&amp;Detalle_OC[[#This Row],[Material]]&amp;Detalle_OC[[#This Row],[Pedido]]&amp;Detalle_OC[[#This Row],[Posicion]]</f>
        <v>Sucroalcolera del Chira PlantaMontelima848379550002212640</v>
      </c>
      <c r="B542" t="s">
        <v>38</v>
      </c>
      <c r="C542" t="s">
        <v>416</v>
      </c>
      <c r="D542" s="17">
        <v>44404</v>
      </c>
      <c r="E542" t="s">
        <v>26</v>
      </c>
      <c r="F542" t="s">
        <v>41</v>
      </c>
      <c r="G542">
        <v>848379</v>
      </c>
      <c r="H542">
        <v>5500022126</v>
      </c>
      <c r="I542">
        <v>40</v>
      </c>
      <c r="J542" s="7">
        <v>1</v>
      </c>
      <c r="K542" s="7" t="str">
        <f>IFERROR(VLOOKUP(Detalle_OC[[#This Row],[Centro]]&amp;Detalle_OC[[#This Row],[Nro Almacen]],Almacen!A:D,4,FALSE),"")</f>
        <v>Montelima</v>
      </c>
    </row>
    <row r="543" spans="1:11" x14ac:dyDescent="0.35">
      <c r="A543" s="7" t="str">
        <f>Detalle_OC[[#This Row],[Centro]]&amp;Detalle_OC[[#This Row],[Nom Almacen]]&amp;Detalle_OC[[#This Row],[Material]]&amp;Detalle_OC[[#This Row],[Pedido]]&amp;Detalle_OC[[#This Row],[Posicion]]</f>
        <v>Sucroalcolera del Chira PlantaMontelima8483795500022126110</v>
      </c>
      <c r="B543" t="s">
        <v>38</v>
      </c>
      <c r="C543" t="s">
        <v>416</v>
      </c>
      <c r="D543" s="17">
        <v>44711</v>
      </c>
      <c r="E543" t="s">
        <v>26</v>
      </c>
      <c r="F543" t="s">
        <v>41</v>
      </c>
      <c r="G543">
        <v>848379</v>
      </c>
      <c r="H543">
        <v>5500022126</v>
      </c>
      <c r="I543">
        <v>110</v>
      </c>
      <c r="J543" s="7">
        <v>1</v>
      </c>
      <c r="K543" s="7" t="str">
        <f>IFERROR(VLOOKUP(Detalle_OC[[#This Row],[Centro]]&amp;Detalle_OC[[#This Row],[Nro Almacen]],Almacen!A:D,4,FALSE),"")</f>
        <v>Montelima</v>
      </c>
    </row>
    <row r="544" spans="1:11" x14ac:dyDescent="0.35">
      <c r="A544" s="7" t="str">
        <f>Detalle_OC[[#This Row],[Centro]]&amp;Detalle_OC[[#This Row],[Nom Almacen]]&amp;Detalle_OC[[#This Row],[Material]]&amp;Detalle_OC[[#This Row],[Pedido]]&amp;Detalle_OC[[#This Row],[Posicion]]</f>
        <v>Sucroalcolera del Chira PlantaMontelima8483795500022126110</v>
      </c>
      <c r="B544" t="s">
        <v>38</v>
      </c>
      <c r="C544" t="s">
        <v>416</v>
      </c>
      <c r="D544" s="17">
        <v>44712</v>
      </c>
      <c r="E544" t="s">
        <v>26</v>
      </c>
      <c r="F544" t="s">
        <v>41</v>
      </c>
      <c r="G544">
        <v>848379</v>
      </c>
      <c r="H544">
        <v>5500022126</v>
      </c>
      <c r="I544">
        <v>110</v>
      </c>
      <c r="J544" s="7">
        <v>1</v>
      </c>
      <c r="K544" s="7" t="str">
        <f>IFERROR(VLOOKUP(Detalle_OC[[#This Row],[Centro]]&amp;Detalle_OC[[#This Row],[Nro Almacen]],Almacen!A:D,4,FALSE),"")</f>
        <v>Montelima</v>
      </c>
    </row>
    <row r="545" spans="1:11" x14ac:dyDescent="0.35">
      <c r="A545" s="7" t="str">
        <f>Detalle_OC[[#This Row],[Centro]]&amp;Detalle_OC[[#This Row],[Nom Almacen]]&amp;Detalle_OC[[#This Row],[Material]]&amp;Detalle_OC[[#This Row],[Pedido]]&amp;Detalle_OC[[#This Row],[Posicion]]</f>
        <v>Sucroalcolera del Chira PlantaMontelima8483795500022126110</v>
      </c>
      <c r="B545" t="s">
        <v>38</v>
      </c>
      <c r="C545" t="s">
        <v>416</v>
      </c>
      <c r="D545" s="17">
        <v>44823</v>
      </c>
      <c r="E545" t="s">
        <v>26</v>
      </c>
      <c r="F545" t="s">
        <v>41</v>
      </c>
      <c r="G545">
        <v>848379</v>
      </c>
      <c r="H545">
        <v>5500022126</v>
      </c>
      <c r="I545">
        <v>110</v>
      </c>
      <c r="J545" s="7">
        <v>1</v>
      </c>
      <c r="K545" s="7" t="str">
        <f>IFERROR(VLOOKUP(Detalle_OC[[#This Row],[Centro]]&amp;Detalle_OC[[#This Row],[Nro Almacen]],Almacen!A:D,4,FALSE),"")</f>
        <v>Montelima</v>
      </c>
    </row>
    <row r="546" spans="1:11" x14ac:dyDescent="0.35">
      <c r="A546" s="7" t="str">
        <f>Detalle_OC[[#This Row],[Centro]]&amp;Detalle_OC[[#This Row],[Nom Almacen]]&amp;Detalle_OC[[#This Row],[Material]]&amp;Detalle_OC[[#This Row],[Pedido]]&amp;Detalle_OC[[#This Row],[Posicion]]</f>
        <v>Sucroalcolera del Chira PlantaMontelima8483795500022126110</v>
      </c>
      <c r="B546" t="s">
        <v>38</v>
      </c>
      <c r="C546" t="s">
        <v>416</v>
      </c>
      <c r="D546" s="17">
        <v>44859</v>
      </c>
      <c r="E546" t="s">
        <v>26</v>
      </c>
      <c r="F546" t="s">
        <v>41</v>
      </c>
      <c r="G546">
        <v>848379</v>
      </c>
      <c r="H546">
        <v>5500022126</v>
      </c>
      <c r="I546">
        <v>110</v>
      </c>
      <c r="J546" s="7">
        <v>1</v>
      </c>
      <c r="K546" s="7" t="str">
        <f>IFERROR(VLOOKUP(Detalle_OC[[#This Row],[Centro]]&amp;Detalle_OC[[#This Row],[Nro Almacen]],Almacen!A:D,4,FALSE),"")</f>
        <v>Montelima</v>
      </c>
    </row>
    <row r="547" spans="1:11" x14ac:dyDescent="0.35">
      <c r="A547" s="7" t="str">
        <f>Detalle_OC[[#This Row],[Centro]]&amp;Detalle_OC[[#This Row],[Nom Almacen]]&amp;Detalle_OC[[#This Row],[Material]]&amp;Detalle_OC[[#This Row],[Pedido]]&amp;Detalle_OC[[#This Row],[Posicion]]</f>
        <v>Sucroalcolera del Chira PlantaMontelima8483795500022126110</v>
      </c>
      <c r="B547" t="s">
        <v>38</v>
      </c>
      <c r="C547" t="s">
        <v>416</v>
      </c>
      <c r="D547" s="17">
        <v>44887</v>
      </c>
      <c r="E547" t="s">
        <v>26</v>
      </c>
      <c r="F547" t="s">
        <v>41</v>
      </c>
      <c r="G547">
        <v>848379</v>
      </c>
      <c r="H547">
        <v>5500022126</v>
      </c>
      <c r="I547">
        <v>110</v>
      </c>
      <c r="J547" s="7">
        <v>1</v>
      </c>
      <c r="K547" s="7" t="str">
        <f>IFERROR(VLOOKUP(Detalle_OC[[#This Row],[Centro]]&amp;Detalle_OC[[#This Row],[Nro Almacen]],Almacen!A:D,4,FALSE),"")</f>
        <v>Montelima</v>
      </c>
    </row>
    <row r="548" spans="1:11" x14ac:dyDescent="0.35">
      <c r="A548" s="7" t="str">
        <f>Detalle_OC[[#This Row],[Centro]]&amp;Detalle_OC[[#This Row],[Nom Almacen]]&amp;Detalle_OC[[#This Row],[Material]]&amp;Detalle_OC[[#This Row],[Pedido]]&amp;Detalle_OC[[#This Row],[Posicion]]</f>
        <v>Sucroalcolera del Chira PlantaMontelima8483795500022126110</v>
      </c>
      <c r="B548" t="s">
        <v>38</v>
      </c>
      <c r="C548" t="s">
        <v>416</v>
      </c>
      <c r="D548" s="17">
        <v>44947</v>
      </c>
      <c r="E548" t="s">
        <v>26</v>
      </c>
      <c r="F548" t="s">
        <v>41</v>
      </c>
      <c r="G548">
        <v>848379</v>
      </c>
      <c r="H548">
        <v>5500022126</v>
      </c>
      <c r="I548">
        <v>110</v>
      </c>
      <c r="J548" s="7">
        <v>1</v>
      </c>
      <c r="K548" s="7" t="str">
        <f>IFERROR(VLOOKUP(Detalle_OC[[#This Row],[Centro]]&amp;Detalle_OC[[#This Row],[Nro Almacen]],Almacen!A:D,4,FALSE),"")</f>
        <v>Montelima</v>
      </c>
    </row>
    <row r="549" spans="1:11" x14ac:dyDescent="0.35">
      <c r="A549" s="7" t="str">
        <f>Detalle_OC[[#This Row],[Centro]]&amp;Detalle_OC[[#This Row],[Nom Almacen]]&amp;Detalle_OC[[#This Row],[Material]]&amp;Detalle_OC[[#This Row],[Pedido]]&amp;Detalle_OC[[#This Row],[Posicion]]</f>
        <v>Agricola del Chira PlantaAlmacen Lobo849010451145419810</v>
      </c>
      <c r="B549" t="s">
        <v>437</v>
      </c>
      <c r="C549" t="s">
        <v>438</v>
      </c>
      <c r="D549" s="17">
        <v>45036</v>
      </c>
      <c r="E549" t="s">
        <v>26</v>
      </c>
      <c r="F549" t="s">
        <v>27</v>
      </c>
      <c r="G549">
        <v>849010</v>
      </c>
      <c r="H549">
        <v>4511454198</v>
      </c>
      <c r="I549">
        <v>10</v>
      </c>
      <c r="J549" s="7">
        <v>7</v>
      </c>
      <c r="K549" s="7" t="str">
        <f>IFERROR(VLOOKUP(Detalle_OC[[#This Row],[Centro]]&amp;Detalle_OC[[#This Row],[Nro Almacen]],Almacen!A:D,4,FALSE),"")</f>
        <v>Almacen Lobo</v>
      </c>
    </row>
    <row r="550" spans="1:11" x14ac:dyDescent="0.35">
      <c r="A550" s="7" t="str">
        <f>Detalle_OC[[#This Row],[Centro]]&amp;Detalle_OC[[#This Row],[Nom Almacen]]&amp;Detalle_OC[[#This Row],[Material]]&amp;Detalle_OC[[#This Row],[Pedido]]&amp;Detalle_OC[[#This Row],[Posicion]]</f>
        <v>Agricola del Chira PlantaAlmacen Lobo849010451145419820</v>
      </c>
      <c r="B550" t="s">
        <v>437</v>
      </c>
      <c r="C550" t="s">
        <v>438</v>
      </c>
      <c r="D550" s="17">
        <v>45036</v>
      </c>
      <c r="E550" t="s">
        <v>26</v>
      </c>
      <c r="F550" t="s">
        <v>27</v>
      </c>
      <c r="G550">
        <v>849010</v>
      </c>
      <c r="H550">
        <v>4511454198</v>
      </c>
      <c r="I550">
        <v>20</v>
      </c>
      <c r="J550" s="7">
        <v>7</v>
      </c>
      <c r="K550" s="7" t="str">
        <f>IFERROR(VLOOKUP(Detalle_OC[[#This Row],[Centro]]&amp;Detalle_OC[[#This Row],[Nro Almacen]],Almacen!A:D,4,FALSE),"")</f>
        <v>Almacen Lobo</v>
      </c>
    </row>
    <row r="551" spans="1:11" x14ac:dyDescent="0.35">
      <c r="A551" s="7" t="str">
        <f>Detalle_OC[[#This Row],[Centro]]&amp;Detalle_OC[[#This Row],[Nom Almacen]]&amp;Detalle_OC[[#This Row],[Material]]&amp;Detalle_OC[[#This Row],[Pedido]]&amp;Detalle_OC[[#This Row],[Posicion]]</f>
        <v>Agricola del Chira PlantaLa Huaca849447451145324810</v>
      </c>
      <c r="B551" t="s">
        <v>47</v>
      </c>
      <c r="C551" t="s">
        <v>439</v>
      </c>
      <c r="D551" s="17">
        <v>44995</v>
      </c>
      <c r="E551" t="s">
        <v>26</v>
      </c>
      <c r="F551" t="s">
        <v>27</v>
      </c>
      <c r="G551">
        <v>849447</v>
      </c>
      <c r="H551">
        <v>4511453248</v>
      </c>
      <c r="I551">
        <v>10</v>
      </c>
      <c r="J551" s="7">
        <v>2</v>
      </c>
      <c r="K551" s="7" t="str">
        <f>IFERROR(VLOOKUP(Detalle_OC[[#This Row],[Centro]]&amp;Detalle_OC[[#This Row],[Nro Almacen]],Almacen!A:D,4,FALSE),"")</f>
        <v>La Huaca</v>
      </c>
    </row>
    <row r="552" spans="1:11" x14ac:dyDescent="0.35">
      <c r="A552" s="7" t="str">
        <f>Detalle_OC[[#This Row],[Centro]]&amp;Detalle_OC[[#This Row],[Nom Almacen]]&amp;Detalle_OC[[#This Row],[Material]]&amp;Detalle_OC[[#This Row],[Pedido]]&amp;Detalle_OC[[#This Row],[Posicion]]</f>
        <v>Agricola del Chira PlantaMontelima851482451145269420</v>
      </c>
      <c r="B552" t="s">
        <v>109</v>
      </c>
      <c r="C552" t="s">
        <v>430</v>
      </c>
      <c r="D552" s="17">
        <v>45000</v>
      </c>
      <c r="E552" t="s">
        <v>26</v>
      </c>
      <c r="F552" t="s">
        <v>27</v>
      </c>
      <c r="G552">
        <v>851482</v>
      </c>
      <c r="H552">
        <v>4511452694</v>
      </c>
      <c r="I552">
        <v>20</v>
      </c>
      <c r="J552" s="7">
        <v>1</v>
      </c>
      <c r="K552" s="7" t="str">
        <f>IFERROR(VLOOKUP(Detalle_OC[[#This Row],[Centro]]&amp;Detalle_OC[[#This Row],[Nro Almacen]],Almacen!A:D,4,FALSE),"")</f>
        <v>Montelima</v>
      </c>
    </row>
    <row r="553" spans="1:11" x14ac:dyDescent="0.35">
      <c r="A553" s="7" t="str">
        <f>Detalle_OC[[#This Row],[Centro]]&amp;Detalle_OC[[#This Row],[Nom Almacen]]&amp;Detalle_OC[[#This Row],[Material]]&amp;Detalle_OC[[#This Row],[Pedido]]&amp;Detalle_OC[[#This Row],[Posicion]]</f>
        <v>Sucroalcolera del Chira PlantaMontelima8518114511443949120</v>
      </c>
      <c r="B553" t="s">
        <v>108</v>
      </c>
      <c r="C553" t="s">
        <v>436</v>
      </c>
      <c r="D553" s="17">
        <v>44986</v>
      </c>
      <c r="E553" t="s">
        <v>26</v>
      </c>
      <c r="F553" t="s">
        <v>41</v>
      </c>
      <c r="G553">
        <v>851811</v>
      </c>
      <c r="H553">
        <v>4511443949</v>
      </c>
      <c r="I553">
        <v>120</v>
      </c>
      <c r="J553" s="7">
        <v>1</v>
      </c>
      <c r="K553" s="7" t="str">
        <f>IFERROR(VLOOKUP(Detalle_OC[[#This Row],[Centro]]&amp;Detalle_OC[[#This Row],[Nro Almacen]],Almacen!A:D,4,FALSE),"")</f>
        <v>Montelima</v>
      </c>
    </row>
    <row r="554" spans="1:11" x14ac:dyDescent="0.35">
      <c r="A554" s="7" t="str">
        <f>Detalle_OC[[#This Row],[Centro]]&amp;Detalle_OC[[#This Row],[Nom Almacen]]&amp;Detalle_OC[[#This Row],[Material]]&amp;Detalle_OC[[#This Row],[Pedido]]&amp;Detalle_OC[[#This Row],[Posicion]]</f>
        <v>Agricola del Chira PlantaMontelima851911451145363310</v>
      </c>
      <c r="B554" t="s">
        <v>46</v>
      </c>
      <c r="C554" t="s">
        <v>428</v>
      </c>
      <c r="D554" s="17">
        <v>45000</v>
      </c>
      <c r="E554" t="s">
        <v>26</v>
      </c>
      <c r="F554" t="s">
        <v>27</v>
      </c>
      <c r="G554">
        <v>851911</v>
      </c>
      <c r="H554">
        <v>4511453633</v>
      </c>
      <c r="I554">
        <v>10</v>
      </c>
      <c r="J554" s="7">
        <v>1</v>
      </c>
      <c r="K554" s="7" t="str">
        <f>IFERROR(VLOOKUP(Detalle_OC[[#This Row],[Centro]]&amp;Detalle_OC[[#This Row],[Nro Almacen]],Almacen!A:D,4,FALSE),"")</f>
        <v>Montelima</v>
      </c>
    </row>
    <row r="555" spans="1:11" x14ac:dyDescent="0.35">
      <c r="A555" s="7" t="str">
        <f>Detalle_OC[[#This Row],[Centro]]&amp;Detalle_OC[[#This Row],[Nom Almacen]]&amp;Detalle_OC[[#This Row],[Material]]&amp;Detalle_OC[[#This Row],[Pedido]]&amp;Detalle_OC[[#This Row],[Posicion]]</f>
        <v>Bioenergía del Chira PlantaMontelima8600914511452995150</v>
      </c>
      <c r="B555" t="s">
        <v>115</v>
      </c>
      <c r="C555" t="s">
        <v>411</v>
      </c>
      <c r="D555" s="17">
        <v>44968</v>
      </c>
      <c r="E555" t="s">
        <v>26</v>
      </c>
      <c r="F555" t="s">
        <v>57</v>
      </c>
      <c r="G555">
        <v>860091</v>
      </c>
      <c r="H555">
        <v>4511452995</v>
      </c>
      <c r="I555">
        <v>150</v>
      </c>
      <c r="J555" s="7">
        <v>1</v>
      </c>
      <c r="K555" s="7" t="str">
        <f>IFERROR(VLOOKUP(Detalle_OC[[#This Row],[Centro]]&amp;Detalle_OC[[#This Row],[Nro Almacen]],Almacen!A:D,4,FALSE),"")</f>
        <v>Montelima</v>
      </c>
    </row>
    <row r="556" spans="1:11" x14ac:dyDescent="0.35">
      <c r="A556" s="7" t="str">
        <f>Detalle_OC[[#This Row],[Centro]]&amp;Detalle_OC[[#This Row],[Nom Almacen]]&amp;Detalle_OC[[#This Row],[Material]]&amp;Detalle_OC[[#This Row],[Pedido]]&amp;Detalle_OC[[#This Row],[Posicion]]</f>
        <v>Agricola del Chira PlantaMontelima862044451144033920</v>
      </c>
      <c r="B556" t="s">
        <v>46</v>
      </c>
      <c r="C556" t="s">
        <v>423</v>
      </c>
      <c r="D556" s="17">
        <v>44981</v>
      </c>
      <c r="E556" t="s">
        <v>26</v>
      </c>
      <c r="F556" t="s">
        <v>27</v>
      </c>
      <c r="G556">
        <v>862044</v>
      </c>
      <c r="H556">
        <v>4511440339</v>
      </c>
      <c r="I556">
        <v>20</v>
      </c>
      <c r="J556" s="7">
        <v>1</v>
      </c>
      <c r="K556" s="7" t="str">
        <f>IFERROR(VLOOKUP(Detalle_OC[[#This Row],[Centro]]&amp;Detalle_OC[[#This Row],[Nro Almacen]],Almacen!A:D,4,FALSE),"")</f>
        <v>Montelima</v>
      </c>
    </row>
    <row r="557" spans="1:11" x14ac:dyDescent="0.35">
      <c r="A557" s="7" t="str">
        <f>Detalle_OC[[#This Row],[Centro]]&amp;Detalle_OC[[#This Row],[Nom Almacen]]&amp;Detalle_OC[[#This Row],[Material]]&amp;Detalle_OC[[#This Row],[Pedido]]&amp;Detalle_OC[[#This Row],[Posicion]]</f>
        <v>Sucroalcolera del Chira PlantaMontelima862994451145307610</v>
      </c>
      <c r="B557" t="s">
        <v>123</v>
      </c>
      <c r="C557" t="s">
        <v>440</v>
      </c>
      <c r="D557" s="17">
        <v>44996</v>
      </c>
      <c r="E557" t="s">
        <v>26</v>
      </c>
      <c r="F557" t="s">
        <v>41</v>
      </c>
      <c r="G557">
        <v>862994</v>
      </c>
      <c r="H557">
        <v>4511453076</v>
      </c>
      <c r="I557">
        <v>10</v>
      </c>
      <c r="J557" s="7">
        <v>1</v>
      </c>
      <c r="K557" s="7" t="str">
        <f>IFERROR(VLOOKUP(Detalle_OC[[#This Row],[Centro]]&amp;Detalle_OC[[#This Row],[Nro Almacen]],Almacen!A:D,4,FALSE),"")</f>
        <v>Montelima</v>
      </c>
    </row>
    <row r="558" spans="1:11" x14ac:dyDescent="0.35">
      <c r="A558" s="7" t="str">
        <f>Detalle_OC[[#This Row],[Centro]]&amp;Detalle_OC[[#This Row],[Nom Almacen]]&amp;Detalle_OC[[#This Row],[Material]]&amp;Detalle_OC[[#This Row],[Pedido]]&amp;Detalle_OC[[#This Row],[Posicion]]</f>
        <v>Sucroalcolera del Chira PlantaMontelima862994451145307620</v>
      </c>
      <c r="B558" t="s">
        <v>123</v>
      </c>
      <c r="C558" t="s">
        <v>440</v>
      </c>
      <c r="D558" s="17">
        <v>44996</v>
      </c>
      <c r="E558" t="s">
        <v>26</v>
      </c>
      <c r="F558" t="s">
        <v>41</v>
      </c>
      <c r="G558">
        <v>862994</v>
      </c>
      <c r="H558">
        <v>4511453076</v>
      </c>
      <c r="I558">
        <v>20</v>
      </c>
      <c r="J558" s="7">
        <v>1</v>
      </c>
      <c r="K558" s="7" t="str">
        <f>IFERROR(VLOOKUP(Detalle_OC[[#This Row],[Centro]]&amp;Detalle_OC[[#This Row],[Nro Almacen]],Almacen!A:D,4,FALSE),"")</f>
        <v>Montelima</v>
      </c>
    </row>
    <row r="559" spans="1:11" x14ac:dyDescent="0.35">
      <c r="A559" s="7" t="str">
        <f>Detalle_OC[[#This Row],[Centro]]&amp;Detalle_OC[[#This Row],[Nom Almacen]]&amp;Detalle_OC[[#This Row],[Material]]&amp;Detalle_OC[[#This Row],[Pedido]]&amp;Detalle_OC[[#This Row],[Posicion]]</f>
        <v>Bioenergía del Chira PlantaMontelima864941451144888320</v>
      </c>
      <c r="B559" t="s">
        <v>115</v>
      </c>
      <c r="C559" t="s">
        <v>418</v>
      </c>
      <c r="D559" s="17">
        <v>44986</v>
      </c>
      <c r="E559" t="s">
        <v>26</v>
      </c>
      <c r="F559" t="s">
        <v>57</v>
      </c>
      <c r="G559">
        <v>864941</v>
      </c>
      <c r="H559">
        <v>4511448883</v>
      </c>
      <c r="I559">
        <v>20</v>
      </c>
      <c r="J559" s="7">
        <v>1</v>
      </c>
      <c r="K559" s="7" t="str">
        <f>IFERROR(VLOOKUP(Detalle_OC[[#This Row],[Centro]]&amp;Detalle_OC[[#This Row],[Nro Almacen]],Almacen!A:D,4,FALSE),"")</f>
        <v>Montelima</v>
      </c>
    </row>
    <row r="560" spans="1:11" x14ac:dyDescent="0.35">
      <c r="A560" s="7" t="str">
        <f>Detalle_OC[[#This Row],[Centro]]&amp;Detalle_OC[[#This Row],[Nom Almacen]]&amp;Detalle_OC[[#This Row],[Material]]&amp;Detalle_OC[[#This Row],[Pedido]]&amp;Detalle_OC[[#This Row],[Posicion]]</f>
        <v>Sucroalcolera del Chira PlantaMontelima865749451145322010</v>
      </c>
      <c r="B560" t="s">
        <v>123</v>
      </c>
      <c r="C560" t="s">
        <v>441</v>
      </c>
      <c r="D560" s="17">
        <v>45000</v>
      </c>
      <c r="E560" t="s">
        <v>26</v>
      </c>
      <c r="F560" t="s">
        <v>41</v>
      </c>
      <c r="G560">
        <v>865749</v>
      </c>
      <c r="H560">
        <v>4511453220</v>
      </c>
      <c r="I560">
        <v>10</v>
      </c>
      <c r="J560" s="7">
        <v>1</v>
      </c>
      <c r="K560" s="7" t="str">
        <f>IFERROR(VLOOKUP(Detalle_OC[[#This Row],[Centro]]&amp;Detalle_OC[[#This Row],[Nro Almacen]],Almacen!A:D,4,FALSE),"")</f>
        <v>Montelima</v>
      </c>
    </row>
    <row r="561" spans="1:11" x14ac:dyDescent="0.35">
      <c r="A561" s="7" t="str">
        <f>Detalle_OC[[#This Row],[Centro]]&amp;Detalle_OC[[#This Row],[Nom Almacen]]&amp;Detalle_OC[[#This Row],[Material]]&amp;Detalle_OC[[#This Row],[Pedido]]&amp;Detalle_OC[[#This Row],[Posicion]]</f>
        <v>Sucroalcolera del Chira PlantaMontelima865760451145322020</v>
      </c>
      <c r="B561" t="s">
        <v>123</v>
      </c>
      <c r="C561" t="s">
        <v>441</v>
      </c>
      <c r="D561" s="17">
        <v>45000</v>
      </c>
      <c r="E561" t="s">
        <v>26</v>
      </c>
      <c r="F561" t="s">
        <v>41</v>
      </c>
      <c r="G561">
        <v>865760</v>
      </c>
      <c r="H561">
        <v>4511453220</v>
      </c>
      <c r="I561">
        <v>20</v>
      </c>
      <c r="J561" s="7">
        <v>1</v>
      </c>
      <c r="K561" s="7" t="str">
        <f>IFERROR(VLOOKUP(Detalle_OC[[#This Row],[Centro]]&amp;Detalle_OC[[#This Row],[Nro Almacen]],Almacen!A:D,4,FALSE),"")</f>
        <v>Montelima</v>
      </c>
    </row>
    <row r="562" spans="1:11" x14ac:dyDescent="0.35">
      <c r="A562" s="7" t="str">
        <f>Detalle_OC[[#This Row],[Centro]]&amp;Detalle_OC[[#This Row],[Nom Almacen]]&amp;Detalle_OC[[#This Row],[Material]]&amp;Detalle_OC[[#This Row],[Pedido]]&amp;Detalle_OC[[#This Row],[Posicion]]</f>
        <v>Agricola del Chira PlantaMontelima865869451144033930</v>
      </c>
      <c r="B562" t="s">
        <v>46</v>
      </c>
      <c r="C562" t="s">
        <v>423</v>
      </c>
      <c r="D562" s="17">
        <v>44993</v>
      </c>
      <c r="E562" t="s">
        <v>26</v>
      </c>
      <c r="F562" t="s">
        <v>27</v>
      </c>
      <c r="G562">
        <v>865869</v>
      </c>
      <c r="H562">
        <v>4511440339</v>
      </c>
      <c r="I562">
        <v>30</v>
      </c>
      <c r="J562" s="7">
        <v>1</v>
      </c>
      <c r="K562" s="7" t="str">
        <f>IFERROR(VLOOKUP(Detalle_OC[[#This Row],[Centro]]&amp;Detalle_OC[[#This Row],[Nro Almacen]],Almacen!A:D,4,FALSE),"")</f>
        <v>Montelima</v>
      </c>
    </row>
    <row r="563" spans="1:11" x14ac:dyDescent="0.35">
      <c r="A563" s="7" t="str">
        <f>Detalle_OC[[#This Row],[Centro]]&amp;Detalle_OC[[#This Row],[Nom Almacen]]&amp;Detalle_OC[[#This Row],[Material]]&amp;Detalle_OC[[#This Row],[Pedido]]&amp;Detalle_OC[[#This Row],[Posicion]]</f>
        <v>Sucroalcolera del Chira PlantaMontelima866025451145642610</v>
      </c>
      <c r="B563" t="s">
        <v>43</v>
      </c>
      <c r="C563" t="s">
        <v>409</v>
      </c>
      <c r="D563" s="17">
        <v>45005</v>
      </c>
      <c r="E563" t="s">
        <v>26</v>
      </c>
      <c r="F563" t="s">
        <v>41</v>
      </c>
      <c r="G563">
        <v>866025</v>
      </c>
      <c r="H563">
        <v>4511456426</v>
      </c>
      <c r="I563">
        <v>10</v>
      </c>
      <c r="J563" s="7">
        <v>1</v>
      </c>
      <c r="K563" s="7" t="str">
        <f>IFERROR(VLOOKUP(Detalle_OC[[#This Row],[Centro]]&amp;Detalle_OC[[#This Row],[Nro Almacen]],Almacen!A:D,4,FALSE),"")</f>
        <v>Montelima</v>
      </c>
    </row>
    <row r="564" spans="1:11" x14ac:dyDescent="0.35">
      <c r="A564" s="7" t="str">
        <f>Detalle_OC[[#This Row],[Centro]]&amp;Detalle_OC[[#This Row],[Nom Almacen]]&amp;Detalle_OC[[#This Row],[Material]]&amp;Detalle_OC[[#This Row],[Pedido]]&amp;Detalle_OC[[#This Row],[Posicion]]</f>
        <v>Sucroalcolera del Chira PlantaMontelima866353451145370310</v>
      </c>
      <c r="B564" t="s">
        <v>123</v>
      </c>
      <c r="C564" t="s">
        <v>429</v>
      </c>
      <c r="D564" s="17">
        <v>44995</v>
      </c>
      <c r="E564" t="s">
        <v>26</v>
      </c>
      <c r="F564" t="s">
        <v>41</v>
      </c>
      <c r="G564">
        <v>866353</v>
      </c>
      <c r="H564">
        <v>4511453703</v>
      </c>
      <c r="I564">
        <v>10</v>
      </c>
      <c r="J564" s="7">
        <v>1</v>
      </c>
      <c r="K564" s="7" t="str">
        <f>IFERROR(VLOOKUP(Detalle_OC[[#This Row],[Centro]]&amp;Detalle_OC[[#This Row],[Nro Almacen]],Almacen!A:D,4,FALSE),"")</f>
        <v>Montelima</v>
      </c>
    </row>
    <row r="565" spans="1:11" x14ac:dyDescent="0.35">
      <c r="A565" s="7" t="str">
        <f>Detalle_OC[[#This Row],[Centro]]&amp;Detalle_OC[[#This Row],[Nom Almacen]]&amp;Detalle_OC[[#This Row],[Material]]&amp;Detalle_OC[[#This Row],[Pedido]]&amp;Detalle_OC[[#This Row],[Posicion]]</f>
        <v>Sucroalcolera del Chira PlantaMontelima867705451144994530</v>
      </c>
      <c r="B565" t="s">
        <v>108</v>
      </c>
      <c r="C565" t="s">
        <v>442</v>
      </c>
      <c r="D565" s="17">
        <v>44988</v>
      </c>
      <c r="E565" t="s">
        <v>26</v>
      </c>
      <c r="F565" t="s">
        <v>41</v>
      </c>
      <c r="G565">
        <v>867705</v>
      </c>
      <c r="H565">
        <v>4511449945</v>
      </c>
      <c r="I565">
        <v>30</v>
      </c>
      <c r="J565" s="7">
        <v>1</v>
      </c>
      <c r="K565" s="7" t="str">
        <f>IFERROR(VLOOKUP(Detalle_OC[[#This Row],[Centro]]&amp;Detalle_OC[[#This Row],[Nro Almacen]],Almacen!A:D,4,FALSE),"")</f>
        <v>Montelima</v>
      </c>
    </row>
    <row r="566" spans="1:11" x14ac:dyDescent="0.35">
      <c r="A566" s="7" t="str">
        <f>Detalle_OC[[#This Row],[Centro]]&amp;Detalle_OC[[#This Row],[Nom Almacen]]&amp;Detalle_OC[[#This Row],[Material]]&amp;Detalle_OC[[#This Row],[Pedido]]&amp;Detalle_OC[[#This Row],[Posicion]]</f>
        <v>Sucroalcolera del Chira PlantaMontelima867705451144994550</v>
      </c>
      <c r="B566" t="s">
        <v>108</v>
      </c>
      <c r="C566" t="s">
        <v>442</v>
      </c>
      <c r="D566" s="17">
        <v>44988</v>
      </c>
      <c r="E566" t="s">
        <v>26</v>
      </c>
      <c r="F566" t="s">
        <v>41</v>
      </c>
      <c r="G566">
        <v>867705</v>
      </c>
      <c r="H566">
        <v>4511449945</v>
      </c>
      <c r="I566">
        <v>50</v>
      </c>
      <c r="J566" s="7">
        <v>1</v>
      </c>
      <c r="K566" s="7" t="str">
        <f>IFERROR(VLOOKUP(Detalle_OC[[#This Row],[Centro]]&amp;Detalle_OC[[#This Row],[Nro Almacen]],Almacen!A:D,4,FALSE),"")</f>
        <v>Montelima</v>
      </c>
    </row>
    <row r="567" spans="1:11" x14ac:dyDescent="0.35">
      <c r="A567" s="7" t="str">
        <f>Detalle_OC[[#This Row],[Centro]]&amp;Detalle_OC[[#This Row],[Nom Almacen]]&amp;Detalle_OC[[#This Row],[Material]]&amp;Detalle_OC[[#This Row],[Pedido]]&amp;Detalle_OC[[#This Row],[Posicion]]</f>
        <v>Sucroalcolera del Chira PlantaMontelima867861451144410210</v>
      </c>
      <c r="B567" t="s">
        <v>43</v>
      </c>
      <c r="C567" t="s">
        <v>434</v>
      </c>
      <c r="D567" s="17">
        <v>44974</v>
      </c>
      <c r="E567" t="s">
        <v>26</v>
      </c>
      <c r="F567" t="s">
        <v>41</v>
      </c>
      <c r="G567">
        <v>867861</v>
      </c>
      <c r="H567">
        <v>4511444102</v>
      </c>
      <c r="I567">
        <v>10</v>
      </c>
      <c r="J567" s="7">
        <v>1</v>
      </c>
      <c r="K567" s="7" t="str">
        <f>IFERROR(VLOOKUP(Detalle_OC[[#This Row],[Centro]]&amp;Detalle_OC[[#This Row],[Nro Almacen]],Almacen!A:D,4,FALSE),"")</f>
        <v>Montelima</v>
      </c>
    </row>
    <row r="568" spans="1:11" x14ac:dyDescent="0.35">
      <c r="A568" s="7" t="str">
        <f>Detalle_OC[[#This Row],[Centro]]&amp;Detalle_OC[[#This Row],[Nom Almacen]]&amp;Detalle_OC[[#This Row],[Material]]&amp;Detalle_OC[[#This Row],[Pedido]]&amp;Detalle_OC[[#This Row],[Posicion]]</f>
        <v>Sucroalcolera del Chira PlantaMontelima867867451144410220</v>
      </c>
      <c r="B568" t="s">
        <v>43</v>
      </c>
      <c r="C568" t="s">
        <v>434</v>
      </c>
      <c r="D568" s="17">
        <v>44974</v>
      </c>
      <c r="E568" t="s">
        <v>26</v>
      </c>
      <c r="F568" t="s">
        <v>41</v>
      </c>
      <c r="G568">
        <v>867867</v>
      </c>
      <c r="H568">
        <v>4511444102</v>
      </c>
      <c r="I568">
        <v>20</v>
      </c>
      <c r="J568" s="7">
        <v>1</v>
      </c>
      <c r="K568" s="7" t="str">
        <f>IFERROR(VLOOKUP(Detalle_OC[[#This Row],[Centro]]&amp;Detalle_OC[[#This Row],[Nro Almacen]],Almacen!A:D,4,FALSE),"")</f>
        <v>Montelima</v>
      </c>
    </row>
    <row r="569" spans="1:11" x14ac:dyDescent="0.35">
      <c r="A569" s="7" t="str">
        <f>Detalle_OC[[#This Row],[Centro]]&amp;Detalle_OC[[#This Row],[Nom Almacen]]&amp;Detalle_OC[[#This Row],[Material]]&amp;Detalle_OC[[#This Row],[Pedido]]&amp;Detalle_OC[[#This Row],[Posicion]]</f>
        <v>Sucroalcolera del Chira PlantaMontelima867875451144450710</v>
      </c>
      <c r="B569" t="s">
        <v>108</v>
      </c>
      <c r="C569" t="s">
        <v>424</v>
      </c>
      <c r="D569" s="17">
        <v>44981</v>
      </c>
      <c r="E569" t="s">
        <v>26</v>
      </c>
      <c r="F569" t="s">
        <v>41</v>
      </c>
      <c r="G569">
        <v>867875</v>
      </c>
      <c r="H569">
        <v>4511444507</v>
      </c>
      <c r="I569">
        <v>10</v>
      </c>
      <c r="J569" s="7">
        <v>1</v>
      </c>
      <c r="K569" s="7" t="str">
        <f>IFERROR(VLOOKUP(Detalle_OC[[#This Row],[Centro]]&amp;Detalle_OC[[#This Row],[Nro Almacen]],Almacen!A:D,4,FALSE),"")</f>
        <v>Montelima</v>
      </c>
    </row>
    <row r="570" spans="1:11" x14ac:dyDescent="0.35">
      <c r="A570" s="7" t="str">
        <f>Detalle_OC[[#This Row],[Centro]]&amp;Detalle_OC[[#This Row],[Nom Almacen]]&amp;Detalle_OC[[#This Row],[Material]]&amp;Detalle_OC[[#This Row],[Pedido]]&amp;Detalle_OC[[#This Row],[Posicion]]</f>
        <v>Sucroalcolera del Chira PlantaMontelima867875451144528110</v>
      </c>
      <c r="B570" t="s">
        <v>108</v>
      </c>
      <c r="C570" t="s">
        <v>424</v>
      </c>
      <c r="D570" s="17">
        <v>44993</v>
      </c>
      <c r="E570" t="s">
        <v>26</v>
      </c>
      <c r="F570" t="s">
        <v>41</v>
      </c>
      <c r="G570">
        <v>867875</v>
      </c>
      <c r="H570">
        <v>4511445281</v>
      </c>
      <c r="I570">
        <v>10</v>
      </c>
      <c r="J570" s="7">
        <v>1</v>
      </c>
      <c r="K570" s="7" t="str">
        <f>IFERROR(VLOOKUP(Detalle_OC[[#This Row],[Centro]]&amp;Detalle_OC[[#This Row],[Nro Almacen]],Almacen!A:D,4,FALSE),"")</f>
        <v>Montelima</v>
      </c>
    </row>
    <row r="571" spans="1:11" x14ac:dyDescent="0.35">
      <c r="A571" s="7" t="str">
        <f>Detalle_OC[[#This Row],[Centro]]&amp;Detalle_OC[[#This Row],[Nom Almacen]]&amp;Detalle_OC[[#This Row],[Material]]&amp;Detalle_OC[[#This Row],[Pedido]]&amp;Detalle_OC[[#This Row],[Posicion]]</f>
        <v>Bioenergía del Chira PlantaMontelima868245451144888310</v>
      </c>
      <c r="B571" t="s">
        <v>115</v>
      </c>
      <c r="C571" t="s">
        <v>418</v>
      </c>
      <c r="D571" s="17">
        <v>44986</v>
      </c>
      <c r="E571" t="s">
        <v>26</v>
      </c>
      <c r="F571" t="s">
        <v>57</v>
      </c>
      <c r="G571">
        <v>868245</v>
      </c>
      <c r="H571">
        <v>4511448883</v>
      </c>
      <c r="I571">
        <v>10</v>
      </c>
      <c r="J571" s="7">
        <v>1</v>
      </c>
      <c r="K571" s="7" t="str">
        <f>IFERROR(VLOOKUP(Detalle_OC[[#This Row],[Centro]]&amp;Detalle_OC[[#This Row],[Nro Almacen]],Almacen!A:D,4,FALSE),"")</f>
        <v>Montelima</v>
      </c>
    </row>
    <row r="572" spans="1:11" x14ac:dyDescent="0.35">
      <c r="A572" s="7" t="str">
        <f>Detalle_OC[[#This Row],[Centro]]&amp;Detalle_OC[[#This Row],[Nom Almacen]]&amp;Detalle_OC[[#This Row],[Material]]&amp;Detalle_OC[[#This Row],[Pedido]]&amp;Detalle_OC[[#This Row],[Posicion]]</f>
        <v>Sucroalcolera del Chira PlantaMontelima869012451144994510</v>
      </c>
      <c r="B572" t="s">
        <v>108</v>
      </c>
      <c r="C572" t="s">
        <v>442</v>
      </c>
      <c r="D572" s="17">
        <v>44988</v>
      </c>
      <c r="E572" t="s">
        <v>26</v>
      </c>
      <c r="F572" t="s">
        <v>41</v>
      </c>
      <c r="G572">
        <v>869012</v>
      </c>
      <c r="H572">
        <v>4511449945</v>
      </c>
      <c r="I572">
        <v>10</v>
      </c>
      <c r="J572" s="7">
        <v>1</v>
      </c>
      <c r="K572" s="7" t="str">
        <f>IFERROR(VLOOKUP(Detalle_OC[[#This Row],[Centro]]&amp;Detalle_OC[[#This Row],[Nro Almacen]],Almacen!A:D,4,FALSE),"")</f>
        <v>Montelima</v>
      </c>
    </row>
    <row r="573" spans="1:11" x14ac:dyDescent="0.35">
      <c r="A573" s="7" t="str">
        <f>Detalle_OC[[#This Row],[Centro]]&amp;Detalle_OC[[#This Row],[Nom Almacen]]&amp;Detalle_OC[[#This Row],[Material]]&amp;Detalle_OC[[#This Row],[Pedido]]&amp;Detalle_OC[[#This Row],[Posicion]]</f>
        <v>Sucroalcolera del Chira PlantaMontelima869012451144994520</v>
      </c>
      <c r="B573" t="s">
        <v>124</v>
      </c>
      <c r="C573" t="s">
        <v>442</v>
      </c>
      <c r="D573" s="17">
        <v>44988</v>
      </c>
      <c r="E573" t="s">
        <v>26</v>
      </c>
      <c r="F573" t="s">
        <v>41</v>
      </c>
      <c r="G573">
        <v>869012</v>
      </c>
      <c r="H573">
        <v>4511449945</v>
      </c>
      <c r="I573">
        <v>20</v>
      </c>
      <c r="J573" s="7">
        <v>1</v>
      </c>
      <c r="K573" s="7" t="str">
        <f>IFERROR(VLOOKUP(Detalle_OC[[#This Row],[Centro]]&amp;Detalle_OC[[#This Row],[Nro Almacen]],Almacen!A:D,4,FALSE),"")</f>
        <v>Montelima</v>
      </c>
    </row>
    <row r="574" spans="1:11" x14ac:dyDescent="0.35">
      <c r="A574" s="7" t="str">
        <f>Detalle_OC[[#This Row],[Centro]]&amp;Detalle_OC[[#This Row],[Nom Almacen]]&amp;Detalle_OC[[#This Row],[Material]]&amp;Detalle_OC[[#This Row],[Pedido]]&amp;Detalle_OC[[#This Row],[Posicion]]</f>
        <v>Sucroalcolera del Chira PlantaMontelima8690464511443949140</v>
      </c>
      <c r="B574" t="s">
        <v>122</v>
      </c>
      <c r="C574" t="s">
        <v>436</v>
      </c>
      <c r="D574" s="17">
        <v>44986</v>
      </c>
      <c r="E574" t="s">
        <v>26</v>
      </c>
      <c r="F574" t="s">
        <v>41</v>
      </c>
      <c r="G574">
        <v>869046</v>
      </c>
      <c r="H574">
        <v>4511443949</v>
      </c>
      <c r="I574">
        <v>140</v>
      </c>
      <c r="J574" s="7">
        <v>1</v>
      </c>
      <c r="K574" s="7" t="str">
        <f>IFERROR(VLOOKUP(Detalle_OC[[#This Row],[Centro]]&amp;Detalle_OC[[#This Row],[Nro Almacen]],Almacen!A:D,4,FALSE),"")</f>
        <v>Montelima</v>
      </c>
    </row>
    <row r="575" spans="1:11" x14ac:dyDescent="0.35">
      <c r="A575" s="7" t="str">
        <f>Detalle_OC[[#This Row],[Centro]]&amp;Detalle_OC[[#This Row],[Nom Almacen]]&amp;Detalle_OC[[#This Row],[Material]]&amp;Detalle_OC[[#This Row],[Pedido]]&amp;Detalle_OC[[#This Row],[Posicion]]</f>
        <v>Sucroalcolera del Chira PlantaMontelima8717424511443949110</v>
      </c>
      <c r="B575" t="s">
        <v>108</v>
      </c>
      <c r="C575" t="s">
        <v>436</v>
      </c>
      <c r="D575" s="17">
        <v>44986</v>
      </c>
      <c r="E575" t="s">
        <v>26</v>
      </c>
      <c r="F575" t="s">
        <v>41</v>
      </c>
      <c r="G575">
        <v>871742</v>
      </c>
      <c r="H575">
        <v>4511443949</v>
      </c>
      <c r="I575">
        <v>110</v>
      </c>
      <c r="J575" s="7">
        <v>1</v>
      </c>
      <c r="K575" s="7" t="str">
        <f>IFERROR(VLOOKUP(Detalle_OC[[#This Row],[Centro]]&amp;Detalle_OC[[#This Row],[Nro Almacen]],Almacen!A:D,4,FALSE),"")</f>
        <v>Montelima</v>
      </c>
    </row>
    <row r="576" spans="1:11" x14ac:dyDescent="0.35">
      <c r="A576" s="7" t="str">
        <f>Detalle_OC[[#This Row],[Centro]]&amp;Detalle_OC[[#This Row],[Nom Almacen]]&amp;Detalle_OC[[#This Row],[Material]]&amp;Detalle_OC[[#This Row],[Pedido]]&amp;Detalle_OC[[#This Row],[Posicion]]</f>
        <v>Sucroalcolera del Chira PlantaMontelima872635451144891140</v>
      </c>
      <c r="B576" t="s">
        <v>108</v>
      </c>
      <c r="C576" t="s">
        <v>418</v>
      </c>
      <c r="D576" s="17">
        <v>44981</v>
      </c>
      <c r="E576" t="s">
        <v>26</v>
      </c>
      <c r="F576" t="s">
        <v>41</v>
      </c>
      <c r="G576">
        <v>872635</v>
      </c>
      <c r="H576">
        <v>4511448911</v>
      </c>
      <c r="I576">
        <v>40</v>
      </c>
      <c r="J576" s="7">
        <v>1</v>
      </c>
      <c r="K576" s="7" t="str">
        <f>IFERROR(VLOOKUP(Detalle_OC[[#This Row],[Centro]]&amp;Detalle_OC[[#This Row],[Nro Almacen]],Almacen!A:D,4,FALSE),"")</f>
        <v>Montelima</v>
      </c>
    </row>
    <row r="577" spans="1:11" x14ac:dyDescent="0.35">
      <c r="A577" s="7" t="str">
        <f>Detalle_OC[[#This Row],[Centro]]&amp;Detalle_OC[[#This Row],[Nom Almacen]]&amp;Detalle_OC[[#This Row],[Material]]&amp;Detalle_OC[[#This Row],[Pedido]]&amp;Detalle_OC[[#This Row],[Posicion]]</f>
        <v>Agricola del Chira PlantaMontelima873674451145269410</v>
      </c>
      <c r="B577" t="s">
        <v>109</v>
      </c>
      <c r="C577" t="s">
        <v>430</v>
      </c>
      <c r="D577" s="17">
        <v>45000</v>
      </c>
      <c r="E577" t="s">
        <v>26</v>
      </c>
      <c r="F577" t="s">
        <v>27</v>
      </c>
      <c r="G577">
        <v>873674</v>
      </c>
      <c r="H577">
        <v>4511452694</v>
      </c>
      <c r="I577">
        <v>10</v>
      </c>
      <c r="J577" s="7">
        <v>1</v>
      </c>
      <c r="K577" s="7" t="str">
        <f>IFERROR(VLOOKUP(Detalle_OC[[#This Row],[Centro]]&amp;Detalle_OC[[#This Row],[Nro Almacen]],Almacen!A:D,4,FALSE),"")</f>
        <v>Montelima</v>
      </c>
    </row>
    <row r="578" spans="1:11" x14ac:dyDescent="0.35">
      <c r="A578" s="7" t="str">
        <f>Detalle_OC[[#This Row],[Centro]]&amp;Detalle_OC[[#This Row],[Nom Almacen]]&amp;Detalle_OC[[#This Row],[Material]]&amp;Detalle_OC[[#This Row],[Pedido]]&amp;Detalle_OC[[#This Row],[Posicion]]</f>
        <v>Agricola del Chira PlantaMontelima875923451144324210</v>
      </c>
      <c r="B578" t="s">
        <v>117</v>
      </c>
      <c r="C578" t="s">
        <v>423</v>
      </c>
      <c r="D578" s="17">
        <v>44995</v>
      </c>
      <c r="E578" t="s">
        <v>26</v>
      </c>
      <c r="F578" t="s">
        <v>27</v>
      </c>
      <c r="G578">
        <v>875923</v>
      </c>
      <c r="H578">
        <v>4511443242</v>
      </c>
      <c r="I578">
        <v>10</v>
      </c>
      <c r="J578" s="7">
        <v>1</v>
      </c>
      <c r="K578" s="7" t="str">
        <f>IFERROR(VLOOKUP(Detalle_OC[[#This Row],[Centro]]&amp;Detalle_OC[[#This Row],[Nro Almacen]],Almacen!A:D,4,FALSE),"")</f>
        <v>Montelima</v>
      </c>
    </row>
    <row r="579" spans="1:11" x14ac:dyDescent="0.35">
      <c r="A579" s="7" t="str">
        <f>Detalle_OC[[#This Row],[Centro]]&amp;Detalle_OC[[#This Row],[Nom Almacen]]&amp;Detalle_OC[[#This Row],[Material]]&amp;Detalle_OC[[#This Row],[Pedido]]&amp;Detalle_OC[[#This Row],[Posicion]]</f>
        <v>Agricola del Chira PlantaMontelima876628451144974810</v>
      </c>
      <c r="B579" t="s">
        <v>46</v>
      </c>
      <c r="C579" t="s">
        <v>417</v>
      </c>
      <c r="D579" s="17">
        <v>44995</v>
      </c>
      <c r="E579" t="s">
        <v>26</v>
      </c>
      <c r="F579" t="s">
        <v>27</v>
      </c>
      <c r="G579">
        <v>876628</v>
      </c>
      <c r="H579">
        <v>4511449748</v>
      </c>
      <c r="I579">
        <v>10</v>
      </c>
      <c r="J579" s="7">
        <v>1</v>
      </c>
      <c r="K579" s="7" t="str">
        <f>IFERROR(VLOOKUP(Detalle_OC[[#This Row],[Centro]]&amp;Detalle_OC[[#This Row],[Nro Almacen]],Almacen!A:D,4,FALSE),"")</f>
        <v>Montelima</v>
      </c>
    </row>
    <row r="580" spans="1:11" x14ac:dyDescent="0.35">
      <c r="A580" s="7" t="str">
        <f>Detalle_OC[[#This Row],[Centro]]&amp;Detalle_OC[[#This Row],[Nom Almacen]]&amp;Detalle_OC[[#This Row],[Material]]&amp;Detalle_OC[[#This Row],[Pedido]]&amp;Detalle_OC[[#This Row],[Posicion]]</f>
        <v>Sucroalcolera del Chira PlantaMontelima878996451145060810</v>
      </c>
      <c r="B580" t="s">
        <v>123</v>
      </c>
      <c r="C580" t="s">
        <v>434</v>
      </c>
      <c r="D580" s="17">
        <v>44984</v>
      </c>
      <c r="E580" t="s">
        <v>26</v>
      </c>
      <c r="F580" t="s">
        <v>41</v>
      </c>
      <c r="G580">
        <v>878996</v>
      </c>
      <c r="H580">
        <v>4511450608</v>
      </c>
      <c r="I580">
        <v>10</v>
      </c>
      <c r="J580" s="7">
        <v>1</v>
      </c>
      <c r="K580" s="7" t="str">
        <f>IFERROR(VLOOKUP(Detalle_OC[[#This Row],[Centro]]&amp;Detalle_OC[[#This Row],[Nro Almacen]],Almacen!A:D,4,FALSE),"")</f>
        <v>Montelima</v>
      </c>
    </row>
    <row r="581" spans="1:11" x14ac:dyDescent="0.35">
      <c r="A581" s="7" t="str">
        <f>Detalle_OC[[#This Row],[Centro]]&amp;Detalle_OC[[#This Row],[Nom Almacen]]&amp;Detalle_OC[[#This Row],[Material]]&amp;Detalle_OC[[#This Row],[Pedido]]&amp;Detalle_OC[[#This Row],[Posicion]]</f>
        <v>Sucroalcolera del Chira PlantaMontelima879925451144556020</v>
      </c>
      <c r="B581" t="s">
        <v>108</v>
      </c>
      <c r="C581" t="s">
        <v>434</v>
      </c>
      <c r="D581" s="17">
        <v>44974</v>
      </c>
      <c r="E581" t="s">
        <v>26</v>
      </c>
      <c r="F581" t="s">
        <v>41</v>
      </c>
      <c r="G581">
        <v>879925</v>
      </c>
      <c r="H581">
        <v>4511445560</v>
      </c>
      <c r="I581">
        <v>20</v>
      </c>
      <c r="J581" s="7">
        <v>1</v>
      </c>
      <c r="K581" s="7" t="str">
        <f>IFERROR(VLOOKUP(Detalle_OC[[#This Row],[Centro]]&amp;Detalle_OC[[#This Row],[Nro Almacen]],Almacen!A:D,4,FALSE),"")</f>
        <v>Montelima</v>
      </c>
    </row>
    <row r="582" spans="1:11" x14ac:dyDescent="0.35">
      <c r="A582" s="7" t="str">
        <f>Detalle_OC[[#This Row],[Centro]]&amp;Detalle_OC[[#This Row],[Nom Almacen]]&amp;Detalle_OC[[#This Row],[Material]]&amp;Detalle_OC[[#This Row],[Pedido]]&amp;Detalle_OC[[#This Row],[Posicion]]</f>
        <v>Sucroalcolera del Chira PlantaMontelima880929451144345630</v>
      </c>
      <c r="B582" t="s">
        <v>108</v>
      </c>
      <c r="C582" t="s">
        <v>443</v>
      </c>
      <c r="D582" s="17">
        <v>44986</v>
      </c>
      <c r="E582" t="s">
        <v>26</v>
      </c>
      <c r="F582" t="s">
        <v>41</v>
      </c>
      <c r="G582">
        <v>880929</v>
      </c>
      <c r="H582">
        <v>4511443456</v>
      </c>
      <c r="I582">
        <v>30</v>
      </c>
      <c r="J582" s="7">
        <v>1</v>
      </c>
      <c r="K582" s="7" t="str">
        <f>IFERROR(VLOOKUP(Detalle_OC[[#This Row],[Centro]]&amp;Detalle_OC[[#This Row],[Nro Almacen]],Almacen!A:D,4,FALSE),"")</f>
        <v>Montelima</v>
      </c>
    </row>
    <row r="583" spans="1:11" x14ac:dyDescent="0.35">
      <c r="A583" s="7" t="str">
        <f>Detalle_OC[[#This Row],[Centro]]&amp;Detalle_OC[[#This Row],[Nom Almacen]]&amp;Detalle_OC[[#This Row],[Material]]&amp;Detalle_OC[[#This Row],[Pedido]]&amp;Detalle_OC[[#This Row],[Posicion]]</f>
        <v>Sucroalcolera del Chira PlantaMontelima880970451144345620</v>
      </c>
      <c r="B583" t="s">
        <v>108</v>
      </c>
      <c r="C583" t="s">
        <v>443</v>
      </c>
      <c r="D583" s="17">
        <v>44986</v>
      </c>
      <c r="E583" t="s">
        <v>26</v>
      </c>
      <c r="F583" t="s">
        <v>41</v>
      </c>
      <c r="G583">
        <v>880970</v>
      </c>
      <c r="H583">
        <v>4511443456</v>
      </c>
      <c r="I583">
        <v>20</v>
      </c>
      <c r="J583" s="7">
        <v>1</v>
      </c>
      <c r="K583" s="7" t="str">
        <f>IFERROR(VLOOKUP(Detalle_OC[[#This Row],[Centro]]&amp;Detalle_OC[[#This Row],[Nro Almacen]],Almacen!A:D,4,FALSE),"")</f>
        <v>Montelima</v>
      </c>
    </row>
    <row r="584" spans="1:11" x14ac:dyDescent="0.35">
      <c r="A584" s="7" t="str">
        <f>Detalle_OC[[#This Row],[Centro]]&amp;Detalle_OC[[#This Row],[Nom Almacen]]&amp;Detalle_OC[[#This Row],[Material]]&amp;Detalle_OC[[#This Row],[Pedido]]&amp;Detalle_OC[[#This Row],[Posicion]]</f>
        <v>Sucroalcolera del Chira PlantaMontelima880971451144345660</v>
      </c>
      <c r="B584" t="s">
        <v>108</v>
      </c>
      <c r="C584" t="s">
        <v>443</v>
      </c>
      <c r="D584" s="17">
        <v>44986</v>
      </c>
      <c r="E584" t="s">
        <v>26</v>
      </c>
      <c r="F584" t="s">
        <v>41</v>
      </c>
      <c r="G584">
        <v>880971</v>
      </c>
      <c r="H584">
        <v>4511443456</v>
      </c>
      <c r="I584">
        <v>60</v>
      </c>
      <c r="J584" s="7">
        <v>1</v>
      </c>
      <c r="K584" s="7" t="str">
        <f>IFERROR(VLOOKUP(Detalle_OC[[#This Row],[Centro]]&amp;Detalle_OC[[#This Row],[Nro Almacen]],Almacen!A:D,4,FALSE),"")</f>
        <v>Montelima</v>
      </c>
    </row>
    <row r="585" spans="1:11" x14ac:dyDescent="0.35">
      <c r="A585" s="7" t="str">
        <f>Detalle_OC[[#This Row],[Centro]]&amp;Detalle_OC[[#This Row],[Nom Almacen]]&amp;Detalle_OC[[#This Row],[Material]]&amp;Detalle_OC[[#This Row],[Pedido]]&amp;Detalle_OC[[#This Row],[Posicion]]</f>
        <v>Sucroalcolera del Chira PlantaMontelima880976451144345650</v>
      </c>
      <c r="B585" t="s">
        <v>43</v>
      </c>
      <c r="C585" t="s">
        <v>443</v>
      </c>
      <c r="D585" s="17">
        <v>44986</v>
      </c>
      <c r="E585" t="s">
        <v>26</v>
      </c>
      <c r="F585" t="s">
        <v>41</v>
      </c>
      <c r="G585">
        <v>880976</v>
      </c>
      <c r="H585">
        <v>4511443456</v>
      </c>
      <c r="I585">
        <v>50</v>
      </c>
      <c r="J585" s="7">
        <v>1</v>
      </c>
      <c r="K585" s="7" t="str">
        <f>IFERROR(VLOOKUP(Detalle_OC[[#This Row],[Centro]]&amp;Detalle_OC[[#This Row],[Nro Almacen]],Almacen!A:D,4,FALSE),"")</f>
        <v>Montelima</v>
      </c>
    </row>
    <row r="586" spans="1:11" x14ac:dyDescent="0.35">
      <c r="A586" s="7" t="str">
        <f>Detalle_OC[[#This Row],[Centro]]&amp;Detalle_OC[[#This Row],[Nom Almacen]]&amp;Detalle_OC[[#This Row],[Material]]&amp;Detalle_OC[[#This Row],[Pedido]]&amp;Detalle_OC[[#This Row],[Posicion]]</f>
        <v>Sucroalcolera del Chira PlantaMontelima880979451144345610</v>
      </c>
      <c r="B586" t="s">
        <v>108</v>
      </c>
      <c r="C586" t="s">
        <v>443</v>
      </c>
      <c r="D586" s="17">
        <v>44986</v>
      </c>
      <c r="E586" t="s">
        <v>26</v>
      </c>
      <c r="F586" t="s">
        <v>41</v>
      </c>
      <c r="G586">
        <v>880979</v>
      </c>
      <c r="H586">
        <v>4511443456</v>
      </c>
      <c r="I586">
        <v>10</v>
      </c>
      <c r="J586" s="7">
        <v>1</v>
      </c>
      <c r="K586" s="7" t="str">
        <f>IFERROR(VLOOKUP(Detalle_OC[[#This Row],[Centro]]&amp;Detalle_OC[[#This Row],[Nro Almacen]],Almacen!A:D,4,FALSE),"")</f>
        <v>Montelima</v>
      </c>
    </row>
    <row r="587" spans="1:11" x14ac:dyDescent="0.35">
      <c r="A587" s="7" t="str">
        <f>Detalle_OC[[#This Row],[Centro]]&amp;Detalle_OC[[#This Row],[Nom Almacen]]&amp;Detalle_OC[[#This Row],[Material]]&amp;Detalle_OC[[#This Row],[Pedido]]&amp;Detalle_OC[[#This Row],[Posicion]]</f>
        <v>Sucroalcolera del Chira PlantaMontelima880979451144345640</v>
      </c>
      <c r="B587" t="s">
        <v>43</v>
      </c>
      <c r="C587" t="s">
        <v>443</v>
      </c>
      <c r="D587" s="17">
        <v>44986</v>
      </c>
      <c r="E587" t="s">
        <v>26</v>
      </c>
      <c r="F587" t="s">
        <v>41</v>
      </c>
      <c r="G587">
        <v>880979</v>
      </c>
      <c r="H587">
        <v>4511443456</v>
      </c>
      <c r="I587">
        <v>40</v>
      </c>
      <c r="J587" s="7">
        <v>1</v>
      </c>
      <c r="K587" s="7" t="str">
        <f>IFERROR(VLOOKUP(Detalle_OC[[#This Row],[Centro]]&amp;Detalle_OC[[#This Row],[Nro Almacen]],Almacen!A:D,4,FALSE),"")</f>
        <v>Montelima</v>
      </c>
    </row>
    <row r="588" spans="1:11" x14ac:dyDescent="0.35">
      <c r="A588" s="7" t="str">
        <f>Detalle_OC[[#This Row],[Centro]]&amp;Detalle_OC[[#This Row],[Nom Almacen]]&amp;Detalle_OC[[#This Row],[Material]]&amp;Detalle_OC[[#This Row],[Pedido]]&amp;Detalle_OC[[#This Row],[Posicion]]</f>
        <v>Bioenergía del Chira PlantaMontelima882698451144345810</v>
      </c>
      <c r="B588" t="s">
        <v>115</v>
      </c>
      <c r="C588" t="s">
        <v>435</v>
      </c>
      <c r="D588" s="17">
        <v>44986</v>
      </c>
      <c r="E588" t="s">
        <v>26</v>
      </c>
      <c r="F588" t="s">
        <v>57</v>
      </c>
      <c r="G588">
        <v>882698</v>
      </c>
      <c r="H588">
        <v>4511443458</v>
      </c>
      <c r="I588">
        <v>10</v>
      </c>
      <c r="J588" s="7">
        <v>1</v>
      </c>
      <c r="K588" s="7" t="str">
        <f>IFERROR(VLOOKUP(Detalle_OC[[#This Row],[Centro]]&amp;Detalle_OC[[#This Row],[Nro Almacen]],Almacen!A:D,4,FALSE),"")</f>
        <v>Montelima</v>
      </c>
    </row>
    <row r="589" spans="1:11" x14ac:dyDescent="0.35">
      <c r="A589" s="7" t="str">
        <f>Detalle_OC[[#This Row],[Centro]]&amp;Detalle_OC[[#This Row],[Nom Almacen]]&amp;Detalle_OC[[#This Row],[Material]]&amp;Detalle_OC[[#This Row],[Pedido]]&amp;Detalle_OC[[#This Row],[Posicion]]</f>
        <v>Bioenergía del Chira PlantaMontelima882698451144345820</v>
      </c>
      <c r="B589" t="s">
        <v>115</v>
      </c>
      <c r="C589" t="s">
        <v>435</v>
      </c>
      <c r="D589" s="17">
        <v>44986</v>
      </c>
      <c r="E589" t="s">
        <v>26</v>
      </c>
      <c r="F589" t="s">
        <v>57</v>
      </c>
      <c r="G589">
        <v>882698</v>
      </c>
      <c r="H589">
        <v>4511443458</v>
      </c>
      <c r="I589">
        <v>20</v>
      </c>
      <c r="J589" s="7">
        <v>1</v>
      </c>
      <c r="K589" s="7" t="str">
        <f>IFERROR(VLOOKUP(Detalle_OC[[#This Row],[Centro]]&amp;Detalle_OC[[#This Row],[Nro Almacen]],Almacen!A:D,4,FALSE),"")</f>
        <v>Montelima</v>
      </c>
    </row>
    <row r="590" spans="1:11" x14ac:dyDescent="0.35">
      <c r="A590" s="7" t="str">
        <f>Detalle_OC[[#This Row],[Centro]]&amp;Detalle_OC[[#This Row],[Nom Almacen]]&amp;Detalle_OC[[#This Row],[Material]]&amp;Detalle_OC[[#This Row],[Pedido]]&amp;Detalle_OC[[#This Row],[Posicion]]</f>
        <v>Sucroalcolera del Chira PlantaMontelima884795451144989780</v>
      </c>
      <c r="B590" t="s">
        <v>108</v>
      </c>
      <c r="C590" t="s">
        <v>442</v>
      </c>
      <c r="D590" s="17">
        <v>44995</v>
      </c>
      <c r="E590" t="s">
        <v>26</v>
      </c>
      <c r="F590" t="s">
        <v>41</v>
      </c>
      <c r="G590">
        <v>884795</v>
      </c>
      <c r="H590">
        <v>4511449897</v>
      </c>
      <c r="I590">
        <v>80</v>
      </c>
      <c r="J590" s="7">
        <v>1</v>
      </c>
      <c r="K590" s="7" t="str">
        <f>IFERROR(VLOOKUP(Detalle_OC[[#This Row],[Centro]]&amp;Detalle_OC[[#This Row],[Nro Almacen]],Almacen!A:D,4,FALSE),"")</f>
        <v>Montelima</v>
      </c>
    </row>
    <row r="591" spans="1:11" x14ac:dyDescent="0.35">
      <c r="A591" s="7" t="str">
        <f>Detalle_OC[[#This Row],[Centro]]&amp;Detalle_OC[[#This Row],[Nom Almacen]]&amp;Detalle_OC[[#This Row],[Material]]&amp;Detalle_OC[[#This Row],[Pedido]]&amp;Detalle_OC[[#This Row],[Posicion]]</f>
        <v>Sucroalcolera del Chira PlantaMontelima884797451144917020</v>
      </c>
      <c r="B591" t="s">
        <v>108</v>
      </c>
      <c r="C591" t="s">
        <v>424</v>
      </c>
      <c r="D591" s="17">
        <v>45036</v>
      </c>
      <c r="E591" t="s">
        <v>26</v>
      </c>
      <c r="F591" t="s">
        <v>41</v>
      </c>
      <c r="G591">
        <v>884797</v>
      </c>
      <c r="H591">
        <v>4511449170</v>
      </c>
      <c r="I591">
        <v>20</v>
      </c>
      <c r="J591" s="7">
        <v>1</v>
      </c>
      <c r="K591" s="7" t="str">
        <f>IFERROR(VLOOKUP(Detalle_OC[[#This Row],[Centro]]&amp;Detalle_OC[[#This Row],[Nro Almacen]],Almacen!A:D,4,FALSE),"")</f>
        <v>Montelima</v>
      </c>
    </row>
    <row r="592" spans="1:11" x14ac:dyDescent="0.35">
      <c r="A592" s="7" t="str">
        <f>Detalle_OC[[#This Row],[Centro]]&amp;Detalle_OC[[#This Row],[Nom Almacen]]&amp;Detalle_OC[[#This Row],[Material]]&amp;Detalle_OC[[#This Row],[Pedido]]&amp;Detalle_OC[[#This Row],[Posicion]]</f>
        <v>Sucroalcolera del Chira PlantaMontelima884797451144986620</v>
      </c>
      <c r="B592" t="s">
        <v>108</v>
      </c>
      <c r="C592" t="s">
        <v>424</v>
      </c>
      <c r="D592" s="17">
        <v>44995</v>
      </c>
      <c r="E592" t="s">
        <v>26</v>
      </c>
      <c r="F592" t="s">
        <v>41</v>
      </c>
      <c r="G592">
        <v>884797</v>
      </c>
      <c r="H592">
        <v>4511449866</v>
      </c>
      <c r="I592">
        <v>20</v>
      </c>
      <c r="J592" s="7">
        <v>1</v>
      </c>
      <c r="K592" s="7" t="str">
        <f>IFERROR(VLOOKUP(Detalle_OC[[#This Row],[Centro]]&amp;Detalle_OC[[#This Row],[Nro Almacen]],Almacen!A:D,4,FALSE),"")</f>
        <v>Montelima</v>
      </c>
    </row>
    <row r="593" spans="1:11" x14ac:dyDescent="0.35">
      <c r="A593" s="7" t="str">
        <f>Detalle_OC[[#This Row],[Centro]]&amp;Detalle_OC[[#This Row],[Nom Almacen]]&amp;Detalle_OC[[#This Row],[Material]]&amp;Detalle_OC[[#This Row],[Pedido]]&amp;Detalle_OC[[#This Row],[Posicion]]</f>
        <v>Agricola del Chira PlantaLa Huaca8850635500023645210</v>
      </c>
      <c r="B593" t="s">
        <v>38</v>
      </c>
      <c r="C593" t="s">
        <v>427</v>
      </c>
      <c r="D593" s="17">
        <v>44426</v>
      </c>
      <c r="E593" t="s">
        <v>26</v>
      </c>
      <c r="F593" t="s">
        <v>27</v>
      </c>
      <c r="G593">
        <v>885063</v>
      </c>
      <c r="H593">
        <v>5500023645</v>
      </c>
      <c r="I593">
        <v>210</v>
      </c>
      <c r="J593" s="7">
        <v>2</v>
      </c>
      <c r="K593" s="7" t="str">
        <f>IFERROR(VLOOKUP(Detalle_OC[[#This Row],[Centro]]&amp;Detalle_OC[[#This Row],[Nro Almacen]],Almacen!A:D,4,FALSE),"")</f>
        <v>La Huaca</v>
      </c>
    </row>
    <row r="594" spans="1:11" x14ac:dyDescent="0.35">
      <c r="A594" s="7" t="str">
        <f>Detalle_OC[[#This Row],[Centro]]&amp;Detalle_OC[[#This Row],[Nom Almacen]]&amp;Detalle_OC[[#This Row],[Material]]&amp;Detalle_OC[[#This Row],[Pedido]]&amp;Detalle_OC[[#This Row],[Posicion]]</f>
        <v>Agricola del Chira PlantaMontelima886062451145300510</v>
      </c>
      <c r="B594" t="s">
        <v>46</v>
      </c>
      <c r="C594" t="s">
        <v>409</v>
      </c>
      <c r="D594" s="17">
        <v>44994</v>
      </c>
      <c r="E594" t="s">
        <v>26</v>
      </c>
      <c r="F594" t="s">
        <v>27</v>
      </c>
      <c r="G594">
        <v>886062</v>
      </c>
      <c r="H594">
        <v>4511453005</v>
      </c>
      <c r="I594">
        <v>10</v>
      </c>
      <c r="J594" s="7">
        <v>1</v>
      </c>
      <c r="K594" s="7" t="str">
        <f>IFERROR(VLOOKUP(Detalle_OC[[#This Row],[Centro]]&amp;Detalle_OC[[#This Row],[Nro Almacen]],Almacen!A:D,4,FALSE),"")</f>
        <v>Montelima</v>
      </c>
    </row>
    <row r="595" spans="1:11" x14ac:dyDescent="0.35">
      <c r="A595" s="7" t="str">
        <f>Detalle_OC[[#This Row],[Centro]]&amp;Detalle_OC[[#This Row],[Nom Almacen]]&amp;Detalle_OC[[#This Row],[Material]]&amp;Detalle_OC[[#This Row],[Pedido]]&amp;Detalle_OC[[#This Row],[Posicion]]</f>
        <v>Sucroalcolera del Chira PlantaMontelima8938704511443949100</v>
      </c>
      <c r="B595" t="s">
        <v>108</v>
      </c>
      <c r="C595" t="s">
        <v>436</v>
      </c>
      <c r="D595" s="17">
        <v>44986</v>
      </c>
      <c r="E595" t="s">
        <v>26</v>
      </c>
      <c r="F595" t="s">
        <v>41</v>
      </c>
      <c r="G595">
        <v>893870</v>
      </c>
      <c r="H595">
        <v>4511443949</v>
      </c>
      <c r="I595">
        <v>100</v>
      </c>
      <c r="J595" s="7">
        <v>1</v>
      </c>
      <c r="K595" s="7" t="str">
        <f>IFERROR(VLOOKUP(Detalle_OC[[#This Row],[Centro]]&amp;Detalle_OC[[#This Row],[Nro Almacen]],Almacen!A:D,4,FALSE),"")</f>
        <v>Montelima</v>
      </c>
    </row>
    <row r="596" spans="1:11" x14ac:dyDescent="0.35">
      <c r="A596" s="7" t="str">
        <f>Detalle_OC[[#This Row],[Centro]]&amp;Detalle_OC[[#This Row],[Nom Almacen]]&amp;Detalle_OC[[#This Row],[Material]]&amp;Detalle_OC[[#This Row],[Pedido]]&amp;Detalle_OC[[#This Row],[Posicion]]</f>
        <v>Sucroalcolera del Chira PlantaMontelima893870451144992410</v>
      </c>
      <c r="B596" t="s">
        <v>108</v>
      </c>
      <c r="C596" t="s">
        <v>436</v>
      </c>
      <c r="D596" s="17">
        <v>44991</v>
      </c>
      <c r="E596" t="s">
        <v>26</v>
      </c>
      <c r="F596" t="s">
        <v>41</v>
      </c>
      <c r="G596">
        <v>893870</v>
      </c>
      <c r="H596">
        <v>4511449924</v>
      </c>
      <c r="I596">
        <v>10</v>
      </c>
      <c r="J596" s="7">
        <v>1</v>
      </c>
      <c r="K596" s="7" t="str">
        <f>IFERROR(VLOOKUP(Detalle_OC[[#This Row],[Centro]]&amp;Detalle_OC[[#This Row],[Nro Almacen]],Almacen!A:D,4,FALSE),"")</f>
        <v>Montelima</v>
      </c>
    </row>
    <row r="597" spans="1:11" x14ac:dyDescent="0.35">
      <c r="A597" s="7" t="str">
        <f>Detalle_OC[[#This Row],[Centro]]&amp;Detalle_OC[[#This Row],[Nom Almacen]]&amp;Detalle_OC[[#This Row],[Material]]&amp;Detalle_OC[[#This Row],[Pedido]]&amp;Detalle_OC[[#This Row],[Posicion]]</f>
        <v>Sucroalcolera del Chira PlantaMontelima894475451145072410</v>
      </c>
      <c r="B597" t="s">
        <v>108</v>
      </c>
      <c r="C597" t="s">
        <v>434</v>
      </c>
      <c r="D597" s="17">
        <v>45005</v>
      </c>
      <c r="E597" t="s">
        <v>26</v>
      </c>
      <c r="F597" t="s">
        <v>41</v>
      </c>
      <c r="G597">
        <v>894475</v>
      </c>
      <c r="H597">
        <v>4511450724</v>
      </c>
      <c r="I597">
        <v>10</v>
      </c>
      <c r="J597" s="7">
        <v>1</v>
      </c>
      <c r="K597" s="7" t="str">
        <f>IFERROR(VLOOKUP(Detalle_OC[[#This Row],[Centro]]&amp;Detalle_OC[[#This Row],[Nro Almacen]],Almacen!A:D,4,FALSE),"")</f>
        <v>Montelima</v>
      </c>
    </row>
    <row r="598" spans="1:11" x14ac:dyDescent="0.35">
      <c r="A598" s="7" t="str">
        <f>Detalle_OC[[#This Row],[Centro]]&amp;Detalle_OC[[#This Row],[Nom Almacen]]&amp;Detalle_OC[[#This Row],[Material]]&amp;Detalle_OC[[#This Row],[Pedido]]&amp;Detalle_OC[[#This Row],[Posicion]]</f>
        <v>Sucroalcolera del Chira PlantaMontelima894475451145072430</v>
      </c>
      <c r="B598" t="s">
        <v>108</v>
      </c>
      <c r="C598" t="s">
        <v>434</v>
      </c>
      <c r="D598" s="17">
        <v>45005</v>
      </c>
      <c r="E598" t="s">
        <v>26</v>
      </c>
      <c r="F598" t="s">
        <v>41</v>
      </c>
      <c r="G598">
        <v>894475</v>
      </c>
      <c r="H598">
        <v>4511450724</v>
      </c>
      <c r="I598">
        <v>30</v>
      </c>
      <c r="J598" s="7">
        <v>1</v>
      </c>
      <c r="K598" s="7" t="str">
        <f>IFERROR(VLOOKUP(Detalle_OC[[#This Row],[Centro]]&amp;Detalle_OC[[#This Row],[Nro Almacen]],Almacen!A:D,4,FALSE),"")</f>
        <v>Montelima</v>
      </c>
    </row>
    <row r="599" spans="1:11" x14ac:dyDescent="0.35">
      <c r="A599" s="7" t="str">
        <f>Detalle_OC[[#This Row],[Centro]]&amp;Detalle_OC[[#This Row],[Nom Almacen]]&amp;Detalle_OC[[#This Row],[Material]]&amp;Detalle_OC[[#This Row],[Pedido]]&amp;Detalle_OC[[#This Row],[Posicion]]</f>
        <v>Sucroalcolera del Chira PlantaMontelima899370451145322030</v>
      </c>
      <c r="B599" t="s">
        <v>123</v>
      </c>
      <c r="C599" t="s">
        <v>441</v>
      </c>
      <c r="D599" s="17">
        <v>45000</v>
      </c>
      <c r="E599" t="s">
        <v>26</v>
      </c>
      <c r="F599" t="s">
        <v>41</v>
      </c>
      <c r="G599">
        <v>899370</v>
      </c>
      <c r="H599">
        <v>4511453220</v>
      </c>
      <c r="I599">
        <v>30</v>
      </c>
      <c r="J599" s="7">
        <v>1</v>
      </c>
      <c r="K599" s="7" t="str">
        <f>IFERROR(VLOOKUP(Detalle_OC[[#This Row],[Centro]]&amp;Detalle_OC[[#This Row],[Nro Almacen]],Almacen!A:D,4,FALSE),"")</f>
        <v>Montelima</v>
      </c>
    </row>
    <row r="600" spans="1:11" x14ac:dyDescent="0.35">
      <c r="A600" s="7" t="str">
        <f>Detalle_OC[[#This Row],[Centro]]&amp;Detalle_OC[[#This Row],[Nom Almacen]]&amp;Detalle_OC[[#This Row],[Material]]&amp;Detalle_OC[[#This Row],[Pedido]]&amp;Detalle_OC[[#This Row],[Posicion]]</f>
        <v>Sucroalcolera del Chira PlantaMontelima70002187451144585610</v>
      </c>
      <c r="B600" t="s">
        <v>108</v>
      </c>
      <c r="C600" t="s">
        <v>418</v>
      </c>
      <c r="D600" s="17">
        <v>44984</v>
      </c>
      <c r="E600" t="s">
        <v>26</v>
      </c>
      <c r="F600" t="s">
        <v>41</v>
      </c>
      <c r="G600">
        <v>70002187</v>
      </c>
      <c r="H600">
        <v>4511445856</v>
      </c>
      <c r="I600">
        <v>10</v>
      </c>
      <c r="J600" s="7">
        <v>1</v>
      </c>
      <c r="K600" s="7" t="str">
        <f>IFERROR(VLOOKUP(Detalle_OC[[#This Row],[Centro]]&amp;Detalle_OC[[#This Row],[Nro Almacen]],Almacen!A:D,4,FALSE),"")</f>
        <v>Montelima</v>
      </c>
    </row>
    <row r="601" spans="1:11" x14ac:dyDescent="0.35">
      <c r="A601" s="7" t="str">
        <f>Detalle_OC[[#This Row],[Centro]]&amp;Detalle_OC[[#This Row],[Nom Almacen]]&amp;Detalle_OC[[#This Row],[Material]]&amp;Detalle_OC[[#This Row],[Pedido]]&amp;Detalle_OC[[#This Row],[Posicion]]</f>
        <v>Sucroalcolera del Chira PlantaMontelima70002187451144585630</v>
      </c>
      <c r="B601" t="s">
        <v>43</v>
      </c>
      <c r="C601" t="s">
        <v>418</v>
      </c>
      <c r="D601" s="17">
        <v>44984</v>
      </c>
      <c r="E601" t="s">
        <v>26</v>
      </c>
      <c r="F601" t="s">
        <v>41</v>
      </c>
      <c r="G601">
        <v>70002187</v>
      </c>
      <c r="H601">
        <v>4511445856</v>
      </c>
      <c r="I601">
        <v>30</v>
      </c>
      <c r="J601" s="7">
        <v>1</v>
      </c>
      <c r="K601" s="7" t="str">
        <f>IFERROR(VLOOKUP(Detalle_OC[[#This Row],[Centro]]&amp;Detalle_OC[[#This Row],[Nro Almacen]],Almacen!A:D,4,FALSE),"")</f>
        <v>Montelima</v>
      </c>
    </row>
    <row r="602" spans="1:11" x14ac:dyDescent="0.35">
      <c r="A602" s="7" t="str">
        <f>Detalle_OC[[#This Row],[Centro]]&amp;Detalle_OC[[#This Row],[Nom Almacen]]&amp;Detalle_OC[[#This Row],[Material]]&amp;Detalle_OC[[#This Row],[Pedido]]&amp;Detalle_OC[[#This Row],[Posicion]]</f>
        <v>Sucroalcolera del Chira PlantaMontelima70002187451144891120</v>
      </c>
      <c r="B602" t="s">
        <v>108</v>
      </c>
      <c r="C602" t="s">
        <v>418</v>
      </c>
      <c r="D602" s="17">
        <v>44981</v>
      </c>
      <c r="E602" t="s">
        <v>26</v>
      </c>
      <c r="F602" t="s">
        <v>41</v>
      </c>
      <c r="G602">
        <v>70002187</v>
      </c>
      <c r="H602">
        <v>4511448911</v>
      </c>
      <c r="I602">
        <v>20</v>
      </c>
      <c r="J602" s="7">
        <v>1</v>
      </c>
      <c r="K602" s="7" t="str">
        <f>IFERROR(VLOOKUP(Detalle_OC[[#This Row],[Centro]]&amp;Detalle_OC[[#This Row],[Nro Almacen]],Almacen!A:D,4,FALSE),"")</f>
        <v>Montelima</v>
      </c>
    </row>
    <row r="603" spans="1:11" x14ac:dyDescent="0.35">
      <c r="A603" s="7" t="str">
        <f>Detalle_OC[[#This Row],[Centro]]&amp;Detalle_OC[[#This Row],[Nom Almacen]]&amp;Detalle_OC[[#This Row],[Material]]&amp;Detalle_OC[[#This Row],[Pedido]]&amp;Detalle_OC[[#This Row],[Posicion]]</f>
        <v>Sucroalcolera del Chira PlantaMontelima70002188451144585620</v>
      </c>
      <c r="B603" t="s">
        <v>43</v>
      </c>
      <c r="C603" t="s">
        <v>418</v>
      </c>
      <c r="D603" s="17">
        <v>44984</v>
      </c>
      <c r="E603" t="s">
        <v>26</v>
      </c>
      <c r="F603" t="s">
        <v>41</v>
      </c>
      <c r="G603">
        <v>70002188</v>
      </c>
      <c r="H603">
        <v>4511445856</v>
      </c>
      <c r="I603">
        <v>20</v>
      </c>
      <c r="J603" s="7">
        <v>1</v>
      </c>
      <c r="K603" s="7" t="str">
        <f>IFERROR(VLOOKUP(Detalle_OC[[#This Row],[Centro]]&amp;Detalle_OC[[#This Row],[Nro Almacen]],Almacen!A:D,4,FALSE),"")</f>
        <v>Montelima</v>
      </c>
    </row>
    <row r="604" spans="1:11" x14ac:dyDescent="0.35">
      <c r="A604" s="7" t="str">
        <f>Detalle_OC[[#This Row],[Centro]]&amp;Detalle_OC[[#This Row],[Nom Almacen]]&amp;Detalle_OC[[#This Row],[Material]]&amp;Detalle_OC[[#This Row],[Pedido]]&amp;Detalle_OC[[#This Row],[Posicion]]</f>
        <v>Sucroalcolera del Chira PlantaMontelima70002188451144891110</v>
      </c>
      <c r="B604" t="s">
        <v>108</v>
      </c>
      <c r="C604" t="s">
        <v>418</v>
      </c>
      <c r="D604" s="17">
        <v>44981</v>
      </c>
      <c r="E604" t="s">
        <v>26</v>
      </c>
      <c r="F604" t="s">
        <v>41</v>
      </c>
      <c r="G604">
        <v>70002188</v>
      </c>
      <c r="H604">
        <v>4511448911</v>
      </c>
      <c r="I604">
        <v>10</v>
      </c>
      <c r="J604" s="7">
        <v>1</v>
      </c>
      <c r="K604" s="7" t="str">
        <f>IFERROR(VLOOKUP(Detalle_OC[[#This Row],[Centro]]&amp;Detalle_OC[[#This Row],[Nro Almacen]],Almacen!A:D,4,FALSE),"")</f>
        <v>Montelima</v>
      </c>
    </row>
    <row r="605" spans="1:11" x14ac:dyDescent="0.35">
      <c r="A605" s="7" t="str">
        <f>Detalle_OC[[#This Row],[Centro]]&amp;Detalle_OC[[#This Row],[Nom Almacen]]&amp;Detalle_OC[[#This Row],[Material]]&amp;Detalle_OC[[#This Row],[Pedido]]&amp;Detalle_OC[[#This Row],[Posicion]]</f>
        <v>Agricola del Chira PlantaLa Huaca700034355500023645220</v>
      </c>
      <c r="B605" t="s">
        <v>38</v>
      </c>
      <c r="C605" t="s">
        <v>427</v>
      </c>
      <c r="D605" s="17">
        <v>44426</v>
      </c>
      <c r="E605" t="s">
        <v>26</v>
      </c>
      <c r="F605" t="s">
        <v>27</v>
      </c>
      <c r="G605">
        <v>70003435</v>
      </c>
      <c r="H605">
        <v>5500023645</v>
      </c>
      <c r="I605">
        <v>220</v>
      </c>
      <c r="J605" s="7">
        <v>2</v>
      </c>
      <c r="K605" s="7" t="str">
        <f>IFERROR(VLOOKUP(Detalle_OC[[#This Row],[Centro]]&amp;Detalle_OC[[#This Row],[Nro Almacen]],Almacen!A:D,4,FALSE),"")</f>
        <v>La Huaca</v>
      </c>
    </row>
    <row r="606" spans="1:11" x14ac:dyDescent="0.35">
      <c r="A606" s="7" t="str">
        <f>Detalle_OC[[#This Row],[Centro]]&amp;Detalle_OC[[#This Row],[Nom Almacen]]&amp;Detalle_OC[[#This Row],[Material]]&amp;Detalle_OC[[#This Row],[Pedido]]&amp;Detalle_OC[[#This Row],[Posicion]]</f>
        <v>Agricola del Chira PlantaLa Huaca700034355500023645220</v>
      </c>
      <c r="B606" t="s">
        <v>38</v>
      </c>
      <c r="C606" t="s">
        <v>427</v>
      </c>
      <c r="D606" s="17">
        <v>45008</v>
      </c>
      <c r="E606" t="s">
        <v>26</v>
      </c>
      <c r="F606" t="s">
        <v>27</v>
      </c>
      <c r="G606">
        <v>70003435</v>
      </c>
      <c r="H606">
        <v>5500023645</v>
      </c>
      <c r="I606">
        <v>220</v>
      </c>
      <c r="J606" s="7">
        <v>2</v>
      </c>
      <c r="K606" s="7" t="str">
        <f>IFERROR(VLOOKUP(Detalle_OC[[#This Row],[Centro]]&amp;Detalle_OC[[#This Row],[Nro Almacen]],Almacen!A:D,4,FALSE),"")</f>
        <v>La Huaca</v>
      </c>
    </row>
    <row r="607" spans="1:11" x14ac:dyDescent="0.35">
      <c r="A607" s="7" t="str">
        <f>Detalle_OC[[#This Row],[Centro]]&amp;Detalle_OC[[#This Row],[Nom Almacen]]&amp;Detalle_OC[[#This Row],[Material]]&amp;Detalle_OC[[#This Row],[Pedido]]&amp;Detalle_OC[[#This Row],[Posicion]]</f>
        <v>Agricola del Chira PlantaLa Huaca700034365500023645200</v>
      </c>
      <c r="B607" t="s">
        <v>38</v>
      </c>
      <c r="C607" t="s">
        <v>427</v>
      </c>
      <c r="D607" s="17">
        <v>44426</v>
      </c>
      <c r="E607" t="s">
        <v>26</v>
      </c>
      <c r="F607" t="s">
        <v>27</v>
      </c>
      <c r="G607">
        <v>70003436</v>
      </c>
      <c r="H607">
        <v>5500023645</v>
      </c>
      <c r="I607">
        <v>200</v>
      </c>
      <c r="J607" s="7">
        <v>2</v>
      </c>
      <c r="K607" s="7" t="str">
        <f>IFERROR(VLOOKUP(Detalle_OC[[#This Row],[Centro]]&amp;Detalle_OC[[#This Row],[Nro Almacen]],Almacen!A:D,4,FALSE),"")</f>
        <v>La Huaca</v>
      </c>
    </row>
    <row r="608" spans="1:11" x14ac:dyDescent="0.35">
      <c r="A608" s="7" t="str">
        <f>Detalle_OC[[#This Row],[Centro]]&amp;Detalle_OC[[#This Row],[Nom Almacen]]&amp;Detalle_OC[[#This Row],[Material]]&amp;Detalle_OC[[#This Row],[Pedido]]&amp;Detalle_OC[[#This Row],[Posicion]]</f>
        <v>Agricola del Chira PlantaLa Huaca700034365500023645200</v>
      </c>
      <c r="B608" t="s">
        <v>38</v>
      </c>
      <c r="C608" t="s">
        <v>427</v>
      </c>
      <c r="D608" s="17">
        <v>44482</v>
      </c>
      <c r="E608" t="s">
        <v>26</v>
      </c>
      <c r="F608" t="s">
        <v>27</v>
      </c>
      <c r="G608">
        <v>70003436</v>
      </c>
      <c r="H608">
        <v>5500023645</v>
      </c>
      <c r="I608">
        <v>200</v>
      </c>
      <c r="J608" s="7">
        <v>2</v>
      </c>
      <c r="K608" s="7" t="str">
        <f>IFERROR(VLOOKUP(Detalle_OC[[#This Row],[Centro]]&amp;Detalle_OC[[#This Row],[Nro Almacen]],Almacen!A:D,4,FALSE),"")</f>
        <v>La Huaca</v>
      </c>
    </row>
    <row r="609" spans="1:11" x14ac:dyDescent="0.35">
      <c r="A609" s="7" t="str">
        <f>Detalle_OC[[#This Row],[Centro]]&amp;Detalle_OC[[#This Row],[Nom Almacen]]&amp;Detalle_OC[[#This Row],[Material]]&amp;Detalle_OC[[#This Row],[Pedido]]&amp;Detalle_OC[[#This Row],[Posicion]]</f>
        <v>Agricola del Chira PlantaLa Huaca700034365500023645200</v>
      </c>
      <c r="B609" t="s">
        <v>38</v>
      </c>
      <c r="C609" t="s">
        <v>427</v>
      </c>
      <c r="D609" s="17">
        <v>44572</v>
      </c>
      <c r="E609" t="s">
        <v>26</v>
      </c>
      <c r="F609" t="s">
        <v>27</v>
      </c>
      <c r="G609">
        <v>70003436</v>
      </c>
      <c r="H609">
        <v>5500023645</v>
      </c>
      <c r="I609">
        <v>200</v>
      </c>
      <c r="J609" s="7">
        <v>2</v>
      </c>
      <c r="K609" s="7" t="str">
        <f>IFERROR(VLOOKUP(Detalle_OC[[#This Row],[Centro]]&amp;Detalle_OC[[#This Row],[Nro Almacen]],Almacen!A:D,4,FALSE),"")</f>
        <v>La Huaca</v>
      </c>
    </row>
    <row r="610" spans="1:11" x14ac:dyDescent="0.35">
      <c r="A610" s="7" t="str">
        <f>Detalle_OC[[#This Row],[Centro]]&amp;Detalle_OC[[#This Row],[Nom Almacen]]&amp;Detalle_OC[[#This Row],[Material]]&amp;Detalle_OC[[#This Row],[Pedido]]&amp;Detalle_OC[[#This Row],[Posicion]]</f>
        <v>Agricola del Chira PlantaLa Huaca700034365500023645200</v>
      </c>
      <c r="B610" t="s">
        <v>38</v>
      </c>
      <c r="C610" t="s">
        <v>427</v>
      </c>
      <c r="D610" s="17">
        <v>44662</v>
      </c>
      <c r="E610" t="s">
        <v>26</v>
      </c>
      <c r="F610" t="s">
        <v>27</v>
      </c>
      <c r="G610">
        <v>70003436</v>
      </c>
      <c r="H610">
        <v>5500023645</v>
      </c>
      <c r="I610">
        <v>200</v>
      </c>
      <c r="J610" s="7">
        <v>2</v>
      </c>
      <c r="K610" s="7" t="str">
        <f>IFERROR(VLOOKUP(Detalle_OC[[#This Row],[Centro]]&amp;Detalle_OC[[#This Row],[Nro Almacen]],Almacen!A:D,4,FALSE),"")</f>
        <v>La Huaca</v>
      </c>
    </row>
    <row r="611" spans="1:11" x14ac:dyDescent="0.35">
      <c r="A611" s="7" t="str">
        <f>Detalle_OC[[#This Row],[Centro]]&amp;Detalle_OC[[#This Row],[Nom Almacen]]&amp;Detalle_OC[[#This Row],[Material]]&amp;Detalle_OC[[#This Row],[Pedido]]&amp;Detalle_OC[[#This Row],[Posicion]]</f>
        <v>Agricola del Chira PlantaLa Huaca700034365500023645200</v>
      </c>
      <c r="B611" t="s">
        <v>38</v>
      </c>
      <c r="C611" t="s">
        <v>427</v>
      </c>
      <c r="D611" s="17">
        <v>44772</v>
      </c>
      <c r="E611" t="s">
        <v>26</v>
      </c>
      <c r="F611" t="s">
        <v>27</v>
      </c>
      <c r="G611">
        <v>70003436</v>
      </c>
      <c r="H611">
        <v>5500023645</v>
      </c>
      <c r="I611">
        <v>200</v>
      </c>
      <c r="J611" s="7">
        <v>2</v>
      </c>
      <c r="K611" s="7" t="str">
        <f>IFERROR(VLOOKUP(Detalle_OC[[#This Row],[Centro]]&amp;Detalle_OC[[#This Row],[Nro Almacen]],Almacen!A:D,4,FALSE),"")</f>
        <v>La Huaca</v>
      </c>
    </row>
    <row r="612" spans="1:11" x14ac:dyDescent="0.35">
      <c r="A612" s="7" t="str">
        <f>Detalle_OC[[#This Row],[Centro]]&amp;Detalle_OC[[#This Row],[Nom Almacen]]&amp;Detalle_OC[[#This Row],[Material]]&amp;Detalle_OC[[#This Row],[Pedido]]&amp;Detalle_OC[[#This Row],[Posicion]]</f>
        <v>Agricola del Chira PlantaLa Huaca700034365500023645200</v>
      </c>
      <c r="B612" t="s">
        <v>38</v>
      </c>
      <c r="C612" t="s">
        <v>427</v>
      </c>
      <c r="D612" s="17">
        <v>44863</v>
      </c>
      <c r="E612" t="s">
        <v>26</v>
      </c>
      <c r="F612" t="s">
        <v>27</v>
      </c>
      <c r="G612">
        <v>70003436</v>
      </c>
      <c r="H612">
        <v>5500023645</v>
      </c>
      <c r="I612">
        <v>200</v>
      </c>
      <c r="J612" s="7">
        <v>2</v>
      </c>
      <c r="K612" s="7" t="str">
        <f>IFERROR(VLOOKUP(Detalle_OC[[#This Row],[Centro]]&amp;Detalle_OC[[#This Row],[Nro Almacen]],Almacen!A:D,4,FALSE),"")</f>
        <v>La Huaca</v>
      </c>
    </row>
    <row r="613" spans="1:11" x14ac:dyDescent="0.35">
      <c r="A613" s="7" t="str">
        <f>Detalle_OC[[#This Row],[Centro]]&amp;Detalle_OC[[#This Row],[Nom Almacen]]&amp;Detalle_OC[[#This Row],[Material]]&amp;Detalle_OC[[#This Row],[Pedido]]&amp;Detalle_OC[[#This Row],[Posicion]]</f>
        <v>Agricola del Chira PlantaLa Huaca700034365500023645200</v>
      </c>
      <c r="B613" t="s">
        <v>38</v>
      </c>
      <c r="C613" t="s">
        <v>427</v>
      </c>
      <c r="D613" s="17">
        <v>45007</v>
      </c>
      <c r="E613" t="s">
        <v>26</v>
      </c>
      <c r="F613" t="s">
        <v>27</v>
      </c>
      <c r="G613">
        <v>70003436</v>
      </c>
      <c r="H613">
        <v>5500023645</v>
      </c>
      <c r="I613">
        <v>200</v>
      </c>
      <c r="J613" s="7">
        <v>2</v>
      </c>
      <c r="K613" s="7" t="str">
        <f>IFERROR(VLOOKUP(Detalle_OC[[#This Row],[Centro]]&amp;Detalle_OC[[#This Row],[Nro Almacen]],Almacen!A:D,4,FALSE),"")</f>
        <v>La Huaca</v>
      </c>
    </row>
    <row r="614" spans="1:11" x14ac:dyDescent="0.35">
      <c r="A614" s="7" t="str">
        <f>Detalle_OC[[#This Row],[Centro]]&amp;Detalle_OC[[#This Row],[Nom Almacen]]&amp;Detalle_OC[[#This Row],[Material]]&amp;Detalle_OC[[#This Row],[Pedido]]&amp;Detalle_OC[[#This Row],[Posicion]]</f>
        <v>Agricola del Chira PlantaLa Huaca700034365500023645200</v>
      </c>
      <c r="B614" t="s">
        <v>38</v>
      </c>
      <c r="C614" t="s">
        <v>427</v>
      </c>
      <c r="D614" s="17">
        <v>45008</v>
      </c>
      <c r="E614" t="s">
        <v>26</v>
      </c>
      <c r="F614" t="s">
        <v>27</v>
      </c>
      <c r="G614">
        <v>70003436</v>
      </c>
      <c r="H614">
        <v>5500023645</v>
      </c>
      <c r="I614">
        <v>200</v>
      </c>
      <c r="J614" s="7">
        <v>2</v>
      </c>
      <c r="K614" s="7" t="str">
        <f>IFERROR(VLOOKUP(Detalle_OC[[#This Row],[Centro]]&amp;Detalle_OC[[#This Row],[Nro Almacen]],Almacen!A:D,4,FALSE),"")</f>
        <v>La Huaca</v>
      </c>
    </row>
    <row r="615" spans="1:11" x14ac:dyDescent="0.35">
      <c r="A615" s="7" t="str">
        <f>Detalle_OC[[#This Row],[Centro]]&amp;Detalle_OC[[#This Row],[Nom Almacen]]&amp;Detalle_OC[[#This Row],[Material]]&amp;Detalle_OC[[#This Row],[Pedido]]&amp;Detalle_OC[[#This Row],[Posicion]]</f>
        <v>Agricola del Chira PlantaLa Huaca700034375500023645160</v>
      </c>
      <c r="B615" t="s">
        <v>38</v>
      </c>
      <c r="C615" t="s">
        <v>427</v>
      </c>
      <c r="D615" s="17">
        <v>44426</v>
      </c>
      <c r="E615" t="s">
        <v>26</v>
      </c>
      <c r="F615" t="s">
        <v>27</v>
      </c>
      <c r="G615">
        <v>70003437</v>
      </c>
      <c r="H615">
        <v>5500023645</v>
      </c>
      <c r="I615">
        <v>160</v>
      </c>
      <c r="J615" s="7">
        <v>2</v>
      </c>
      <c r="K615" s="7" t="str">
        <f>IFERROR(VLOOKUP(Detalle_OC[[#This Row],[Centro]]&amp;Detalle_OC[[#This Row],[Nro Almacen]],Almacen!A:D,4,FALSE),"")</f>
        <v>La Huaca</v>
      </c>
    </row>
    <row r="616" spans="1:11" x14ac:dyDescent="0.35">
      <c r="A616" s="7" t="str">
        <f>Detalle_OC[[#This Row],[Centro]]&amp;Detalle_OC[[#This Row],[Nom Almacen]]&amp;Detalle_OC[[#This Row],[Material]]&amp;Detalle_OC[[#This Row],[Pedido]]&amp;Detalle_OC[[#This Row],[Posicion]]</f>
        <v>Agricola del Chira PlantaLa Huaca700034375500023645160</v>
      </c>
      <c r="B616" t="s">
        <v>38</v>
      </c>
      <c r="C616" t="s">
        <v>427</v>
      </c>
      <c r="D616" s="17">
        <v>44482</v>
      </c>
      <c r="E616" t="s">
        <v>26</v>
      </c>
      <c r="F616" t="s">
        <v>27</v>
      </c>
      <c r="G616">
        <v>70003437</v>
      </c>
      <c r="H616">
        <v>5500023645</v>
      </c>
      <c r="I616">
        <v>160</v>
      </c>
      <c r="J616" s="7">
        <v>2</v>
      </c>
      <c r="K616" s="7" t="str">
        <f>IFERROR(VLOOKUP(Detalle_OC[[#This Row],[Centro]]&amp;Detalle_OC[[#This Row],[Nro Almacen]],Almacen!A:D,4,FALSE),"")</f>
        <v>La Huaca</v>
      </c>
    </row>
    <row r="617" spans="1:11" x14ac:dyDescent="0.35">
      <c r="A617" s="7" t="str">
        <f>Detalle_OC[[#This Row],[Centro]]&amp;Detalle_OC[[#This Row],[Nom Almacen]]&amp;Detalle_OC[[#This Row],[Material]]&amp;Detalle_OC[[#This Row],[Pedido]]&amp;Detalle_OC[[#This Row],[Posicion]]</f>
        <v>Agricola del Chira PlantaLa Huaca700034375500023645160</v>
      </c>
      <c r="B617" t="s">
        <v>38</v>
      </c>
      <c r="C617" t="s">
        <v>427</v>
      </c>
      <c r="D617" s="17">
        <v>44543</v>
      </c>
      <c r="E617" t="s">
        <v>26</v>
      </c>
      <c r="F617" t="s">
        <v>27</v>
      </c>
      <c r="G617">
        <v>70003437</v>
      </c>
      <c r="H617">
        <v>5500023645</v>
      </c>
      <c r="I617">
        <v>160</v>
      </c>
      <c r="J617" s="7">
        <v>2</v>
      </c>
      <c r="K617" s="7" t="str">
        <f>IFERROR(VLOOKUP(Detalle_OC[[#This Row],[Centro]]&amp;Detalle_OC[[#This Row],[Nro Almacen]],Almacen!A:D,4,FALSE),"")</f>
        <v>La Huaca</v>
      </c>
    </row>
    <row r="618" spans="1:11" x14ac:dyDescent="0.35">
      <c r="A618" s="7" t="str">
        <f>Detalle_OC[[#This Row],[Centro]]&amp;Detalle_OC[[#This Row],[Nom Almacen]]&amp;Detalle_OC[[#This Row],[Material]]&amp;Detalle_OC[[#This Row],[Pedido]]&amp;Detalle_OC[[#This Row],[Posicion]]</f>
        <v>Agricola del Chira PlantaLa Huaca700034375500023645160</v>
      </c>
      <c r="B618" t="s">
        <v>38</v>
      </c>
      <c r="C618" t="s">
        <v>427</v>
      </c>
      <c r="D618" s="17">
        <v>44949</v>
      </c>
      <c r="E618" t="s">
        <v>26</v>
      </c>
      <c r="F618" t="s">
        <v>27</v>
      </c>
      <c r="G618">
        <v>70003437</v>
      </c>
      <c r="H618">
        <v>5500023645</v>
      </c>
      <c r="I618">
        <v>160</v>
      </c>
      <c r="J618" s="7">
        <v>2</v>
      </c>
      <c r="K618" s="7" t="str">
        <f>IFERROR(VLOOKUP(Detalle_OC[[#This Row],[Centro]]&amp;Detalle_OC[[#This Row],[Nro Almacen]],Almacen!A:D,4,FALSE),"")</f>
        <v>La Huaca</v>
      </c>
    </row>
    <row r="619" spans="1:11" x14ac:dyDescent="0.35">
      <c r="A619" s="7" t="str">
        <f>Detalle_OC[[#This Row],[Centro]]&amp;Detalle_OC[[#This Row],[Nom Almacen]]&amp;Detalle_OC[[#This Row],[Material]]&amp;Detalle_OC[[#This Row],[Pedido]]&amp;Detalle_OC[[#This Row],[Posicion]]</f>
        <v>Agricola del Chira PlantaLa Huaca700034375500023645160</v>
      </c>
      <c r="B619" t="s">
        <v>38</v>
      </c>
      <c r="C619" t="s">
        <v>427</v>
      </c>
      <c r="D619" s="17">
        <v>45007</v>
      </c>
      <c r="E619" t="s">
        <v>26</v>
      </c>
      <c r="F619" t="s">
        <v>27</v>
      </c>
      <c r="G619">
        <v>70003437</v>
      </c>
      <c r="H619">
        <v>5500023645</v>
      </c>
      <c r="I619">
        <v>160</v>
      </c>
      <c r="J619" s="7">
        <v>2</v>
      </c>
      <c r="K619" s="7" t="str">
        <f>IFERROR(VLOOKUP(Detalle_OC[[#This Row],[Centro]]&amp;Detalle_OC[[#This Row],[Nro Almacen]],Almacen!A:D,4,FALSE),"")</f>
        <v>La Huaca</v>
      </c>
    </row>
    <row r="620" spans="1:11" x14ac:dyDescent="0.35">
      <c r="A620" s="7" t="str">
        <f>Detalle_OC[[#This Row],[Centro]]&amp;Detalle_OC[[#This Row],[Nom Almacen]]&amp;Detalle_OC[[#This Row],[Material]]&amp;Detalle_OC[[#This Row],[Pedido]]&amp;Detalle_OC[[#This Row],[Posicion]]</f>
        <v>Agricola del Chira PlantaLa Huaca700034375500023645160</v>
      </c>
      <c r="B620" t="s">
        <v>38</v>
      </c>
      <c r="C620" t="s">
        <v>427</v>
      </c>
      <c r="D620" s="17">
        <v>45008</v>
      </c>
      <c r="E620" t="s">
        <v>26</v>
      </c>
      <c r="F620" t="s">
        <v>27</v>
      </c>
      <c r="G620">
        <v>70003437</v>
      </c>
      <c r="H620">
        <v>5500023645</v>
      </c>
      <c r="I620">
        <v>160</v>
      </c>
      <c r="J620" s="7">
        <v>2</v>
      </c>
      <c r="K620" s="7" t="str">
        <f>IFERROR(VLOOKUP(Detalle_OC[[#This Row],[Centro]]&amp;Detalle_OC[[#This Row],[Nro Almacen]],Almacen!A:D,4,FALSE),"")</f>
        <v>La Huaca</v>
      </c>
    </row>
    <row r="621" spans="1:11" x14ac:dyDescent="0.35">
      <c r="A621" s="7" t="str">
        <f>Detalle_OC[[#This Row],[Centro]]&amp;Detalle_OC[[#This Row],[Nom Almacen]]&amp;Detalle_OC[[#This Row],[Material]]&amp;Detalle_OC[[#This Row],[Pedido]]&amp;Detalle_OC[[#This Row],[Posicion]]</f>
        <v>Agricola del Chira PlantaLa Huaca700034395500023645230</v>
      </c>
      <c r="B621" t="s">
        <v>38</v>
      </c>
      <c r="C621" t="s">
        <v>427</v>
      </c>
      <c r="D621" s="17">
        <v>44602</v>
      </c>
      <c r="E621" t="s">
        <v>26</v>
      </c>
      <c r="F621" t="s">
        <v>27</v>
      </c>
      <c r="G621">
        <v>70003439</v>
      </c>
      <c r="H621">
        <v>5500023645</v>
      </c>
      <c r="I621">
        <v>230</v>
      </c>
      <c r="J621" s="7">
        <v>2</v>
      </c>
      <c r="K621" s="7" t="str">
        <f>IFERROR(VLOOKUP(Detalle_OC[[#This Row],[Centro]]&amp;Detalle_OC[[#This Row],[Nro Almacen]],Almacen!A:D,4,FALSE),"")</f>
        <v>La Huaca</v>
      </c>
    </row>
    <row r="622" spans="1:11" x14ac:dyDescent="0.35">
      <c r="A622" s="7" t="str">
        <f>Detalle_OC[[#This Row],[Centro]]&amp;Detalle_OC[[#This Row],[Nom Almacen]]&amp;Detalle_OC[[#This Row],[Material]]&amp;Detalle_OC[[#This Row],[Pedido]]&amp;Detalle_OC[[#This Row],[Posicion]]</f>
        <v>Agricola del Chira PlantaLa Huaca700034395500023645230</v>
      </c>
      <c r="B622" t="s">
        <v>38</v>
      </c>
      <c r="C622" t="s">
        <v>427</v>
      </c>
      <c r="D622" s="17">
        <v>44949</v>
      </c>
      <c r="E622" t="s">
        <v>26</v>
      </c>
      <c r="F622" t="s">
        <v>27</v>
      </c>
      <c r="G622">
        <v>70003439</v>
      </c>
      <c r="H622">
        <v>5500023645</v>
      </c>
      <c r="I622">
        <v>230</v>
      </c>
      <c r="J622" s="7">
        <v>2</v>
      </c>
      <c r="K622" s="7" t="str">
        <f>IFERROR(VLOOKUP(Detalle_OC[[#This Row],[Centro]]&amp;Detalle_OC[[#This Row],[Nro Almacen]],Almacen!A:D,4,FALSE),"")</f>
        <v>La Huaca</v>
      </c>
    </row>
    <row r="623" spans="1:11" x14ac:dyDescent="0.35">
      <c r="A623" s="7" t="str">
        <f>Detalle_OC[[#This Row],[Centro]]&amp;Detalle_OC[[#This Row],[Nom Almacen]]&amp;Detalle_OC[[#This Row],[Material]]&amp;Detalle_OC[[#This Row],[Pedido]]&amp;Detalle_OC[[#This Row],[Posicion]]</f>
        <v>Agricola del Chira PlantaLa Huaca70003827550002364560</v>
      </c>
      <c r="B623" t="s">
        <v>38</v>
      </c>
      <c r="C623" t="s">
        <v>427</v>
      </c>
      <c r="D623" s="17">
        <v>44937</v>
      </c>
      <c r="E623" t="s">
        <v>26</v>
      </c>
      <c r="F623" t="s">
        <v>27</v>
      </c>
      <c r="G623">
        <v>70003827</v>
      </c>
      <c r="H623">
        <v>5500023645</v>
      </c>
      <c r="I623">
        <v>60</v>
      </c>
      <c r="J623" s="7">
        <v>2</v>
      </c>
      <c r="K623" s="7" t="str">
        <f>IFERROR(VLOOKUP(Detalle_OC[[#This Row],[Centro]]&amp;Detalle_OC[[#This Row],[Nro Almacen]],Almacen!A:D,4,FALSE),"")</f>
        <v>La Huaca</v>
      </c>
    </row>
    <row r="624" spans="1:11" x14ac:dyDescent="0.35">
      <c r="A624" s="7" t="str">
        <f>Detalle_OC[[#This Row],[Centro]]&amp;Detalle_OC[[#This Row],[Nom Almacen]]&amp;Detalle_OC[[#This Row],[Material]]&amp;Detalle_OC[[#This Row],[Pedido]]&amp;Detalle_OC[[#This Row],[Posicion]]</f>
        <v>Agricola del Chira PlantaLa Huaca70003827550002364560</v>
      </c>
      <c r="B624" t="s">
        <v>38</v>
      </c>
      <c r="C624" t="s">
        <v>427</v>
      </c>
      <c r="D624" s="17">
        <v>44965</v>
      </c>
      <c r="E624" t="s">
        <v>26</v>
      </c>
      <c r="F624" t="s">
        <v>27</v>
      </c>
      <c r="G624">
        <v>70003827</v>
      </c>
      <c r="H624">
        <v>5500023645</v>
      </c>
      <c r="I624">
        <v>60</v>
      </c>
      <c r="J624" s="7">
        <v>2</v>
      </c>
      <c r="K624" s="7" t="str">
        <f>IFERROR(VLOOKUP(Detalle_OC[[#This Row],[Centro]]&amp;Detalle_OC[[#This Row],[Nro Almacen]],Almacen!A:D,4,FALSE),"")</f>
        <v>La Huaca</v>
      </c>
    </row>
    <row r="625" spans="1:11" x14ac:dyDescent="0.35">
      <c r="A625" s="7" t="str">
        <f>Detalle_OC[[#This Row],[Centro]]&amp;Detalle_OC[[#This Row],[Nom Almacen]]&amp;Detalle_OC[[#This Row],[Material]]&amp;Detalle_OC[[#This Row],[Pedido]]&amp;Detalle_OC[[#This Row],[Posicion]]</f>
        <v>Agricola del Chira PlantaLa Huaca70004293550002364530</v>
      </c>
      <c r="B625" t="s">
        <v>38</v>
      </c>
      <c r="C625" t="s">
        <v>427</v>
      </c>
      <c r="D625" s="17">
        <v>44629</v>
      </c>
      <c r="E625" t="s">
        <v>26</v>
      </c>
      <c r="F625" t="s">
        <v>27</v>
      </c>
      <c r="G625">
        <v>70004293</v>
      </c>
      <c r="H625">
        <v>5500023645</v>
      </c>
      <c r="I625">
        <v>30</v>
      </c>
      <c r="J625" s="7">
        <v>2</v>
      </c>
      <c r="K625" s="7" t="str">
        <f>IFERROR(VLOOKUP(Detalle_OC[[#This Row],[Centro]]&amp;Detalle_OC[[#This Row],[Nro Almacen]],Almacen!A:D,4,FALSE),"")</f>
        <v>La Huaca</v>
      </c>
    </row>
    <row r="626" spans="1:11" x14ac:dyDescent="0.35">
      <c r="A626" s="7" t="str">
        <f>Detalle_OC[[#This Row],[Centro]]&amp;Detalle_OC[[#This Row],[Nom Almacen]]&amp;Detalle_OC[[#This Row],[Material]]&amp;Detalle_OC[[#This Row],[Pedido]]&amp;Detalle_OC[[#This Row],[Posicion]]</f>
        <v>Agricola del Chira PlantaLa Huaca70004293550002364530</v>
      </c>
      <c r="B626" t="s">
        <v>38</v>
      </c>
      <c r="C626" t="s">
        <v>427</v>
      </c>
      <c r="D626" s="17">
        <v>44875</v>
      </c>
      <c r="E626" t="s">
        <v>26</v>
      </c>
      <c r="F626" t="s">
        <v>27</v>
      </c>
      <c r="G626">
        <v>70004293</v>
      </c>
      <c r="H626">
        <v>5500023645</v>
      </c>
      <c r="I626">
        <v>30</v>
      </c>
      <c r="J626" s="7">
        <v>2</v>
      </c>
      <c r="K626" s="7" t="str">
        <f>IFERROR(VLOOKUP(Detalle_OC[[#This Row],[Centro]]&amp;Detalle_OC[[#This Row],[Nro Almacen]],Almacen!A:D,4,FALSE),"")</f>
        <v>La Huaca</v>
      </c>
    </row>
    <row r="627" spans="1:11" x14ac:dyDescent="0.35">
      <c r="A627" s="7" t="str">
        <f>Detalle_OC[[#This Row],[Centro]]&amp;Detalle_OC[[#This Row],[Nom Almacen]]&amp;Detalle_OC[[#This Row],[Material]]&amp;Detalle_OC[[#This Row],[Pedido]]&amp;Detalle_OC[[#This Row],[Posicion]]</f>
        <v>Agricola del Chira PlantaLa Huaca700042975500023645190</v>
      </c>
      <c r="B627" t="s">
        <v>38</v>
      </c>
      <c r="C627" t="s">
        <v>427</v>
      </c>
      <c r="D627" s="17">
        <v>44426</v>
      </c>
      <c r="E627" t="s">
        <v>26</v>
      </c>
      <c r="F627" t="s">
        <v>27</v>
      </c>
      <c r="G627">
        <v>70004297</v>
      </c>
      <c r="H627">
        <v>5500023645</v>
      </c>
      <c r="I627">
        <v>190</v>
      </c>
      <c r="J627" s="7">
        <v>2</v>
      </c>
      <c r="K627" s="7" t="str">
        <f>IFERROR(VLOOKUP(Detalle_OC[[#This Row],[Centro]]&amp;Detalle_OC[[#This Row],[Nro Almacen]],Almacen!A:D,4,FALSE),"")</f>
        <v>La Huaca</v>
      </c>
    </row>
    <row r="628" spans="1:11" x14ac:dyDescent="0.35">
      <c r="A628" s="7" t="str">
        <f>Detalle_OC[[#This Row],[Centro]]&amp;Detalle_OC[[#This Row],[Nom Almacen]]&amp;Detalle_OC[[#This Row],[Material]]&amp;Detalle_OC[[#This Row],[Pedido]]&amp;Detalle_OC[[#This Row],[Posicion]]</f>
        <v>Agricola del Chira PlantaLa Huaca700042975500023645190</v>
      </c>
      <c r="B628" t="s">
        <v>38</v>
      </c>
      <c r="C628" t="s">
        <v>427</v>
      </c>
      <c r="D628" s="17">
        <v>44937</v>
      </c>
      <c r="E628" t="s">
        <v>26</v>
      </c>
      <c r="F628" t="s">
        <v>27</v>
      </c>
      <c r="G628">
        <v>70004297</v>
      </c>
      <c r="H628">
        <v>5500023645</v>
      </c>
      <c r="I628">
        <v>190</v>
      </c>
      <c r="J628" s="7">
        <v>2</v>
      </c>
      <c r="K628" s="7" t="str">
        <f>IFERROR(VLOOKUP(Detalle_OC[[#This Row],[Centro]]&amp;Detalle_OC[[#This Row],[Nro Almacen]],Almacen!A:D,4,FALSE),"")</f>
        <v>La Huaca</v>
      </c>
    </row>
    <row r="629" spans="1:11" x14ac:dyDescent="0.35">
      <c r="A629" s="7" t="str">
        <f>Detalle_OC[[#This Row],[Centro]]&amp;Detalle_OC[[#This Row],[Nom Almacen]]&amp;Detalle_OC[[#This Row],[Material]]&amp;Detalle_OC[[#This Row],[Pedido]]&amp;Detalle_OC[[#This Row],[Posicion]]</f>
        <v>Agricola del Chira PlantaLa Huaca700043035500023645320</v>
      </c>
      <c r="B629" t="s">
        <v>38</v>
      </c>
      <c r="C629" t="s">
        <v>427</v>
      </c>
      <c r="D629" s="17">
        <v>44442</v>
      </c>
      <c r="E629" t="s">
        <v>26</v>
      </c>
      <c r="F629" t="s">
        <v>27</v>
      </c>
      <c r="G629">
        <v>70004303</v>
      </c>
      <c r="H629">
        <v>5500023645</v>
      </c>
      <c r="I629">
        <v>320</v>
      </c>
      <c r="J629" s="7">
        <v>2</v>
      </c>
      <c r="K629" s="7" t="str">
        <f>IFERROR(VLOOKUP(Detalle_OC[[#This Row],[Centro]]&amp;Detalle_OC[[#This Row],[Nro Almacen]],Almacen!A:D,4,FALSE),"")</f>
        <v>La Huaca</v>
      </c>
    </row>
    <row r="630" spans="1:11" x14ac:dyDescent="0.35">
      <c r="A630" s="7" t="str">
        <f>Detalle_OC[[#This Row],[Centro]]&amp;Detalle_OC[[#This Row],[Nom Almacen]]&amp;Detalle_OC[[#This Row],[Material]]&amp;Detalle_OC[[#This Row],[Pedido]]&amp;Detalle_OC[[#This Row],[Posicion]]</f>
        <v>Agricola del Chira PlantaLa Huaca700043035500023645320</v>
      </c>
      <c r="B630" t="s">
        <v>38</v>
      </c>
      <c r="C630" t="s">
        <v>427</v>
      </c>
      <c r="D630" s="17">
        <v>44965</v>
      </c>
      <c r="E630" t="s">
        <v>26</v>
      </c>
      <c r="F630" t="s">
        <v>27</v>
      </c>
      <c r="G630">
        <v>70004303</v>
      </c>
      <c r="H630">
        <v>5500023645</v>
      </c>
      <c r="I630">
        <v>320</v>
      </c>
      <c r="J630" s="7">
        <v>2</v>
      </c>
      <c r="K630" s="7" t="str">
        <f>IFERROR(VLOOKUP(Detalle_OC[[#This Row],[Centro]]&amp;Detalle_OC[[#This Row],[Nro Almacen]],Almacen!A:D,4,FALSE),"")</f>
        <v>La Huaca</v>
      </c>
    </row>
    <row r="631" spans="1:11" x14ac:dyDescent="0.35">
      <c r="A631" s="7" t="str">
        <f>Detalle_OC[[#This Row],[Centro]]&amp;Detalle_OC[[#This Row],[Nom Almacen]]&amp;Detalle_OC[[#This Row],[Material]]&amp;Detalle_OC[[#This Row],[Pedido]]&amp;Detalle_OC[[#This Row],[Posicion]]</f>
        <v>Agricola del Chira PlantaLa Huaca700043065500023645130</v>
      </c>
      <c r="B631" t="s">
        <v>38</v>
      </c>
      <c r="C631" t="s">
        <v>427</v>
      </c>
      <c r="D631" s="17">
        <v>44426</v>
      </c>
      <c r="E631" t="s">
        <v>26</v>
      </c>
      <c r="F631" t="s">
        <v>27</v>
      </c>
      <c r="G631">
        <v>70004306</v>
      </c>
      <c r="H631">
        <v>5500023645</v>
      </c>
      <c r="I631">
        <v>130</v>
      </c>
      <c r="J631" s="7">
        <v>2</v>
      </c>
      <c r="K631" s="7" t="str">
        <f>IFERROR(VLOOKUP(Detalle_OC[[#This Row],[Centro]]&amp;Detalle_OC[[#This Row],[Nro Almacen]],Almacen!A:D,4,FALSE),"")</f>
        <v>La Huaca</v>
      </c>
    </row>
    <row r="632" spans="1:11" x14ac:dyDescent="0.35">
      <c r="A632" s="7" t="str">
        <f>Detalle_OC[[#This Row],[Centro]]&amp;Detalle_OC[[#This Row],[Nom Almacen]]&amp;Detalle_OC[[#This Row],[Material]]&amp;Detalle_OC[[#This Row],[Pedido]]&amp;Detalle_OC[[#This Row],[Posicion]]</f>
        <v>Agricola del Chira PlantaLa Huaca700043065500023645130</v>
      </c>
      <c r="B632" t="s">
        <v>38</v>
      </c>
      <c r="C632" t="s">
        <v>427</v>
      </c>
      <c r="D632" s="17">
        <v>44482</v>
      </c>
      <c r="E632" t="s">
        <v>26</v>
      </c>
      <c r="F632" t="s">
        <v>27</v>
      </c>
      <c r="G632">
        <v>70004306</v>
      </c>
      <c r="H632">
        <v>5500023645</v>
      </c>
      <c r="I632">
        <v>130</v>
      </c>
      <c r="J632" s="7">
        <v>2</v>
      </c>
      <c r="K632" s="7" t="str">
        <f>IFERROR(VLOOKUP(Detalle_OC[[#This Row],[Centro]]&amp;Detalle_OC[[#This Row],[Nro Almacen]],Almacen!A:D,4,FALSE),"")</f>
        <v>La Huaca</v>
      </c>
    </row>
    <row r="633" spans="1:11" x14ac:dyDescent="0.35">
      <c r="A633" s="7" t="str">
        <f>Detalle_OC[[#This Row],[Centro]]&amp;Detalle_OC[[#This Row],[Nom Almacen]]&amp;Detalle_OC[[#This Row],[Material]]&amp;Detalle_OC[[#This Row],[Pedido]]&amp;Detalle_OC[[#This Row],[Posicion]]</f>
        <v>Agricola del Chira PlantaLa Huaca700043065500023645130</v>
      </c>
      <c r="B633" t="s">
        <v>38</v>
      </c>
      <c r="C633" t="s">
        <v>427</v>
      </c>
      <c r="D633" s="17">
        <v>44746</v>
      </c>
      <c r="E633" t="s">
        <v>26</v>
      </c>
      <c r="F633" t="s">
        <v>27</v>
      </c>
      <c r="G633">
        <v>70004306</v>
      </c>
      <c r="H633">
        <v>5500023645</v>
      </c>
      <c r="I633">
        <v>130</v>
      </c>
      <c r="J633" s="7">
        <v>2</v>
      </c>
      <c r="K633" s="7" t="str">
        <f>IFERROR(VLOOKUP(Detalle_OC[[#This Row],[Centro]]&amp;Detalle_OC[[#This Row],[Nro Almacen]],Almacen!A:D,4,FALSE),"")</f>
        <v>La Huaca</v>
      </c>
    </row>
    <row r="634" spans="1:11" x14ac:dyDescent="0.35">
      <c r="A634" s="7" t="str">
        <f>Detalle_OC[[#This Row],[Centro]]&amp;Detalle_OC[[#This Row],[Nom Almacen]]&amp;Detalle_OC[[#This Row],[Material]]&amp;Detalle_OC[[#This Row],[Pedido]]&amp;Detalle_OC[[#This Row],[Posicion]]</f>
        <v>Agricola del Chira PlantaLa Huaca700043065500023645130</v>
      </c>
      <c r="B634" t="s">
        <v>38</v>
      </c>
      <c r="C634" t="s">
        <v>427</v>
      </c>
      <c r="D634" s="17">
        <v>44949</v>
      </c>
      <c r="E634" t="s">
        <v>26</v>
      </c>
      <c r="F634" t="s">
        <v>27</v>
      </c>
      <c r="G634">
        <v>70004306</v>
      </c>
      <c r="H634">
        <v>5500023645</v>
      </c>
      <c r="I634">
        <v>130</v>
      </c>
      <c r="J634" s="7">
        <v>2</v>
      </c>
      <c r="K634" s="7" t="str">
        <f>IFERROR(VLOOKUP(Detalle_OC[[#This Row],[Centro]]&amp;Detalle_OC[[#This Row],[Nro Almacen]],Almacen!A:D,4,FALSE),"")</f>
        <v>La Huaca</v>
      </c>
    </row>
    <row r="635" spans="1:11" x14ac:dyDescent="0.35">
      <c r="A635" s="7" t="str">
        <f>Detalle_OC[[#This Row],[Centro]]&amp;Detalle_OC[[#This Row],[Nom Almacen]]&amp;Detalle_OC[[#This Row],[Material]]&amp;Detalle_OC[[#This Row],[Pedido]]&amp;Detalle_OC[[#This Row],[Posicion]]</f>
        <v>Agricola del Chira PlantaLa Huaca700043065500023645130</v>
      </c>
      <c r="B635" t="s">
        <v>38</v>
      </c>
      <c r="C635" t="s">
        <v>427</v>
      </c>
      <c r="D635" s="17">
        <v>44965</v>
      </c>
      <c r="E635" t="s">
        <v>26</v>
      </c>
      <c r="F635" t="s">
        <v>27</v>
      </c>
      <c r="G635">
        <v>70004306</v>
      </c>
      <c r="H635">
        <v>5500023645</v>
      </c>
      <c r="I635">
        <v>130</v>
      </c>
      <c r="J635" s="7">
        <v>2</v>
      </c>
      <c r="K635" s="7" t="str">
        <f>IFERROR(VLOOKUP(Detalle_OC[[#This Row],[Centro]]&amp;Detalle_OC[[#This Row],[Nro Almacen]],Almacen!A:D,4,FALSE),"")</f>
        <v>La Huaca</v>
      </c>
    </row>
    <row r="636" spans="1:11" x14ac:dyDescent="0.35">
      <c r="A636" s="7" t="str">
        <f>Detalle_OC[[#This Row],[Centro]]&amp;Detalle_OC[[#This Row],[Nom Almacen]]&amp;Detalle_OC[[#This Row],[Material]]&amp;Detalle_OC[[#This Row],[Pedido]]&amp;Detalle_OC[[#This Row],[Posicion]]</f>
        <v>Agricola del Chira PlantaLa Huaca700043105500023645110</v>
      </c>
      <c r="B636" t="s">
        <v>38</v>
      </c>
      <c r="C636" t="s">
        <v>427</v>
      </c>
      <c r="D636" s="17">
        <v>44426</v>
      </c>
      <c r="E636" t="s">
        <v>26</v>
      </c>
      <c r="F636" t="s">
        <v>27</v>
      </c>
      <c r="G636">
        <v>70004310</v>
      </c>
      <c r="H636">
        <v>5500023645</v>
      </c>
      <c r="I636">
        <v>110</v>
      </c>
      <c r="J636" s="7">
        <v>2</v>
      </c>
      <c r="K636" s="7" t="str">
        <f>IFERROR(VLOOKUP(Detalle_OC[[#This Row],[Centro]]&amp;Detalle_OC[[#This Row],[Nro Almacen]],Almacen!A:D,4,FALSE),"")</f>
        <v>La Huaca</v>
      </c>
    </row>
    <row r="637" spans="1:11" x14ac:dyDescent="0.35">
      <c r="A637" s="7" t="str">
        <f>Detalle_OC[[#This Row],[Centro]]&amp;Detalle_OC[[#This Row],[Nom Almacen]]&amp;Detalle_OC[[#This Row],[Material]]&amp;Detalle_OC[[#This Row],[Pedido]]&amp;Detalle_OC[[#This Row],[Posicion]]</f>
        <v>Agricola del Chira PlantaLa Huaca700043115500023645120</v>
      </c>
      <c r="B637" t="s">
        <v>38</v>
      </c>
      <c r="C637" t="s">
        <v>427</v>
      </c>
      <c r="D637" s="17">
        <v>44426</v>
      </c>
      <c r="E637" t="s">
        <v>26</v>
      </c>
      <c r="F637" t="s">
        <v>27</v>
      </c>
      <c r="G637">
        <v>70004311</v>
      </c>
      <c r="H637">
        <v>5500023645</v>
      </c>
      <c r="I637">
        <v>120</v>
      </c>
      <c r="J637" s="7">
        <v>2</v>
      </c>
      <c r="K637" s="7" t="str">
        <f>IFERROR(VLOOKUP(Detalle_OC[[#This Row],[Centro]]&amp;Detalle_OC[[#This Row],[Nro Almacen]],Almacen!A:D,4,FALSE),"")</f>
        <v>La Huaca</v>
      </c>
    </row>
    <row r="638" spans="1:11" x14ac:dyDescent="0.35">
      <c r="A638" s="7" t="str">
        <f>Detalle_OC[[#This Row],[Centro]]&amp;Detalle_OC[[#This Row],[Nom Almacen]]&amp;Detalle_OC[[#This Row],[Material]]&amp;Detalle_OC[[#This Row],[Pedido]]&amp;Detalle_OC[[#This Row],[Posicion]]</f>
        <v>Agricola del Chira PlantaLa Huaca700049545500023645250</v>
      </c>
      <c r="B638" t="s">
        <v>38</v>
      </c>
      <c r="C638" t="s">
        <v>427</v>
      </c>
      <c r="D638" s="17">
        <v>44426</v>
      </c>
      <c r="E638" t="s">
        <v>26</v>
      </c>
      <c r="F638" t="s">
        <v>27</v>
      </c>
      <c r="G638">
        <v>70004954</v>
      </c>
      <c r="H638">
        <v>5500023645</v>
      </c>
      <c r="I638">
        <v>250</v>
      </c>
      <c r="J638" s="7">
        <v>2</v>
      </c>
      <c r="K638" s="7" t="str">
        <f>IFERROR(VLOOKUP(Detalle_OC[[#This Row],[Centro]]&amp;Detalle_OC[[#This Row],[Nro Almacen]],Almacen!A:D,4,FALSE),"")</f>
        <v>La Huaca</v>
      </c>
    </row>
    <row r="639" spans="1:11" x14ac:dyDescent="0.35">
      <c r="A639" s="7" t="str">
        <f>Detalle_OC[[#This Row],[Centro]]&amp;Detalle_OC[[#This Row],[Nom Almacen]]&amp;Detalle_OC[[#This Row],[Material]]&amp;Detalle_OC[[#This Row],[Pedido]]&amp;Detalle_OC[[#This Row],[Posicion]]</f>
        <v>Agricola del Chira PlantaLa Huaca700049545500023645250</v>
      </c>
      <c r="B639" t="s">
        <v>38</v>
      </c>
      <c r="C639" t="s">
        <v>427</v>
      </c>
      <c r="D639" s="17">
        <v>44601</v>
      </c>
      <c r="E639" t="s">
        <v>26</v>
      </c>
      <c r="F639" t="s">
        <v>27</v>
      </c>
      <c r="G639">
        <v>70004954</v>
      </c>
      <c r="H639">
        <v>5500023645</v>
      </c>
      <c r="I639">
        <v>250</v>
      </c>
      <c r="J639" s="7">
        <v>2</v>
      </c>
      <c r="K639" s="7" t="str">
        <f>IFERROR(VLOOKUP(Detalle_OC[[#This Row],[Centro]]&amp;Detalle_OC[[#This Row],[Nro Almacen]],Almacen!A:D,4,FALSE),"")</f>
        <v>La Huaca</v>
      </c>
    </row>
    <row r="640" spans="1:11" x14ac:dyDescent="0.35">
      <c r="A640" s="7" t="str">
        <f>Detalle_OC[[#This Row],[Centro]]&amp;Detalle_OC[[#This Row],[Nom Almacen]]&amp;Detalle_OC[[#This Row],[Material]]&amp;Detalle_OC[[#This Row],[Pedido]]&amp;Detalle_OC[[#This Row],[Posicion]]</f>
        <v>Agricola del Chira PlantaLa Huaca700049545500023645250</v>
      </c>
      <c r="B640" t="s">
        <v>38</v>
      </c>
      <c r="C640" t="s">
        <v>427</v>
      </c>
      <c r="D640" s="17">
        <v>44949</v>
      </c>
      <c r="E640" t="s">
        <v>26</v>
      </c>
      <c r="F640" t="s">
        <v>27</v>
      </c>
      <c r="G640">
        <v>70004954</v>
      </c>
      <c r="H640">
        <v>5500023645</v>
      </c>
      <c r="I640">
        <v>250</v>
      </c>
      <c r="J640" s="7">
        <v>2</v>
      </c>
      <c r="K640" s="7" t="str">
        <f>IFERROR(VLOOKUP(Detalle_OC[[#This Row],[Centro]]&amp;Detalle_OC[[#This Row],[Nro Almacen]],Almacen!A:D,4,FALSE),"")</f>
        <v>La Huaca</v>
      </c>
    </row>
    <row r="641" spans="1:11" x14ac:dyDescent="0.35">
      <c r="A641" s="7" t="str">
        <f>Detalle_OC[[#This Row],[Centro]]&amp;Detalle_OC[[#This Row],[Nom Almacen]]&amp;Detalle_OC[[#This Row],[Material]]&amp;Detalle_OC[[#This Row],[Pedido]]&amp;Detalle_OC[[#This Row],[Posicion]]</f>
        <v>Agricola del Chira PlantaMontelima70009568451145410010</v>
      </c>
      <c r="B641" t="s">
        <v>46</v>
      </c>
      <c r="C641" t="s">
        <v>444</v>
      </c>
      <c r="D641" s="17">
        <v>45002</v>
      </c>
      <c r="E641" t="s">
        <v>26</v>
      </c>
      <c r="F641" t="s">
        <v>27</v>
      </c>
      <c r="G641">
        <v>70009568</v>
      </c>
      <c r="H641">
        <v>4511454100</v>
      </c>
      <c r="I641">
        <v>10</v>
      </c>
      <c r="J641" s="7">
        <v>1</v>
      </c>
      <c r="K641" s="7" t="str">
        <f>IFERROR(VLOOKUP(Detalle_OC[[#This Row],[Centro]]&amp;Detalle_OC[[#This Row],[Nro Almacen]],Almacen!A:D,4,FALSE),"")</f>
        <v>Montelima</v>
      </c>
    </row>
    <row r="642" spans="1:11" x14ac:dyDescent="0.35">
      <c r="A642" s="7" t="str">
        <f>Detalle_OC[[#This Row],[Centro]]&amp;Detalle_OC[[#This Row],[Nom Almacen]]&amp;Detalle_OC[[#This Row],[Material]]&amp;Detalle_OC[[#This Row],[Pedido]]&amp;Detalle_OC[[#This Row],[Posicion]]</f>
        <v>Sucroalcolera del Chira Planta700154954511452987140</v>
      </c>
      <c r="B642" t="s">
        <v>43</v>
      </c>
      <c r="C642" t="s">
        <v>411</v>
      </c>
      <c r="D642" s="17">
        <v>44967</v>
      </c>
      <c r="E642" t="s">
        <v>26</v>
      </c>
      <c r="F642" t="s">
        <v>41</v>
      </c>
      <c r="G642">
        <v>70015495</v>
      </c>
      <c r="H642">
        <v>4511452987</v>
      </c>
      <c r="I642">
        <v>140</v>
      </c>
      <c r="J642" s="7" t="s">
        <v>42</v>
      </c>
      <c r="K642" s="7" t="str">
        <f>IFERROR(VLOOKUP(Detalle_OC[[#This Row],[Centro]]&amp;Detalle_OC[[#This Row],[Nro Almacen]],Almacen!A:D,4,FALSE),"")</f>
        <v/>
      </c>
    </row>
    <row r="643" spans="1:11" x14ac:dyDescent="0.35">
      <c r="A643" s="7" t="str">
        <f>Detalle_OC[[#This Row],[Centro]]&amp;Detalle_OC[[#This Row],[Nom Almacen]]&amp;Detalle_OC[[#This Row],[Material]]&amp;Detalle_OC[[#This Row],[Pedido]]&amp;Detalle_OC[[#This Row],[Posicion]]</f>
        <v>Agricola del Chira PlantaMontelima70018803451144658860</v>
      </c>
      <c r="B643" t="s">
        <v>46</v>
      </c>
      <c r="C643" t="s">
        <v>418</v>
      </c>
      <c r="D643" s="17">
        <v>44977</v>
      </c>
      <c r="E643" t="s">
        <v>26</v>
      </c>
      <c r="F643" t="s">
        <v>27</v>
      </c>
      <c r="G643">
        <v>70018803</v>
      </c>
      <c r="H643">
        <v>4511446588</v>
      </c>
      <c r="I643">
        <v>60</v>
      </c>
      <c r="J643" s="7">
        <v>1</v>
      </c>
      <c r="K643" s="7" t="str">
        <f>IFERROR(VLOOKUP(Detalle_OC[[#This Row],[Centro]]&amp;Detalle_OC[[#This Row],[Nro Almacen]],Almacen!A:D,4,FALSE),"")</f>
        <v>Montelima</v>
      </c>
    </row>
    <row r="644" spans="1:11" x14ac:dyDescent="0.35">
      <c r="A644" s="7" t="str">
        <f>Detalle_OC[[#This Row],[Centro]]&amp;Detalle_OC[[#This Row],[Nom Almacen]]&amp;Detalle_OC[[#This Row],[Material]]&amp;Detalle_OC[[#This Row],[Pedido]]&amp;Detalle_OC[[#This Row],[Posicion]]</f>
        <v>Sucroalcolera del Chira PlantaMontelima70019176451145322040</v>
      </c>
      <c r="B644" t="s">
        <v>123</v>
      </c>
      <c r="C644" t="s">
        <v>441</v>
      </c>
      <c r="D644" s="17">
        <v>45000</v>
      </c>
      <c r="E644" t="s">
        <v>26</v>
      </c>
      <c r="F644" t="s">
        <v>41</v>
      </c>
      <c r="G644">
        <v>70019176</v>
      </c>
      <c r="H644">
        <v>4511453220</v>
      </c>
      <c r="I644">
        <v>40</v>
      </c>
      <c r="J644" s="7">
        <v>1</v>
      </c>
      <c r="K644" s="7" t="str">
        <f>IFERROR(VLOOKUP(Detalle_OC[[#This Row],[Centro]]&amp;Detalle_OC[[#This Row],[Nro Almacen]],Almacen!A:D,4,FALSE),"")</f>
        <v>Montelima</v>
      </c>
    </row>
    <row r="645" spans="1:11" x14ac:dyDescent="0.35">
      <c r="A645" s="7" t="str">
        <f>Detalle_OC[[#This Row],[Centro]]&amp;Detalle_OC[[#This Row],[Nom Almacen]]&amp;Detalle_OC[[#This Row],[Material]]&amp;Detalle_OC[[#This Row],[Pedido]]&amp;Detalle_OC[[#This Row],[Posicion]]</f>
        <v>Bioenergía del Chira Planta70019402451144891210</v>
      </c>
      <c r="B645" t="s">
        <v>122</v>
      </c>
      <c r="C645" t="s">
        <v>418</v>
      </c>
      <c r="D645" s="17">
        <v>44981</v>
      </c>
      <c r="E645" t="s">
        <v>26</v>
      </c>
      <c r="F645" t="s">
        <v>57</v>
      </c>
      <c r="G645">
        <v>70019402</v>
      </c>
      <c r="H645">
        <v>4511448912</v>
      </c>
      <c r="I645">
        <v>10</v>
      </c>
      <c r="J645" s="7" t="s">
        <v>42</v>
      </c>
      <c r="K645" s="7" t="str">
        <f>IFERROR(VLOOKUP(Detalle_OC[[#This Row],[Centro]]&amp;Detalle_OC[[#This Row],[Nro Almacen]],Almacen!A:D,4,FALSE),"")</f>
        <v/>
      </c>
    </row>
    <row r="646" spans="1:11" x14ac:dyDescent="0.35">
      <c r="A646" s="7" t="str">
        <f>Detalle_OC[[#This Row],[Centro]]&amp;Detalle_OC[[#This Row],[Nom Almacen]]&amp;Detalle_OC[[#This Row],[Material]]&amp;Detalle_OC[[#This Row],[Pedido]]&amp;Detalle_OC[[#This Row],[Posicion]]</f>
        <v>Sucroalcolera del Chira PlantaMontelima70022246451144394920</v>
      </c>
      <c r="B646" t="s">
        <v>108</v>
      </c>
      <c r="C646" t="s">
        <v>436</v>
      </c>
      <c r="D646" s="17">
        <v>44986</v>
      </c>
      <c r="E646" t="s">
        <v>26</v>
      </c>
      <c r="F646" t="s">
        <v>41</v>
      </c>
      <c r="G646">
        <v>70022246</v>
      </c>
      <c r="H646">
        <v>4511443949</v>
      </c>
      <c r="I646">
        <v>20</v>
      </c>
      <c r="J646" s="7">
        <v>1</v>
      </c>
      <c r="K646" s="7" t="str">
        <f>IFERROR(VLOOKUP(Detalle_OC[[#This Row],[Centro]]&amp;Detalle_OC[[#This Row],[Nro Almacen]],Almacen!A:D,4,FALSE),"")</f>
        <v>Montelima</v>
      </c>
    </row>
    <row r="647" spans="1:11" x14ac:dyDescent="0.35">
      <c r="A647" s="7" t="str">
        <f>Detalle_OC[[#This Row],[Centro]]&amp;Detalle_OC[[#This Row],[Nom Almacen]]&amp;Detalle_OC[[#This Row],[Material]]&amp;Detalle_OC[[#This Row],[Pedido]]&amp;Detalle_OC[[#This Row],[Posicion]]</f>
        <v>Sucroalcolera del Chira PlantaMontelima70022246451144394990</v>
      </c>
      <c r="B647" t="s">
        <v>108</v>
      </c>
      <c r="C647" t="s">
        <v>436</v>
      </c>
      <c r="D647" s="17">
        <v>44986</v>
      </c>
      <c r="E647" t="s">
        <v>26</v>
      </c>
      <c r="F647" t="s">
        <v>41</v>
      </c>
      <c r="G647">
        <v>70022246</v>
      </c>
      <c r="H647">
        <v>4511443949</v>
      </c>
      <c r="I647">
        <v>90</v>
      </c>
      <c r="J647" s="7">
        <v>1</v>
      </c>
      <c r="K647" s="7" t="str">
        <f>IFERROR(VLOOKUP(Detalle_OC[[#This Row],[Centro]]&amp;Detalle_OC[[#This Row],[Nro Almacen]],Almacen!A:D,4,FALSE),"")</f>
        <v>Montelima</v>
      </c>
    </row>
    <row r="648" spans="1:11" x14ac:dyDescent="0.35">
      <c r="A648" s="7" t="str">
        <f>Detalle_OC[[#This Row],[Centro]]&amp;Detalle_OC[[#This Row],[Nom Almacen]]&amp;Detalle_OC[[#This Row],[Material]]&amp;Detalle_OC[[#This Row],[Pedido]]&amp;Detalle_OC[[#This Row],[Posicion]]</f>
        <v>Sucroalcolera del Chira PlantaMontelima70022247451144394980</v>
      </c>
      <c r="B648" t="s">
        <v>108</v>
      </c>
      <c r="C648" t="s">
        <v>436</v>
      </c>
      <c r="D648" s="17">
        <v>44986</v>
      </c>
      <c r="E648" t="s">
        <v>26</v>
      </c>
      <c r="F648" t="s">
        <v>41</v>
      </c>
      <c r="G648">
        <v>70022247</v>
      </c>
      <c r="H648">
        <v>4511443949</v>
      </c>
      <c r="I648">
        <v>80</v>
      </c>
      <c r="J648" s="7">
        <v>1</v>
      </c>
      <c r="K648" s="7" t="str">
        <f>IFERROR(VLOOKUP(Detalle_OC[[#This Row],[Centro]]&amp;Detalle_OC[[#This Row],[Nro Almacen]],Almacen!A:D,4,FALSE),"")</f>
        <v>Montelima</v>
      </c>
    </row>
    <row r="649" spans="1:11" x14ac:dyDescent="0.35">
      <c r="A649" s="7" t="str">
        <f>Detalle_OC[[#This Row],[Centro]]&amp;Detalle_OC[[#This Row],[Nom Almacen]]&amp;Detalle_OC[[#This Row],[Material]]&amp;Detalle_OC[[#This Row],[Pedido]]&amp;Detalle_OC[[#This Row],[Posicion]]</f>
        <v>Sucroalcolera del Chira PlantaMontelima70022248451144394970</v>
      </c>
      <c r="B649" t="s">
        <v>108</v>
      </c>
      <c r="C649" t="s">
        <v>436</v>
      </c>
      <c r="D649" s="17">
        <v>44986</v>
      </c>
      <c r="E649" t="s">
        <v>26</v>
      </c>
      <c r="F649" t="s">
        <v>41</v>
      </c>
      <c r="G649">
        <v>70022248</v>
      </c>
      <c r="H649">
        <v>4511443949</v>
      </c>
      <c r="I649">
        <v>70</v>
      </c>
      <c r="J649" s="7">
        <v>1</v>
      </c>
      <c r="K649" s="7" t="str">
        <f>IFERROR(VLOOKUP(Detalle_OC[[#This Row],[Centro]]&amp;Detalle_OC[[#This Row],[Nro Almacen]],Almacen!A:D,4,FALSE),"")</f>
        <v>Montelima</v>
      </c>
    </row>
    <row r="650" spans="1:11" x14ac:dyDescent="0.35">
      <c r="A650" s="7" t="str">
        <f>Detalle_OC[[#This Row],[Centro]]&amp;Detalle_OC[[#This Row],[Nom Almacen]]&amp;Detalle_OC[[#This Row],[Material]]&amp;Detalle_OC[[#This Row],[Pedido]]&amp;Detalle_OC[[#This Row],[Posicion]]</f>
        <v>Agricola del Chira PlantaMontelima70023194451145019610</v>
      </c>
      <c r="B650" t="s">
        <v>114</v>
      </c>
      <c r="C650" t="s">
        <v>445</v>
      </c>
      <c r="D650" s="17">
        <v>44995</v>
      </c>
      <c r="E650" t="s">
        <v>26</v>
      </c>
      <c r="F650" t="s">
        <v>27</v>
      </c>
      <c r="G650">
        <v>70023194</v>
      </c>
      <c r="H650">
        <v>4511450196</v>
      </c>
      <c r="I650">
        <v>10</v>
      </c>
      <c r="J650" s="7">
        <v>1</v>
      </c>
      <c r="K650" s="7" t="str">
        <f>IFERROR(VLOOKUP(Detalle_OC[[#This Row],[Centro]]&amp;Detalle_OC[[#This Row],[Nro Almacen]],Almacen!A:D,4,FALSE),"")</f>
        <v>Montelima</v>
      </c>
    </row>
    <row r="651" spans="1:11" x14ac:dyDescent="0.35">
      <c r="A651" s="7" t="str">
        <f>Detalle_OC[[#This Row],[Centro]]&amp;Detalle_OC[[#This Row],[Nom Almacen]]&amp;Detalle_OC[[#This Row],[Material]]&amp;Detalle_OC[[#This Row],[Pedido]]&amp;Detalle_OC[[#This Row],[Posicion]]</f>
        <v>Sucroalcolera del Chira PlantaMontelima70024146451144718990</v>
      </c>
      <c r="B651" t="s">
        <v>108</v>
      </c>
      <c r="C651" t="s">
        <v>442</v>
      </c>
      <c r="D651" s="17">
        <v>44986</v>
      </c>
      <c r="E651" t="s">
        <v>26</v>
      </c>
      <c r="F651" t="s">
        <v>41</v>
      </c>
      <c r="G651">
        <v>70024146</v>
      </c>
      <c r="H651">
        <v>4511447189</v>
      </c>
      <c r="I651">
        <v>90</v>
      </c>
      <c r="J651" s="7">
        <v>1</v>
      </c>
      <c r="K651" s="7" t="str">
        <f>IFERROR(VLOOKUP(Detalle_OC[[#This Row],[Centro]]&amp;Detalle_OC[[#This Row],[Nro Almacen]],Almacen!A:D,4,FALSE),"")</f>
        <v>Montelima</v>
      </c>
    </row>
    <row r="652" spans="1:11" x14ac:dyDescent="0.35">
      <c r="A652" s="7" t="str">
        <f>Detalle_OC[[#This Row],[Centro]]&amp;Detalle_OC[[#This Row],[Nom Almacen]]&amp;Detalle_OC[[#This Row],[Material]]&amp;Detalle_OC[[#This Row],[Pedido]]&amp;Detalle_OC[[#This Row],[Posicion]]</f>
        <v>Sucroalcolera del Chira PlantaMontelima700241674511447189120</v>
      </c>
      <c r="B652" t="s">
        <v>124</v>
      </c>
      <c r="C652" t="s">
        <v>442</v>
      </c>
      <c r="D652" s="17">
        <v>44986</v>
      </c>
      <c r="E652" t="s">
        <v>26</v>
      </c>
      <c r="F652" t="s">
        <v>41</v>
      </c>
      <c r="G652">
        <v>70024167</v>
      </c>
      <c r="H652">
        <v>4511447189</v>
      </c>
      <c r="I652">
        <v>120</v>
      </c>
      <c r="J652" s="7">
        <v>1</v>
      </c>
      <c r="K652" s="7" t="str">
        <f>IFERROR(VLOOKUP(Detalle_OC[[#This Row],[Centro]]&amp;Detalle_OC[[#This Row],[Nro Almacen]],Almacen!A:D,4,FALSE),"")</f>
        <v>Montelima</v>
      </c>
    </row>
    <row r="653" spans="1:11" x14ac:dyDescent="0.35">
      <c r="A653" s="7" t="str">
        <f>Detalle_OC[[#This Row],[Centro]]&amp;Detalle_OC[[#This Row],[Nom Almacen]]&amp;Detalle_OC[[#This Row],[Material]]&amp;Detalle_OC[[#This Row],[Pedido]]&amp;Detalle_OC[[#This Row],[Posicion]]</f>
        <v>Sucroalcolera del Chira PlantaMontelima700241794511447189110</v>
      </c>
      <c r="B653" t="s">
        <v>124</v>
      </c>
      <c r="C653" t="s">
        <v>442</v>
      </c>
      <c r="D653" s="17">
        <v>44986</v>
      </c>
      <c r="E653" t="s">
        <v>26</v>
      </c>
      <c r="F653" t="s">
        <v>41</v>
      </c>
      <c r="G653">
        <v>70024179</v>
      </c>
      <c r="H653">
        <v>4511447189</v>
      </c>
      <c r="I653">
        <v>110</v>
      </c>
      <c r="J653" s="7">
        <v>1</v>
      </c>
      <c r="K653" s="7" t="str">
        <f>IFERROR(VLOOKUP(Detalle_OC[[#This Row],[Centro]]&amp;Detalle_OC[[#This Row],[Nro Almacen]],Almacen!A:D,4,FALSE),"")</f>
        <v>Montelima</v>
      </c>
    </row>
    <row r="654" spans="1:11" x14ac:dyDescent="0.35">
      <c r="A654" s="7" t="str">
        <f>Detalle_OC[[#This Row],[Centro]]&amp;Detalle_OC[[#This Row],[Nom Almacen]]&amp;Detalle_OC[[#This Row],[Material]]&amp;Detalle_OC[[#This Row],[Pedido]]&amp;Detalle_OC[[#This Row],[Posicion]]</f>
        <v>Sucroalcolera del Chira PlantaMontelima70024261451144718970</v>
      </c>
      <c r="B654" t="s">
        <v>108</v>
      </c>
      <c r="C654" t="s">
        <v>442</v>
      </c>
      <c r="D654" s="17">
        <v>44986</v>
      </c>
      <c r="E654" t="s">
        <v>26</v>
      </c>
      <c r="F654" t="s">
        <v>41</v>
      </c>
      <c r="G654">
        <v>70024261</v>
      </c>
      <c r="H654">
        <v>4511447189</v>
      </c>
      <c r="I654">
        <v>70</v>
      </c>
      <c r="J654" s="7">
        <v>1</v>
      </c>
      <c r="K654" s="7" t="str">
        <f>IFERROR(VLOOKUP(Detalle_OC[[#This Row],[Centro]]&amp;Detalle_OC[[#This Row],[Nro Almacen]],Almacen!A:D,4,FALSE),"")</f>
        <v>Montelima</v>
      </c>
    </row>
    <row r="655" spans="1:11" x14ac:dyDescent="0.35">
      <c r="A655" s="7" t="str">
        <f>Detalle_OC[[#This Row],[Centro]]&amp;Detalle_OC[[#This Row],[Nom Almacen]]&amp;Detalle_OC[[#This Row],[Material]]&amp;Detalle_OC[[#This Row],[Pedido]]&amp;Detalle_OC[[#This Row],[Posicion]]</f>
        <v>Sucroalcolera del Chira PlantaMontelima70024264451144718960</v>
      </c>
      <c r="B655" t="s">
        <v>108</v>
      </c>
      <c r="C655" t="s">
        <v>442</v>
      </c>
      <c r="D655" s="17">
        <v>44986</v>
      </c>
      <c r="E655" t="s">
        <v>26</v>
      </c>
      <c r="F655" t="s">
        <v>41</v>
      </c>
      <c r="G655">
        <v>70024264</v>
      </c>
      <c r="H655">
        <v>4511447189</v>
      </c>
      <c r="I655">
        <v>60</v>
      </c>
      <c r="J655" s="7">
        <v>1</v>
      </c>
      <c r="K655" s="7" t="str">
        <f>IFERROR(VLOOKUP(Detalle_OC[[#This Row],[Centro]]&amp;Detalle_OC[[#This Row],[Nro Almacen]],Almacen!A:D,4,FALSE),"")</f>
        <v>Montelima</v>
      </c>
    </row>
    <row r="656" spans="1:11" x14ac:dyDescent="0.35">
      <c r="A656" s="7" t="str">
        <f>Detalle_OC[[#This Row],[Centro]]&amp;Detalle_OC[[#This Row],[Nom Almacen]]&amp;Detalle_OC[[#This Row],[Material]]&amp;Detalle_OC[[#This Row],[Pedido]]&amp;Detalle_OC[[#This Row],[Posicion]]</f>
        <v>Sucroalcolera del Chira PlantaMontelima700245174511447189130</v>
      </c>
      <c r="B656" t="s">
        <v>124</v>
      </c>
      <c r="C656" t="s">
        <v>442</v>
      </c>
      <c r="D656" s="17">
        <v>44986</v>
      </c>
      <c r="E656" t="s">
        <v>26</v>
      </c>
      <c r="F656" t="s">
        <v>41</v>
      </c>
      <c r="G656">
        <v>70024517</v>
      </c>
      <c r="H656">
        <v>4511447189</v>
      </c>
      <c r="I656">
        <v>130</v>
      </c>
      <c r="J656" s="7">
        <v>1</v>
      </c>
      <c r="K656" s="7" t="str">
        <f>IFERROR(VLOOKUP(Detalle_OC[[#This Row],[Centro]]&amp;Detalle_OC[[#This Row],[Nro Almacen]],Almacen!A:D,4,FALSE),"")</f>
        <v>Montelima</v>
      </c>
    </row>
    <row r="657" spans="1:11" x14ac:dyDescent="0.35">
      <c r="A657" s="7" t="str">
        <f>Detalle_OC[[#This Row],[Centro]]&amp;Detalle_OC[[#This Row],[Nom Almacen]]&amp;Detalle_OC[[#This Row],[Material]]&amp;Detalle_OC[[#This Row],[Pedido]]&amp;Detalle_OC[[#This Row],[Posicion]]</f>
        <v>Sucroalcolera del Chira PlantaMontelima70024550451144718950</v>
      </c>
      <c r="B657" t="s">
        <v>108</v>
      </c>
      <c r="C657" t="s">
        <v>442</v>
      </c>
      <c r="D657" s="17">
        <v>44986</v>
      </c>
      <c r="E657" t="s">
        <v>26</v>
      </c>
      <c r="F657" t="s">
        <v>41</v>
      </c>
      <c r="G657">
        <v>70024550</v>
      </c>
      <c r="H657">
        <v>4511447189</v>
      </c>
      <c r="I657">
        <v>50</v>
      </c>
      <c r="J657" s="7">
        <v>1</v>
      </c>
      <c r="K657" s="7" t="str">
        <f>IFERROR(VLOOKUP(Detalle_OC[[#This Row],[Centro]]&amp;Detalle_OC[[#This Row],[Nro Almacen]],Almacen!A:D,4,FALSE),"")</f>
        <v>Montelima</v>
      </c>
    </row>
    <row r="658" spans="1:11" x14ac:dyDescent="0.35">
      <c r="A658" s="7" t="str">
        <f>Detalle_OC[[#This Row],[Centro]]&amp;Detalle_OC[[#This Row],[Nom Almacen]]&amp;Detalle_OC[[#This Row],[Material]]&amp;Detalle_OC[[#This Row],[Pedido]]&amp;Detalle_OC[[#This Row],[Posicion]]</f>
        <v>Agricola del Chira PlantaMontelima70024795451144704510</v>
      </c>
      <c r="B658" t="s">
        <v>125</v>
      </c>
      <c r="C658" t="s">
        <v>418</v>
      </c>
      <c r="D658" s="17">
        <v>44995</v>
      </c>
      <c r="E658" t="s">
        <v>26</v>
      </c>
      <c r="F658" t="s">
        <v>27</v>
      </c>
      <c r="G658">
        <v>70024795</v>
      </c>
      <c r="H658">
        <v>4511447045</v>
      </c>
      <c r="I658">
        <v>10</v>
      </c>
      <c r="J658" s="7">
        <v>1</v>
      </c>
      <c r="K658" s="7" t="str">
        <f>IFERROR(VLOOKUP(Detalle_OC[[#This Row],[Centro]]&amp;Detalle_OC[[#This Row],[Nro Almacen]],Almacen!A:D,4,FALSE),"")</f>
        <v>Montelima</v>
      </c>
    </row>
    <row r="659" spans="1:11" x14ac:dyDescent="0.35">
      <c r="A659" s="7" t="str">
        <f>Detalle_OC[[#This Row],[Centro]]&amp;Detalle_OC[[#This Row],[Nom Almacen]]&amp;Detalle_OC[[#This Row],[Material]]&amp;Detalle_OC[[#This Row],[Pedido]]&amp;Detalle_OC[[#This Row],[Posicion]]</f>
        <v>Sucroalcolera del Chira PlantaMontelima70025355451144394960</v>
      </c>
      <c r="B659" t="s">
        <v>108</v>
      </c>
      <c r="C659" t="s">
        <v>436</v>
      </c>
      <c r="D659" s="17">
        <v>44986</v>
      </c>
      <c r="E659" t="s">
        <v>26</v>
      </c>
      <c r="F659" t="s">
        <v>41</v>
      </c>
      <c r="G659">
        <v>70025355</v>
      </c>
      <c r="H659">
        <v>4511443949</v>
      </c>
      <c r="I659">
        <v>60</v>
      </c>
      <c r="J659" s="7">
        <v>1</v>
      </c>
      <c r="K659" s="7" t="str">
        <f>IFERROR(VLOOKUP(Detalle_OC[[#This Row],[Centro]]&amp;Detalle_OC[[#This Row],[Nro Almacen]],Almacen!A:D,4,FALSE),"")</f>
        <v>Montelima</v>
      </c>
    </row>
    <row r="660" spans="1:11" x14ac:dyDescent="0.35">
      <c r="A660" s="7" t="str">
        <f>Detalle_OC[[#This Row],[Centro]]&amp;Detalle_OC[[#This Row],[Nom Almacen]]&amp;Detalle_OC[[#This Row],[Material]]&amp;Detalle_OC[[#This Row],[Pedido]]&amp;Detalle_OC[[#This Row],[Posicion]]</f>
        <v>Sucroalcolera del Chira PlantaMontelima70025373451144556010</v>
      </c>
      <c r="B660" t="s">
        <v>108</v>
      </c>
      <c r="C660" t="s">
        <v>434</v>
      </c>
      <c r="D660" s="17">
        <v>44974</v>
      </c>
      <c r="E660" t="s">
        <v>26</v>
      </c>
      <c r="F660" t="s">
        <v>41</v>
      </c>
      <c r="G660">
        <v>70025373</v>
      </c>
      <c r="H660">
        <v>4511445560</v>
      </c>
      <c r="I660">
        <v>10</v>
      </c>
      <c r="J660" s="7">
        <v>1</v>
      </c>
      <c r="K660" s="7" t="str">
        <f>IFERROR(VLOOKUP(Detalle_OC[[#This Row],[Centro]]&amp;Detalle_OC[[#This Row],[Nro Almacen]],Almacen!A:D,4,FALSE),"")</f>
        <v>Montelima</v>
      </c>
    </row>
    <row r="661" spans="1:11" x14ac:dyDescent="0.35">
      <c r="A661" s="7" t="str">
        <f>Detalle_OC[[#This Row],[Centro]]&amp;Detalle_OC[[#This Row],[Nom Almacen]]&amp;Detalle_OC[[#This Row],[Material]]&amp;Detalle_OC[[#This Row],[Pedido]]&amp;Detalle_OC[[#This Row],[Posicion]]</f>
        <v>Sucroalcolera del Chira PlantaMontelima70028523451144394950</v>
      </c>
      <c r="B661" t="s">
        <v>108</v>
      </c>
      <c r="C661" t="s">
        <v>436</v>
      </c>
      <c r="D661" s="17">
        <v>44986</v>
      </c>
      <c r="E661" t="s">
        <v>26</v>
      </c>
      <c r="F661" t="s">
        <v>41</v>
      </c>
      <c r="G661">
        <v>70028523</v>
      </c>
      <c r="H661">
        <v>4511443949</v>
      </c>
      <c r="I661">
        <v>50</v>
      </c>
      <c r="J661" s="7">
        <v>1</v>
      </c>
      <c r="K661" s="7" t="str">
        <f>IFERROR(VLOOKUP(Detalle_OC[[#This Row],[Centro]]&amp;Detalle_OC[[#This Row],[Nro Almacen]],Almacen!A:D,4,FALSE),"")</f>
        <v>Montelima</v>
      </c>
    </row>
    <row r="662" spans="1:11" x14ac:dyDescent="0.35">
      <c r="A662" s="7" t="str">
        <f>Detalle_OC[[#This Row],[Centro]]&amp;Detalle_OC[[#This Row],[Nom Almacen]]&amp;Detalle_OC[[#This Row],[Material]]&amp;Detalle_OC[[#This Row],[Pedido]]&amp;Detalle_OC[[#This Row],[Posicion]]</f>
        <v>Sucroalcolera del Chira PlantaMontelima70028731451144718930</v>
      </c>
      <c r="B662" t="s">
        <v>108</v>
      </c>
      <c r="C662" t="s">
        <v>442</v>
      </c>
      <c r="D662" s="17">
        <v>44986</v>
      </c>
      <c r="E662" t="s">
        <v>26</v>
      </c>
      <c r="F662" t="s">
        <v>41</v>
      </c>
      <c r="G662">
        <v>70028731</v>
      </c>
      <c r="H662">
        <v>4511447189</v>
      </c>
      <c r="I662">
        <v>30</v>
      </c>
      <c r="J662" s="7">
        <v>1</v>
      </c>
      <c r="K662" s="7" t="str">
        <f>IFERROR(VLOOKUP(Detalle_OC[[#This Row],[Centro]]&amp;Detalle_OC[[#This Row],[Nro Almacen]],Almacen!A:D,4,FALSE),"")</f>
        <v>Montelima</v>
      </c>
    </row>
    <row r="663" spans="1:11" x14ac:dyDescent="0.35">
      <c r="A663" s="7" t="str">
        <f>Detalle_OC[[#This Row],[Centro]]&amp;Detalle_OC[[#This Row],[Nom Almacen]]&amp;Detalle_OC[[#This Row],[Material]]&amp;Detalle_OC[[#This Row],[Pedido]]&amp;Detalle_OC[[#This Row],[Posicion]]</f>
        <v>Sucroalcolera del Chira PlantaMontelima70028737451144718920</v>
      </c>
      <c r="B663" t="s">
        <v>108</v>
      </c>
      <c r="C663" t="s">
        <v>442</v>
      </c>
      <c r="D663" s="17">
        <v>44986</v>
      </c>
      <c r="E663" t="s">
        <v>26</v>
      </c>
      <c r="F663" t="s">
        <v>41</v>
      </c>
      <c r="G663">
        <v>70028737</v>
      </c>
      <c r="H663">
        <v>4511447189</v>
      </c>
      <c r="I663">
        <v>20</v>
      </c>
      <c r="J663" s="7">
        <v>1</v>
      </c>
      <c r="K663" s="7" t="str">
        <f>IFERROR(VLOOKUP(Detalle_OC[[#This Row],[Centro]]&amp;Detalle_OC[[#This Row],[Nro Almacen]],Almacen!A:D,4,FALSE),"")</f>
        <v>Montelima</v>
      </c>
    </row>
    <row r="664" spans="1:11" x14ac:dyDescent="0.35">
      <c r="A664" s="7" t="str">
        <f>Detalle_OC[[#This Row],[Centro]]&amp;Detalle_OC[[#This Row],[Nom Almacen]]&amp;Detalle_OC[[#This Row],[Material]]&amp;Detalle_OC[[#This Row],[Pedido]]&amp;Detalle_OC[[#This Row],[Posicion]]</f>
        <v>Sucroalcolera del Chira PlantaMontelima70028738451144718910</v>
      </c>
      <c r="B664" t="s">
        <v>108</v>
      </c>
      <c r="C664" t="s">
        <v>442</v>
      </c>
      <c r="D664" s="17">
        <v>44986</v>
      </c>
      <c r="E664" t="s">
        <v>26</v>
      </c>
      <c r="F664" t="s">
        <v>41</v>
      </c>
      <c r="G664">
        <v>70028738</v>
      </c>
      <c r="H664">
        <v>4511447189</v>
      </c>
      <c r="I664">
        <v>10</v>
      </c>
      <c r="J664" s="7">
        <v>1</v>
      </c>
      <c r="K664" s="7" t="str">
        <f>IFERROR(VLOOKUP(Detalle_OC[[#This Row],[Centro]]&amp;Detalle_OC[[#This Row],[Nro Almacen]],Almacen!A:D,4,FALSE),"")</f>
        <v>Montelima</v>
      </c>
    </row>
    <row r="665" spans="1:11" x14ac:dyDescent="0.35">
      <c r="A665" s="7" t="str">
        <f>Detalle_OC[[#This Row],[Centro]]&amp;Detalle_OC[[#This Row],[Nom Almacen]]&amp;Detalle_OC[[#This Row],[Material]]&amp;Detalle_OC[[#This Row],[Pedido]]&amp;Detalle_OC[[#This Row],[Posicion]]</f>
        <v>Sucroalcolera del Chira Planta70032264451144989770</v>
      </c>
      <c r="B665" t="s">
        <v>108</v>
      </c>
      <c r="C665" t="s">
        <v>442</v>
      </c>
      <c r="D665" s="17">
        <v>44995</v>
      </c>
      <c r="E665" t="s">
        <v>26</v>
      </c>
      <c r="F665" t="s">
        <v>41</v>
      </c>
      <c r="G665">
        <v>70032264</v>
      </c>
      <c r="H665">
        <v>4511449897</v>
      </c>
      <c r="I665">
        <v>70</v>
      </c>
      <c r="J665" s="7" t="s">
        <v>42</v>
      </c>
      <c r="K665" s="7" t="str">
        <f>IFERROR(VLOOKUP(Detalle_OC[[#This Row],[Centro]]&amp;Detalle_OC[[#This Row],[Nro Almacen]],Almacen!A:D,4,FALSE),"")</f>
        <v/>
      </c>
    </row>
    <row r="666" spans="1:11" x14ac:dyDescent="0.35">
      <c r="A666" s="7" t="str">
        <f>Detalle_OC[[#This Row],[Centro]]&amp;Detalle_OC[[#This Row],[Nom Almacen]]&amp;Detalle_OC[[#This Row],[Material]]&amp;Detalle_OC[[#This Row],[Pedido]]&amp;Detalle_OC[[#This Row],[Posicion]]</f>
        <v>Sucroalcolera del Chira Planta70032271451144989760</v>
      </c>
      <c r="B666" t="s">
        <v>108</v>
      </c>
      <c r="C666" t="s">
        <v>442</v>
      </c>
      <c r="D666" s="17">
        <v>44995</v>
      </c>
      <c r="E666" t="s">
        <v>26</v>
      </c>
      <c r="F666" t="s">
        <v>41</v>
      </c>
      <c r="G666">
        <v>70032271</v>
      </c>
      <c r="H666">
        <v>4511449897</v>
      </c>
      <c r="I666">
        <v>60</v>
      </c>
      <c r="J666" s="7" t="s">
        <v>42</v>
      </c>
      <c r="K666" s="7" t="str">
        <f>IFERROR(VLOOKUP(Detalle_OC[[#This Row],[Centro]]&amp;Detalle_OC[[#This Row],[Nro Almacen]],Almacen!A:D,4,FALSE),"")</f>
        <v/>
      </c>
    </row>
    <row r="667" spans="1:11" x14ac:dyDescent="0.35">
      <c r="A667" s="7" t="str">
        <f>Detalle_OC[[#This Row],[Centro]]&amp;Detalle_OC[[#This Row],[Nom Almacen]]&amp;Detalle_OC[[#This Row],[Material]]&amp;Detalle_OC[[#This Row],[Pedido]]&amp;Detalle_OC[[#This Row],[Posicion]]</f>
        <v>Sucroalcolera del Chira Planta70032272451144989750</v>
      </c>
      <c r="B667" t="s">
        <v>108</v>
      </c>
      <c r="C667" t="s">
        <v>442</v>
      </c>
      <c r="D667" s="17">
        <v>44995</v>
      </c>
      <c r="E667" t="s">
        <v>26</v>
      </c>
      <c r="F667" t="s">
        <v>41</v>
      </c>
      <c r="G667">
        <v>70032272</v>
      </c>
      <c r="H667">
        <v>4511449897</v>
      </c>
      <c r="I667">
        <v>50</v>
      </c>
      <c r="J667" s="7" t="s">
        <v>42</v>
      </c>
      <c r="K667" s="7" t="str">
        <f>IFERROR(VLOOKUP(Detalle_OC[[#This Row],[Centro]]&amp;Detalle_OC[[#This Row],[Nro Almacen]],Almacen!A:D,4,FALSE),"")</f>
        <v/>
      </c>
    </row>
    <row r="668" spans="1:11" x14ac:dyDescent="0.35">
      <c r="A668" s="7" t="str">
        <f>Detalle_OC[[#This Row],[Centro]]&amp;Detalle_OC[[#This Row],[Nom Almacen]]&amp;Detalle_OC[[#This Row],[Material]]&amp;Detalle_OC[[#This Row],[Pedido]]&amp;Detalle_OC[[#This Row],[Posicion]]</f>
        <v>Sucroalcolera del Chira Planta70032273451144989740</v>
      </c>
      <c r="B668" t="s">
        <v>108</v>
      </c>
      <c r="C668" t="s">
        <v>442</v>
      </c>
      <c r="D668" s="17">
        <v>44995</v>
      </c>
      <c r="E668" t="s">
        <v>26</v>
      </c>
      <c r="F668" t="s">
        <v>41</v>
      </c>
      <c r="G668">
        <v>70032273</v>
      </c>
      <c r="H668">
        <v>4511449897</v>
      </c>
      <c r="I668">
        <v>40</v>
      </c>
      <c r="J668" s="7" t="s">
        <v>42</v>
      </c>
      <c r="K668" s="7" t="str">
        <f>IFERROR(VLOOKUP(Detalle_OC[[#This Row],[Centro]]&amp;Detalle_OC[[#This Row],[Nro Almacen]],Almacen!A:D,4,FALSE),"")</f>
        <v/>
      </c>
    </row>
    <row r="669" spans="1:11" x14ac:dyDescent="0.35">
      <c r="A669" s="7" t="str">
        <f>Detalle_OC[[#This Row],[Centro]]&amp;Detalle_OC[[#This Row],[Nom Almacen]]&amp;Detalle_OC[[#This Row],[Material]]&amp;Detalle_OC[[#This Row],[Pedido]]&amp;Detalle_OC[[#This Row],[Posicion]]</f>
        <v>Sucroalcolera del Chira Planta70032274451144989730</v>
      </c>
      <c r="B669" t="s">
        <v>108</v>
      </c>
      <c r="C669" t="s">
        <v>442</v>
      </c>
      <c r="D669" s="17">
        <v>44995</v>
      </c>
      <c r="E669" t="s">
        <v>26</v>
      </c>
      <c r="F669" t="s">
        <v>41</v>
      </c>
      <c r="G669">
        <v>70032274</v>
      </c>
      <c r="H669">
        <v>4511449897</v>
      </c>
      <c r="I669">
        <v>30</v>
      </c>
      <c r="J669" s="7" t="s">
        <v>42</v>
      </c>
      <c r="K669" s="7" t="str">
        <f>IFERROR(VLOOKUP(Detalle_OC[[#This Row],[Centro]]&amp;Detalle_OC[[#This Row],[Nro Almacen]],Almacen!A:D,4,FALSE),"")</f>
        <v/>
      </c>
    </row>
    <row r="670" spans="1:11" x14ac:dyDescent="0.35">
      <c r="A670" s="7" t="str">
        <f>Detalle_OC[[#This Row],[Centro]]&amp;Detalle_OC[[#This Row],[Nom Almacen]]&amp;Detalle_OC[[#This Row],[Material]]&amp;Detalle_OC[[#This Row],[Pedido]]&amp;Detalle_OC[[#This Row],[Posicion]]</f>
        <v>Sucroalcolera del Chira Planta70032277451144989720</v>
      </c>
      <c r="B670" t="s">
        <v>108</v>
      </c>
      <c r="C670" t="s">
        <v>442</v>
      </c>
      <c r="D670" s="17">
        <v>44995</v>
      </c>
      <c r="E670" t="s">
        <v>26</v>
      </c>
      <c r="F670" t="s">
        <v>41</v>
      </c>
      <c r="G670">
        <v>70032277</v>
      </c>
      <c r="H670">
        <v>4511449897</v>
      </c>
      <c r="I670">
        <v>20</v>
      </c>
      <c r="J670" s="7" t="s">
        <v>42</v>
      </c>
      <c r="K670" s="7" t="str">
        <f>IFERROR(VLOOKUP(Detalle_OC[[#This Row],[Centro]]&amp;Detalle_OC[[#This Row],[Nro Almacen]],Almacen!A:D,4,FALSE),"")</f>
        <v/>
      </c>
    </row>
    <row r="671" spans="1:11" x14ac:dyDescent="0.35">
      <c r="A671" s="7" t="str">
        <f>Detalle_OC[[#This Row],[Centro]]&amp;Detalle_OC[[#This Row],[Nom Almacen]]&amp;Detalle_OC[[#This Row],[Material]]&amp;Detalle_OC[[#This Row],[Pedido]]&amp;Detalle_OC[[#This Row],[Posicion]]</f>
        <v>Sucroalcolera del Chira Planta70032285451144989710</v>
      </c>
      <c r="B671" t="s">
        <v>108</v>
      </c>
      <c r="C671" t="s">
        <v>442</v>
      </c>
      <c r="D671" s="17">
        <v>44995</v>
      </c>
      <c r="E671" t="s">
        <v>26</v>
      </c>
      <c r="F671" t="s">
        <v>41</v>
      </c>
      <c r="G671">
        <v>70032285</v>
      </c>
      <c r="H671">
        <v>4511449897</v>
      </c>
      <c r="I671">
        <v>10</v>
      </c>
      <c r="J671" s="7" t="s">
        <v>42</v>
      </c>
      <c r="K671" s="7" t="str">
        <f>IFERROR(VLOOKUP(Detalle_OC[[#This Row],[Centro]]&amp;Detalle_OC[[#This Row],[Nro Almacen]],Almacen!A:D,4,FALSE),"")</f>
        <v/>
      </c>
    </row>
    <row r="672" spans="1:11" x14ac:dyDescent="0.35">
      <c r="A672" s="7" t="str">
        <f>Detalle_OC[[#This Row],[Centro]]&amp;Detalle_OC[[#This Row],[Nom Almacen]]&amp;Detalle_OC[[#This Row],[Material]]&amp;Detalle_OC[[#This Row],[Pedido]]&amp;Detalle_OC[[#This Row],[Posicion]]</f>
        <v>Sucroalcolera del Chira Planta70032973451144394910</v>
      </c>
      <c r="B672" t="s">
        <v>108</v>
      </c>
      <c r="C672" t="s">
        <v>436</v>
      </c>
      <c r="D672" s="17">
        <v>44986</v>
      </c>
      <c r="E672" t="s">
        <v>26</v>
      </c>
      <c r="F672" t="s">
        <v>41</v>
      </c>
      <c r="G672">
        <v>70032973</v>
      </c>
      <c r="H672">
        <v>4511443949</v>
      </c>
      <c r="I672">
        <v>10</v>
      </c>
      <c r="J672" s="7" t="s">
        <v>42</v>
      </c>
      <c r="K672" s="7" t="str">
        <f>IFERROR(VLOOKUP(Detalle_OC[[#This Row],[Centro]]&amp;Detalle_OC[[#This Row],[Nro Almacen]],Almacen!A:D,4,FALSE),"")</f>
        <v/>
      </c>
    </row>
    <row r="673" spans="1:11" x14ac:dyDescent="0.35">
      <c r="A673" s="7" t="str">
        <f>Detalle_OC[[#This Row],[Centro]]&amp;Detalle_OC[[#This Row],[Nom Almacen]]&amp;Detalle_OC[[#This Row],[Material]]&amp;Detalle_OC[[#This Row],[Pedido]]&amp;Detalle_OC[[#This Row],[Posicion]]</f>
        <v>Sucroalcolera del Chira Planta70032973451144394940</v>
      </c>
      <c r="B673" t="s">
        <v>108</v>
      </c>
      <c r="C673" t="s">
        <v>436</v>
      </c>
      <c r="D673" s="17">
        <v>44986</v>
      </c>
      <c r="E673" t="s">
        <v>26</v>
      </c>
      <c r="F673" t="s">
        <v>41</v>
      </c>
      <c r="G673">
        <v>70032973</v>
      </c>
      <c r="H673">
        <v>4511443949</v>
      </c>
      <c r="I673">
        <v>40</v>
      </c>
      <c r="J673" s="7" t="s">
        <v>42</v>
      </c>
      <c r="K673" s="7" t="str">
        <f>IFERROR(VLOOKUP(Detalle_OC[[#This Row],[Centro]]&amp;Detalle_OC[[#This Row],[Nro Almacen]],Almacen!A:D,4,FALSE),"")</f>
        <v/>
      </c>
    </row>
    <row r="674" spans="1:11" x14ac:dyDescent="0.35">
      <c r="A674" s="7" t="str">
        <f>Detalle_OC[[#This Row],[Centro]]&amp;Detalle_OC[[#This Row],[Nom Almacen]]&amp;Detalle_OC[[#This Row],[Material]]&amp;Detalle_OC[[#This Row],[Pedido]]&amp;Detalle_OC[[#This Row],[Posicion]]</f>
        <v>Sucroalcolera del Chira Planta70033916451143152620</v>
      </c>
      <c r="B674" t="s">
        <v>43</v>
      </c>
      <c r="C674" t="s">
        <v>426</v>
      </c>
      <c r="D674" s="17">
        <v>44981</v>
      </c>
      <c r="E674" t="s">
        <v>26</v>
      </c>
      <c r="F674" t="s">
        <v>41</v>
      </c>
      <c r="G674">
        <v>70033916</v>
      </c>
      <c r="H674">
        <v>4511431526</v>
      </c>
      <c r="I674">
        <v>20</v>
      </c>
      <c r="J674" s="7" t="s">
        <v>42</v>
      </c>
      <c r="K674" s="7" t="str">
        <f>IFERROR(VLOOKUP(Detalle_OC[[#This Row],[Centro]]&amp;Detalle_OC[[#This Row],[Nro Almacen]],Almacen!A:D,4,FALSE),"")</f>
        <v/>
      </c>
    </row>
    <row r="675" spans="1:11" x14ac:dyDescent="0.35">
      <c r="A675" s="7" t="str">
        <f>Detalle_OC[[#This Row],[Centro]]&amp;Detalle_OC[[#This Row],[Nom Almacen]]&amp;Detalle_OC[[#This Row],[Material]]&amp;Detalle_OC[[#This Row],[Pedido]]&amp;Detalle_OC[[#This Row],[Posicion]]</f>
        <v>Agricola del Chira PlantaMontelima70036719451144033910</v>
      </c>
      <c r="B675" t="s">
        <v>46</v>
      </c>
      <c r="C675" t="s">
        <v>423</v>
      </c>
      <c r="D675" s="17">
        <v>44993</v>
      </c>
      <c r="E675" t="s">
        <v>26</v>
      </c>
      <c r="F675" t="s">
        <v>27</v>
      </c>
      <c r="G675">
        <v>70036719</v>
      </c>
      <c r="H675">
        <v>4511440339</v>
      </c>
      <c r="I675">
        <v>10</v>
      </c>
      <c r="J675" s="7">
        <v>1</v>
      </c>
      <c r="K675" s="7" t="str">
        <f>IFERROR(VLOOKUP(Detalle_OC[[#This Row],[Centro]]&amp;Detalle_OC[[#This Row],[Nro Almacen]],Almacen!A:D,4,FALSE),"")</f>
        <v>Montelima</v>
      </c>
    </row>
    <row r="676" spans="1:11" x14ac:dyDescent="0.35">
      <c r="A676" s="7" t="str">
        <f>Detalle_OC[[#This Row],[Centro]]&amp;Detalle_OC[[#This Row],[Nom Almacen]]&amp;Detalle_OC[[#This Row],[Material]]&amp;Detalle_OC[[#This Row],[Pedido]]&amp;Detalle_OC[[#This Row],[Posicion]]</f>
        <v>Sucroalcolera del Chira Planta70036734451144384520</v>
      </c>
      <c r="B676" t="s">
        <v>43</v>
      </c>
      <c r="C676" t="s">
        <v>434</v>
      </c>
      <c r="D676" s="17">
        <v>44977</v>
      </c>
      <c r="E676" t="s">
        <v>26</v>
      </c>
      <c r="F676" t="s">
        <v>41</v>
      </c>
      <c r="G676">
        <v>70036734</v>
      </c>
      <c r="H676">
        <v>4511443845</v>
      </c>
      <c r="I676">
        <v>20</v>
      </c>
      <c r="J676" s="7" t="s">
        <v>42</v>
      </c>
      <c r="K676" s="7" t="str">
        <f>IFERROR(VLOOKUP(Detalle_OC[[#This Row],[Centro]]&amp;Detalle_OC[[#This Row],[Nro Almacen]],Almacen!A:D,4,FALSE),"")</f>
        <v/>
      </c>
    </row>
    <row r="677" spans="1:11" x14ac:dyDescent="0.35">
      <c r="A677" s="7" t="str">
        <f>Detalle_OC[[#This Row],[Centro]]&amp;Detalle_OC[[#This Row],[Nom Almacen]]&amp;Detalle_OC[[#This Row],[Material]]&amp;Detalle_OC[[#This Row],[Pedido]]&amp;Detalle_OC[[#This Row],[Posicion]]</f>
        <v>Agricola del Chira PlantaMontelima70038101451144955810</v>
      </c>
      <c r="B677" t="s">
        <v>114</v>
      </c>
      <c r="C677" t="s">
        <v>423</v>
      </c>
      <c r="D677" s="17">
        <v>44995</v>
      </c>
      <c r="E677" t="s">
        <v>26</v>
      </c>
      <c r="F677" t="s">
        <v>27</v>
      </c>
      <c r="G677">
        <v>70038101</v>
      </c>
      <c r="H677">
        <v>4511449558</v>
      </c>
      <c r="I677">
        <v>10</v>
      </c>
      <c r="J677" s="7">
        <v>1</v>
      </c>
      <c r="K677" s="7" t="str">
        <f>IFERROR(VLOOKUP(Detalle_OC[[#This Row],[Centro]]&amp;Detalle_OC[[#This Row],[Nro Almacen]],Almacen!A:D,4,FALSE),"")</f>
        <v>Montelima</v>
      </c>
    </row>
    <row r="678" spans="1:11" x14ac:dyDescent="0.35">
      <c r="A678" s="7" t="str">
        <f>Detalle_OC[[#This Row],[Centro]]&amp;Detalle_OC[[#This Row],[Nom Almacen]]&amp;Detalle_OC[[#This Row],[Material]]&amp;Detalle_OC[[#This Row],[Pedido]]&amp;Detalle_OC[[#This Row],[Posicion]]</f>
        <v>Agricola del Chira PlantaMontelima70039345451144946610</v>
      </c>
      <c r="B678" t="s">
        <v>114</v>
      </c>
      <c r="C678" t="s">
        <v>446</v>
      </c>
      <c r="D678" s="17">
        <v>44995</v>
      </c>
      <c r="E678" t="s">
        <v>26</v>
      </c>
      <c r="F678" t="s">
        <v>27</v>
      </c>
      <c r="G678">
        <v>70039345</v>
      </c>
      <c r="H678">
        <v>4511449466</v>
      </c>
      <c r="I678">
        <v>10</v>
      </c>
      <c r="J678" s="7">
        <v>1</v>
      </c>
      <c r="K678" s="7" t="str">
        <f>IFERROR(VLOOKUP(Detalle_OC[[#This Row],[Centro]]&amp;Detalle_OC[[#This Row],[Nro Almacen]],Almacen!A:D,4,FALSE),"")</f>
        <v>Montelima</v>
      </c>
    </row>
    <row r="679" spans="1:11" x14ac:dyDescent="0.35">
      <c r="A679" s="7" t="str">
        <f>Detalle_OC[[#This Row],[Centro]]&amp;Detalle_OC[[#This Row],[Nom Almacen]]&amp;Detalle_OC[[#This Row],[Material]]&amp;Detalle_OC[[#This Row],[Pedido]]&amp;Detalle_OC[[#This Row],[Posicion]]</f>
        <v>Sucroalcolera del Chira PlantaMontelima70040046451145325720</v>
      </c>
      <c r="B679" t="s">
        <v>43</v>
      </c>
      <c r="C679" t="s">
        <v>447</v>
      </c>
      <c r="D679" s="17">
        <v>44978</v>
      </c>
      <c r="E679" t="s">
        <v>26</v>
      </c>
      <c r="F679" t="s">
        <v>41</v>
      </c>
      <c r="G679">
        <v>70040046</v>
      </c>
      <c r="H679">
        <v>4511453257</v>
      </c>
      <c r="I679">
        <v>20</v>
      </c>
      <c r="J679" s="7">
        <v>1</v>
      </c>
      <c r="K679" s="7" t="str">
        <f>IFERROR(VLOOKUP(Detalle_OC[[#This Row],[Centro]]&amp;Detalle_OC[[#This Row],[Nro Almacen]],Almacen!A:D,4,FALSE),"")</f>
        <v>Montelima</v>
      </c>
    </row>
    <row r="680" spans="1:11" x14ac:dyDescent="0.35">
      <c r="A680" s="7" t="str">
        <f>Detalle_OC[[#This Row],[Centro]]&amp;Detalle_OC[[#This Row],[Nom Almacen]]&amp;Detalle_OC[[#This Row],[Material]]&amp;Detalle_OC[[#This Row],[Pedido]]&amp;Detalle_OC[[#This Row],[Posicion]]</f>
        <v>Agricola del Chira PlantaMontelima70043835451145410020</v>
      </c>
      <c r="B680" t="s">
        <v>109</v>
      </c>
      <c r="C680" t="s">
        <v>444</v>
      </c>
      <c r="D680" s="17">
        <v>45002</v>
      </c>
      <c r="E680" t="s">
        <v>26</v>
      </c>
      <c r="F680" t="s">
        <v>27</v>
      </c>
      <c r="G680">
        <v>70043835</v>
      </c>
      <c r="H680">
        <v>4511454100</v>
      </c>
      <c r="I680">
        <v>20</v>
      </c>
      <c r="J680" s="7">
        <v>1</v>
      </c>
      <c r="K680" s="7" t="str">
        <f>IFERROR(VLOOKUP(Detalle_OC[[#This Row],[Centro]]&amp;Detalle_OC[[#This Row],[Nro Almacen]],Almacen!A:D,4,FALSE),"")</f>
        <v>Montelima</v>
      </c>
    </row>
    <row r="681" spans="1:11" x14ac:dyDescent="0.35">
      <c r="A681" s="7" t="str">
        <f>Detalle_OC[[#This Row],[Centro]]&amp;Detalle_OC[[#This Row],[Nom Almacen]]&amp;Detalle_OC[[#This Row],[Material]]&amp;Detalle_OC[[#This Row],[Pedido]]&amp;Detalle_OC[[#This Row],[Posicion]]</f>
        <v>Agricola del Chira PlantaMontelima70043836451145410030</v>
      </c>
      <c r="B681" t="s">
        <v>109</v>
      </c>
      <c r="C681" t="s">
        <v>444</v>
      </c>
      <c r="D681" s="17">
        <v>45002</v>
      </c>
      <c r="E681" t="s">
        <v>26</v>
      </c>
      <c r="F681" t="s">
        <v>27</v>
      </c>
      <c r="G681">
        <v>70043836</v>
      </c>
      <c r="H681">
        <v>4511454100</v>
      </c>
      <c r="I681">
        <v>30</v>
      </c>
      <c r="J681" s="7">
        <v>1</v>
      </c>
      <c r="K681" s="7" t="str">
        <f>IFERROR(VLOOKUP(Detalle_OC[[#This Row],[Centro]]&amp;Detalle_OC[[#This Row],[Nro Almacen]],Almacen!A:D,4,FALSE),"")</f>
        <v>Montelima</v>
      </c>
    </row>
    <row r="682" spans="1:11" x14ac:dyDescent="0.35">
      <c r="A682" s="7" t="str">
        <f>Detalle_OC[[#This Row],[Centro]]&amp;Detalle_OC[[#This Row],[Nom Almacen]]&amp;Detalle_OC[[#This Row],[Material]]&amp;Detalle_OC[[#This Row],[Pedido]]&amp;Detalle_OC[[#This Row],[Posicion]]</f>
        <v>Agricola del Chira PlantaMontelima70043837451145410040</v>
      </c>
      <c r="B682" t="s">
        <v>109</v>
      </c>
      <c r="C682" t="s">
        <v>444</v>
      </c>
      <c r="D682" s="17">
        <v>45002</v>
      </c>
      <c r="E682" t="s">
        <v>26</v>
      </c>
      <c r="F682" t="s">
        <v>27</v>
      </c>
      <c r="G682">
        <v>70043837</v>
      </c>
      <c r="H682">
        <v>4511454100</v>
      </c>
      <c r="I682">
        <v>40</v>
      </c>
      <c r="J682" s="7">
        <v>1</v>
      </c>
      <c r="K682" s="7" t="str">
        <f>IFERROR(VLOOKUP(Detalle_OC[[#This Row],[Centro]]&amp;Detalle_OC[[#This Row],[Nro Almacen]],Almacen!A:D,4,FALSE),"")</f>
        <v>Montelima</v>
      </c>
    </row>
    <row r="683" spans="1:11" x14ac:dyDescent="0.35">
      <c r="A683" s="7" t="str">
        <f>Detalle_OC[[#This Row],[Centro]]&amp;Detalle_OC[[#This Row],[Nom Almacen]]&amp;Detalle_OC[[#This Row],[Material]]&amp;Detalle_OC[[#This Row],[Pedido]]&amp;Detalle_OC[[#This Row],[Posicion]]</f>
        <v>Sucroalcolera del Chira PlantaMontelima700438985500022436440</v>
      </c>
      <c r="B683" t="s">
        <v>38</v>
      </c>
      <c r="C683" t="s">
        <v>413</v>
      </c>
      <c r="D683" s="17">
        <v>44687</v>
      </c>
      <c r="E683" t="s">
        <v>26</v>
      </c>
      <c r="F683" t="s">
        <v>41</v>
      </c>
      <c r="G683">
        <v>70043898</v>
      </c>
      <c r="H683">
        <v>5500022436</v>
      </c>
      <c r="I683">
        <v>440</v>
      </c>
      <c r="J683" s="7">
        <v>1</v>
      </c>
      <c r="K683" s="7" t="str">
        <f>IFERROR(VLOOKUP(Detalle_OC[[#This Row],[Centro]]&amp;Detalle_OC[[#This Row],[Nro Almacen]],Almacen!A:D,4,FALSE),"")</f>
        <v>Montelima</v>
      </c>
    </row>
    <row r="684" spans="1:11" x14ac:dyDescent="0.35">
      <c r="A684" s="7" t="str">
        <f>Detalle_OC[[#This Row],[Centro]]&amp;Detalle_OC[[#This Row],[Nom Almacen]]&amp;Detalle_OC[[#This Row],[Material]]&amp;Detalle_OC[[#This Row],[Pedido]]&amp;Detalle_OC[[#This Row],[Posicion]]</f>
        <v>Sucroalcolera del Chira PlantaMontelima700438985500022436440</v>
      </c>
      <c r="B684" t="s">
        <v>38</v>
      </c>
      <c r="C684" t="s">
        <v>413</v>
      </c>
      <c r="D684" s="17">
        <v>44755</v>
      </c>
      <c r="E684" t="s">
        <v>26</v>
      </c>
      <c r="F684" t="s">
        <v>41</v>
      </c>
      <c r="G684">
        <v>70043898</v>
      </c>
      <c r="H684">
        <v>5500022436</v>
      </c>
      <c r="I684">
        <v>440</v>
      </c>
      <c r="J684" s="7">
        <v>1</v>
      </c>
      <c r="K684" s="7" t="str">
        <f>IFERROR(VLOOKUP(Detalle_OC[[#This Row],[Centro]]&amp;Detalle_OC[[#This Row],[Nro Almacen]],Almacen!A:D,4,FALSE),"")</f>
        <v>Montelima</v>
      </c>
    </row>
    <row r="685" spans="1:11" x14ac:dyDescent="0.35">
      <c r="A685" s="7" t="str">
        <f>Detalle_OC[[#This Row],[Centro]]&amp;Detalle_OC[[#This Row],[Nom Almacen]]&amp;Detalle_OC[[#This Row],[Material]]&amp;Detalle_OC[[#This Row],[Pedido]]&amp;Detalle_OC[[#This Row],[Posicion]]</f>
        <v>Sucroalcolera del Chira PlantaMontelima700438985500022436440</v>
      </c>
      <c r="B685" t="s">
        <v>38</v>
      </c>
      <c r="C685" t="s">
        <v>413</v>
      </c>
      <c r="D685" s="17">
        <v>44806</v>
      </c>
      <c r="E685" t="s">
        <v>26</v>
      </c>
      <c r="F685" t="s">
        <v>41</v>
      </c>
      <c r="G685">
        <v>70043898</v>
      </c>
      <c r="H685">
        <v>5500022436</v>
      </c>
      <c r="I685">
        <v>440</v>
      </c>
      <c r="J685" s="7">
        <v>1</v>
      </c>
      <c r="K685" s="7" t="str">
        <f>IFERROR(VLOOKUP(Detalle_OC[[#This Row],[Centro]]&amp;Detalle_OC[[#This Row],[Nro Almacen]],Almacen!A:D,4,FALSE),"")</f>
        <v>Montelima</v>
      </c>
    </row>
    <row r="686" spans="1:11" x14ac:dyDescent="0.35">
      <c r="A686" s="7" t="str">
        <f>Detalle_OC[[#This Row],[Centro]]&amp;Detalle_OC[[#This Row],[Nom Almacen]]&amp;Detalle_OC[[#This Row],[Material]]&amp;Detalle_OC[[#This Row],[Pedido]]&amp;Detalle_OC[[#This Row],[Posicion]]</f>
        <v>Agricola del Chira PlantaLa Huaca7004399155000224351420</v>
      </c>
      <c r="B686" t="s">
        <v>38</v>
      </c>
      <c r="C686" t="s">
        <v>413</v>
      </c>
      <c r="D686" s="17">
        <v>44687</v>
      </c>
      <c r="E686" t="s">
        <v>26</v>
      </c>
      <c r="F686" t="s">
        <v>27</v>
      </c>
      <c r="G686">
        <v>70043991</v>
      </c>
      <c r="H686">
        <v>5500022435</v>
      </c>
      <c r="I686">
        <v>1420</v>
      </c>
      <c r="J686" s="7">
        <v>2</v>
      </c>
      <c r="K686" s="7" t="str">
        <f>IFERROR(VLOOKUP(Detalle_OC[[#This Row],[Centro]]&amp;Detalle_OC[[#This Row],[Nro Almacen]],Almacen!A:D,4,FALSE),"")</f>
        <v>La Huaca</v>
      </c>
    </row>
    <row r="687" spans="1:11" x14ac:dyDescent="0.35">
      <c r="A687" s="7" t="str">
        <f>Detalle_OC[[#This Row],[Centro]]&amp;Detalle_OC[[#This Row],[Nom Almacen]]&amp;Detalle_OC[[#This Row],[Material]]&amp;Detalle_OC[[#This Row],[Pedido]]&amp;Detalle_OC[[#This Row],[Posicion]]</f>
        <v>Sucroalcolera del Chira PlantaMontelima700439915500022436580</v>
      </c>
      <c r="B687" t="s">
        <v>38</v>
      </c>
      <c r="C687" t="s">
        <v>413</v>
      </c>
      <c r="D687" s="17">
        <v>44658</v>
      </c>
      <c r="E687" t="s">
        <v>26</v>
      </c>
      <c r="F687" t="s">
        <v>41</v>
      </c>
      <c r="G687">
        <v>70043991</v>
      </c>
      <c r="H687">
        <v>5500022436</v>
      </c>
      <c r="I687">
        <v>580</v>
      </c>
      <c r="J687" s="7">
        <v>1</v>
      </c>
      <c r="K687" s="7" t="str">
        <f>IFERROR(VLOOKUP(Detalle_OC[[#This Row],[Centro]]&amp;Detalle_OC[[#This Row],[Nro Almacen]],Almacen!A:D,4,FALSE),"")</f>
        <v>Montelima</v>
      </c>
    </row>
    <row r="688" spans="1:11" x14ac:dyDescent="0.35">
      <c r="A688" s="7" t="str">
        <f>Detalle_OC[[#This Row],[Centro]]&amp;Detalle_OC[[#This Row],[Nom Almacen]]&amp;Detalle_OC[[#This Row],[Material]]&amp;Detalle_OC[[#This Row],[Pedido]]&amp;Detalle_OC[[#This Row],[Posicion]]</f>
        <v>Sucroalcolera del Chira PlantaMontelima700439915500022436580</v>
      </c>
      <c r="B688" t="s">
        <v>38</v>
      </c>
      <c r="C688" t="s">
        <v>413</v>
      </c>
      <c r="D688" s="17">
        <v>44659</v>
      </c>
      <c r="E688" t="s">
        <v>26</v>
      </c>
      <c r="F688" t="s">
        <v>41</v>
      </c>
      <c r="G688">
        <v>70043991</v>
      </c>
      <c r="H688">
        <v>5500022436</v>
      </c>
      <c r="I688">
        <v>580</v>
      </c>
      <c r="J688" s="7">
        <v>1</v>
      </c>
      <c r="K688" s="7" t="str">
        <f>IFERROR(VLOOKUP(Detalle_OC[[#This Row],[Centro]]&amp;Detalle_OC[[#This Row],[Nro Almacen]],Almacen!A:D,4,FALSE),"")</f>
        <v>Montelima</v>
      </c>
    </row>
    <row r="689" spans="1:11" x14ac:dyDescent="0.35">
      <c r="A689" s="7" t="str">
        <f>Detalle_OC[[#This Row],[Centro]]&amp;Detalle_OC[[#This Row],[Nom Almacen]]&amp;Detalle_OC[[#This Row],[Material]]&amp;Detalle_OC[[#This Row],[Pedido]]&amp;Detalle_OC[[#This Row],[Posicion]]</f>
        <v>Sucroalcolera del Chira PlantaMontelima700439915500022436580</v>
      </c>
      <c r="B689" t="s">
        <v>38</v>
      </c>
      <c r="C689" t="s">
        <v>413</v>
      </c>
      <c r="D689" s="17">
        <v>44691</v>
      </c>
      <c r="E689" t="s">
        <v>26</v>
      </c>
      <c r="F689" t="s">
        <v>41</v>
      </c>
      <c r="G689">
        <v>70043991</v>
      </c>
      <c r="H689">
        <v>5500022436</v>
      </c>
      <c r="I689">
        <v>580</v>
      </c>
      <c r="J689" s="7">
        <v>1</v>
      </c>
      <c r="K689" s="7" t="str">
        <f>IFERROR(VLOOKUP(Detalle_OC[[#This Row],[Centro]]&amp;Detalle_OC[[#This Row],[Nro Almacen]],Almacen!A:D,4,FALSE),"")</f>
        <v>Montelima</v>
      </c>
    </row>
    <row r="690" spans="1:11" x14ac:dyDescent="0.35">
      <c r="A690" s="7" t="str">
        <f>Detalle_OC[[#This Row],[Centro]]&amp;Detalle_OC[[#This Row],[Nom Almacen]]&amp;Detalle_OC[[#This Row],[Material]]&amp;Detalle_OC[[#This Row],[Pedido]]&amp;Detalle_OC[[#This Row],[Posicion]]</f>
        <v>Sucroalcolera del Chira PlantaMontelima700439915500022436580</v>
      </c>
      <c r="B690" t="s">
        <v>38</v>
      </c>
      <c r="C690" t="s">
        <v>413</v>
      </c>
      <c r="D690" s="17">
        <v>44755</v>
      </c>
      <c r="E690" t="s">
        <v>26</v>
      </c>
      <c r="F690" t="s">
        <v>41</v>
      </c>
      <c r="G690">
        <v>70043991</v>
      </c>
      <c r="H690">
        <v>5500022436</v>
      </c>
      <c r="I690">
        <v>580</v>
      </c>
      <c r="J690" s="7">
        <v>1</v>
      </c>
      <c r="K690" s="7" t="str">
        <f>IFERROR(VLOOKUP(Detalle_OC[[#This Row],[Centro]]&amp;Detalle_OC[[#This Row],[Nro Almacen]],Almacen!A:D,4,FALSE),"")</f>
        <v>Montelima</v>
      </c>
    </row>
    <row r="691" spans="1:11" x14ac:dyDescent="0.35">
      <c r="A691" s="7" t="str">
        <f>Detalle_OC[[#This Row],[Centro]]&amp;Detalle_OC[[#This Row],[Nom Almacen]]&amp;Detalle_OC[[#This Row],[Material]]&amp;Detalle_OC[[#This Row],[Pedido]]&amp;Detalle_OC[[#This Row],[Posicion]]</f>
        <v>Sucroalcolera del Chira PlantaMontelima700439915500022436580</v>
      </c>
      <c r="B691" t="s">
        <v>38</v>
      </c>
      <c r="C691" t="s">
        <v>413</v>
      </c>
      <c r="D691" s="17">
        <v>44806</v>
      </c>
      <c r="E691" t="s">
        <v>26</v>
      </c>
      <c r="F691" t="s">
        <v>41</v>
      </c>
      <c r="G691">
        <v>70043991</v>
      </c>
      <c r="H691">
        <v>5500022436</v>
      </c>
      <c r="I691">
        <v>580</v>
      </c>
      <c r="J691" s="7">
        <v>1</v>
      </c>
      <c r="K691" s="7" t="str">
        <f>IFERROR(VLOOKUP(Detalle_OC[[#This Row],[Centro]]&amp;Detalle_OC[[#This Row],[Nro Almacen]],Almacen!A:D,4,FALSE),"")</f>
        <v>Montelima</v>
      </c>
    </row>
    <row r="692" spans="1:11" x14ac:dyDescent="0.35">
      <c r="A692" s="7" t="str">
        <f>Detalle_OC[[#This Row],[Centro]]&amp;Detalle_OC[[#This Row],[Nom Almacen]]&amp;Detalle_OC[[#This Row],[Material]]&amp;Detalle_OC[[#This Row],[Pedido]]&amp;Detalle_OC[[#This Row],[Posicion]]</f>
        <v>Sucroalcolera del Chira PlantaMontelima700439915500022436580</v>
      </c>
      <c r="B692" t="s">
        <v>38</v>
      </c>
      <c r="C692" t="s">
        <v>413</v>
      </c>
      <c r="D692" s="17">
        <v>44858</v>
      </c>
      <c r="E692" t="s">
        <v>26</v>
      </c>
      <c r="F692" t="s">
        <v>41</v>
      </c>
      <c r="G692">
        <v>70043991</v>
      </c>
      <c r="H692">
        <v>5500022436</v>
      </c>
      <c r="I692">
        <v>580</v>
      </c>
      <c r="J692" s="7">
        <v>1</v>
      </c>
      <c r="K692" s="7" t="str">
        <f>IFERROR(VLOOKUP(Detalle_OC[[#This Row],[Centro]]&amp;Detalle_OC[[#This Row],[Nro Almacen]],Almacen!A:D,4,FALSE),"")</f>
        <v>Montelima</v>
      </c>
    </row>
    <row r="693" spans="1:11" x14ac:dyDescent="0.35">
      <c r="A693" s="7" t="str">
        <f>Detalle_OC[[#This Row],[Centro]]&amp;Detalle_OC[[#This Row],[Nom Almacen]]&amp;Detalle_OC[[#This Row],[Material]]&amp;Detalle_OC[[#This Row],[Pedido]]&amp;Detalle_OC[[#This Row],[Posicion]]</f>
        <v>Sucroalcolera del Chira PlantaMontelima700439915500022436580</v>
      </c>
      <c r="B693" t="s">
        <v>38</v>
      </c>
      <c r="C693" t="s">
        <v>413</v>
      </c>
      <c r="D693" s="17">
        <v>44910</v>
      </c>
      <c r="E693" t="s">
        <v>26</v>
      </c>
      <c r="F693" t="s">
        <v>41</v>
      </c>
      <c r="G693">
        <v>70043991</v>
      </c>
      <c r="H693">
        <v>5500022436</v>
      </c>
      <c r="I693">
        <v>580</v>
      </c>
      <c r="J693" s="7">
        <v>1</v>
      </c>
      <c r="K693" s="7" t="str">
        <f>IFERROR(VLOOKUP(Detalle_OC[[#This Row],[Centro]]&amp;Detalle_OC[[#This Row],[Nro Almacen]],Almacen!A:D,4,FALSE),"")</f>
        <v>Montelima</v>
      </c>
    </row>
    <row r="694" spans="1:11" x14ac:dyDescent="0.35">
      <c r="A694" s="7" t="str">
        <f>Detalle_OC[[#This Row],[Centro]]&amp;Detalle_OC[[#This Row],[Nom Almacen]]&amp;Detalle_OC[[#This Row],[Material]]&amp;Detalle_OC[[#This Row],[Pedido]]&amp;Detalle_OC[[#This Row],[Posicion]]</f>
        <v>Sucroalcolera del Chira PlantaMontelima700439915500022436580</v>
      </c>
      <c r="B694" t="s">
        <v>38</v>
      </c>
      <c r="C694" t="s">
        <v>413</v>
      </c>
      <c r="D694" s="17">
        <v>44950</v>
      </c>
      <c r="E694" t="s">
        <v>26</v>
      </c>
      <c r="F694" t="s">
        <v>41</v>
      </c>
      <c r="G694">
        <v>70043991</v>
      </c>
      <c r="H694">
        <v>5500022436</v>
      </c>
      <c r="I694">
        <v>580</v>
      </c>
      <c r="J694" s="7">
        <v>1</v>
      </c>
      <c r="K694" s="7" t="str">
        <f>IFERROR(VLOOKUP(Detalle_OC[[#This Row],[Centro]]&amp;Detalle_OC[[#This Row],[Nro Almacen]],Almacen!A:D,4,FALSE),"")</f>
        <v>Montelima</v>
      </c>
    </row>
    <row r="695" spans="1:11" x14ac:dyDescent="0.35">
      <c r="A695" s="7" t="str">
        <f>Detalle_OC[[#This Row],[Centro]]&amp;Detalle_OC[[#This Row],[Nom Almacen]]&amp;Detalle_OC[[#This Row],[Material]]&amp;Detalle_OC[[#This Row],[Pedido]]&amp;Detalle_OC[[#This Row],[Posicion]]</f>
        <v>Sucroalcolera del Chira PlantaMontelima700439915500022436580</v>
      </c>
      <c r="B695" t="s">
        <v>38</v>
      </c>
      <c r="C695" t="s">
        <v>413</v>
      </c>
      <c r="D695" s="17">
        <v>44998</v>
      </c>
      <c r="E695" t="s">
        <v>26</v>
      </c>
      <c r="F695" t="s">
        <v>41</v>
      </c>
      <c r="G695">
        <v>70043991</v>
      </c>
      <c r="H695">
        <v>5500022436</v>
      </c>
      <c r="I695">
        <v>580</v>
      </c>
      <c r="J695" s="7">
        <v>1</v>
      </c>
      <c r="K695" s="7" t="str">
        <f>IFERROR(VLOOKUP(Detalle_OC[[#This Row],[Centro]]&amp;Detalle_OC[[#This Row],[Nro Almacen]],Almacen!A:D,4,FALSE),"")</f>
        <v>Montelima</v>
      </c>
    </row>
    <row r="696" spans="1:11" x14ac:dyDescent="0.35">
      <c r="A696" s="7" t="str">
        <f>Detalle_OC[[#This Row],[Centro]]&amp;Detalle_OC[[#This Row],[Nom Almacen]]&amp;Detalle_OC[[#This Row],[Material]]&amp;Detalle_OC[[#This Row],[Pedido]]&amp;Detalle_OC[[#This Row],[Posicion]]</f>
        <v>Sucroalcolera del Chira PlantaMontelima700439915500022436580</v>
      </c>
      <c r="B696" t="s">
        <v>38</v>
      </c>
      <c r="C696" t="s">
        <v>413</v>
      </c>
      <c r="D696" s="17">
        <v>44993</v>
      </c>
      <c r="E696" t="s">
        <v>26</v>
      </c>
      <c r="F696" t="s">
        <v>41</v>
      </c>
      <c r="G696">
        <v>70043991</v>
      </c>
      <c r="H696">
        <v>5500022436</v>
      </c>
      <c r="I696">
        <v>580</v>
      </c>
      <c r="J696" s="7">
        <v>1</v>
      </c>
      <c r="K696" s="7" t="str">
        <f>IFERROR(VLOOKUP(Detalle_OC[[#This Row],[Centro]]&amp;Detalle_OC[[#This Row],[Nro Almacen]],Almacen!A:D,4,FALSE),"")</f>
        <v>Montelima</v>
      </c>
    </row>
    <row r="697" spans="1:11" x14ac:dyDescent="0.35">
      <c r="A697" s="7" t="str">
        <f>Detalle_OC[[#This Row],[Centro]]&amp;Detalle_OC[[#This Row],[Nom Almacen]]&amp;Detalle_OC[[#This Row],[Material]]&amp;Detalle_OC[[#This Row],[Pedido]]&amp;Detalle_OC[[#This Row],[Posicion]]</f>
        <v>Sucroalcolera del Chira PlantaMontelima700440005500022436490</v>
      </c>
      <c r="B697" t="s">
        <v>38</v>
      </c>
      <c r="C697" t="s">
        <v>413</v>
      </c>
      <c r="D697" s="17">
        <v>44687</v>
      </c>
      <c r="E697" t="s">
        <v>26</v>
      </c>
      <c r="F697" t="s">
        <v>41</v>
      </c>
      <c r="G697">
        <v>70044000</v>
      </c>
      <c r="H697">
        <v>5500022436</v>
      </c>
      <c r="I697">
        <v>490</v>
      </c>
      <c r="J697" s="7">
        <v>1</v>
      </c>
      <c r="K697" s="7" t="str">
        <f>IFERROR(VLOOKUP(Detalle_OC[[#This Row],[Centro]]&amp;Detalle_OC[[#This Row],[Nro Almacen]],Almacen!A:D,4,FALSE),"")</f>
        <v>Montelima</v>
      </c>
    </row>
    <row r="698" spans="1:11" x14ac:dyDescent="0.35">
      <c r="A698" s="7" t="str">
        <f>Detalle_OC[[#This Row],[Centro]]&amp;Detalle_OC[[#This Row],[Nom Almacen]]&amp;Detalle_OC[[#This Row],[Material]]&amp;Detalle_OC[[#This Row],[Pedido]]&amp;Detalle_OC[[#This Row],[Posicion]]</f>
        <v>Sucroalcolera del Chira PlantaMontelima700440005500022436490</v>
      </c>
      <c r="B698" t="s">
        <v>38</v>
      </c>
      <c r="C698" t="s">
        <v>413</v>
      </c>
      <c r="D698" s="17">
        <v>44727</v>
      </c>
      <c r="E698" t="s">
        <v>26</v>
      </c>
      <c r="F698" t="s">
        <v>41</v>
      </c>
      <c r="G698">
        <v>70044000</v>
      </c>
      <c r="H698">
        <v>5500022436</v>
      </c>
      <c r="I698">
        <v>490</v>
      </c>
      <c r="J698" s="7">
        <v>1</v>
      </c>
      <c r="K698" s="7" t="str">
        <f>IFERROR(VLOOKUP(Detalle_OC[[#This Row],[Centro]]&amp;Detalle_OC[[#This Row],[Nro Almacen]],Almacen!A:D,4,FALSE),"")</f>
        <v>Montelima</v>
      </c>
    </row>
    <row r="699" spans="1:11" x14ac:dyDescent="0.35">
      <c r="A699" s="7" t="str">
        <f>Detalle_OC[[#This Row],[Centro]]&amp;Detalle_OC[[#This Row],[Nom Almacen]]&amp;Detalle_OC[[#This Row],[Material]]&amp;Detalle_OC[[#This Row],[Pedido]]&amp;Detalle_OC[[#This Row],[Posicion]]</f>
        <v>Sucroalcolera del Chira PlantaMontelima700440005500022436490</v>
      </c>
      <c r="B699" t="s">
        <v>38</v>
      </c>
      <c r="C699" t="s">
        <v>413</v>
      </c>
      <c r="D699" s="17">
        <v>44910</v>
      </c>
      <c r="E699" t="s">
        <v>26</v>
      </c>
      <c r="F699" t="s">
        <v>41</v>
      </c>
      <c r="G699">
        <v>70044000</v>
      </c>
      <c r="H699">
        <v>5500022436</v>
      </c>
      <c r="I699">
        <v>490</v>
      </c>
      <c r="J699" s="7">
        <v>1</v>
      </c>
      <c r="K699" s="7" t="str">
        <f>IFERROR(VLOOKUP(Detalle_OC[[#This Row],[Centro]]&amp;Detalle_OC[[#This Row],[Nro Almacen]],Almacen!A:D,4,FALSE),"")</f>
        <v>Montelima</v>
      </c>
    </row>
    <row r="700" spans="1:11" x14ac:dyDescent="0.35">
      <c r="A700" s="7" t="str">
        <f>Detalle_OC[[#This Row],[Centro]]&amp;Detalle_OC[[#This Row],[Nom Almacen]]&amp;Detalle_OC[[#This Row],[Material]]&amp;Detalle_OC[[#This Row],[Pedido]]&amp;Detalle_OC[[#This Row],[Posicion]]</f>
        <v>Sucroalcolera del Chira PlantaMontelima700440015500022436480</v>
      </c>
      <c r="B700" t="s">
        <v>38</v>
      </c>
      <c r="C700" t="s">
        <v>413</v>
      </c>
      <c r="D700" s="17">
        <v>44687</v>
      </c>
      <c r="E700" t="s">
        <v>26</v>
      </c>
      <c r="F700" t="s">
        <v>41</v>
      </c>
      <c r="G700">
        <v>70044001</v>
      </c>
      <c r="H700">
        <v>5500022436</v>
      </c>
      <c r="I700">
        <v>480</v>
      </c>
      <c r="J700" s="7">
        <v>1</v>
      </c>
      <c r="K700" s="7" t="str">
        <f>IFERROR(VLOOKUP(Detalle_OC[[#This Row],[Centro]]&amp;Detalle_OC[[#This Row],[Nro Almacen]],Almacen!A:D,4,FALSE),"")</f>
        <v>Montelima</v>
      </c>
    </row>
    <row r="701" spans="1:11" x14ac:dyDescent="0.35">
      <c r="A701" s="7" t="str">
        <f>Detalle_OC[[#This Row],[Centro]]&amp;Detalle_OC[[#This Row],[Nom Almacen]]&amp;Detalle_OC[[#This Row],[Material]]&amp;Detalle_OC[[#This Row],[Pedido]]&amp;Detalle_OC[[#This Row],[Posicion]]</f>
        <v>Sucroalcolera del Chira PlantaMontelima700440015500022436480</v>
      </c>
      <c r="B701" t="s">
        <v>38</v>
      </c>
      <c r="C701" t="s">
        <v>413</v>
      </c>
      <c r="D701" s="17">
        <v>44806</v>
      </c>
      <c r="E701" t="s">
        <v>26</v>
      </c>
      <c r="F701" t="s">
        <v>41</v>
      </c>
      <c r="G701">
        <v>70044001</v>
      </c>
      <c r="H701">
        <v>5500022436</v>
      </c>
      <c r="I701">
        <v>480</v>
      </c>
      <c r="J701" s="7">
        <v>1</v>
      </c>
      <c r="K701" s="7" t="str">
        <f>IFERROR(VLOOKUP(Detalle_OC[[#This Row],[Centro]]&amp;Detalle_OC[[#This Row],[Nro Almacen]],Almacen!A:D,4,FALSE),"")</f>
        <v>Montelima</v>
      </c>
    </row>
    <row r="702" spans="1:11" x14ac:dyDescent="0.35">
      <c r="A702" s="7" t="str">
        <f>Detalle_OC[[#This Row],[Centro]]&amp;Detalle_OC[[#This Row],[Nom Almacen]]&amp;Detalle_OC[[#This Row],[Material]]&amp;Detalle_OC[[#This Row],[Pedido]]&amp;Detalle_OC[[#This Row],[Posicion]]</f>
        <v>Sucroalcolera del Chira PlantaMontelima700440015500022436480</v>
      </c>
      <c r="B702" t="s">
        <v>38</v>
      </c>
      <c r="C702" t="s">
        <v>413</v>
      </c>
      <c r="D702" s="17">
        <v>44910</v>
      </c>
      <c r="E702" t="s">
        <v>26</v>
      </c>
      <c r="F702" t="s">
        <v>41</v>
      </c>
      <c r="G702">
        <v>70044001</v>
      </c>
      <c r="H702">
        <v>5500022436</v>
      </c>
      <c r="I702">
        <v>480</v>
      </c>
      <c r="J702" s="7">
        <v>1</v>
      </c>
      <c r="K702" s="7" t="str">
        <f>IFERROR(VLOOKUP(Detalle_OC[[#This Row],[Centro]]&amp;Detalle_OC[[#This Row],[Nro Almacen]],Almacen!A:D,4,FALSE),"")</f>
        <v>Montelima</v>
      </c>
    </row>
    <row r="703" spans="1:11" x14ac:dyDescent="0.35">
      <c r="A703" s="7" t="str">
        <f>Detalle_OC[[#This Row],[Centro]]&amp;Detalle_OC[[#This Row],[Nom Almacen]]&amp;Detalle_OC[[#This Row],[Material]]&amp;Detalle_OC[[#This Row],[Pedido]]&amp;Detalle_OC[[#This Row],[Posicion]]</f>
        <v>Sucroalcolera del Chira PlantaMontelima700440025500022436510</v>
      </c>
      <c r="B703" t="s">
        <v>38</v>
      </c>
      <c r="C703" t="s">
        <v>413</v>
      </c>
      <c r="D703" s="17">
        <v>44691</v>
      </c>
      <c r="E703" t="s">
        <v>26</v>
      </c>
      <c r="F703" t="s">
        <v>41</v>
      </c>
      <c r="G703">
        <v>70044002</v>
      </c>
      <c r="H703">
        <v>5500022436</v>
      </c>
      <c r="I703">
        <v>510</v>
      </c>
      <c r="J703" s="7">
        <v>1</v>
      </c>
      <c r="K703" s="7" t="str">
        <f>IFERROR(VLOOKUP(Detalle_OC[[#This Row],[Centro]]&amp;Detalle_OC[[#This Row],[Nro Almacen]],Almacen!A:D,4,FALSE),"")</f>
        <v>Montelima</v>
      </c>
    </row>
    <row r="704" spans="1:11" x14ac:dyDescent="0.35">
      <c r="A704" s="7" t="str">
        <f>Detalle_OC[[#This Row],[Centro]]&amp;Detalle_OC[[#This Row],[Nom Almacen]]&amp;Detalle_OC[[#This Row],[Material]]&amp;Detalle_OC[[#This Row],[Pedido]]&amp;Detalle_OC[[#This Row],[Posicion]]</f>
        <v>Sucroalcolera del Chira PlantaMontelima700440025500022436510</v>
      </c>
      <c r="B704" t="s">
        <v>38</v>
      </c>
      <c r="C704" t="s">
        <v>413</v>
      </c>
      <c r="D704" s="17">
        <v>44910</v>
      </c>
      <c r="E704" t="s">
        <v>26</v>
      </c>
      <c r="F704" t="s">
        <v>41</v>
      </c>
      <c r="G704">
        <v>70044002</v>
      </c>
      <c r="H704">
        <v>5500022436</v>
      </c>
      <c r="I704">
        <v>510</v>
      </c>
      <c r="J704" s="7">
        <v>1</v>
      </c>
      <c r="K704" s="7" t="str">
        <f>IFERROR(VLOOKUP(Detalle_OC[[#This Row],[Centro]]&amp;Detalle_OC[[#This Row],[Nro Almacen]],Almacen!A:D,4,FALSE),"")</f>
        <v>Montelima</v>
      </c>
    </row>
    <row r="705" spans="1:11" x14ac:dyDescent="0.35">
      <c r="A705" s="7" t="str">
        <f>Detalle_OC[[#This Row],[Centro]]&amp;Detalle_OC[[#This Row],[Nom Almacen]]&amp;Detalle_OC[[#This Row],[Material]]&amp;Detalle_OC[[#This Row],[Pedido]]&amp;Detalle_OC[[#This Row],[Posicion]]</f>
        <v>Sucroalcolera del Chira PlantaMontelima700440035500022436500</v>
      </c>
      <c r="B705" t="s">
        <v>38</v>
      </c>
      <c r="C705" t="s">
        <v>413</v>
      </c>
      <c r="D705" s="17">
        <v>44687</v>
      </c>
      <c r="E705" t="s">
        <v>26</v>
      </c>
      <c r="F705" t="s">
        <v>41</v>
      </c>
      <c r="G705">
        <v>70044003</v>
      </c>
      <c r="H705">
        <v>5500022436</v>
      </c>
      <c r="I705">
        <v>500</v>
      </c>
      <c r="J705" s="7">
        <v>1</v>
      </c>
      <c r="K705" s="7" t="str">
        <f>IFERROR(VLOOKUP(Detalle_OC[[#This Row],[Centro]]&amp;Detalle_OC[[#This Row],[Nro Almacen]],Almacen!A:D,4,FALSE),"")</f>
        <v>Montelima</v>
      </c>
    </row>
    <row r="706" spans="1:11" x14ac:dyDescent="0.35">
      <c r="A706" s="7" t="str">
        <f>Detalle_OC[[#This Row],[Centro]]&amp;Detalle_OC[[#This Row],[Nom Almacen]]&amp;Detalle_OC[[#This Row],[Material]]&amp;Detalle_OC[[#This Row],[Pedido]]&amp;Detalle_OC[[#This Row],[Posicion]]</f>
        <v>Sucroalcolera del Chira PlantaMontelima700440035500022436500</v>
      </c>
      <c r="B706" t="s">
        <v>38</v>
      </c>
      <c r="C706" t="s">
        <v>413</v>
      </c>
      <c r="D706" s="17">
        <v>44727</v>
      </c>
      <c r="E706" t="s">
        <v>26</v>
      </c>
      <c r="F706" t="s">
        <v>41</v>
      </c>
      <c r="G706">
        <v>70044003</v>
      </c>
      <c r="H706">
        <v>5500022436</v>
      </c>
      <c r="I706">
        <v>500</v>
      </c>
      <c r="J706" s="7">
        <v>1</v>
      </c>
      <c r="K706" s="7" t="str">
        <f>IFERROR(VLOOKUP(Detalle_OC[[#This Row],[Centro]]&amp;Detalle_OC[[#This Row],[Nro Almacen]],Almacen!A:D,4,FALSE),"")</f>
        <v>Montelima</v>
      </c>
    </row>
    <row r="707" spans="1:11" x14ac:dyDescent="0.35">
      <c r="A707" s="7" t="str">
        <f>Detalle_OC[[#This Row],[Centro]]&amp;Detalle_OC[[#This Row],[Nom Almacen]]&amp;Detalle_OC[[#This Row],[Material]]&amp;Detalle_OC[[#This Row],[Pedido]]&amp;Detalle_OC[[#This Row],[Posicion]]</f>
        <v>Sucroalcolera del Chira PlantaMontelima700440035500022436500</v>
      </c>
      <c r="B707" t="s">
        <v>38</v>
      </c>
      <c r="C707" t="s">
        <v>413</v>
      </c>
      <c r="D707" s="17">
        <v>44827</v>
      </c>
      <c r="E707" t="s">
        <v>26</v>
      </c>
      <c r="F707" t="s">
        <v>41</v>
      </c>
      <c r="G707">
        <v>70044003</v>
      </c>
      <c r="H707">
        <v>5500022436</v>
      </c>
      <c r="I707">
        <v>500</v>
      </c>
      <c r="J707" s="7">
        <v>1</v>
      </c>
      <c r="K707" s="7" t="str">
        <f>IFERROR(VLOOKUP(Detalle_OC[[#This Row],[Centro]]&amp;Detalle_OC[[#This Row],[Nro Almacen]],Almacen!A:D,4,FALSE),"")</f>
        <v>Montelima</v>
      </c>
    </row>
    <row r="708" spans="1:11" x14ac:dyDescent="0.35">
      <c r="A708" s="7" t="str">
        <f>Detalle_OC[[#This Row],[Centro]]&amp;Detalle_OC[[#This Row],[Nom Almacen]]&amp;Detalle_OC[[#This Row],[Material]]&amp;Detalle_OC[[#This Row],[Pedido]]&amp;Detalle_OC[[#This Row],[Posicion]]</f>
        <v>Sucroalcolera del Chira PlantaMontelima700440035500022436500</v>
      </c>
      <c r="B708" t="s">
        <v>38</v>
      </c>
      <c r="C708" t="s">
        <v>413</v>
      </c>
      <c r="D708" s="17">
        <v>44910</v>
      </c>
      <c r="E708" t="s">
        <v>26</v>
      </c>
      <c r="F708" t="s">
        <v>41</v>
      </c>
      <c r="G708">
        <v>70044003</v>
      </c>
      <c r="H708">
        <v>5500022436</v>
      </c>
      <c r="I708">
        <v>500</v>
      </c>
      <c r="J708" s="7">
        <v>1</v>
      </c>
      <c r="K708" s="7" t="str">
        <f>IFERROR(VLOOKUP(Detalle_OC[[#This Row],[Centro]]&amp;Detalle_OC[[#This Row],[Nro Almacen]],Almacen!A:D,4,FALSE),"")</f>
        <v>Montelima</v>
      </c>
    </row>
    <row r="709" spans="1:11" x14ac:dyDescent="0.35">
      <c r="A709" s="7" t="str">
        <f>Detalle_OC[[#This Row],[Centro]]&amp;Detalle_OC[[#This Row],[Nom Almacen]]&amp;Detalle_OC[[#This Row],[Material]]&amp;Detalle_OC[[#This Row],[Pedido]]&amp;Detalle_OC[[#This Row],[Posicion]]</f>
        <v>Agricola del Chira PlantaMontelima7004400655000224351350</v>
      </c>
      <c r="B709" t="s">
        <v>38</v>
      </c>
      <c r="C709" t="s">
        <v>413</v>
      </c>
      <c r="D709" s="17">
        <v>44910</v>
      </c>
      <c r="E709" t="s">
        <v>26</v>
      </c>
      <c r="F709" t="s">
        <v>27</v>
      </c>
      <c r="G709">
        <v>70044006</v>
      </c>
      <c r="H709">
        <v>5500022435</v>
      </c>
      <c r="I709">
        <v>1350</v>
      </c>
      <c r="J709" s="7">
        <v>1</v>
      </c>
      <c r="K709" s="7" t="str">
        <f>IFERROR(VLOOKUP(Detalle_OC[[#This Row],[Centro]]&amp;Detalle_OC[[#This Row],[Nro Almacen]],Almacen!A:D,4,FALSE),"")</f>
        <v>Montelima</v>
      </c>
    </row>
    <row r="710" spans="1:11" x14ac:dyDescent="0.35">
      <c r="A710" s="7" t="str">
        <f>Detalle_OC[[#This Row],[Centro]]&amp;Detalle_OC[[#This Row],[Nom Almacen]]&amp;Detalle_OC[[#This Row],[Material]]&amp;Detalle_OC[[#This Row],[Pedido]]&amp;Detalle_OC[[#This Row],[Posicion]]</f>
        <v>Agricola del Chira PlantaLa Huaca7004400655000224351460</v>
      </c>
      <c r="B710" t="s">
        <v>38</v>
      </c>
      <c r="C710" t="s">
        <v>413</v>
      </c>
      <c r="D710" s="17">
        <v>44812</v>
      </c>
      <c r="E710" t="s">
        <v>26</v>
      </c>
      <c r="F710" t="s">
        <v>27</v>
      </c>
      <c r="G710">
        <v>70044006</v>
      </c>
      <c r="H710">
        <v>5500022435</v>
      </c>
      <c r="I710">
        <v>1460</v>
      </c>
      <c r="J710" s="7">
        <v>2</v>
      </c>
      <c r="K710" s="7" t="str">
        <f>IFERROR(VLOOKUP(Detalle_OC[[#This Row],[Centro]]&amp;Detalle_OC[[#This Row],[Nro Almacen]],Almacen!A:D,4,FALSE),"")</f>
        <v>La Huaca</v>
      </c>
    </row>
    <row r="711" spans="1:11" x14ac:dyDescent="0.35">
      <c r="A711" s="7" t="str">
        <f>Detalle_OC[[#This Row],[Centro]]&amp;Detalle_OC[[#This Row],[Nom Almacen]]&amp;Detalle_OC[[#This Row],[Material]]&amp;Detalle_OC[[#This Row],[Pedido]]&amp;Detalle_OC[[#This Row],[Posicion]]</f>
        <v>Agricola del Chira PlantaAlmacen Lobo7004400655000224351540</v>
      </c>
      <c r="B711" t="s">
        <v>38</v>
      </c>
      <c r="C711" t="s">
        <v>413</v>
      </c>
      <c r="D711" s="17">
        <v>44687</v>
      </c>
      <c r="E711" t="s">
        <v>26</v>
      </c>
      <c r="F711" t="s">
        <v>27</v>
      </c>
      <c r="G711">
        <v>70044006</v>
      </c>
      <c r="H711">
        <v>5500022435</v>
      </c>
      <c r="I711">
        <v>1540</v>
      </c>
      <c r="J711" s="7">
        <v>7</v>
      </c>
      <c r="K711" s="7" t="str">
        <f>IFERROR(VLOOKUP(Detalle_OC[[#This Row],[Centro]]&amp;Detalle_OC[[#This Row],[Nro Almacen]],Almacen!A:D,4,FALSE),"")</f>
        <v>Almacen Lobo</v>
      </c>
    </row>
    <row r="712" spans="1:11" x14ac:dyDescent="0.35">
      <c r="A712" s="7" t="str">
        <f>Detalle_OC[[#This Row],[Centro]]&amp;Detalle_OC[[#This Row],[Nom Almacen]]&amp;Detalle_OC[[#This Row],[Material]]&amp;Detalle_OC[[#This Row],[Pedido]]&amp;Detalle_OC[[#This Row],[Posicion]]</f>
        <v>Agricola del Chira PlantaAlmacen Lobo7004400655000224351540</v>
      </c>
      <c r="B712" t="s">
        <v>38</v>
      </c>
      <c r="C712" t="s">
        <v>413</v>
      </c>
      <c r="D712" s="17">
        <v>44936</v>
      </c>
      <c r="E712" t="s">
        <v>26</v>
      </c>
      <c r="F712" t="s">
        <v>27</v>
      </c>
      <c r="G712">
        <v>70044006</v>
      </c>
      <c r="H712">
        <v>5500022435</v>
      </c>
      <c r="I712">
        <v>1540</v>
      </c>
      <c r="J712" s="7">
        <v>7</v>
      </c>
      <c r="K712" s="7" t="str">
        <f>IFERROR(VLOOKUP(Detalle_OC[[#This Row],[Centro]]&amp;Detalle_OC[[#This Row],[Nro Almacen]],Almacen!A:D,4,FALSE),"")</f>
        <v>Almacen Lobo</v>
      </c>
    </row>
    <row r="713" spans="1:11" x14ac:dyDescent="0.35">
      <c r="A713" s="7" t="str">
        <f>Detalle_OC[[#This Row],[Centro]]&amp;Detalle_OC[[#This Row],[Nom Almacen]]&amp;Detalle_OC[[#This Row],[Material]]&amp;Detalle_OC[[#This Row],[Pedido]]&amp;Detalle_OC[[#This Row],[Posicion]]</f>
        <v>Sucroalcolera del Chira PlantaMontelima700440065500022436390</v>
      </c>
      <c r="B713" t="s">
        <v>38</v>
      </c>
      <c r="C713" t="s">
        <v>413</v>
      </c>
      <c r="D713" s="17">
        <v>44637</v>
      </c>
      <c r="E713" t="s">
        <v>26</v>
      </c>
      <c r="F713" t="s">
        <v>41</v>
      </c>
      <c r="G713">
        <v>70044006</v>
      </c>
      <c r="H713">
        <v>5500022436</v>
      </c>
      <c r="I713">
        <v>390</v>
      </c>
      <c r="J713" s="7">
        <v>1</v>
      </c>
      <c r="K713" s="7" t="str">
        <f>IFERROR(VLOOKUP(Detalle_OC[[#This Row],[Centro]]&amp;Detalle_OC[[#This Row],[Nro Almacen]],Almacen!A:D,4,FALSE),"")</f>
        <v>Montelima</v>
      </c>
    </row>
    <row r="714" spans="1:11" x14ac:dyDescent="0.35">
      <c r="A714" s="7" t="str">
        <f>Detalle_OC[[#This Row],[Centro]]&amp;Detalle_OC[[#This Row],[Nom Almacen]]&amp;Detalle_OC[[#This Row],[Material]]&amp;Detalle_OC[[#This Row],[Pedido]]&amp;Detalle_OC[[#This Row],[Posicion]]</f>
        <v>Sucroalcolera del Chira PlantaMontelima700440065500022436390</v>
      </c>
      <c r="B714" t="s">
        <v>38</v>
      </c>
      <c r="C714" t="s">
        <v>413</v>
      </c>
      <c r="D714" s="17">
        <v>44659</v>
      </c>
      <c r="E714" t="s">
        <v>26</v>
      </c>
      <c r="F714" t="s">
        <v>41</v>
      </c>
      <c r="G714">
        <v>70044006</v>
      </c>
      <c r="H714">
        <v>5500022436</v>
      </c>
      <c r="I714">
        <v>390</v>
      </c>
      <c r="J714" s="7">
        <v>1</v>
      </c>
      <c r="K714" s="7" t="str">
        <f>IFERROR(VLOOKUP(Detalle_OC[[#This Row],[Centro]]&amp;Detalle_OC[[#This Row],[Nro Almacen]],Almacen!A:D,4,FALSE),"")</f>
        <v>Montelima</v>
      </c>
    </row>
    <row r="715" spans="1:11" x14ac:dyDescent="0.35">
      <c r="A715" s="7" t="str">
        <f>Detalle_OC[[#This Row],[Centro]]&amp;Detalle_OC[[#This Row],[Nom Almacen]]&amp;Detalle_OC[[#This Row],[Material]]&amp;Detalle_OC[[#This Row],[Pedido]]&amp;Detalle_OC[[#This Row],[Posicion]]</f>
        <v>Sucroalcolera del Chira PlantaMontelima700440065500022436390</v>
      </c>
      <c r="B715" t="s">
        <v>38</v>
      </c>
      <c r="C715" t="s">
        <v>413</v>
      </c>
      <c r="D715" s="17">
        <v>44727</v>
      </c>
      <c r="E715" t="s">
        <v>26</v>
      </c>
      <c r="F715" t="s">
        <v>41</v>
      </c>
      <c r="G715">
        <v>70044006</v>
      </c>
      <c r="H715">
        <v>5500022436</v>
      </c>
      <c r="I715">
        <v>390</v>
      </c>
      <c r="J715" s="7">
        <v>1</v>
      </c>
      <c r="K715" s="7" t="str">
        <f>IFERROR(VLOOKUP(Detalle_OC[[#This Row],[Centro]]&amp;Detalle_OC[[#This Row],[Nro Almacen]],Almacen!A:D,4,FALSE),"")</f>
        <v>Montelima</v>
      </c>
    </row>
    <row r="716" spans="1:11" x14ac:dyDescent="0.35">
      <c r="A716" s="7" t="str">
        <f>Detalle_OC[[#This Row],[Centro]]&amp;Detalle_OC[[#This Row],[Nom Almacen]]&amp;Detalle_OC[[#This Row],[Material]]&amp;Detalle_OC[[#This Row],[Pedido]]&amp;Detalle_OC[[#This Row],[Posicion]]</f>
        <v>Sucroalcolera del Chira PlantaMontelima700440065500022436390</v>
      </c>
      <c r="B716" t="s">
        <v>38</v>
      </c>
      <c r="C716" t="s">
        <v>413</v>
      </c>
      <c r="D716" s="17">
        <v>44783</v>
      </c>
      <c r="E716" t="s">
        <v>26</v>
      </c>
      <c r="F716" t="s">
        <v>41</v>
      </c>
      <c r="G716">
        <v>70044006</v>
      </c>
      <c r="H716">
        <v>5500022436</v>
      </c>
      <c r="I716">
        <v>390</v>
      </c>
      <c r="J716" s="7">
        <v>1</v>
      </c>
      <c r="K716" s="7" t="str">
        <f>IFERROR(VLOOKUP(Detalle_OC[[#This Row],[Centro]]&amp;Detalle_OC[[#This Row],[Nro Almacen]],Almacen!A:D,4,FALSE),"")</f>
        <v>Montelima</v>
      </c>
    </row>
    <row r="717" spans="1:11" x14ac:dyDescent="0.35">
      <c r="A717" s="7" t="str">
        <f>Detalle_OC[[#This Row],[Centro]]&amp;Detalle_OC[[#This Row],[Nom Almacen]]&amp;Detalle_OC[[#This Row],[Material]]&amp;Detalle_OC[[#This Row],[Pedido]]&amp;Detalle_OC[[#This Row],[Posicion]]</f>
        <v>Sucroalcolera del Chira PlantaMontelima700440065500022436390</v>
      </c>
      <c r="B717" t="s">
        <v>38</v>
      </c>
      <c r="C717" t="s">
        <v>413</v>
      </c>
      <c r="D717" s="17">
        <v>44827</v>
      </c>
      <c r="E717" t="s">
        <v>26</v>
      </c>
      <c r="F717" t="s">
        <v>41</v>
      </c>
      <c r="G717">
        <v>70044006</v>
      </c>
      <c r="H717">
        <v>5500022436</v>
      </c>
      <c r="I717">
        <v>390</v>
      </c>
      <c r="J717" s="7">
        <v>1</v>
      </c>
      <c r="K717" s="7" t="str">
        <f>IFERROR(VLOOKUP(Detalle_OC[[#This Row],[Centro]]&amp;Detalle_OC[[#This Row],[Nro Almacen]],Almacen!A:D,4,FALSE),"")</f>
        <v>Montelima</v>
      </c>
    </row>
    <row r="718" spans="1:11" x14ac:dyDescent="0.35">
      <c r="A718" s="7" t="str">
        <f>Detalle_OC[[#This Row],[Centro]]&amp;Detalle_OC[[#This Row],[Nom Almacen]]&amp;Detalle_OC[[#This Row],[Material]]&amp;Detalle_OC[[#This Row],[Pedido]]&amp;Detalle_OC[[#This Row],[Posicion]]</f>
        <v>Sucroalcolera del Chira PlantaMontelima700440065500022436390</v>
      </c>
      <c r="B718" t="s">
        <v>38</v>
      </c>
      <c r="C718" t="s">
        <v>413</v>
      </c>
      <c r="D718" s="17">
        <v>44910</v>
      </c>
      <c r="E718" t="s">
        <v>26</v>
      </c>
      <c r="F718" t="s">
        <v>41</v>
      </c>
      <c r="G718">
        <v>70044006</v>
      </c>
      <c r="H718">
        <v>5500022436</v>
      </c>
      <c r="I718">
        <v>390</v>
      </c>
      <c r="J718" s="7">
        <v>1</v>
      </c>
      <c r="K718" s="7" t="str">
        <f>IFERROR(VLOOKUP(Detalle_OC[[#This Row],[Centro]]&amp;Detalle_OC[[#This Row],[Nro Almacen]],Almacen!A:D,4,FALSE),"")</f>
        <v>Montelima</v>
      </c>
    </row>
    <row r="719" spans="1:11" x14ac:dyDescent="0.35">
      <c r="A719" s="7" t="str">
        <f>Detalle_OC[[#This Row],[Centro]]&amp;Detalle_OC[[#This Row],[Nom Almacen]]&amp;Detalle_OC[[#This Row],[Material]]&amp;Detalle_OC[[#This Row],[Pedido]]&amp;Detalle_OC[[#This Row],[Posicion]]</f>
        <v>Sucroalcolera del Chira PlantaMontelima700440065500022436390</v>
      </c>
      <c r="B719" t="s">
        <v>38</v>
      </c>
      <c r="C719" t="s">
        <v>413</v>
      </c>
      <c r="D719" s="17">
        <v>44998</v>
      </c>
      <c r="E719" t="s">
        <v>26</v>
      </c>
      <c r="F719" t="s">
        <v>41</v>
      </c>
      <c r="G719">
        <v>70044006</v>
      </c>
      <c r="H719">
        <v>5500022436</v>
      </c>
      <c r="I719">
        <v>390</v>
      </c>
      <c r="J719" s="7">
        <v>1</v>
      </c>
      <c r="K719" s="7" t="str">
        <f>IFERROR(VLOOKUP(Detalle_OC[[#This Row],[Centro]]&amp;Detalle_OC[[#This Row],[Nro Almacen]],Almacen!A:D,4,FALSE),"")</f>
        <v>Montelima</v>
      </c>
    </row>
    <row r="720" spans="1:11" x14ac:dyDescent="0.35">
      <c r="A720" s="7" t="str">
        <f>Detalle_OC[[#This Row],[Centro]]&amp;Detalle_OC[[#This Row],[Nom Almacen]]&amp;Detalle_OC[[#This Row],[Material]]&amp;Detalle_OC[[#This Row],[Pedido]]&amp;Detalle_OC[[#This Row],[Posicion]]</f>
        <v>Bioenergía del Chira Planta70045866451145162410</v>
      </c>
      <c r="B720" t="s">
        <v>448</v>
      </c>
      <c r="C720" t="s">
        <v>410</v>
      </c>
      <c r="D720" s="17">
        <v>44995</v>
      </c>
      <c r="E720" t="s">
        <v>26</v>
      </c>
      <c r="F720" t="s">
        <v>57</v>
      </c>
      <c r="G720">
        <v>70045866</v>
      </c>
      <c r="H720">
        <v>4511451624</v>
      </c>
      <c r="I720">
        <v>10</v>
      </c>
      <c r="J720" s="7" t="s">
        <v>42</v>
      </c>
      <c r="K720" s="7" t="str">
        <f>IFERROR(VLOOKUP(Detalle_OC[[#This Row],[Centro]]&amp;Detalle_OC[[#This Row],[Nro Almacen]],Almacen!A:D,4,FALSE),"")</f>
        <v/>
      </c>
    </row>
    <row r="721" spans="1:11" x14ac:dyDescent="0.35">
      <c r="A721" s="7" t="str">
        <f>Detalle_OC[[#This Row],[Centro]]&amp;Detalle_OC[[#This Row],[Nom Almacen]]&amp;Detalle_OC[[#This Row],[Material]]&amp;Detalle_OC[[#This Row],[Pedido]]&amp;Detalle_OC[[#This Row],[Posicion]]</f>
        <v>Agricola del Chira PlantaMontelima70046281451145318810</v>
      </c>
      <c r="B721" t="s">
        <v>448</v>
      </c>
      <c r="C721" t="s">
        <v>411</v>
      </c>
      <c r="D721" s="17">
        <v>45013</v>
      </c>
      <c r="E721" t="s">
        <v>26</v>
      </c>
      <c r="F721" t="s">
        <v>27</v>
      </c>
      <c r="G721">
        <v>70046281</v>
      </c>
      <c r="H721">
        <v>4511453188</v>
      </c>
      <c r="I721">
        <v>10</v>
      </c>
      <c r="J721" s="7">
        <v>1</v>
      </c>
      <c r="K721" s="7" t="str">
        <f>IFERROR(VLOOKUP(Detalle_OC[[#This Row],[Centro]]&amp;Detalle_OC[[#This Row],[Nro Almacen]],Almacen!A:D,4,FALSE),"")</f>
        <v>Montelima</v>
      </c>
    </row>
    <row r="722" spans="1:11" x14ac:dyDescent="0.35">
      <c r="A722" s="7" t="str">
        <f>Detalle_OC[[#This Row],[Centro]]&amp;Detalle_OC[[#This Row],[Nom Almacen]]&amp;Detalle_OC[[#This Row],[Material]]&amp;Detalle_OC[[#This Row],[Pedido]]&amp;Detalle_OC[[#This Row],[Posicion]]</f>
        <v>Agricola del Chira PlantaMontelima70046281451145318820</v>
      </c>
      <c r="B722" t="s">
        <v>124</v>
      </c>
      <c r="C722" t="s">
        <v>411</v>
      </c>
      <c r="D722" s="17">
        <v>45013</v>
      </c>
      <c r="E722" t="s">
        <v>26</v>
      </c>
      <c r="F722" t="s">
        <v>27</v>
      </c>
      <c r="G722">
        <v>70046281</v>
      </c>
      <c r="H722">
        <v>4511453188</v>
      </c>
      <c r="I722">
        <v>20</v>
      </c>
      <c r="J722" s="7">
        <v>1</v>
      </c>
      <c r="K722" s="7" t="str">
        <f>IFERROR(VLOOKUP(Detalle_OC[[#This Row],[Centro]]&amp;Detalle_OC[[#This Row],[Nro Almacen]],Almacen!A:D,4,FALSE),"")</f>
        <v>Montelima</v>
      </c>
    </row>
    <row r="723" spans="1:11" x14ac:dyDescent="0.35">
      <c r="A723" s="7" t="str">
        <f>Detalle_OC[[#This Row],[Centro]]&amp;Detalle_OC[[#This Row],[Nom Almacen]]&amp;Detalle_OC[[#This Row],[Material]]&amp;Detalle_OC[[#This Row],[Pedido]]&amp;Detalle_OC[[#This Row],[Posicion]]</f>
        <v>Agricola del Chira Planta70046281451145318830</v>
      </c>
      <c r="B723" t="s">
        <v>124</v>
      </c>
      <c r="C723" t="s">
        <v>411</v>
      </c>
      <c r="D723" s="17">
        <v>45013</v>
      </c>
      <c r="E723" t="s">
        <v>26</v>
      </c>
      <c r="F723" t="s">
        <v>27</v>
      </c>
      <c r="G723">
        <v>70046281</v>
      </c>
      <c r="H723">
        <v>4511453188</v>
      </c>
      <c r="I723">
        <v>30</v>
      </c>
      <c r="J723" s="7" t="s">
        <v>42</v>
      </c>
      <c r="K723" s="7" t="str">
        <f>IFERROR(VLOOKUP(Detalle_OC[[#This Row],[Centro]]&amp;Detalle_OC[[#This Row],[Nro Almacen]],Almacen!A:D,4,FALSE),"")</f>
        <v/>
      </c>
    </row>
    <row r="724" spans="1:11" x14ac:dyDescent="0.35">
      <c r="A724" s="7" t="str">
        <f>Detalle_OC[[#This Row],[Centro]]&amp;Detalle_OC[[#This Row],[Nom Almacen]]&amp;Detalle_OC[[#This Row],[Material]]&amp;Detalle_OC[[#This Row],[Pedido]]&amp;Detalle_OC[[#This Row],[Posicion]]</f>
        <v>Agricola del Chira PlantaMontelima70046835451144423810</v>
      </c>
      <c r="B724" t="s">
        <v>116</v>
      </c>
      <c r="C724" t="s">
        <v>422</v>
      </c>
      <c r="D724" s="17">
        <v>44995</v>
      </c>
      <c r="E724" t="s">
        <v>26</v>
      </c>
      <c r="F724" t="s">
        <v>27</v>
      </c>
      <c r="G724">
        <v>70046835</v>
      </c>
      <c r="H724">
        <v>4511444238</v>
      </c>
      <c r="I724">
        <v>10</v>
      </c>
      <c r="J724" s="7">
        <v>1</v>
      </c>
      <c r="K724" s="7" t="str">
        <f>IFERROR(VLOOKUP(Detalle_OC[[#This Row],[Centro]]&amp;Detalle_OC[[#This Row],[Nro Almacen]],Almacen!A:D,4,FALSE),"")</f>
        <v>Montelima</v>
      </c>
    </row>
    <row r="725" spans="1:11" x14ac:dyDescent="0.35">
      <c r="A725" s="7" t="str">
        <f>Detalle_OC[[#This Row],[Centro]]&amp;Detalle_OC[[#This Row],[Nom Almacen]]&amp;Detalle_OC[[#This Row],[Material]]&amp;Detalle_OC[[#This Row],[Pedido]]&amp;Detalle_OC[[#This Row],[Posicion]]</f>
        <v>Agricola del Chira PlantaSan Vicente70046835451144423820</v>
      </c>
      <c r="B725" t="s">
        <v>116</v>
      </c>
      <c r="C725" t="s">
        <v>422</v>
      </c>
      <c r="D725" s="17">
        <v>44995</v>
      </c>
      <c r="E725" t="s">
        <v>26</v>
      </c>
      <c r="F725" t="s">
        <v>27</v>
      </c>
      <c r="G725">
        <v>70046835</v>
      </c>
      <c r="H725">
        <v>4511444238</v>
      </c>
      <c r="I725">
        <v>20</v>
      </c>
      <c r="J725" s="7">
        <v>3</v>
      </c>
      <c r="K725" s="7" t="str">
        <f>IFERROR(VLOOKUP(Detalle_OC[[#This Row],[Centro]]&amp;Detalle_OC[[#This Row],[Nro Almacen]],Almacen!A:D,4,FALSE),"")</f>
        <v>San Vicente</v>
      </c>
    </row>
    <row r="726" spans="1:11" x14ac:dyDescent="0.35">
      <c r="A726" s="7" t="str">
        <f>Detalle_OC[[#This Row],[Centro]]&amp;Detalle_OC[[#This Row],[Nom Almacen]]&amp;Detalle_OC[[#This Row],[Material]]&amp;Detalle_OC[[#This Row],[Pedido]]&amp;Detalle_OC[[#This Row],[Posicion]]</f>
        <v>Agricola del Chira PlantaAlmacen Lobo70046835451144423830</v>
      </c>
      <c r="B726" t="s">
        <v>116</v>
      </c>
      <c r="C726" t="s">
        <v>422</v>
      </c>
      <c r="D726" s="17">
        <v>44995</v>
      </c>
      <c r="E726" t="s">
        <v>26</v>
      </c>
      <c r="F726" t="s">
        <v>27</v>
      </c>
      <c r="G726">
        <v>70046835</v>
      </c>
      <c r="H726">
        <v>4511444238</v>
      </c>
      <c r="I726">
        <v>30</v>
      </c>
      <c r="J726" s="7">
        <v>7</v>
      </c>
      <c r="K726" s="7" t="str">
        <f>IFERROR(VLOOKUP(Detalle_OC[[#This Row],[Centro]]&amp;Detalle_OC[[#This Row],[Nro Almacen]],Almacen!A:D,4,FALSE),"")</f>
        <v>Almacen Lobo</v>
      </c>
    </row>
    <row r="727" spans="1:11" x14ac:dyDescent="0.35">
      <c r="A727" s="7" t="str">
        <f>Detalle_OC[[#This Row],[Centro]]&amp;Detalle_OC[[#This Row],[Nom Almacen]]&amp;Detalle_OC[[#This Row],[Material]]&amp;Detalle_OC[[#This Row],[Pedido]]&amp;Detalle_OC[[#This Row],[Posicion]]</f>
        <v>Agricola del Chira Planta70047981451145298580</v>
      </c>
      <c r="B727" t="s">
        <v>108</v>
      </c>
      <c r="C727" t="s">
        <v>411</v>
      </c>
      <c r="D727" s="17">
        <v>45002</v>
      </c>
      <c r="E727" t="s">
        <v>26</v>
      </c>
      <c r="F727" t="s">
        <v>27</v>
      </c>
      <c r="G727">
        <v>70047981</v>
      </c>
      <c r="H727">
        <v>4511452985</v>
      </c>
      <c r="I727">
        <v>80</v>
      </c>
      <c r="J727" s="7" t="s">
        <v>42</v>
      </c>
      <c r="K727" s="7" t="str">
        <f>IFERROR(VLOOKUP(Detalle_OC[[#This Row],[Centro]]&amp;Detalle_OC[[#This Row],[Nro Almacen]],Almacen!A:D,4,FALSE),"")</f>
        <v/>
      </c>
    </row>
    <row r="728" spans="1:11" x14ac:dyDescent="0.35">
      <c r="A728" s="7" t="str">
        <f>Detalle_OC[[#This Row],[Centro]]&amp;Detalle_OC[[#This Row],[Nom Almacen]]&amp;Detalle_OC[[#This Row],[Material]]&amp;Detalle_OC[[#This Row],[Pedido]]&amp;Detalle_OC[[#This Row],[Posicion]]</f>
        <v>Agricola del Chira Planta70047981451145298590</v>
      </c>
      <c r="B728" t="s">
        <v>108</v>
      </c>
      <c r="C728" t="s">
        <v>411</v>
      </c>
      <c r="D728" s="17">
        <v>45002</v>
      </c>
      <c r="E728" t="s">
        <v>26</v>
      </c>
      <c r="F728" t="s">
        <v>27</v>
      </c>
      <c r="G728">
        <v>70047981</v>
      </c>
      <c r="H728">
        <v>4511452985</v>
      </c>
      <c r="I728">
        <v>90</v>
      </c>
      <c r="J728" s="7" t="s">
        <v>42</v>
      </c>
      <c r="K728" s="7" t="str">
        <f>IFERROR(VLOOKUP(Detalle_OC[[#This Row],[Centro]]&amp;Detalle_OC[[#This Row],[Nro Almacen]],Almacen!A:D,4,FALSE),"")</f>
        <v/>
      </c>
    </row>
    <row r="729" spans="1:11" x14ac:dyDescent="0.35">
      <c r="A729" s="7" t="str">
        <f>Detalle_OC[[#This Row],[Centro]]&amp;Detalle_OC[[#This Row],[Nom Almacen]]&amp;Detalle_OC[[#This Row],[Material]]&amp;Detalle_OC[[#This Row],[Pedido]]&amp;Detalle_OC[[#This Row],[Posicion]]</f>
        <v>Sucroalcolera del Chira PlantaMontelima70051918451145581310</v>
      </c>
      <c r="B729" t="s">
        <v>43</v>
      </c>
      <c r="C729" t="s">
        <v>417</v>
      </c>
      <c r="D729" s="17">
        <v>45015</v>
      </c>
      <c r="E729" t="s">
        <v>26</v>
      </c>
      <c r="F729" t="s">
        <v>41</v>
      </c>
      <c r="G729">
        <v>70051918</v>
      </c>
      <c r="H729">
        <v>4511455813</v>
      </c>
      <c r="I729">
        <v>10</v>
      </c>
      <c r="J729" s="7">
        <v>1</v>
      </c>
      <c r="K729" s="7" t="str">
        <f>IFERROR(VLOOKUP(Detalle_OC[[#This Row],[Centro]]&amp;Detalle_OC[[#This Row],[Nro Almacen]],Almacen!A:D,4,FALSE),"")</f>
        <v>Montelima</v>
      </c>
    </row>
    <row r="730" spans="1:11" x14ac:dyDescent="0.35">
      <c r="A730" s="7" t="str">
        <f>Detalle_OC[[#This Row],[Centro]]&amp;Detalle_OC[[#This Row],[Nom Almacen]]&amp;Detalle_OC[[#This Row],[Material]]&amp;Detalle_OC[[#This Row],[Pedido]]&amp;Detalle_OC[[#This Row],[Posicion]]</f>
        <v>Sucroalcolera del Chira Planta70055857451145575110</v>
      </c>
      <c r="B730" t="s">
        <v>163</v>
      </c>
      <c r="C730" t="s">
        <v>417</v>
      </c>
      <c r="D730" s="17">
        <v>44995</v>
      </c>
      <c r="E730" t="s">
        <v>26</v>
      </c>
      <c r="F730" t="s">
        <v>41</v>
      </c>
      <c r="G730">
        <v>70055857</v>
      </c>
      <c r="H730">
        <v>4511455751</v>
      </c>
      <c r="I730">
        <v>10</v>
      </c>
      <c r="J730" s="7" t="s">
        <v>42</v>
      </c>
      <c r="K730" s="7" t="str">
        <f>IFERROR(VLOOKUP(Detalle_OC[[#This Row],[Centro]]&amp;Detalle_OC[[#This Row],[Nro Almacen]],Almacen!A:D,4,FALSE),"")</f>
        <v/>
      </c>
    </row>
    <row r="731" spans="1:11" x14ac:dyDescent="0.35">
      <c r="A731" s="7" t="str">
        <f>Detalle_OC[[#This Row],[Centro]]&amp;Detalle_OC[[#This Row],[Nom Almacen]]&amp;Detalle_OC[[#This Row],[Material]]&amp;Detalle_OC[[#This Row],[Pedido]]&amp;Detalle_OC[[#This Row],[Posicion]]</f>
        <v>Sucroalcolera del Chira PlantaMontelima70061899451144533210</v>
      </c>
      <c r="B731" t="s">
        <v>108</v>
      </c>
      <c r="C731" t="s">
        <v>434</v>
      </c>
      <c r="D731" s="17">
        <v>44997</v>
      </c>
      <c r="E731" t="s">
        <v>26</v>
      </c>
      <c r="F731" t="s">
        <v>41</v>
      </c>
      <c r="G731">
        <v>70061899</v>
      </c>
      <c r="H731">
        <v>4511445332</v>
      </c>
      <c r="I731">
        <v>10</v>
      </c>
      <c r="J731" s="7">
        <v>1</v>
      </c>
      <c r="K731" s="7" t="str">
        <f>IFERROR(VLOOKUP(Detalle_OC[[#This Row],[Centro]]&amp;Detalle_OC[[#This Row],[Nro Almacen]],Almacen!A:D,4,FALSE),"")</f>
        <v>Montelima</v>
      </c>
    </row>
    <row r="732" spans="1:11" x14ac:dyDescent="0.35">
      <c r="A732" s="7" t="str">
        <f>Detalle_OC[[#This Row],[Centro]]&amp;Detalle_OC[[#This Row],[Nom Almacen]]&amp;Detalle_OC[[#This Row],[Material]]&amp;Detalle_OC[[#This Row],[Pedido]]&amp;Detalle_OC[[#This Row],[Posicion]]</f>
        <v>Bioenergía del Chira Planta70062788451145309430</v>
      </c>
      <c r="B732" t="s">
        <v>124</v>
      </c>
      <c r="C732" t="s">
        <v>411</v>
      </c>
      <c r="D732" s="17">
        <v>45002</v>
      </c>
      <c r="E732" t="s">
        <v>26</v>
      </c>
      <c r="F732" t="s">
        <v>57</v>
      </c>
      <c r="G732">
        <v>70062788</v>
      </c>
      <c r="H732">
        <v>4511453094</v>
      </c>
      <c r="I732">
        <v>30</v>
      </c>
      <c r="J732" s="7" t="s">
        <v>42</v>
      </c>
      <c r="K732" s="7" t="str">
        <f>IFERROR(VLOOKUP(Detalle_OC[[#This Row],[Centro]]&amp;Detalle_OC[[#This Row],[Nro Almacen]],Almacen!A:D,4,FALSE),"")</f>
        <v/>
      </c>
    </row>
    <row r="733" spans="1:11" x14ac:dyDescent="0.35">
      <c r="A733" s="7" t="str">
        <f>Detalle_OC[[#This Row],[Centro]]&amp;Detalle_OC[[#This Row],[Nom Almacen]]&amp;Detalle_OC[[#This Row],[Material]]&amp;Detalle_OC[[#This Row],[Pedido]]&amp;Detalle_OC[[#This Row],[Posicion]]</f>
        <v>Bioenergía del Chira PlantaMontelima70062793451145120010</v>
      </c>
      <c r="B733" t="s">
        <v>124</v>
      </c>
      <c r="C733" t="s">
        <v>449</v>
      </c>
      <c r="D733" s="17">
        <v>45016</v>
      </c>
      <c r="E733" t="s">
        <v>26</v>
      </c>
      <c r="F733" t="s">
        <v>57</v>
      </c>
      <c r="G733">
        <v>70062793</v>
      </c>
      <c r="H733">
        <v>4511451200</v>
      </c>
      <c r="I733">
        <v>10</v>
      </c>
      <c r="J733" s="7">
        <v>1</v>
      </c>
      <c r="K733" s="7" t="str">
        <f>IFERROR(VLOOKUP(Detalle_OC[[#This Row],[Centro]]&amp;Detalle_OC[[#This Row],[Nro Almacen]],Almacen!A:D,4,FALSE),"")</f>
        <v>Montelima</v>
      </c>
    </row>
    <row r="734" spans="1:11" x14ac:dyDescent="0.35">
      <c r="A734" s="7" t="str">
        <f>Detalle_OC[[#This Row],[Centro]]&amp;Detalle_OC[[#This Row],[Nom Almacen]]&amp;Detalle_OC[[#This Row],[Material]]&amp;Detalle_OC[[#This Row],[Pedido]]&amp;Detalle_OC[[#This Row],[Posicion]]</f>
        <v>Bioenergía del Chira PlantaMontelima70062793451145120020</v>
      </c>
      <c r="B734" t="s">
        <v>159</v>
      </c>
      <c r="C734" t="s">
        <v>449</v>
      </c>
      <c r="D734" s="17">
        <v>44994</v>
      </c>
      <c r="E734" t="s">
        <v>26</v>
      </c>
      <c r="F734" t="s">
        <v>57</v>
      </c>
      <c r="G734">
        <v>70062793</v>
      </c>
      <c r="H734">
        <v>4511451200</v>
      </c>
      <c r="I734">
        <v>20</v>
      </c>
      <c r="J734" s="7">
        <v>1</v>
      </c>
      <c r="K734" s="7" t="str">
        <f>IFERROR(VLOOKUP(Detalle_OC[[#This Row],[Centro]]&amp;Detalle_OC[[#This Row],[Nro Almacen]],Almacen!A:D,4,FALSE),"")</f>
        <v>Montelima</v>
      </c>
    </row>
    <row r="735" spans="1:11" x14ac:dyDescent="0.35">
      <c r="A735" s="7" t="str">
        <f>Detalle_OC[[#This Row],[Centro]]&amp;Detalle_OC[[#This Row],[Nom Almacen]]&amp;Detalle_OC[[#This Row],[Material]]&amp;Detalle_OC[[#This Row],[Pedido]]&amp;Detalle_OC[[#This Row],[Posicion]]</f>
        <v>Agricola del Chira PlantaMontelima70063140451145019620</v>
      </c>
      <c r="B735" t="s">
        <v>114</v>
      </c>
      <c r="C735" t="s">
        <v>445</v>
      </c>
      <c r="D735" s="17">
        <v>44995</v>
      </c>
      <c r="E735" t="s">
        <v>26</v>
      </c>
      <c r="F735" t="s">
        <v>27</v>
      </c>
      <c r="G735">
        <v>70063140</v>
      </c>
      <c r="H735">
        <v>4511450196</v>
      </c>
      <c r="I735">
        <v>20</v>
      </c>
      <c r="J735" s="7">
        <v>1</v>
      </c>
      <c r="K735" s="7" t="str">
        <f>IFERROR(VLOOKUP(Detalle_OC[[#This Row],[Centro]]&amp;Detalle_OC[[#This Row],[Nro Almacen]],Almacen!A:D,4,FALSE),"")</f>
        <v>Montelima</v>
      </c>
    </row>
    <row r="736" spans="1:11" x14ac:dyDescent="0.35">
      <c r="A736" s="7" t="str">
        <f>Detalle_OC[[#This Row],[Centro]]&amp;Detalle_OC[[#This Row],[Nom Almacen]]&amp;Detalle_OC[[#This Row],[Material]]&amp;Detalle_OC[[#This Row],[Pedido]]&amp;Detalle_OC[[#This Row],[Posicion]]</f>
        <v>Sucroalcolera del Chira PlantaMontelima70063156451144394930</v>
      </c>
      <c r="B736" t="s">
        <v>108</v>
      </c>
      <c r="C736" t="s">
        <v>436</v>
      </c>
      <c r="D736" s="17">
        <v>44986</v>
      </c>
      <c r="E736" t="s">
        <v>26</v>
      </c>
      <c r="F736" t="s">
        <v>41</v>
      </c>
      <c r="G736">
        <v>70063156</v>
      </c>
      <c r="H736">
        <v>4511443949</v>
      </c>
      <c r="I736">
        <v>30</v>
      </c>
      <c r="J736" s="7">
        <v>1</v>
      </c>
      <c r="K736" s="7" t="str">
        <f>IFERROR(VLOOKUP(Detalle_OC[[#This Row],[Centro]]&amp;Detalle_OC[[#This Row],[Nro Almacen]],Almacen!A:D,4,FALSE),"")</f>
        <v>Montelima</v>
      </c>
    </row>
    <row r="737" spans="1:11" x14ac:dyDescent="0.35">
      <c r="A737" s="7" t="str">
        <f>Detalle_OC[[#This Row],[Centro]]&amp;Detalle_OC[[#This Row],[Nom Almacen]]&amp;Detalle_OC[[#This Row],[Material]]&amp;Detalle_OC[[#This Row],[Pedido]]&amp;Detalle_OC[[#This Row],[Posicion]]</f>
        <v>Sucroalcolera del Chira PlantaMontelima700631564511443949160</v>
      </c>
      <c r="B737" t="s">
        <v>108</v>
      </c>
      <c r="C737" t="s">
        <v>436</v>
      </c>
      <c r="D737" s="17">
        <v>44986</v>
      </c>
      <c r="E737" t="s">
        <v>26</v>
      </c>
      <c r="F737" t="s">
        <v>41</v>
      </c>
      <c r="G737">
        <v>70063156</v>
      </c>
      <c r="H737">
        <v>4511443949</v>
      </c>
      <c r="I737">
        <v>160</v>
      </c>
      <c r="J737" s="7">
        <v>1</v>
      </c>
      <c r="K737" s="7" t="str">
        <f>IFERROR(VLOOKUP(Detalle_OC[[#This Row],[Centro]]&amp;Detalle_OC[[#This Row],[Nro Almacen]],Almacen!A:D,4,FALSE),"")</f>
        <v>Montelima</v>
      </c>
    </row>
    <row r="738" spans="1:11" x14ac:dyDescent="0.35">
      <c r="A738" s="7" t="str">
        <f>Detalle_OC[[#This Row],[Centro]]&amp;Detalle_OC[[#This Row],[Nom Almacen]]&amp;Detalle_OC[[#This Row],[Material]]&amp;Detalle_OC[[#This Row],[Pedido]]&amp;Detalle_OC[[#This Row],[Posicion]]</f>
        <v>Sucroalcolera del Chira PlantaMontelima700631574511443949150</v>
      </c>
      <c r="B738" t="s">
        <v>122</v>
      </c>
      <c r="C738" t="s">
        <v>436</v>
      </c>
      <c r="D738" s="17">
        <v>44986</v>
      </c>
      <c r="E738" t="s">
        <v>26</v>
      </c>
      <c r="F738" t="s">
        <v>41</v>
      </c>
      <c r="G738">
        <v>70063157</v>
      </c>
      <c r="H738">
        <v>4511443949</v>
      </c>
      <c r="I738">
        <v>150</v>
      </c>
      <c r="J738" s="7">
        <v>1</v>
      </c>
      <c r="K738" s="7" t="str">
        <f>IFERROR(VLOOKUP(Detalle_OC[[#This Row],[Centro]]&amp;Detalle_OC[[#This Row],[Nro Almacen]],Almacen!A:D,4,FALSE),"")</f>
        <v>Montelima</v>
      </c>
    </row>
    <row r="739" spans="1:11" x14ac:dyDescent="0.35">
      <c r="A739" s="7" t="str">
        <f>Detalle_OC[[#This Row],[Centro]]&amp;Detalle_OC[[#This Row],[Nom Almacen]]&amp;Detalle_OC[[#This Row],[Material]]&amp;Detalle_OC[[#This Row],[Pedido]]&amp;Detalle_OC[[#This Row],[Posicion]]</f>
        <v>Sucroalcolera del Chira PlantaMontelima70064012451145361220</v>
      </c>
      <c r="B739" t="s">
        <v>123</v>
      </c>
      <c r="C739" t="s">
        <v>409</v>
      </c>
      <c r="D739" s="17">
        <v>44995</v>
      </c>
      <c r="E739" t="s">
        <v>26</v>
      </c>
      <c r="F739" t="s">
        <v>41</v>
      </c>
      <c r="G739">
        <v>70064012</v>
      </c>
      <c r="H739">
        <v>4511453612</v>
      </c>
      <c r="I739">
        <v>20</v>
      </c>
      <c r="J739" s="7">
        <v>1</v>
      </c>
      <c r="K739" s="7" t="str">
        <f>IFERROR(VLOOKUP(Detalle_OC[[#This Row],[Centro]]&amp;Detalle_OC[[#This Row],[Nro Almacen]],Almacen!A:D,4,FALSE),"")</f>
        <v>Montelima</v>
      </c>
    </row>
    <row r="740" spans="1:11" x14ac:dyDescent="0.35">
      <c r="A740" s="7" t="str">
        <f>Detalle_OC[[#This Row],[Centro]]&amp;Detalle_OC[[#This Row],[Nom Almacen]]&amp;Detalle_OC[[#This Row],[Material]]&amp;Detalle_OC[[#This Row],[Pedido]]&amp;Detalle_OC[[#This Row],[Posicion]]</f>
        <v>Sucroalcolera del Chira PlantaMontelima70068404451145272410</v>
      </c>
      <c r="B740" t="s">
        <v>450</v>
      </c>
      <c r="C740" t="s">
        <v>451</v>
      </c>
      <c r="D740" s="17">
        <v>44995</v>
      </c>
      <c r="E740" t="s">
        <v>120</v>
      </c>
      <c r="F740" t="s">
        <v>41</v>
      </c>
      <c r="G740">
        <v>70068404</v>
      </c>
      <c r="H740">
        <v>4511452724</v>
      </c>
      <c r="I740">
        <v>10</v>
      </c>
      <c r="J740" s="7">
        <v>1</v>
      </c>
      <c r="K740" s="7" t="str">
        <f>IFERROR(VLOOKUP(Detalle_OC[[#This Row],[Centro]]&amp;Detalle_OC[[#This Row],[Nro Almacen]],Almacen!A:D,4,FALSE),"")</f>
        <v>Montelima</v>
      </c>
    </row>
    <row r="741" spans="1:11" x14ac:dyDescent="0.35">
      <c r="A741" s="7" t="str">
        <f>Detalle_OC[[#This Row],[Centro]]&amp;Detalle_OC[[#This Row],[Nom Almacen]]&amp;Detalle_OC[[#This Row],[Material]]&amp;Detalle_OC[[#This Row],[Pedido]]&amp;Detalle_OC[[#This Row],[Posicion]]</f>
        <v>Agricola del Chira PlantaAlmacen Lobo7006917955000224351520</v>
      </c>
      <c r="B741" t="s">
        <v>38</v>
      </c>
      <c r="C741" t="s">
        <v>413</v>
      </c>
      <c r="D741" s="17">
        <v>44702</v>
      </c>
      <c r="E741" t="s">
        <v>26</v>
      </c>
      <c r="F741" t="s">
        <v>27</v>
      </c>
      <c r="G741">
        <v>70069179</v>
      </c>
      <c r="H741">
        <v>5500022435</v>
      </c>
      <c r="I741">
        <v>1520</v>
      </c>
      <c r="J741" s="7">
        <v>7</v>
      </c>
      <c r="K741" s="7" t="str">
        <f>IFERROR(VLOOKUP(Detalle_OC[[#This Row],[Centro]]&amp;Detalle_OC[[#This Row],[Nro Almacen]],Almacen!A:D,4,FALSE),"")</f>
        <v>Almacen Lobo</v>
      </c>
    </row>
    <row r="742" spans="1:11" x14ac:dyDescent="0.35">
      <c r="A742" s="7" t="str">
        <f>Detalle_OC[[#This Row],[Centro]]&amp;Detalle_OC[[#This Row],[Nom Almacen]]&amp;Detalle_OC[[#This Row],[Material]]&amp;Detalle_OC[[#This Row],[Pedido]]&amp;Detalle_OC[[#This Row],[Posicion]]</f>
        <v>Agricola del Chira PlantaAlmacen Lobo7006917955000224351520</v>
      </c>
      <c r="B742" t="s">
        <v>38</v>
      </c>
      <c r="C742" t="s">
        <v>413</v>
      </c>
      <c r="D742" s="17">
        <v>44749</v>
      </c>
      <c r="E742" t="s">
        <v>26</v>
      </c>
      <c r="F742" t="s">
        <v>27</v>
      </c>
      <c r="G742">
        <v>70069179</v>
      </c>
      <c r="H742">
        <v>5500022435</v>
      </c>
      <c r="I742">
        <v>1520</v>
      </c>
      <c r="J742" s="7">
        <v>7</v>
      </c>
      <c r="K742" s="7" t="str">
        <f>IFERROR(VLOOKUP(Detalle_OC[[#This Row],[Centro]]&amp;Detalle_OC[[#This Row],[Nro Almacen]],Almacen!A:D,4,FALSE),"")</f>
        <v>Almacen Lobo</v>
      </c>
    </row>
    <row r="743" spans="1:11" x14ac:dyDescent="0.35">
      <c r="A743" s="7" t="str">
        <f>Detalle_OC[[#This Row],[Centro]]&amp;Detalle_OC[[#This Row],[Nom Almacen]]&amp;Detalle_OC[[#This Row],[Material]]&amp;Detalle_OC[[#This Row],[Pedido]]&amp;Detalle_OC[[#This Row],[Posicion]]</f>
        <v>Agricola del Chira PlantaAlmacen Lobo7006917955000224351520</v>
      </c>
      <c r="B743" t="s">
        <v>38</v>
      </c>
      <c r="C743" t="s">
        <v>413</v>
      </c>
      <c r="D743" s="17">
        <v>44883</v>
      </c>
      <c r="E743" t="s">
        <v>26</v>
      </c>
      <c r="F743" t="s">
        <v>27</v>
      </c>
      <c r="G743">
        <v>70069179</v>
      </c>
      <c r="H743">
        <v>5500022435</v>
      </c>
      <c r="I743">
        <v>1520</v>
      </c>
      <c r="J743" s="7">
        <v>7</v>
      </c>
      <c r="K743" s="7" t="str">
        <f>IFERROR(VLOOKUP(Detalle_OC[[#This Row],[Centro]]&amp;Detalle_OC[[#This Row],[Nro Almacen]],Almacen!A:D,4,FALSE),"")</f>
        <v>Almacen Lobo</v>
      </c>
    </row>
    <row r="744" spans="1:11" x14ac:dyDescent="0.35">
      <c r="A744" s="7" t="str">
        <f>Detalle_OC[[#This Row],[Centro]]&amp;Detalle_OC[[#This Row],[Nom Almacen]]&amp;Detalle_OC[[#This Row],[Material]]&amp;Detalle_OC[[#This Row],[Pedido]]&amp;Detalle_OC[[#This Row],[Posicion]]</f>
        <v>Agricola del Chira PlantaSan Vicente7006917955000224351620</v>
      </c>
      <c r="B744" t="s">
        <v>38</v>
      </c>
      <c r="C744" t="s">
        <v>413</v>
      </c>
      <c r="D744" s="17">
        <v>44680</v>
      </c>
      <c r="E744" t="s">
        <v>26</v>
      </c>
      <c r="F744" t="s">
        <v>27</v>
      </c>
      <c r="G744">
        <v>70069179</v>
      </c>
      <c r="H744">
        <v>5500022435</v>
      </c>
      <c r="I744">
        <v>1620</v>
      </c>
      <c r="J744" s="7">
        <v>3</v>
      </c>
      <c r="K744" s="7" t="str">
        <f>IFERROR(VLOOKUP(Detalle_OC[[#This Row],[Centro]]&amp;Detalle_OC[[#This Row],[Nro Almacen]],Almacen!A:D,4,FALSE),"")</f>
        <v>San Vicente</v>
      </c>
    </row>
    <row r="745" spans="1:11" x14ac:dyDescent="0.35">
      <c r="A745" s="7" t="str">
        <f>Detalle_OC[[#This Row],[Centro]]&amp;Detalle_OC[[#This Row],[Nom Almacen]]&amp;Detalle_OC[[#This Row],[Material]]&amp;Detalle_OC[[#This Row],[Pedido]]&amp;Detalle_OC[[#This Row],[Posicion]]</f>
        <v>Agricola del Chira PlantaSan Vicente7006917955000224351620</v>
      </c>
      <c r="B745" t="s">
        <v>38</v>
      </c>
      <c r="C745" t="s">
        <v>413</v>
      </c>
      <c r="D745" s="17">
        <v>44702</v>
      </c>
      <c r="E745" t="s">
        <v>26</v>
      </c>
      <c r="F745" t="s">
        <v>27</v>
      </c>
      <c r="G745">
        <v>70069179</v>
      </c>
      <c r="H745">
        <v>5500022435</v>
      </c>
      <c r="I745">
        <v>1620</v>
      </c>
      <c r="J745" s="7">
        <v>3</v>
      </c>
      <c r="K745" s="7" t="str">
        <f>IFERROR(VLOOKUP(Detalle_OC[[#This Row],[Centro]]&amp;Detalle_OC[[#This Row],[Nro Almacen]],Almacen!A:D,4,FALSE),"")</f>
        <v>San Vicente</v>
      </c>
    </row>
    <row r="746" spans="1:11" x14ac:dyDescent="0.35">
      <c r="A746" s="7" t="str">
        <f>Detalle_OC[[#This Row],[Centro]]&amp;Detalle_OC[[#This Row],[Nom Almacen]]&amp;Detalle_OC[[#This Row],[Material]]&amp;Detalle_OC[[#This Row],[Pedido]]&amp;Detalle_OC[[#This Row],[Posicion]]</f>
        <v>Agricola del Chira PlantaSan Vicente7006917955000224351620</v>
      </c>
      <c r="B746" t="s">
        <v>38</v>
      </c>
      <c r="C746" t="s">
        <v>413</v>
      </c>
      <c r="D746" s="17">
        <v>44727</v>
      </c>
      <c r="E746" t="s">
        <v>26</v>
      </c>
      <c r="F746" t="s">
        <v>27</v>
      </c>
      <c r="G746">
        <v>70069179</v>
      </c>
      <c r="H746">
        <v>5500022435</v>
      </c>
      <c r="I746">
        <v>1620</v>
      </c>
      <c r="J746" s="7">
        <v>3</v>
      </c>
      <c r="K746" s="7" t="str">
        <f>IFERROR(VLOOKUP(Detalle_OC[[#This Row],[Centro]]&amp;Detalle_OC[[#This Row],[Nro Almacen]],Almacen!A:D,4,FALSE),"")</f>
        <v>San Vicente</v>
      </c>
    </row>
    <row r="747" spans="1:11" x14ac:dyDescent="0.35">
      <c r="A747" s="7" t="str">
        <f>Detalle_OC[[#This Row],[Centro]]&amp;Detalle_OC[[#This Row],[Nom Almacen]]&amp;Detalle_OC[[#This Row],[Material]]&amp;Detalle_OC[[#This Row],[Pedido]]&amp;Detalle_OC[[#This Row],[Posicion]]</f>
        <v>Sucroalcolera del Chira PlantaMontelima700691795500022436380</v>
      </c>
      <c r="B747" t="s">
        <v>38</v>
      </c>
      <c r="C747" t="s">
        <v>413</v>
      </c>
      <c r="D747" s="17">
        <v>44637</v>
      </c>
      <c r="E747" t="s">
        <v>26</v>
      </c>
      <c r="F747" t="s">
        <v>41</v>
      </c>
      <c r="G747">
        <v>70069179</v>
      </c>
      <c r="H747">
        <v>5500022436</v>
      </c>
      <c r="I747">
        <v>380</v>
      </c>
      <c r="J747" s="7">
        <v>1</v>
      </c>
      <c r="K747" s="7" t="str">
        <f>IFERROR(VLOOKUP(Detalle_OC[[#This Row],[Centro]]&amp;Detalle_OC[[#This Row],[Nro Almacen]],Almacen!A:D,4,FALSE),"")</f>
        <v>Montelima</v>
      </c>
    </row>
    <row r="748" spans="1:11" x14ac:dyDescent="0.35">
      <c r="A748" s="7" t="str">
        <f>Detalle_OC[[#This Row],[Centro]]&amp;Detalle_OC[[#This Row],[Nom Almacen]]&amp;Detalle_OC[[#This Row],[Material]]&amp;Detalle_OC[[#This Row],[Pedido]]&amp;Detalle_OC[[#This Row],[Posicion]]</f>
        <v>Sucroalcolera del Chira PlantaMontelima700691795500022436380</v>
      </c>
      <c r="B748" t="s">
        <v>38</v>
      </c>
      <c r="C748" t="s">
        <v>413</v>
      </c>
      <c r="D748" s="17">
        <v>44659</v>
      </c>
      <c r="E748" t="s">
        <v>26</v>
      </c>
      <c r="F748" t="s">
        <v>41</v>
      </c>
      <c r="G748">
        <v>70069179</v>
      </c>
      <c r="H748">
        <v>5500022436</v>
      </c>
      <c r="I748">
        <v>380</v>
      </c>
      <c r="J748" s="7">
        <v>1</v>
      </c>
      <c r="K748" s="7" t="str">
        <f>IFERROR(VLOOKUP(Detalle_OC[[#This Row],[Centro]]&amp;Detalle_OC[[#This Row],[Nro Almacen]],Almacen!A:D,4,FALSE),"")</f>
        <v>Montelima</v>
      </c>
    </row>
    <row r="749" spans="1:11" x14ac:dyDescent="0.35">
      <c r="A749" s="7" t="str">
        <f>Detalle_OC[[#This Row],[Centro]]&amp;Detalle_OC[[#This Row],[Nom Almacen]]&amp;Detalle_OC[[#This Row],[Material]]&amp;Detalle_OC[[#This Row],[Pedido]]&amp;Detalle_OC[[#This Row],[Posicion]]</f>
        <v>Sucroalcolera del Chira PlantaMontelima700691795500022436380</v>
      </c>
      <c r="B749" t="s">
        <v>38</v>
      </c>
      <c r="C749" t="s">
        <v>413</v>
      </c>
      <c r="D749" s="17">
        <v>45000</v>
      </c>
      <c r="E749" t="s">
        <v>26</v>
      </c>
      <c r="F749" t="s">
        <v>41</v>
      </c>
      <c r="G749">
        <v>70069179</v>
      </c>
      <c r="H749">
        <v>5500022436</v>
      </c>
      <c r="I749">
        <v>380</v>
      </c>
      <c r="J749" s="7">
        <v>1</v>
      </c>
      <c r="K749" s="7" t="str">
        <f>IFERROR(VLOOKUP(Detalle_OC[[#This Row],[Centro]]&amp;Detalle_OC[[#This Row],[Nro Almacen]],Almacen!A:D,4,FALSE),"")</f>
        <v>Montelima</v>
      </c>
    </row>
    <row r="750" spans="1:11" x14ac:dyDescent="0.35">
      <c r="A750" s="7" t="str">
        <f>Detalle_OC[[#This Row],[Centro]]&amp;Detalle_OC[[#This Row],[Nom Almacen]]&amp;Detalle_OC[[#This Row],[Material]]&amp;Detalle_OC[[#This Row],[Pedido]]&amp;Detalle_OC[[#This Row],[Posicion]]</f>
        <v>Agricola del Chira PlantaMontelima7006918055000224351370</v>
      </c>
      <c r="B750" t="s">
        <v>38</v>
      </c>
      <c r="C750" t="s">
        <v>413</v>
      </c>
      <c r="D750" s="17">
        <v>44910</v>
      </c>
      <c r="E750" t="s">
        <v>26</v>
      </c>
      <c r="F750" t="s">
        <v>27</v>
      </c>
      <c r="G750">
        <v>70069180</v>
      </c>
      <c r="H750">
        <v>5500022435</v>
      </c>
      <c r="I750">
        <v>1370</v>
      </c>
      <c r="J750" s="7">
        <v>1</v>
      </c>
      <c r="K750" s="7" t="str">
        <f>IFERROR(VLOOKUP(Detalle_OC[[#This Row],[Centro]]&amp;Detalle_OC[[#This Row],[Nro Almacen]],Almacen!A:D,4,FALSE),"")</f>
        <v>Montelima</v>
      </c>
    </row>
    <row r="751" spans="1:11" x14ac:dyDescent="0.35">
      <c r="A751" s="7" t="str">
        <f>Detalle_OC[[#This Row],[Centro]]&amp;Detalle_OC[[#This Row],[Nom Almacen]]&amp;Detalle_OC[[#This Row],[Material]]&amp;Detalle_OC[[#This Row],[Pedido]]&amp;Detalle_OC[[#This Row],[Posicion]]</f>
        <v>Agricola del Chira PlantaAlmacen Lobo7006918055000224351560</v>
      </c>
      <c r="B751" t="s">
        <v>38</v>
      </c>
      <c r="C751" t="s">
        <v>413</v>
      </c>
      <c r="D751" s="17">
        <v>44855</v>
      </c>
      <c r="E751" t="s">
        <v>26</v>
      </c>
      <c r="F751" t="s">
        <v>27</v>
      </c>
      <c r="G751">
        <v>70069180</v>
      </c>
      <c r="H751">
        <v>5500022435</v>
      </c>
      <c r="I751">
        <v>1560</v>
      </c>
      <c r="J751" s="7">
        <v>7</v>
      </c>
      <c r="K751" s="7" t="str">
        <f>IFERROR(VLOOKUP(Detalle_OC[[#This Row],[Centro]]&amp;Detalle_OC[[#This Row],[Nro Almacen]],Almacen!A:D,4,FALSE),"")</f>
        <v>Almacen Lobo</v>
      </c>
    </row>
    <row r="752" spans="1:11" x14ac:dyDescent="0.35">
      <c r="A752" s="7" t="str">
        <f>Detalle_OC[[#This Row],[Centro]]&amp;Detalle_OC[[#This Row],[Nom Almacen]]&amp;Detalle_OC[[#This Row],[Material]]&amp;Detalle_OC[[#This Row],[Pedido]]&amp;Detalle_OC[[#This Row],[Posicion]]</f>
        <v>Agricola del Chira PlantaAlmacen Lobo7006918055000224351560</v>
      </c>
      <c r="B752" t="s">
        <v>38</v>
      </c>
      <c r="C752" t="s">
        <v>413</v>
      </c>
      <c r="D752" s="17">
        <v>44936</v>
      </c>
      <c r="E752" t="s">
        <v>26</v>
      </c>
      <c r="F752" t="s">
        <v>27</v>
      </c>
      <c r="G752">
        <v>70069180</v>
      </c>
      <c r="H752">
        <v>5500022435</v>
      </c>
      <c r="I752">
        <v>1560</v>
      </c>
      <c r="J752" s="7">
        <v>7</v>
      </c>
      <c r="K752" s="7" t="str">
        <f>IFERROR(VLOOKUP(Detalle_OC[[#This Row],[Centro]]&amp;Detalle_OC[[#This Row],[Nro Almacen]],Almacen!A:D,4,FALSE),"")</f>
        <v>Almacen Lobo</v>
      </c>
    </row>
    <row r="753" spans="1:11" x14ac:dyDescent="0.35">
      <c r="A753" s="7" t="str">
        <f>Detalle_OC[[#This Row],[Centro]]&amp;Detalle_OC[[#This Row],[Nom Almacen]]&amp;Detalle_OC[[#This Row],[Material]]&amp;Detalle_OC[[#This Row],[Pedido]]&amp;Detalle_OC[[#This Row],[Posicion]]</f>
        <v>Agricola del Chira PlantaAlmacen Lobo7006918055000224351560</v>
      </c>
      <c r="B753" t="s">
        <v>38</v>
      </c>
      <c r="C753" t="s">
        <v>413</v>
      </c>
      <c r="D753" s="17">
        <v>44950</v>
      </c>
      <c r="E753" t="s">
        <v>26</v>
      </c>
      <c r="F753" t="s">
        <v>27</v>
      </c>
      <c r="G753">
        <v>70069180</v>
      </c>
      <c r="H753">
        <v>5500022435</v>
      </c>
      <c r="I753">
        <v>1560</v>
      </c>
      <c r="J753" s="7">
        <v>7</v>
      </c>
      <c r="K753" s="7" t="str">
        <f>IFERROR(VLOOKUP(Detalle_OC[[#This Row],[Centro]]&amp;Detalle_OC[[#This Row],[Nro Almacen]],Almacen!A:D,4,FALSE),"")</f>
        <v>Almacen Lobo</v>
      </c>
    </row>
    <row r="754" spans="1:11" x14ac:dyDescent="0.35">
      <c r="A754" s="7" t="str">
        <f>Detalle_OC[[#This Row],[Centro]]&amp;Detalle_OC[[#This Row],[Nom Almacen]]&amp;Detalle_OC[[#This Row],[Material]]&amp;Detalle_OC[[#This Row],[Pedido]]&amp;Detalle_OC[[#This Row],[Posicion]]</f>
        <v>Agricola del Chira PlantaSan Vicente7006918055000224351650</v>
      </c>
      <c r="B754" t="s">
        <v>38</v>
      </c>
      <c r="C754" t="s">
        <v>413</v>
      </c>
      <c r="D754" s="17">
        <v>44680</v>
      </c>
      <c r="E754" t="s">
        <v>26</v>
      </c>
      <c r="F754" t="s">
        <v>27</v>
      </c>
      <c r="G754">
        <v>70069180</v>
      </c>
      <c r="H754">
        <v>5500022435</v>
      </c>
      <c r="I754">
        <v>1650</v>
      </c>
      <c r="J754" s="7">
        <v>3</v>
      </c>
      <c r="K754" s="7" t="str">
        <f>IFERROR(VLOOKUP(Detalle_OC[[#This Row],[Centro]]&amp;Detalle_OC[[#This Row],[Nro Almacen]],Almacen!A:D,4,FALSE),"")</f>
        <v>San Vicente</v>
      </c>
    </row>
    <row r="755" spans="1:11" x14ac:dyDescent="0.35">
      <c r="A755" s="7" t="str">
        <f>Detalle_OC[[#This Row],[Centro]]&amp;Detalle_OC[[#This Row],[Nom Almacen]]&amp;Detalle_OC[[#This Row],[Material]]&amp;Detalle_OC[[#This Row],[Pedido]]&amp;Detalle_OC[[#This Row],[Posicion]]</f>
        <v>Agricola del Chira PlantaSan Vicente7006918055000224351650</v>
      </c>
      <c r="B755" t="s">
        <v>38</v>
      </c>
      <c r="C755" t="s">
        <v>413</v>
      </c>
      <c r="D755" s="17">
        <v>44727</v>
      </c>
      <c r="E755" t="s">
        <v>26</v>
      </c>
      <c r="F755" t="s">
        <v>27</v>
      </c>
      <c r="G755">
        <v>70069180</v>
      </c>
      <c r="H755">
        <v>5500022435</v>
      </c>
      <c r="I755">
        <v>1650</v>
      </c>
      <c r="J755" s="7">
        <v>3</v>
      </c>
      <c r="K755" s="7" t="str">
        <f>IFERROR(VLOOKUP(Detalle_OC[[#This Row],[Centro]]&amp;Detalle_OC[[#This Row],[Nro Almacen]],Almacen!A:D,4,FALSE),"")</f>
        <v>San Vicente</v>
      </c>
    </row>
    <row r="756" spans="1:11" x14ac:dyDescent="0.35">
      <c r="A756" s="7" t="str">
        <f>Detalle_OC[[#This Row],[Centro]]&amp;Detalle_OC[[#This Row],[Nom Almacen]]&amp;Detalle_OC[[#This Row],[Material]]&amp;Detalle_OC[[#This Row],[Pedido]]&amp;Detalle_OC[[#This Row],[Posicion]]</f>
        <v>Agricola del Chira PlantaMontelima7006918155000224351380</v>
      </c>
      <c r="B756" t="s">
        <v>38</v>
      </c>
      <c r="C756" t="s">
        <v>413</v>
      </c>
      <c r="D756" s="17">
        <v>44855</v>
      </c>
      <c r="E756" t="s">
        <v>26</v>
      </c>
      <c r="F756" t="s">
        <v>27</v>
      </c>
      <c r="G756">
        <v>70069181</v>
      </c>
      <c r="H756">
        <v>5500022435</v>
      </c>
      <c r="I756">
        <v>1380</v>
      </c>
      <c r="J756" s="7">
        <v>1</v>
      </c>
      <c r="K756" s="7" t="str">
        <f>IFERROR(VLOOKUP(Detalle_OC[[#This Row],[Centro]]&amp;Detalle_OC[[#This Row],[Nro Almacen]],Almacen!A:D,4,FALSE),"")</f>
        <v>Montelima</v>
      </c>
    </row>
    <row r="757" spans="1:11" x14ac:dyDescent="0.35">
      <c r="A757" s="7" t="str">
        <f>Detalle_OC[[#This Row],[Centro]]&amp;Detalle_OC[[#This Row],[Nom Almacen]]&amp;Detalle_OC[[#This Row],[Material]]&amp;Detalle_OC[[#This Row],[Pedido]]&amp;Detalle_OC[[#This Row],[Posicion]]</f>
        <v>Agricola del Chira PlantaMontelima7006918155000224351380</v>
      </c>
      <c r="B757" t="s">
        <v>38</v>
      </c>
      <c r="C757" t="s">
        <v>413</v>
      </c>
      <c r="D757" s="17">
        <v>44910</v>
      </c>
      <c r="E757" t="s">
        <v>26</v>
      </c>
      <c r="F757" t="s">
        <v>27</v>
      </c>
      <c r="G757">
        <v>70069181</v>
      </c>
      <c r="H757">
        <v>5500022435</v>
      </c>
      <c r="I757">
        <v>1380</v>
      </c>
      <c r="J757" s="7">
        <v>1</v>
      </c>
      <c r="K757" s="7" t="str">
        <f>IFERROR(VLOOKUP(Detalle_OC[[#This Row],[Centro]]&amp;Detalle_OC[[#This Row],[Nro Almacen]],Almacen!A:D,4,FALSE),"")</f>
        <v>Montelima</v>
      </c>
    </row>
    <row r="758" spans="1:11" x14ac:dyDescent="0.35">
      <c r="A758" s="7" t="str">
        <f>Detalle_OC[[#This Row],[Centro]]&amp;Detalle_OC[[#This Row],[Nom Almacen]]&amp;Detalle_OC[[#This Row],[Material]]&amp;Detalle_OC[[#This Row],[Pedido]]&amp;Detalle_OC[[#This Row],[Posicion]]</f>
        <v>Agricola del Chira PlantaMontelima7006918355000224351690</v>
      </c>
      <c r="B758" t="s">
        <v>38</v>
      </c>
      <c r="C758" t="s">
        <v>413</v>
      </c>
      <c r="D758" s="17">
        <v>44664</v>
      </c>
      <c r="E758" t="s">
        <v>26</v>
      </c>
      <c r="F758" t="s">
        <v>27</v>
      </c>
      <c r="G758">
        <v>70069183</v>
      </c>
      <c r="H758">
        <v>5500022435</v>
      </c>
      <c r="I758">
        <v>1690</v>
      </c>
      <c r="J758" s="7">
        <v>1</v>
      </c>
      <c r="K758" s="7" t="str">
        <f>IFERROR(VLOOKUP(Detalle_OC[[#This Row],[Centro]]&amp;Detalle_OC[[#This Row],[Nro Almacen]],Almacen!A:D,4,FALSE),"")</f>
        <v>Montelima</v>
      </c>
    </row>
    <row r="759" spans="1:11" x14ac:dyDescent="0.35">
      <c r="A759" s="7" t="str">
        <f>Detalle_OC[[#This Row],[Centro]]&amp;Detalle_OC[[#This Row],[Nom Almacen]]&amp;Detalle_OC[[#This Row],[Material]]&amp;Detalle_OC[[#This Row],[Pedido]]&amp;Detalle_OC[[#This Row],[Posicion]]</f>
        <v>Agricola del Chira PlantaMontelima7006918355000224351690</v>
      </c>
      <c r="B759" t="s">
        <v>38</v>
      </c>
      <c r="C759" t="s">
        <v>413</v>
      </c>
      <c r="D759" s="17">
        <v>44678</v>
      </c>
      <c r="E759" t="s">
        <v>26</v>
      </c>
      <c r="F759" t="s">
        <v>27</v>
      </c>
      <c r="G759">
        <v>70069183</v>
      </c>
      <c r="H759">
        <v>5500022435</v>
      </c>
      <c r="I759">
        <v>1690</v>
      </c>
      <c r="J759" s="7">
        <v>1</v>
      </c>
      <c r="K759" s="7" t="str">
        <f>IFERROR(VLOOKUP(Detalle_OC[[#This Row],[Centro]]&amp;Detalle_OC[[#This Row],[Nro Almacen]],Almacen!A:D,4,FALSE),"")</f>
        <v>Montelima</v>
      </c>
    </row>
    <row r="760" spans="1:11" x14ac:dyDescent="0.35">
      <c r="A760" s="7" t="str">
        <f>Detalle_OC[[#This Row],[Centro]]&amp;Detalle_OC[[#This Row],[Nom Almacen]]&amp;Detalle_OC[[#This Row],[Material]]&amp;Detalle_OC[[#This Row],[Pedido]]&amp;Detalle_OC[[#This Row],[Posicion]]</f>
        <v>Agricola del Chira PlantaMontelima7006918355000224351690</v>
      </c>
      <c r="B760" t="s">
        <v>38</v>
      </c>
      <c r="C760" t="s">
        <v>413</v>
      </c>
      <c r="D760" s="17">
        <v>44680</v>
      </c>
      <c r="E760" t="s">
        <v>26</v>
      </c>
      <c r="F760" t="s">
        <v>27</v>
      </c>
      <c r="G760">
        <v>70069183</v>
      </c>
      <c r="H760">
        <v>5500022435</v>
      </c>
      <c r="I760">
        <v>1690</v>
      </c>
      <c r="J760" s="7">
        <v>1</v>
      </c>
      <c r="K760" s="7" t="str">
        <f>IFERROR(VLOOKUP(Detalle_OC[[#This Row],[Centro]]&amp;Detalle_OC[[#This Row],[Nro Almacen]],Almacen!A:D,4,FALSE),"")</f>
        <v>Montelima</v>
      </c>
    </row>
    <row r="761" spans="1:11" x14ac:dyDescent="0.35">
      <c r="A761" s="7" t="str">
        <f>Detalle_OC[[#This Row],[Centro]]&amp;Detalle_OC[[#This Row],[Nom Almacen]]&amp;Detalle_OC[[#This Row],[Material]]&amp;Detalle_OC[[#This Row],[Pedido]]&amp;Detalle_OC[[#This Row],[Posicion]]</f>
        <v>Agricola del Chira PlantaMontelima7006918355000224351690</v>
      </c>
      <c r="B761" t="s">
        <v>38</v>
      </c>
      <c r="C761" t="s">
        <v>413</v>
      </c>
      <c r="D761" s="17">
        <v>44687</v>
      </c>
      <c r="E761" t="s">
        <v>26</v>
      </c>
      <c r="F761" t="s">
        <v>27</v>
      </c>
      <c r="G761">
        <v>70069183</v>
      </c>
      <c r="H761">
        <v>5500022435</v>
      </c>
      <c r="I761">
        <v>1690</v>
      </c>
      <c r="J761" s="7">
        <v>1</v>
      </c>
      <c r="K761" s="7" t="str">
        <f>IFERROR(VLOOKUP(Detalle_OC[[#This Row],[Centro]]&amp;Detalle_OC[[#This Row],[Nro Almacen]],Almacen!A:D,4,FALSE),"")</f>
        <v>Montelima</v>
      </c>
    </row>
    <row r="762" spans="1:11" x14ac:dyDescent="0.35">
      <c r="A762" s="7" t="str">
        <f>Detalle_OC[[#This Row],[Centro]]&amp;Detalle_OC[[#This Row],[Nom Almacen]]&amp;Detalle_OC[[#This Row],[Material]]&amp;Detalle_OC[[#This Row],[Pedido]]&amp;Detalle_OC[[#This Row],[Posicion]]</f>
        <v>Agricola del Chira PlantaMontelima7006918355000224351690</v>
      </c>
      <c r="B762" t="s">
        <v>38</v>
      </c>
      <c r="C762" t="s">
        <v>413</v>
      </c>
      <c r="D762" s="17">
        <v>44691</v>
      </c>
      <c r="E762" t="s">
        <v>26</v>
      </c>
      <c r="F762" t="s">
        <v>27</v>
      </c>
      <c r="G762">
        <v>70069183</v>
      </c>
      <c r="H762">
        <v>5500022435</v>
      </c>
      <c r="I762">
        <v>1690</v>
      </c>
      <c r="J762" s="7">
        <v>1</v>
      </c>
      <c r="K762" s="7" t="str">
        <f>IFERROR(VLOOKUP(Detalle_OC[[#This Row],[Centro]]&amp;Detalle_OC[[#This Row],[Nro Almacen]],Almacen!A:D,4,FALSE),"")</f>
        <v>Montelima</v>
      </c>
    </row>
    <row r="763" spans="1:11" x14ac:dyDescent="0.35">
      <c r="A763" s="7" t="str">
        <f>Detalle_OC[[#This Row],[Centro]]&amp;Detalle_OC[[#This Row],[Nom Almacen]]&amp;Detalle_OC[[#This Row],[Material]]&amp;Detalle_OC[[#This Row],[Pedido]]&amp;Detalle_OC[[#This Row],[Posicion]]</f>
        <v>Agricola del Chira PlantaMontelima7006918355000224351690</v>
      </c>
      <c r="B763" t="s">
        <v>38</v>
      </c>
      <c r="C763" t="s">
        <v>413</v>
      </c>
      <c r="D763" s="17">
        <v>44702</v>
      </c>
      <c r="E763" t="s">
        <v>26</v>
      </c>
      <c r="F763" t="s">
        <v>27</v>
      </c>
      <c r="G763">
        <v>70069183</v>
      </c>
      <c r="H763">
        <v>5500022435</v>
      </c>
      <c r="I763">
        <v>1690</v>
      </c>
      <c r="J763" s="7">
        <v>1</v>
      </c>
      <c r="K763" s="7" t="str">
        <f>IFERROR(VLOOKUP(Detalle_OC[[#This Row],[Centro]]&amp;Detalle_OC[[#This Row],[Nro Almacen]],Almacen!A:D,4,FALSE),"")</f>
        <v>Montelima</v>
      </c>
    </row>
    <row r="764" spans="1:11" x14ac:dyDescent="0.35">
      <c r="A764" s="7" t="str">
        <f>Detalle_OC[[#This Row],[Centro]]&amp;Detalle_OC[[#This Row],[Nom Almacen]]&amp;Detalle_OC[[#This Row],[Material]]&amp;Detalle_OC[[#This Row],[Pedido]]&amp;Detalle_OC[[#This Row],[Posicion]]</f>
        <v>Agricola del Chira PlantaMontelima7006918355000224351690</v>
      </c>
      <c r="B764" t="s">
        <v>38</v>
      </c>
      <c r="C764" t="s">
        <v>413</v>
      </c>
      <c r="D764" s="17">
        <v>44708</v>
      </c>
      <c r="E764" t="s">
        <v>26</v>
      </c>
      <c r="F764" t="s">
        <v>27</v>
      </c>
      <c r="G764">
        <v>70069183</v>
      </c>
      <c r="H764">
        <v>5500022435</v>
      </c>
      <c r="I764">
        <v>1690</v>
      </c>
      <c r="J764" s="7">
        <v>1</v>
      </c>
      <c r="K764" s="7" t="str">
        <f>IFERROR(VLOOKUP(Detalle_OC[[#This Row],[Centro]]&amp;Detalle_OC[[#This Row],[Nro Almacen]],Almacen!A:D,4,FALSE),"")</f>
        <v>Montelima</v>
      </c>
    </row>
    <row r="765" spans="1:11" x14ac:dyDescent="0.35">
      <c r="A765" s="7" t="str">
        <f>Detalle_OC[[#This Row],[Centro]]&amp;Detalle_OC[[#This Row],[Nom Almacen]]&amp;Detalle_OC[[#This Row],[Material]]&amp;Detalle_OC[[#This Row],[Pedido]]&amp;Detalle_OC[[#This Row],[Posicion]]</f>
        <v>Agricola del Chira PlantaMontelima7006918355000224351690</v>
      </c>
      <c r="B765" t="s">
        <v>38</v>
      </c>
      <c r="C765" t="s">
        <v>413</v>
      </c>
      <c r="D765" s="17">
        <v>44727</v>
      </c>
      <c r="E765" t="s">
        <v>26</v>
      </c>
      <c r="F765" t="s">
        <v>27</v>
      </c>
      <c r="G765">
        <v>70069183</v>
      </c>
      <c r="H765">
        <v>5500022435</v>
      </c>
      <c r="I765">
        <v>1690</v>
      </c>
      <c r="J765" s="7">
        <v>1</v>
      </c>
      <c r="K765" s="7" t="str">
        <f>IFERROR(VLOOKUP(Detalle_OC[[#This Row],[Centro]]&amp;Detalle_OC[[#This Row],[Nro Almacen]],Almacen!A:D,4,FALSE),"")</f>
        <v>Montelima</v>
      </c>
    </row>
    <row r="766" spans="1:11" x14ac:dyDescent="0.35">
      <c r="A766" s="7" t="str">
        <f>Detalle_OC[[#This Row],[Centro]]&amp;Detalle_OC[[#This Row],[Nom Almacen]]&amp;Detalle_OC[[#This Row],[Material]]&amp;Detalle_OC[[#This Row],[Pedido]]&amp;Detalle_OC[[#This Row],[Posicion]]</f>
        <v>Agricola del Chira PlantaMontelima7006918355000224351690</v>
      </c>
      <c r="B766" t="s">
        <v>38</v>
      </c>
      <c r="C766" t="s">
        <v>413</v>
      </c>
      <c r="D766" s="17">
        <v>44718</v>
      </c>
      <c r="E766" t="s">
        <v>26</v>
      </c>
      <c r="F766" t="s">
        <v>27</v>
      </c>
      <c r="G766">
        <v>70069183</v>
      </c>
      <c r="H766">
        <v>5500022435</v>
      </c>
      <c r="I766">
        <v>1690</v>
      </c>
      <c r="J766" s="7">
        <v>1</v>
      </c>
      <c r="K766" s="7" t="str">
        <f>IFERROR(VLOOKUP(Detalle_OC[[#This Row],[Centro]]&amp;Detalle_OC[[#This Row],[Nro Almacen]],Almacen!A:D,4,FALSE),"")</f>
        <v>Montelima</v>
      </c>
    </row>
    <row r="767" spans="1:11" x14ac:dyDescent="0.35">
      <c r="A767" s="7" t="str">
        <f>Detalle_OC[[#This Row],[Centro]]&amp;Detalle_OC[[#This Row],[Nom Almacen]]&amp;Detalle_OC[[#This Row],[Material]]&amp;Detalle_OC[[#This Row],[Pedido]]&amp;Detalle_OC[[#This Row],[Posicion]]</f>
        <v>Agricola del Chira PlantaMontelima7006918355000224351690</v>
      </c>
      <c r="B767" t="s">
        <v>38</v>
      </c>
      <c r="C767" t="s">
        <v>413</v>
      </c>
      <c r="D767" s="17">
        <v>44749</v>
      </c>
      <c r="E767" t="s">
        <v>26</v>
      </c>
      <c r="F767" t="s">
        <v>27</v>
      </c>
      <c r="G767">
        <v>70069183</v>
      </c>
      <c r="H767">
        <v>5500022435</v>
      </c>
      <c r="I767">
        <v>1690</v>
      </c>
      <c r="J767" s="7">
        <v>1</v>
      </c>
      <c r="K767" s="7" t="str">
        <f>IFERROR(VLOOKUP(Detalle_OC[[#This Row],[Centro]]&amp;Detalle_OC[[#This Row],[Nro Almacen]],Almacen!A:D,4,FALSE),"")</f>
        <v>Montelima</v>
      </c>
    </row>
    <row r="768" spans="1:11" x14ac:dyDescent="0.35">
      <c r="A768" s="7" t="str">
        <f>Detalle_OC[[#This Row],[Centro]]&amp;Detalle_OC[[#This Row],[Nom Almacen]]&amp;Detalle_OC[[#This Row],[Material]]&amp;Detalle_OC[[#This Row],[Pedido]]&amp;Detalle_OC[[#This Row],[Posicion]]</f>
        <v>Agricola del Chira PlantaMontelima7006918355000224351690</v>
      </c>
      <c r="B768" t="s">
        <v>38</v>
      </c>
      <c r="C768" t="s">
        <v>413</v>
      </c>
      <c r="D768" s="17">
        <v>44812</v>
      </c>
      <c r="E768" t="s">
        <v>26</v>
      </c>
      <c r="F768" t="s">
        <v>27</v>
      </c>
      <c r="G768">
        <v>70069183</v>
      </c>
      <c r="H768">
        <v>5500022435</v>
      </c>
      <c r="I768">
        <v>1690</v>
      </c>
      <c r="J768" s="7">
        <v>1</v>
      </c>
      <c r="K768" s="7" t="str">
        <f>IFERROR(VLOOKUP(Detalle_OC[[#This Row],[Centro]]&amp;Detalle_OC[[#This Row],[Nro Almacen]],Almacen!A:D,4,FALSE),"")</f>
        <v>Montelima</v>
      </c>
    </row>
    <row r="769" spans="1:11" x14ac:dyDescent="0.35">
      <c r="A769" s="7" t="str">
        <f>Detalle_OC[[#This Row],[Centro]]&amp;Detalle_OC[[#This Row],[Nom Almacen]]&amp;Detalle_OC[[#This Row],[Material]]&amp;Detalle_OC[[#This Row],[Pedido]]&amp;Detalle_OC[[#This Row],[Posicion]]</f>
        <v>Agricola del Chira PlantaMontelima7006918355000224351690</v>
      </c>
      <c r="B769" t="s">
        <v>38</v>
      </c>
      <c r="C769" t="s">
        <v>413</v>
      </c>
      <c r="D769" s="17">
        <v>44827</v>
      </c>
      <c r="E769" t="s">
        <v>26</v>
      </c>
      <c r="F769" t="s">
        <v>27</v>
      </c>
      <c r="G769">
        <v>70069183</v>
      </c>
      <c r="H769">
        <v>5500022435</v>
      </c>
      <c r="I769">
        <v>1690</v>
      </c>
      <c r="J769" s="7">
        <v>1</v>
      </c>
      <c r="K769" s="7" t="str">
        <f>IFERROR(VLOOKUP(Detalle_OC[[#This Row],[Centro]]&amp;Detalle_OC[[#This Row],[Nro Almacen]],Almacen!A:D,4,FALSE),"")</f>
        <v>Montelima</v>
      </c>
    </row>
    <row r="770" spans="1:11" x14ac:dyDescent="0.35">
      <c r="A770" s="7" t="str">
        <f>Detalle_OC[[#This Row],[Centro]]&amp;Detalle_OC[[#This Row],[Nom Almacen]]&amp;Detalle_OC[[#This Row],[Material]]&amp;Detalle_OC[[#This Row],[Pedido]]&amp;Detalle_OC[[#This Row],[Posicion]]</f>
        <v>Agricola del Chira PlantaMontelima7006918355000224351690</v>
      </c>
      <c r="B770" t="s">
        <v>38</v>
      </c>
      <c r="C770" t="s">
        <v>413</v>
      </c>
      <c r="D770" s="17">
        <v>44880</v>
      </c>
      <c r="E770" t="s">
        <v>26</v>
      </c>
      <c r="F770" t="s">
        <v>27</v>
      </c>
      <c r="G770">
        <v>70069183</v>
      </c>
      <c r="H770">
        <v>5500022435</v>
      </c>
      <c r="I770">
        <v>1690</v>
      </c>
      <c r="J770" s="7">
        <v>1</v>
      </c>
      <c r="K770" s="7" t="str">
        <f>IFERROR(VLOOKUP(Detalle_OC[[#This Row],[Centro]]&amp;Detalle_OC[[#This Row],[Nro Almacen]],Almacen!A:D,4,FALSE),"")</f>
        <v>Montelima</v>
      </c>
    </row>
    <row r="771" spans="1:11" x14ac:dyDescent="0.35">
      <c r="A771" s="7" t="str">
        <f>Detalle_OC[[#This Row],[Centro]]&amp;Detalle_OC[[#This Row],[Nom Almacen]]&amp;Detalle_OC[[#This Row],[Material]]&amp;Detalle_OC[[#This Row],[Pedido]]&amp;Detalle_OC[[#This Row],[Posicion]]</f>
        <v>Agricola del Chira PlantaMontelima7006918355000224351690</v>
      </c>
      <c r="B771" t="s">
        <v>38</v>
      </c>
      <c r="C771" t="s">
        <v>413</v>
      </c>
      <c r="D771" s="17">
        <v>44993</v>
      </c>
      <c r="E771" t="s">
        <v>26</v>
      </c>
      <c r="F771" t="s">
        <v>27</v>
      </c>
      <c r="G771">
        <v>70069183</v>
      </c>
      <c r="H771">
        <v>5500022435</v>
      </c>
      <c r="I771">
        <v>1690</v>
      </c>
      <c r="J771" s="7">
        <v>1</v>
      </c>
      <c r="K771" s="7" t="str">
        <f>IFERROR(VLOOKUP(Detalle_OC[[#This Row],[Centro]]&amp;Detalle_OC[[#This Row],[Nro Almacen]],Almacen!A:D,4,FALSE),"")</f>
        <v>Montelima</v>
      </c>
    </row>
    <row r="772" spans="1:11" x14ac:dyDescent="0.35">
      <c r="A772" s="7" t="str">
        <f>Detalle_OC[[#This Row],[Centro]]&amp;Detalle_OC[[#This Row],[Nom Almacen]]&amp;Detalle_OC[[#This Row],[Material]]&amp;Detalle_OC[[#This Row],[Pedido]]&amp;Detalle_OC[[#This Row],[Posicion]]</f>
        <v>Agricola del Chira PlantaSan Vicente7006918355000224351720</v>
      </c>
      <c r="B772" t="s">
        <v>38</v>
      </c>
      <c r="C772" t="s">
        <v>413</v>
      </c>
      <c r="D772" s="17">
        <v>44733</v>
      </c>
      <c r="E772" t="s">
        <v>26</v>
      </c>
      <c r="F772" t="s">
        <v>27</v>
      </c>
      <c r="G772">
        <v>70069183</v>
      </c>
      <c r="H772">
        <v>5500022435</v>
      </c>
      <c r="I772">
        <v>1720</v>
      </c>
      <c r="J772" s="7">
        <v>3</v>
      </c>
      <c r="K772" s="7" t="str">
        <f>IFERROR(VLOOKUP(Detalle_OC[[#This Row],[Centro]]&amp;Detalle_OC[[#This Row],[Nro Almacen]],Almacen!A:D,4,FALSE),"")</f>
        <v>San Vicente</v>
      </c>
    </row>
    <row r="773" spans="1:11" x14ac:dyDescent="0.35">
      <c r="A773" s="7" t="str">
        <f>Detalle_OC[[#This Row],[Centro]]&amp;Detalle_OC[[#This Row],[Nom Almacen]]&amp;Detalle_OC[[#This Row],[Material]]&amp;Detalle_OC[[#This Row],[Pedido]]&amp;Detalle_OC[[#This Row],[Posicion]]</f>
        <v>Agricola del Chira PlantaSan Vicente7006918355000224351720</v>
      </c>
      <c r="B773" t="s">
        <v>38</v>
      </c>
      <c r="C773" t="s">
        <v>413</v>
      </c>
      <c r="D773" s="17">
        <v>44755</v>
      </c>
      <c r="E773" t="s">
        <v>26</v>
      </c>
      <c r="F773" t="s">
        <v>27</v>
      </c>
      <c r="G773">
        <v>70069183</v>
      </c>
      <c r="H773">
        <v>5500022435</v>
      </c>
      <c r="I773">
        <v>1720</v>
      </c>
      <c r="J773" s="7">
        <v>3</v>
      </c>
      <c r="K773" s="7" t="str">
        <f>IFERROR(VLOOKUP(Detalle_OC[[#This Row],[Centro]]&amp;Detalle_OC[[#This Row],[Nro Almacen]],Almacen!A:D,4,FALSE),"")</f>
        <v>San Vicente</v>
      </c>
    </row>
    <row r="774" spans="1:11" x14ac:dyDescent="0.35">
      <c r="A774" s="7" t="str">
        <f>Detalle_OC[[#This Row],[Centro]]&amp;Detalle_OC[[#This Row],[Nom Almacen]]&amp;Detalle_OC[[#This Row],[Material]]&amp;Detalle_OC[[#This Row],[Pedido]]&amp;Detalle_OC[[#This Row],[Posicion]]</f>
        <v>Agricola del Chira PlantaSan Vicente7006918355000224351720</v>
      </c>
      <c r="B774" t="s">
        <v>38</v>
      </c>
      <c r="C774" t="s">
        <v>413</v>
      </c>
      <c r="D774" s="17">
        <v>44783</v>
      </c>
      <c r="E774" t="s">
        <v>26</v>
      </c>
      <c r="F774" t="s">
        <v>27</v>
      </c>
      <c r="G774">
        <v>70069183</v>
      </c>
      <c r="H774">
        <v>5500022435</v>
      </c>
      <c r="I774">
        <v>1720</v>
      </c>
      <c r="J774" s="7">
        <v>3</v>
      </c>
      <c r="K774" s="7" t="str">
        <f>IFERROR(VLOOKUP(Detalle_OC[[#This Row],[Centro]]&amp;Detalle_OC[[#This Row],[Nro Almacen]],Almacen!A:D,4,FALSE),"")</f>
        <v>San Vicente</v>
      </c>
    </row>
    <row r="775" spans="1:11" x14ac:dyDescent="0.35">
      <c r="A775" s="7" t="str">
        <f>Detalle_OC[[#This Row],[Centro]]&amp;Detalle_OC[[#This Row],[Nom Almacen]]&amp;Detalle_OC[[#This Row],[Material]]&amp;Detalle_OC[[#This Row],[Pedido]]&amp;Detalle_OC[[#This Row],[Posicion]]</f>
        <v>Agricola del Chira PlantaSan Vicente7006918355000224351720</v>
      </c>
      <c r="B775" t="s">
        <v>38</v>
      </c>
      <c r="C775" t="s">
        <v>413</v>
      </c>
      <c r="D775" s="17">
        <v>44816</v>
      </c>
      <c r="E775" t="s">
        <v>26</v>
      </c>
      <c r="F775" t="s">
        <v>27</v>
      </c>
      <c r="G775">
        <v>70069183</v>
      </c>
      <c r="H775">
        <v>5500022435</v>
      </c>
      <c r="I775">
        <v>1720</v>
      </c>
      <c r="J775" s="7">
        <v>3</v>
      </c>
      <c r="K775" s="7" t="str">
        <f>IFERROR(VLOOKUP(Detalle_OC[[#This Row],[Centro]]&amp;Detalle_OC[[#This Row],[Nro Almacen]],Almacen!A:D,4,FALSE),"")</f>
        <v>San Vicente</v>
      </c>
    </row>
    <row r="776" spans="1:11" x14ac:dyDescent="0.35">
      <c r="A776" s="7" t="str">
        <f>Detalle_OC[[#This Row],[Centro]]&amp;Detalle_OC[[#This Row],[Nom Almacen]]&amp;Detalle_OC[[#This Row],[Material]]&amp;Detalle_OC[[#This Row],[Pedido]]&amp;Detalle_OC[[#This Row],[Posicion]]</f>
        <v>Agricola del Chira PlantaSan Vicente7006918355000224351720</v>
      </c>
      <c r="B776" t="s">
        <v>38</v>
      </c>
      <c r="C776" t="s">
        <v>413</v>
      </c>
      <c r="D776" s="17">
        <v>44855</v>
      </c>
      <c r="E776" t="s">
        <v>26</v>
      </c>
      <c r="F776" t="s">
        <v>27</v>
      </c>
      <c r="G776">
        <v>70069183</v>
      </c>
      <c r="H776">
        <v>5500022435</v>
      </c>
      <c r="I776">
        <v>1720</v>
      </c>
      <c r="J776" s="7">
        <v>3</v>
      </c>
      <c r="K776" s="7" t="str">
        <f>IFERROR(VLOOKUP(Detalle_OC[[#This Row],[Centro]]&amp;Detalle_OC[[#This Row],[Nro Almacen]],Almacen!A:D,4,FALSE),"")</f>
        <v>San Vicente</v>
      </c>
    </row>
    <row r="777" spans="1:11" x14ac:dyDescent="0.35">
      <c r="A777" s="7" t="str">
        <f>Detalle_OC[[#This Row],[Centro]]&amp;Detalle_OC[[#This Row],[Nom Almacen]]&amp;Detalle_OC[[#This Row],[Material]]&amp;Detalle_OC[[#This Row],[Pedido]]&amp;Detalle_OC[[#This Row],[Posicion]]</f>
        <v>Agricola del Chira PlantaSan Vicente7006918355000224351720</v>
      </c>
      <c r="B777" t="s">
        <v>38</v>
      </c>
      <c r="C777" t="s">
        <v>413</v>
      </c>
      <c r="D777" s="17">
        <v>44874</v>
      </c>
      <c r="E777" t="s">
        <v>26</v>
      </c>
      <c r="F777" t="s">
        <v>27</v>
      </c>
      <c r="G777">
        <v>70069183</v>
      </c>
      <c r="H777">
        <v>5500022435</v>
      </c>
      <c r="I777">
        <v>1720</v>
      </c>
      <c r="J777" s="7">
        <v>3</v>
      </c>
      <c r="K777" s="7" t="str">
        <f>IFERROR(VLOOKUP(Detalle_OC[[#This Row],[Centro]]&amp;Detalle_OC[[#This Row],[Nro Almacen]],Almacen!A:D,4,FALSE),"")</f>
        <v>San Vicente</v>
      </c>
    </row>
    <row r="778" spans="1:11" x14ac:dyDescent="0.35">
      <c r="A778" s="7" t="str">
        <f>Detalle_OC[[#This Row],[Centro]]&amp;Detalle_OC[[#This Row],[Nom Almacen]]&amp;Detalle_OC[[#This Row],[Material]]&amp;Detalle_OC[[#This Row],[Pedido]]&amp;Detalle_OC[[#This Row],[Posicion]]</f>
        <v>Agricola del Chira PlantaSan Vicente7006918355000224351720</v>
      </c>
      <c r="B778" t="s">
        <v>38</v>
      </c>
      <c r="C778" t="s">
        <v>413</v>
      </c>
      <c r="D778" s="17">
        <v>44910</v>
      </c>
      <c r="E778" t="s">
        <v>26</v>
      </c>
      <c r="F778" t="s">
        <v>27</v>
      </c>
      <c r="G778">
        <v>70069183</v>
      </c>
      <c r="H778">
        <v>5500022435</v>
      </c>
      <c r="I778">
        <v>1720</v>
      </c>
      <c r="J778" s="7">
        <v>3</v>
      </c>
      <c r="K778" s="7" t="str">
        <f>IFERROR(VLOOKUP(Detalle_OC[[#This Row],[Centro]]&amp;Detalle_OC[[#This Row],[Nro Almacen]],Almacen!A:D,4,FALSE),"")</f>
        <v>San Vicente</v>
      </c>
    </row>
    <row r="779" spans="1:11" x14ac:dyDescent="0.35">
      <c r="A779" s="7" t="str">
        <f>Detalle_OC[[#This Row],[Centro]]&amp;Detalle_OC[[#This Row],[Nom Almacen]]&amp;Detalle_OC[[#This Row],[Material]]&amp;Detalle_OC[[#This Row],[Pedido]]&amp;Detalle_OC[[#This Row],[Posicion]]</f>
        <v>Agricola del Chira PlantaSan Vicente7006918355000224351720</v>
      </c>
      <c r="B779" t="s">
        <v>38</v>
      </c>
      <c r="C779" t="s">
        <v>413</v>
      </c>
      <c r="D779" s="17">
        <v>44936</v>
      </c>
      <c r="E779" t="s">
        <v>26</v>
      </c>
      <c r="F779" t="s">
        <v>27</v>
      </c>
      <c r="G779">
        <v>70069183</v>
      </c>
      <c r="H779">
        <v>5500022435</v>
      </c>
      <c r="I779">
        <v>1720</v>
      </c>
      <c r="J779" s="7">
        <v>3</v>
      </c>
      <c r="K779" s="7" t="str">
        <f>IFERROR(VLOOKUP(Detalle_OC[[#This Row],[Centro]]&amp;Detalle_OC[[#This Row],[Nro Almacen]],Almacen!A:D,4,FALSE),"")</f>
        <v>San Vicente</v>
      </c>
    </row>
    <row r="780" spans="1:11" x14ac:dyDescent="0.35">
      <c r="A780" s="7" t="str">
        <f>Detalle_OC[[#This Row],[Centro]]&amp;Detalle_OC[[#This Row],[Nom Almacen]]&amp;Detalle_OC[[#This Row],[Material]]&amp;Detalle_OC[[#This Row],[Pedido]]&amp;Detalle_OC[[#This Row],[Posicion]]</f>
        <v>Agricola del Chira PlantaSan Vicente7006918355000224351720</v>
      </c>
      <c r="B780" t="s">
        <v>38</v>
      </c>
      <c r="C780" t="s">
        <v>413</v>
      </c>
      <c r="D780" s="17">
        <v>44965</v>
      </c>
      <c r="E780" t="s">
        <v>26</v>
      </c>
      <c r="F780" t="s">
        <v>27</v>
      </c>
      <c r="G780">
        <v>70069183</v>
      </c>
      <c r="H780">
        <v>5500022435</v>
      </c>
      <c r="I780">
        <v>1720</v>
      </c>
      <c r="J780" s="7">
        <v>3</v>
      </c>
      <c r="K780" s="7" t="str">
        <f>IFERROR(VLOOKUP(Detalle_OC[[#This Row],[Centro]]&amp;Detalle_OC[[#This Row],[Nro Almacen]],Almacen!A:D,4,FALSE),"")</f>
        <v>San Vicente</v>
      </c>
    </row>
    <row r="781" spans="1:11" x14ac:dyDescent="0.35">
      <c r="A781" s="7" t="str">
        <f>Detalle_OC[[#This Row],[Centro]]&amp;Detalle_OC[[#This Row],[Nom Almacen]]&amp;Detalle_OC[[#This Row],[Material]]&amp;Detalle_OC[[#This Row],[Pedido]]&amp;Detalle_OC[[#This Row],[Posicion]]</f>
        <v>Sucroalcolera del Chira PlantaMontelima700691835500022436560</v>
      </c>
      <c r="B781" t="s">
        <v>38</v>
      </c>
      <c r="C781" t="s">
        <v>413</v>
      </c>
      <c r="D781" s="17">
        <v>44642</v>
      </c>
      <c r="E781" t="s">
        <v>26</v>
      </c>
      <c r="F781" t="s">
        <v>41</v>
      </c>
      <c r="G781">
        <v>70069183</v>
      </c>
      <c r="H781">
        <v>5500022436</v>
      </c>
      <c r="I781">
        <v>560</v>
      </c>
      <c r="J781" s="7">
        <v>1</v>
      </c>
      <c r="K781" s="7" t="str">
        <f>IFERROR(VLOOKUP(Detalle_OC[[#This Row],[Centro]]&amp;Detalle_OC[[#This Row],[Nro Almacen]],Almacen!A:D,4,FALSE),"")</f>
        <v>Montelima</v>
      </c>
    </row>
    <row r="782" spans="1:11" x14ac:dyDescent="0.35">
      <c r="A782" s="7" t="str">
        <f>Detalle_OC[[#This Row],[Centro]]&amp;Detalle_OC[[#This Row],[Nom Almacen]]&amp;Detalle_OC[[#This Row],[Material]]&amp;Detalle_OC[[#This Row],[Pedido]]&amp;Detalle_OC[[#This Row],[Posicion]]</f>
        <v>Sucroalcolera del Chira PlantaMontelima700691835500022436560</v>
      </c>
      <c r="B782" t="s">
        <v>38</v>
      </c>
      <c r="C782" t="s">
        <v>413</v>
      </c>
      <c r="D782" s="17">
        <v>44659</v>
      </c>
      <c r="E782" t="s">
        <v>26</v>
      </c>
      <c r="F782" t="s">
        <v>41</v>
      </c>
      <c r="G782">
        <v>70069183</v>
      </c>
      <c r="H782">
        <v>5500022436</v>
      </c>
      <c r="I782">
        <v>560</v>
      </c>
      <c r="J782" s="7">
        <v>1</v>
      </c>
      <c r="K782" s="7" t="str">
        <f>IFERROR(VLOOKUP(Detalle_OC[[#This Row],[Centro]]&amp;Detalle_OC[[#This Row],[Nro Almacen]],Almacen!A:D,4,FALSE),"")</f>
        <v>Montelima</v>
      </c>
    </row>
    <row r="783" spans="1:11" x14ac:dyDescent="0.35">
      <c r="A783" s="7" t="str">
        <f>Detalle_OC[[#This Row],[Centro]]&amp;Detalle_OC[[#This Row],[Nom Almacen]]&amp;Detalle_OC[[#This Row],[Material]]&amp;Detalle_OC[[#This Row],[Pedido]]&amp;Detalle_OC[[#This Row],[Posicion]]</f>
        <v>Sucroalcolera del Chira PlantaMontelima700691835500022436560</v>
      </c>
      <c r="B783" t="s">
        <v>38</v>
      </c>
      <c r="C783" t="s">
        <v>413</v>
      </c>
      <c r="D783" s="17">
        <v>44687</v>
      </c>
      <c r="E783" t="s">
        <v>26</v>
      </c>
      <c r="F783" t="s">
        <v>41</v>
      </c>
      <c r="G783">
        <v>70069183</v>
      </c>
      <c r="H783">
        <v>5500022436</v>
      </c>
      <c r="I783">
        <v>560</v>
      </c>
      <c r="J783" s="7">
        <v>1</v>
      </c>
      <c r="K783" s="7" t="str">
        <f>IFERROR(VLOOKUP(Detalle_OC[[#This Row],[Centro]]&amp;Detalle_OC[[#This Row],[Nro Almacen]],Almacen!A:D,4,FALSE),"")</f>
        <v>Montelima</v>
      </c>
    </row>
    <row r="784" spans="1:11" x14ac:dyDescent="0.35">
      <c r="A784" s="7" t="str">
        <f>Detalle_OC[[#This Row],[Centro]]&amp;Detalle_OC[[#This Row],[Nom Almacen]]&amp;Detalle_OC[[#This Row],[Material]]&amp;Detalle_OC[[#This Row],[Pedido]]&amp;Detalle_OC[[#This Row],[Posicion]]</f>
        <v>Sucroalcolera del Chira PlantaMontelima700691835500022436560</v>
      </c>
      <c r="B784" t="s">
        <v>38</v>
      </c>
      <c r="C784" t="s">
        <v>413</v>
      </c>
      <c r="D784" s="17">
        <v>44727</v>
      </c>
      <c r="E784" t="s">
        <v>26</v>
      </c>
      <c r="F784" t="s">
        <v>41</v>
      </c>
      <c r="G784">
        <v>70069183</v>
      </c>
      <c r="H784">
        <v>5500022436</v>
      </c>
      <c r="I784">
        <v>560</v>
      </c>
      <c r="J784" s="7">
        <v>1</v>
      </c>
      <c r="K784" s="7" t="str">
        <f>IFERROR(VLOOKUP(Detalle_OC[[#This Row],[Centro]]&amp;Detalle_OC[[#This Row],[Nro Almacen]],Almacen!A:D,4,FALSE),"")</f>
        <v>Montelima</v>
      </c>
    </row>
    <row r="785" spans="1:11" x14ac:dyDescent="0.35">
      <c r="A785" s="7" t="str">
        <f>Detalle_OC[[#This Row],[Centro]]&amp;Detalle_OC[[#This Row],[Nom Almacen]]&amp;Detalle_OC[[#This Row],[Material]]&amp;Detalle_OC[[#This Row],[Pedido]]&amp;Detalle_OC[[#This Row],[Posicion]]</f>
        <v>Sucroalcolera del Chira PlantaMontelima700691835500022436560</v>
      </c>
      <c r="B785" t="s">
        <v>38</v>
      </c>
      <c r="C785" t="s">
        <v>413</v>
      </c>
      <c r="D785" s="17">
        <v>44755</v>
      </c>
      <c r="E785" t="s">
        <v>26</v>
      </c>
      <c r="F785" t="s">
        <v>41</v>
      </c>
      <c r="G785">
        <v>70069183</v>
      </c>
      <c r="H785">
        <v>5500022436</v>
      </c>
      <c r="I785">
        <v>560</v>
      </c>
      <c r="J785" s="7">
        <v>1</v>
      </c>
      <c r="K785" s="7" t="str">
        <f>IFERROR(VLOOKUP(Detalle_OC[[#This Row],[Centro]]&amp;Detalle_OC[[#This Row],[Nro Almacen]],Almacen!A:D,4,FALSE),"")</f>
        <v>Montelima</v>
      </c>
    </row>
    <row r="786" spans="1:11" x14ac:dyDescent="0.35">
      <c r="A786" s="7" t="str">
        <f>Detalle_OC[[#This Row],[Centro]]&amp;Detalle_OC[[#This Row],[Nom Almacen]]&amp;Detalle_OC[[#This Row],[Material]]&amp;Detalle_OC[[#This Row],[Pedido]]&amp;Detalle_OC[[#This Row],[Posicion]]</f>
        <v>Sucroalcolera del Chira PlantaMontelima700691835500022436560</v>
      </c>
      <c r="B786" t="s">
        <v>38</v>
      </c>
      <c r="C786" t="s">
        <v>413</v>
      </c>
      <c r="D786" s="17">
        <v>44783</v>
      </c>
      <c r="E786" t="s">
        <v>26</v>
      </c>
      <c r="F786" t="s">
        <v>41</v>
      </c>
      <c r="G786">
        <v>70069183</v>
      </c>
      <c r="H786">
        <v>5500022436</v>
      </c>
      <c r="I786">
        <v>560</v>
      </c>
      <c r="J786" s="7">
        <v>1</v>
      </c>
      <c r="K786" s="7" t="str">
        <f>IFERROR(VLOOKUP(Detalle_OC[[#This Row],[Centro]]&amp;Detalle_OC[[#This Row],[Nro Almacen]],Almacen!A:D,4,FALSE),"")</f>
        <v>Montelima</v>
      </c>
    </row>
    <row r="787" spans="1:11" x14ac:dyDescent="0.35">
      <c r="A787" s="7" t="str">
        <f>Detalle_OC[[#This Row],[Centro]]&amp;Detalle_OC[[#This Row],[Nom Almacen]]&amp;Detalle_OC[[#This Row],[Material]]&amp;Detalle_OC[[#This Row],[Pedido]]&amp;Detalle_OC[[#This Row],[Posicion]]</f>
        <v>Sucroalcolera del Chira PlantaMontelima700691835500022436560</v>
      </c>
      <c r="B787" t="s">
        <v>38</v>
      </c>
      <c r="C787" t="s">
        <v>413</v>
      </c>
      <c r="D787" s="17">
        <v>44806</v>
      </c>
      <c r="E787" t="s">
        <v>26</v>
      </c>
      <c r="F787" t="s">
        <v>41</v>
      </c>
      <c r="G787">
        <v>70069183</v>
      </c>
      <c r="H787">
        <v>5500022436</v>
      </c>
      <c r="I787">
        <v>560</v>
      </c>
      <c r="J787" s="7">
        <v>1</v>
      </c>
      <c r="K787" s="7" t="str">
        <f>IFERROR(VLOOKUP(Detalle_OC[[#This Row],[Centro]]&amp;Detalle_OC[[#This Row],[Nro Almacen]],Almacen!A:D,4,FALSE),"")</f>
        <v>Montelima</v>
      </c>
    </row>
    <row r="788" spans="1:11" x14ac:dyDescent="0.35">
      <c r="A788" s="7" t="str">
        <f>Detalle_OC[[#This Row],[Centro]]&amp;Detalle_OC[[#This Row],[Nom Almacen]]&amp;Detalle_OC[[#This Row],[Material]]&amp;Detalle_OC[[#This Row],[Pedido]]&amp;Detalle_OC[[#This Row],[Posicion]]</f>
        <v>Sucroalcolera del Chira PlantaMontelima700691835500022436560</v>
      </c>
      <c r="B788" t="s">
        <v>38</v>
      </c>
      <c r="C788" t="s">
        <v>413</v>
      </c>
      <c r="D788" s="17">
        <v>44827</v>
      </c>
      <c r="E788" t="s">
        <v>26</v>
      </c>
      <c r="F788" t="s">
        <v>41</v>
      </c>
      <c r="G788">
        <v>70069183</v>
      </c>
      <c r="H788">
        <v>5500022436</v>
      </c>
      <c r="I788">
        <v>560</v>
      </c>
      <c r="J788" s="7">
        <v>1</v>
      </c>
      <c r="K788" s="7" t="str">
        <f>IFERROR(VLOOKUP(Detalle_OC[[#This Row],[Centro]]&amp;Detalle_OC[[#This Row],[Nro Almacen]],Almacen!A:D,4,FALSE),"")</f>
        <v>Montelima</v>
      </c>
    </row>
    <row r="789" spans="1:11" x14ac:dyDescent="0.35">
      <c r="A789" s="7" t="str">
        <f>Detalle_OC[[#This Row],[Centro]]&amp;Detalle_OC[[#This Row],[Nom Almacen]]&amp;Detalle_OC[[#This Row],[Material]]&amp;Detalle_OC[[#This Row],[Pedido]]&amp;Detalle_OC[[#This Row],[Posicion]]</f>
        <v>Sucroalcolera del Chira PlantaMontelima700691835500022436560</v>
      </c>
      <c r="B789" t="s">
        <v>38</v>
      </c>
      <c r="C789" t="s">
        <v>413</v>
      </c>
      <c r="D789" s="17">
        <v>44858</v>
      </c>
      <c r="E789" t="s">
        <v>26</v>
      </c>
      <c r="F789" t="s">
        <v>41</v>
      </c>
      <c r="G789">
        <v>70069183</v>
      </c>
      <c r="H789">
        <v>5500022436</v>
      </c>
      <c r="I789">
        <v>560</v>
      </c>
      <c r="J789" s="7">
        <v>1</v>
      </c>
      <c r="K789" s="7" t="str">
        <f>IFERROR(VLOOKUP(Detalle_OC[[#This Row],[Centro]]&amp;Detalle_OC[[#This Row],[Nro Almacen]],Almacen!A:D,4,FALSE),"")</f>
        <v>Montelima</v>
      </c>
    </row>
    <row r="790" spans="1:11" x14ac:dyDescent="0.35">
      <c r="A790" s="7" t="str">
        <f>Detalle_OC[[#This Row],[Centro]]&amp;Detalle_OC[[#This Row],[Nom Almacen]]&amp;Detalle_OC[[#This Row],[Material]]&amp;Detalle_OC[[#This Row],[Pedido]]&amp;Detalle_OC[[#This Row],[Posicion]]</f>
        <v>Sucroalcolera del Chira PlantaMontelima700691835500022436560</v>
      </c>
      <c r="B790" t="s">
        <v>38</v>
      </c>
      <c r="C790" t="s">
        <v>413</v>
      </c>
      <c r="D790" s="17">
        <v>44858</v>
      </c>
      <c r="E790" t="s">
        <v>26</v>
      </c>
      <c r="F790" t="s">
        <v>41</v>
      </c>
      <c r="G790">
        <v>70069183</v>
      </c>
      <c r="H790">
        <v>5500022436</v>
      </c>
      <c r="I790">
        <v>560</v>
      </c>
      <c r="J790" s="7">
        <v>1</v>
      </c>
      <c r="K790" s="7" t="str">
        <f>IFERROR(VLOOKUP(Detalle_OC[[#This Row],[Centro]]&amp;Detalle_OC[[#This Row],[Nro Almacen]],Almacen!A:D,4,FALSE),"")</f>
        <v>Montelima</v>
      </c>
    </row>
    <row r="791" spans="1:11" x14ac:dyDescent="0.35">
      <c r="A791" s="7" t="str">
        <f>Detalle_OC[[#This Row],[Centro]]&amp;Detalle_OC[[#This Row],[Nom Almacen]]&amp;Detalle_OC[[#This Row],[Material]]&amp;Detalle_OC[[#This Row],[Pedido]]&amp;Detalle_OC[[#This Row],[Posicion]]</f>
        <v>Sucroalcolera del Chira PlantaMontelima700691835500022436560</v>
      </c>
      <c r="B791" t="s">
        <v>38</v>
      </c>
      <c r="C791" t="s">
        <v>413</v>
      </c>
      <c r="D791" s="17">
        <v>44874</v>
      </c>
      <c r="E791" t="s">
        <v>26</v>
      </c>
      <c r="F791" t="s">
        <v>41</v>
      </c>
      <c r="G791">
        <v>70069183</v>
      </c>
      <c r="H791">
        <v>5500022436</v>
      </c>
      <c r="I791">
        <v>560</v>
      </c>
      <c r="J791" s="7">
        <v>1</v>
      </c>
      <c r="K791" s="7" t="str">
        <f>IFERROR(VLOOKUP(Detalle_OC[[#This Row],[Centro]]&amp;Detalle_OC[[#This Row],[Nro Almacen]],Almacen!A:D,4,FALSE),"")</f>
        <v>Montelima</v>
      </c>
    </row>
    <row r="792" spans="1:11" x14ac:dyDescent="0.35">
      <c r="A792" s="7" t="str">
        <f>Detalle_OC[[#This Row],[Centro]]&amp;Detalle_OC[[#This Row],[Nom Almacen]]&amp;Detalle_OC[[#This Row],[Material]]&amp;Detalle_OC[[#This Row],[Pedido]]&amp;Detalle_OC[[#This Row],[Posicion]]</f>
        <v>Sucroalcolera del Chira PlantaMontelima700691835500022436560</v>
      </c>
      <c r="B792" t="s">
        <v>38</v>
      </c>
      <c r="C792" t="s">
        <v>413</v>
      </c>
      <c r="D792" s="17">
        <v>44880</v>
      </c>
      <c r="E792" t="s">
        <v>26</v>
      </c>
      <c r="F792" t="s">
        <v>41</v>
      </c>
      <c r="G792">
        <v>70069183</v>
      </c>
      <c r="H792">
        <v>5500022436</v>
      </c>
      <c r="I792">
        <v>560</v>
      </c>
      <c r="J792" s="7">
        <v>1</v>
      </c>
      <c r="K792" s="7" t="str">
        <f>IFERROR(VLOOKUP(Detalle_OC[[#This Row],[Centro]]&amp;Detalle_OC[[#This Row],[Nro Almacen]],Almacen!A:D,4,FALSE),"")</f>
        <v>Montelima</v>
      </c>
    </row>
    <row r="793" spans="1:11" x14ac:dyDescent="0.35">
      <c r="A793" s="7" t="str">
        <f>Detalle_OC[[#This Row],[Centro]]&amp;Detalle_OC[[#This Row],[Nom Almacen]]&amp;Detalle_OC[[#This Row],[Material]]&amp;Detalle_OC[[#This Row],[Pedido]]&amp;Detalle_OC[[#This Row],[Posicion]]</f>
        <v>Sucroalcolera del Chira PlantaMontelima700691835500022436560</v>
      </c>
      <c r="B793" t="s">
        <v>38</v>
      </c>
      <c r="C793" t="s">
        <v>413</v>
      </c>
      <c r="D793" s="17">
        <v>44910</v>
      </c>
      <c r="E793" t="s">
        <v>26</v>
      </c>
      <c r="F793" t="s">
        <v>41</v>
      </c>
      <c r="G793">
        <v>70069183</v>
      </c>
      <c r="H793">
        <v>5500022436</v>
      </c>
      <c r="I793">
        <v>560</v>
      </c>
      <c r="J793" s="7">
        <v>1</v>
      </c>
      <c r="K793" s="7" t="str">
        <f>IFERROR(VLOOKUP(Detalle_OC[[#This Row],[Centro]]&amp;Detalle_OC[[#This Row],[Nro Almacen]],Almacen!A:D,4,FALSE),"")</f>
        <v>Montelima</v>
      </c>
    </row>
    <row r="794" spans="1:11" x14ac:dyDescent="0.35">
      <c r="A794" s="7" t="str">
        <f>Detalle_OC[[#This Row],[Centro]]&amp;Detalle_OC[[#This Row],[Nom Almacen]]&amp;Detalle_OC[[#This Row],[Material]]&amp;Detalle_OC[[#This Row],[Pedido]]&amp;Detalle_OC[[#This Row],[Posicion]]</f>
        <v>Sucroalcolera del Chira PlantaMontelima700691835500022436560</v>
      </c>
      <c r="B794" t="s">
        <v>38</v>
      </c>
      <c r="C794" t="s">
        <v>413</v>
      </c>
      <c r="D794" s="17">
        <v>44926</v>
      </c>
      <c r="E794" t="s">
        <v>26</v>
      </c>
      <c r="F794" t="s">
        <v>41</v>
      </c>
      <c r="G794">
        <v>70069183</v>
      </c>
      <c r="H794">
        <v>5500022436</v>
      </c>
      <c r="I794">
        <v>560</v>
      </c>
      <c r="J794" s="7">
        <v>1</v>
      </c>
      <c r="K794" s="7" t="str">
        <f>IFERROR(VLOOKUP(Detalle_OC[[#This Row],[Centro]]&amp;Detalle_OC[[#This Row],[Nro Almacen]],Almacen!A:D,4,FALSE),"")</f>
        <v>Montelima</v>
      </c>
    </row>
    <row r="795" spans="1:11" x14ac:dyDescent="0.35">
      <c r="A795" s="7" t="str">
        <f>Detalle_OC[[#This Row],[Centro]]&amp;Detalle_OC[[#This Row],[Nom Almacen]]&amp;Detalle_OC[[#This Row],[Material]]&amp;Detalle_OC[[#This Row],[Pedido]]&amp;Detalle_OC[[#This Row],[Posicion]]</f>
        <v>Sucroalcolera del Chira PlantaMontelima700691835500022436560</v>
      </c>
      <c r="B795" t="s">
        <v>38</v>
      </c>
      <c r="C795" t="s">
        <v>413</v>
      </c>
      <c r="D795" s="17">
        <v>44950</v>
      </c>
      <c r="E795" t="s">
        <v>26</v>
      </c>
      <c r="F795" t="s">
        <v>41</v>
      </c>
      <c r="G795">
        <v>70069183</v>
      </c>
      <c r="H795">
        <v>5500022436</v>
      </c>
      <c r="I795">
        <v>560</v>
      </c>
      <c r="J795" s="7">
        <v>1</v>
      </c>
      <c r="K795" s="7" t="str">
        <f>IFERROR(VLOOKUP(Detalle_OC[[#This Row],[Centro]]&amp;Detalle_OC[[#This Row],[Nro Almacen]],Almacen!A:D,4,FALSE),"")</f>
        <v>Montelima</v>
      </c>
    </row>
    <row r="796" spans="1:11" x14ac:dyDescent="0.35">
      <c r="A796" s="7" t="str">
        <f>Detalle_OC[[#This Row],[Centro]]&amp;Detalle_OC[[#This Row],[Nom Almacen]]&amp;Detalle_OC[[#This Row],[Material]]&amp;Detalle_OC[[#This Row],[Pedido]]&amp;Detalle_OC[[#This Row],[Posicion]]</f>
        <v>Sucroalcolera del Chira PlantaMontelima700691835500022436560</v>
      </c>
      <c r="B796" t="s">
        <v>38</v>
      </c>
      <c r="C796" t="s">
        <v>413</v>
      </c>
      <c r="D796" s="17">
        <v>44965</v>
      </c>
      <c r="E796" t="s">
        <v>26</v>
      </c>
      <c r="F796" t="s">
        <v>41</v>
      </c>
      <c r="G796">
        <v>70069183</v>
      </c>
      <c r="H796">
        <v>5500022436</v>
      </c>
      <c r="I796">
        <v>560</v>
      </c>
      <c r="J796" s="7">
        <v>1</v>
      </c>
      <c r="K796" s="7" t="str">
        <f>IFERROR(VLOOKUP(Detalle_OC[[#This Row],[Centro]]&amp;Detalle_OC[[#This Row],[Nro Almacen]],Almacen!A:D,4,FALSE),"")</f>
        <v>Montelima</v>
      </c>
    </row>
    <row r="797" spans="1:11" x14ac:dyDescent="0.35">
      <c r="A797" s="7" t="str">
        <f>Detalle_OC[[#This Row],[Centro]]&amp;Detalle_OC[[#This Row],[Nom Almacen]]&amp;Detalle_OC[[#This Row],[Material]]&amp;Detalle_OC[[#This Row],[Pedido]]&amp;Detalle_OC[[#This Row],[Posicion]]</f>
        <v>Sucroalcolera del Chira PlantaMontelima700691835500022436560</v>
      </c>
      <c r="B797" t="s">
        <v>38</v>
      </c>
      <c r="C797" t="s">
        <v>413</v>
      </c>
      <c r="D797" s="17">
        <v>44993</v>
      </c>
      <c r="E797" t="s">
        <v>26</v>
      </c>
      <c r="F797" t="s">
        <v>41</v>
      </c>
      <c r="G797">
        <v>70069183</v>
      </c>
      <c r="H797">
        <v>5500022436</v>
      </c>
      <c r="I797">
        <v>560</v>
      </c>
      <c r="J797" s="7">
        <v>1</v>
      </c>
      <c r="K797" s="7" t="str">
        <f>IFERROR(VLOOKUP(Detalle_OC[[#This Row],[Centro]]&amp;Detalle_OC[[#This Row],[Nro Almacen]],Almacen!A:D,4,FALSE),"")</f>
        <v>Montelima</v>
      </c>
    </row>
    <row r="798" spans="1:11" x14ac:dyDescent="0.35">
      <c r="A798" s="7" t="str">
        <f>Detalle_OC[[#This Row],[Centro]]&amp;Detalle_OC[[#This Row],[Nom Almacen]]&amp;Detalle_OC[[#This Row],[Material]]&amp;Detalle_OC[[#This Row],[Pedido]]&amp;Detalle_OC[[#This Row],[Posicion]]</f>
        <v>Sucroalcolera del Chira PlantaMontelima700691875500022436410</v>
      </c>
      <c r="B798" t="s">
        <v>38</v>
      </c>
      <c r="C798" t="s">
        <v>413</v>
      </c>
      <c r="D798" s="17">
        <v>44858</v>
      </c>
      <c r="E798" t="s">
        <v>26</v>
      </c>
      <c r="F798" t="s">
        <v>41</v>
      </c>
      <c r="G798">
        <v>70069187</v>
      </c>
      <c r="H798">
        <v>5500022436</v>
      </c>
      <c r="I798">
        <v>410</v>
      </c>
      <c r="J798" s="7">
        <v>1</v>
      </c>
      <c r="K798" s="7" t="str">
        <f>IFERROR(VLOOKUP(Detalle_OC[[#This Row],[Centro]]&amp;Detalle_OC[[#This Row],[Nro Almacen]],Almacen!A:D,4,FALSE),"")</f>
        <v>Montelima</v>
      </c>
    </row>
    <row r="799" spans="1:11" x14ac:dyDescent="0.35">
      <c r="A799" s="7" t="str">
        <f>Detalle_OC[[#This Row],[Centro]]&amp;Detalle_OC[[#This Row],[Nom Almacen]]&amp;Detalle_OC[[#This Row],[Material]]&amp;Detalle_OC[[#This Row],[Pedido]]&amp;Detalle_OC[[#This Row],[Posicion]]</f>
        <v>Sucroalcolera del Chira PlantaMontelima700691875500022436410</v>
      </c>
      <c r="B799" t="s">
        <v>38</v>
      </c>
      <c r="C799" t="s">
        <v>413</v>
      </c>
      <c r="D799" s="17">
        <v>45000</v>
      </c>
      <c r="E799" t="s">
        <v>26</v>
      </c>
      <c r="F799" t="s">
        <v>41</v>
      </c>
      <c r="G799">
        <v>70069187</v>
      </c>
      <c r="H799">
        <v>5500022436</v>
      </c>
      <c r="I799">
        <v>410</v>
      </c>
      <c r="J799" s="7">
        <v>1</v>
      </c>
      <c r="K799" s="7" t="str">
        <f>IFERROR(VLOOKUP(Detalle_OC[[#This Row],[Centro]]&amp;Detalle_OC[[#This Row],[Nro Almacen]],Almacen!A:D,4,FALSE),"")</f>
        <v>Montelima</v>
      </c>
    </row>
    <row r="800" spans="1:11" x14ac:dyDescent="0.35">
      <c r="A800" s="7" t="str">
        <f>Detalle_OC[[#This Row],[Centro]]&amp;Detalle_OC[[#This Row],[Nom Almacen]]&amp;Detalle_OC[[#This Row],[Material]]&amp;Detalle_OC[[#This Row],[Pedido]]&amp;Detalle_OC[[#This Row],[Posicion]]</f>
        <v>Sucroalcolera del Chira PlantaMontelima700691875500022436410</v>
      </c>
      <c r="B800" t="s">
        <v>38</v>
      </c>
      <c r="C800" t="s">
        <v>413</v>
      </c>
      <c r="D800" s="17">
        <v>44993</v>
      </c>
      <c r="E800" t="s">
        <v>26</v>
      </c>
      <c r="F800" t="s">
        <v>41</v>
      </c>
      <c r="G800">
        <v>70069187</v>
      </c>
      <c r="H800">
        <v>5500022436</v>
      </c>
      <c r="I800">
        <v>410</v>
      </c>
      <c r="J800" s="7">
        <v>1</v>
      </c>
      <c r="K800" s="7" t="str">
        <f>IFERROR(VLOOKUP(Detalle_OC[[#This Row],[Centro]]&amp;Detalle_OC[[#This Row],[Nro Almacen]],Almacen!A:D,4,FALSE),"")</f>
        <v>Montelima</v>
      </c>
    </row>
    <row r="801" spans="1:11" x14ac:dyDescent="0.35">
      <c r="A801" s="7" t="str">
        <f>Detalle_OC[[#This Row],[Centro]]&amp;Detalle_OC[[#This Row],[Nom Almacen]]&amp;Detalle_OC[[#This Row],[Material]]&amp;Detalle_OC[[#This Row],[Pedido]]&amp;Detalle_OC[[#This Row],[Posicion]]</f>
        <v>Sucroalcolera del Chira PlantaMontelima700691885500022436430</v>
      </c>
      <c r="B801" t="s">
        <v>38</v>
      </c>
      <c r="C801" t="s">
        <v>413</v>
      </c>
      <c r="D801" s="17">
        <v>44926</v>
      </c>
      <c r="E801" t="s">
        <v>26</v>
      </c>
      <c r="F801" t="s">
        <v>41</v>
      </c>
      <c r="G801">
        <v>70069188</v>
      </c>
      <c r="H801">
        <v>5500022436</v>
      </c>
      <c r="I801">
        <v>430</v>
      </c>
      <c r="J801" s="7">
        <v>1</v>
      </c>
      <c r="K801" s="7" t="str">
        <f>IFERROR(VLOOKUP(Detalle_OC[[#This Row],[Centro]]&amp;Detalle_OC[[#This Row],[Nro Almacen]],Almacen!A:D,4,FALSE),"")</f>
        <v>Montelima</v>
      </c>
    </row>
    <row r="802" spans="1:11" x14ac:dyDescent="0.35">
      <c r="A802" s="7" t="str">
        <f>Detalle_OC[[#This Row],[Centro]]&amp;Detalle_OC[[#This Row],[Nom Almacen]]&amp;Detalle_OC[[#This Row],[Material]]&amp;Detalle_OC[[#This Row],[Pedido]]&amp;Detalle_OC[[#This Row],[Posicion]]</f>
        <v>Sucroalcolera del Chira PlantaMontelima70070567451145325710</v>
      </c>
      <c r="B802" t="s">
        <v>124</v>
      </c>
      <c r="C802" t="s">
        <v>447</v>
      </c>
      <c r="D802" s="17">
        <v>44986</v>
      </c>
      <c r="E802" t="s">
        <v>26</v>
      </c>
      <c r="F802" t="s">
        <v>41</v>
      </c>
      <c r="G802">
        <v>70070567</v>
      </c>
      <c r="H802">
        <v>4511453257</v>
      </c>
      <c r="I802">
        <v>10</v>
      </c>
      <c r="J802" s="7">
        <v>1</v>
      </c>
      <c r="K802" s="7" t="str">
        <f>IFERROR(VLOOKUP(Detalle_OC[[#This Row],[Centro]]&amp;Detalle_OC[[#This Row],[Nro Almacen]],Almacen!A:D,4,FALSE),"")</f>
        <v>Montelima</v>
      </c>
    </row>
    <row r="803" spans="1:11" x14ac:dyDescent="0.35">
      <c r="A803" s="7" t="str">
        <f>Detalle_OC[[#This Row],[Centro]]&amp;Detalle_OC[[#This Row],[Nom Almacen]]&amp;Detalle_OC[[#This Row],[Material]]&amp;Detalle_OC[[#This Row],[Pedido]]&amp;Detalle_OC[[#This Row],[Posicion]]</f>
        <v>Agricola del Chira PlantaAlmacen Lobo700767524511446078120</v>
      </c>
      <c r="B803" t="s">
        <v>116</v>
      </c>
      <c r="C803" t="s">
        <v>409</v>
      </c>
      <c r="D803" s="17">
        <v>44995</v>
      </c>
      <c r="E803" t="s">
        <v>26</v>
      </c>
      <c r="F803" t="s">
        <v>27</v>
      </c>
      <c r="G803">
        <v>70076752</v>
      </c>
      <c r="H803">
        <v>4511446078</v>
      </c>
      <c r="I803">
        <v>120</v>
      </c>
      <c r="J803" s="7">
        <v>7</v>
      </c>
      <c r="K803" s="7" t="str">
        <f>IFERROR(VLOOKUP(Detalle_OC[[#This Row],[Centro]]&amp;Detalle_OC[[#This Row],[Nro Almacen]],Almacen!A:D,4,FALSE),"")</f>
        <v>Almacen Lobo</v>
      </c>
    </row>
    <row r="804" spans="1:11" x14ac:dyDescent="0.35">
      <c r="A804" s="7" t="str">
        <f>Detalle_OC[[#This Row],[Centro]]&amp;Detalle_OC[[#This Row],[Nom Almacen]]&amp;Detalle_OC[[#This Row],[Material]]&amp;Detalle_OC[[#This Row],[Pedido]]&amp;Detalle_OC[[#This Row],[Posicion]]</f>
        <v>Agricola del Chira PlantaLa Huaca70079849451144758410</v>
      </c>
      <c r="B804" t="s">
        <v>49</v>
      </c>
      <c r="C804" t="s">
        <v>452</v>
      </c>
      <c r="D804" s="17">
        <v>44995</v>
      </c>
      <c r="E804" t="s">
        <v>26</v>
      </c>
      <c r="F804" t="s">
        <v>27</v>
      </c>
      <c r="G804">
        <v>70079849</v>
      </c>
      <c r="H804">
        <v>4511447584</v>
      </c>
      <c r="I804">
        <v>10</v>
      </c>
      <c r="J804" s="7">
        <v>2</v>
      </c>
      <c r="K804" s="7" t="str">
        <f>IFERROR(VLOOKUP(Detalle_OC[[#This Row],[Centro]]&amp;Detalle_OC[[#This Row],[Nro Almacen]],Almacen!A:D,4,FALSE),"")</f>
        <v>La Huaca</v>
      </c>
    </row>
    <row r="805" spans="1:11" x14ac:dyDescent="0.35">
      <c r="A805" s="7" t="str">
        <f>Detalle_OC[[#This Row],[Centro]]&amp;Detalle_OC[[#This Row],[Nom Almacen]]&amp;Detalle_OC[[#This Row],[Material]]&amp;Detalle_OC[[#This Row],[Pedido]]&amp;Detalle_OC[[#This Row],[Posicion]]</f>
        <v>Sucroalcolera del Chira PlantaMontelima70084356451145581250</v>
      </c>
      <c r="B805" t="s">
        <v>123</v>
      </c>
      <c r="C805" t="s">
        <v>417</v>
      </c>
      <c r="D805" s="17">
        <v>45005</v>
      </c>
      <c r="E805" t="s">
        <v>26</v>
      </c>
      <c r="F805" t="s">
        <v>41</v>
      </c>
      <c r="G805">
        <v>70084356</v>
      </c>
      <c r="H805">
        <v>4511455812</v>
      </c>
      <c r="I805">
        <v>50</v>
      </c>
      <c r="J805" s="7">
        <v>1</v>
      </c>
      <c r="K805" s="7" t="str">
        <f>IFERROR(VLOOKUP(Detalle_OC[[#This Row],[Centro]]&amp;Detalle_OC[[#This Row],[Nro Almacen]],Almacen!A:D,4,FALSE),"")</f>
        <v>Montelima</v>
      </c>
    </row>
    <row r="806" spans="1:11" x14ac:dyDescent="0.35">
      <c r="A806" s="7" t="str">
        <f>Detalle_OC[[#This Row],[Centro]]&amp;Detalle_OC[[#This Row],[Nom Almacen]]&amp;Detalle_OC[[#This Row],[Material]]&amp;Detalle_OC[[#This Row],[Pedido]]&amp;Detalle_OC[[#This Row],[Posicion]]</f>
        <v>Sucroalcolera del Chira PlantaMontelima70084359451145581280</v>
      </c>
      <c r="B806" t="s">
        <v>123</v>
      </c>
      <c r="C806" t="s">
        <v>417</v>
      </c>
      <c r="D806" s="17">
        <v>45005</v>
      </c>
      <c r="E806" t="s">
        <v>26</v>
      </c>
      <c r="F806" t="s">
        <v>41</v>
      </c>
      <c r="G806">
        <v>70084359</v>
      </c>
      <c r="H806">
        <v>4511455812</v>
      </c>
      <c r="I806">
        <v>80</v>
      </c>
      <c r="J806" s="7">
        <v>1</v>
      </c>
      <c r="K806" s="7" t="str">
        <f>IFERROR(VLOOKUP(Detalle_OC[[#This Row],[Centro]]&amp;Detalle_OC[[#This Row],[Nro Almacen]],Almacen!A:D,4,FALSE),"")</f>
        <v>Montelima</v>
      </c>
    </row>
    <row r="807" spans="1:11" x14ac:dyDescent="0.35">
      <c r="A807" s="7" t="str">
        <f>Detalle_OC[[#This Row],[Centro]]&amp;Detalle_OC[[#This Row],[Nom Almacen]]&amp;Detalle_OC[[#This Row],[Material]]&amp;Detalle_OC[[#This Row],[Pedido]]&amp;Detalle_OC[[#This Row],[Posicion]]</f>
        <v>Sucroalcolera del Chira PlantaMontelima70084360451145581270</v>
      </c>
      <c r="B807" t="s">
        <v>123</v>
      </c>
      <c r="C807" t="s">
        <v>417</v>
      </c>
      <c r="D807" s="17">
        <v>45005</v>
      </c>
      <c r="E807" t="s">
        <v>26</v>
      </c>
      <c r="F807" t="s">
        <v>41</v>
      </c>
      <c r="G807">
        <v>70084360</v>
      </c>
      <c r="H807">
        <v>4511455812</v>
      </c>
      <c r="I807">
        <v>70</v>
      </c>
      <c r="J807" s="7">
        <v>1</v>
      </c>
      <c r="K807" s="7" t="str">
        <f>IFERROR(VLOOKUP(Detalle_OC[[#This Row],[Centro]]&amp;Detalle_OC[[#This Row],[Nro Almacen]],Almacen!A:D,4,FALSE),"")</f>
        <v>Montelima</v>
      </c>
    </row>
    <row r="808" spans="1:11" x14ac:dyDescent="0.35">
      <c r="A808" s="7" t="str">
        <f>Detalle_OC[[#This Row],[Centro]]&amp;Detalle_OC[[#This Row],[Nom Almacen]]&amp;Detalle_OC[[#This Row],[Material]]&amp;Detalle_OC[[#This Row],[Pedido]]&amp;Detalle_OC[[#This Row],[Posicion]]</f>
        <v>Bioenergía del Chira PlantaMontelima70084360451145581510</v>
      </c>
      <c r="B808" t="s">
        <v>161</v>
      </c>
      <c r="C808" t="s">
        <v>417</v>
      </c>
      <c r="D808" s="17">
        <v>45000</v>
      </c>
      <c r="E808" t="s">
        <v>26</v>
      </c>
      <c r="F808" t="s">
        <v>57</v>
      </c>
      <c r="G808">
        <v>70084360</v>
      </c>
      <c r="H808">
        <v>4511455815</v>
      </c>
      <c r="I808">
        <v>10</v>
      </c>
      <c r="J808" s="7">
        <v>1</v>
      </c>
      <c r="K808" s="7" t="str">
        <f>IFERROR(VLOOKUP(Detalle_OC[[#This Row],[Centro]]&amp;Detalle_OC[[#This Row],[Nro Almacen]],Almacen!A:D,4,FALSE),"")</f>
        <v>Montelima</v>
      </c>
    </row>
    <row r="809" spans="1:11" x14ac:dyDescent="0.35">
      <c r="A809" s="7" t="str">
        <f>Detalle_OC[[#This Row],[Centro]]&amp;Detalle_OC[[#This Row],[Nom Almacen]]&amp;Detalle_OC[[#This Row],[Material]]&amp;Detalle_OC[[#This Row],[Pedido]]&amp;Detalle_OC[[#This Row],[Posicion]]</f>
        <v>Sucroalcolera del Chira PlantaMontelima70084363451145581240</v>
      </c>
      <c r="B809" t="s">
        <v>123</v>
      </c>
      <c r="C809" t="s">
        <v>417</v>
      </c>
      <c r="D809" s="17">
        <v>45005</v>
      </c>
      <c r="E809" t="s">
        <v>26</v>
      </c>
      <c r="F809" t="s">
        <v>41</v>
      </c>
      <c r="G809">
        <v>70084363</v>
      </c>
      <c r="H809">
        <v>4511455812</v>
      </c>
      <c r="I809">
        <v>40</v>
      </c>
      <c r="J809" s="7">
        <v>1</v>
      </c>
      <c r="K809" s="7" t="str">
        <f>IFERROR(VLOOKUP(Detalle_OC[[#This Row],[Centro]]&amp;Detalle_OC[[#This Row],[Nro Almacen]],Almacen!A:D,4,FALSE),"")</f>
        <v>Montelima</v>
      </c>
    </row>
    <row r="810" spans="1:11" x14ac:dyDescent="0.35">
      <c r="A810" s="7" t="str">
        <f>Detalle_OC[[#This Row],[Centro]]&amp;Detalle_OC[[#This Row],[Nom Almacen]]&amp;Detalle_OC[[#This Row],[Material]]&amp;Detalle_OC[[#This Row],[Pedido]]&amp;Detalle_OC[[#This Row],[Posicion]]</f>
        <v>Sucroalcolera del Chira PlantaMontelima70084367451145581210</v>
      </c>
      <c r="B810" t="s">
        <v>132</v>
      </c>
      <c r="C810" t="s">
        <v>417</v>
      </c>
      <c r="D810" s="17">
        <v>45005</v>
      </c>
      <c r="E810" t="s">
        <v>26</v>
      </c>
      <c r="F810" t="s">
        <v>41</v>
      </c>
      <c r="G810">
        <v>70084367</v>
      </c>
      <c r="H810">
        <v>4511455812</v>
      </c>
      <c r="I810">
        <v>10</v>
      </c>
      <c r="J810" s="7">
        <v>1</v>
      </c>
      <c r="K810" s="7" t="str">
        <f>IFERROR(VLOOKUP(Detalle_OC[[#This Row],[Centro]]&amp;Detalle_OC[[#This Row],[Nro Almacen]],Almacen!A:D,4,FALSE),"")</f>
        <v>Montelima</v>
      </c>
    </row>
    <row r="811" spans="1:11" x14ac:dyDescent="0.35">
      <c r="A811" s="7" t="str">
        <f>Detalle_OC[[#This Row],[Centro]]&amp;Detalle_OC[[#This Row],[Nom Almacen]]&amp;Detalle_OC[[#This Row],[Material]]&amp;Detalle_OC[[#This Row],[Pedido]]&amp;Detalle_OC[[#This Row],[Posicion]]</f>
        <v>Sucroalcolera del Chira PlantaMontelima70084371451145364410</v>
      </c>
      <c r="B811" t="s">
        <v>123</v>
      </c>
      <c r="C811" t="s">
        <v>417</v>
      </c>
      <c r="D811" s="17">
        <v>45005</v>
      </c>
      <c r="E811" t="s">
        <v>26</v>
      </c>
      <c r="F811" t="s">
        <v>41</v>
      </c>
      <c r="G811">
        <v>70084371</v>
      </c>
      <c r="H811">
        <v>4511453644</v>
      </c>
      <c r="I811">
        <v>10</v>
      </c>
      <c r="J811" s="7">
        <v>1</v>
      </c>
      <c r="K811" s="7" t="str">
        <f>IFERROR(VLOOKUP(Detalle_OC[[#This Row],[Centro]]&amp;Detalle_OC[[#This Row],[Nro Almacen]],Almacen!A:D,4,FALSE),"")</f>
        <v>Montelima</v>
      </c>
    </row>
    <row r="812" spans="1:11" x14ac:dyDescent="0.35">
      <c r="A812" s="7" t="str">
        <f>Detalle_OC[[#This Row],[Centro]]&amp;Detalle_OC[[#This Row],[Nom Almacen]]&amp;Detalle_OC[[#This Row],[Material]]&amp;Detalle_OC[[#This Row],[Pedido]]&amp;Detalle_OC[[#This Row],[Posicion]]</f>
        <v>Agricola del Chira PlantaMontelima70100392550002409310</v>
      </c>
      <c r="B812" t="s">
        <v>38</v>
      </c>
      <c r="C812" t="s">
        <v>453</v>
      </c>
      <c r="D812" s="17">
        <v>44860</v>
      </c>
      <c r="E812" t="s">
        <v>26</v>
      </c>
      <c r="F812" t="s">
        <v>27</v>
      </c>
      <c r="G812">
        <v>70100392</v>
      </c>
      <c r="H812">
        <v>5500024093</v>
      </c>
      <c r="I812">
        <v>10</v>
      </c>
      <c r="J812" s="7">
        <v>1</v>
      </c>
      <c r="K812" s="7" t="str">
        <f>IFERROR(VLOOKUP(Detalle_OC[[#This Row],[Centro]]&amp;Detalle_OC[[#This Row],[Nro Almacen]],Almacen!A:D,4,FALSE),"")</f>
        <v>Montelima</v>
      </c>
    </row>
    <row r="813" spans="1:11" x14ac:dyDescent="0.35">
      <c r="A813" s="7" t="str">
        <f>Detalle_OC[[#This Row],[Centro]]&amp;Detalle_OC[[#This Row],[Nom Almacen]]&amp;Detalle_OC[[#This Row],[Material]]&amp;Detalle_OC[[#This Row],[Pedido]]&amp;Detalle_OC[[#This Row],[Posicion]]</f>
        <v>Agricola del Chira PlantaMontelima70100392550002409310</v>
      </c>
      <c r="B813" t="s">
        <v>38</v>
      </c>
      <c r="C813" t="s">
        <v>453</v>
      </c>
      <c r="D813" s="17">
        <v>44860</v>
      </c>
      <c r="E813" t="s">
        <v>26</v>
      </c>
      <c r="F813" t="s">
        <v>27</v>
      </c>
      <c r="G813">
        <v>70100392</v>
      </c>
      <c r="H813">
        <v>5500024093</v>
      </c>
      <c r="I813">
        <v>10</v>
      </c>
      <c r="J813" s="7">
        <v>1</v>
      </c>
      <c r="K813" s="7" t="str">
        <f>IFERROR(VLOOKUP(Detalle_OC[[#This Row],[Centro]]&amp;Detalle_OC[[#This Row],[Nro Almacen]],Almacen!A:D,4,FALSE),"")</f>
        <v>Montelima</v>
      </c>
    </row>
    <row r="814" spans="1:11" x14ac:dyDescent="0.35">
      <c r="A814" s="7" t="str">
        <f>Detalle_OC[[#This Row],[Centro]]&amp;Detalle_OC[[#This Row],[Nom Almacen]]&amp;Detalle_OC[[#This Row],[Material]]&amp;Detalle_OC[[#This Row],[Pedido]]&amp;Detalle_OC[[#This Row],[Posicion]]</f>
        <v>Agricola del Chira PlantaMontelima70100392550002409310</v>
      </c>
      <c r="B814" t="s">
        <v>38</v>
      </c>
      <c r="C814" t="s">
        <v>453</v>
      </c>
      <c r="D814" s="17">
        <v>44887</v>
      </c>
      <c r="E814" t="s">
        <v>26</v>
      </c>
      <c r="F814" t="s">
        <v>27</v>
      </c>
      <c r="G814">
        <v>70100392</v>
      </c>
      <c r="H814">
        <v>5500024093</v>
      </c>
      <c r="I814">
        <v>10</v>
      </c>
      <c r="J814" s="7">
        <v>1</v>
      </c>
      <c r="K814" s="7" t="str">
        <f>IFERROR(VLOOKUP(Detalle_OC[[#This Row],[Centro]]&amp;Detalle_OC[[#This Row],[Nro Almacen]],Almacen!A:D,4,FALSE),"")</f>
        <v>Montelima</v>
      </c>
    </row>
    <row r="815" spans="1:11" x14ac:dyDescent="0.35">
      <c r="A815" s="7" t="str">
        <f>Detalle_OC[[#This Row],[Centro]]&amp;Detalle_OC[[#This Row],[Nom Almacen]]&amp;Detalle_OC[[#This Row],[Material]]&amp;Detalle_OC[[#This Row],[Pedido]]&amp;Detalle_OC[[#This Row],[Posicion]]</f>
        <v>Agricola del Chira PlantaMontelima70100392550002409310</v>
      </c>
      <c r="B815" t="s">
        <v>38</v>
      </c>
      <c r="C815" t="s">
        <v>453</v>
      </c>
      <c r="D815" s="17">
        <v>44887</v>
      </c>
      <c r="E815" t="s">
        <v>26</v>
      </c>
      <c r="F815" t="s">
        <v>27</v>
      </c>
      <c r="G815">
        <v>70100392</v>
      </c>
      <c r="H815">
        <v>5500024093</v>
      </c>
      <c r="I815">
        <v>10</v>
      </c>
      <c r="J815" s="7">
        <v>1</v>
      </c>
      <c r="K815" s="7" t="str">
        <f>IFERROR(VLOOKUP(Detalle_OC[[#This Row],[Centro]]&amp;Detalle_OC[[#This Row],[Nro Almacen]],Almacen!A:D,4,FALSE),"")</f>
        <v>Montelima</v>
      </c>
    </row>
    <row r="816" spans="1:11" x14ac:dyDescent="0.35">
      <c r="A816" s="7" t="str">
        <f>Detalle_OC[[#This Row],[Centro]]&amp;Detalle_OC[[#This Row],[Nom Almacen]]&amp;Detalle_OC[[#This Row],[Material]]&amp;Detalle_OC[[#This Row],[Pedido]]&amp;Detalle_OC[[#This Row],[Posicion]]</f>
        <v>Agricola del Chira PlantaMontelima70100392550002409310</v>
      </c>
      <c r="B816" t="s">
        <v>38</v>
      </c>
      <c r="C816" t="s">
        <v>453</v>
      </c>
      <c r="D816" s="17">
        <v>44993</v>
      </c>
      <c r="E816" t="s">
        <v>26</v>
      </c>
      <c r="F816" t="s">
        <v>27</v>
      </c>
      <c r="G816">
        <v>70100392</v>
      </c>
      <c r="H816">
        <v>5500024093</v>
      </c>
      <c r="I816">
        <v>10</v>
      </c>
      <c r="J816" s="7">
        <v>1</v>
      </c>
      <c r="K816" s="7" t="str">
        <f>IFERROR(VLOOKUP(Detalle_OC[[#This Row],[Centro]]&amp;Detalle_OC[[#This Row],[Nro Almacen]],Almacen!A:D,4,FALSE),"")</f>
        <v>Montelima</v>
      </c>
    </row>
    <row r="817" spans="1:11" x14ac:dyDescent="0.35">
      <c r="A817" s="7" t="str">
        <f>Detalle_OC[[#This Row],[Centro]]&amp;Detalle_OC[[#This Row],[Nom Almacen]]&amp;Detalle_OC[[#This Row],[Material]]&amp;Detalle_OC[[#This Row],[Pedido]]&amp;Detalle_OC[[#This Row],[Posicion]]</f>
        <v>Agricola del Chira PlantaLa Huaca70100392550002409320</v>
      </c>
      <c r="B817" t="s">
        <v>38</v>
      </c>
      <c r="C817" t="s">
        <v>453</v>
      </c>
      <c r="D817" s="17">
        <v>44692</v>
      </c>
      <c r="E817" t="s">
        <v>26</v>
      </c>
      <c r="F817" t="s">
        <v>27</v>
      </c>
      <c r="G817">
        <v>70100392</v>
      </c>
      <c r="H817">
        <v>5500024093</v>
      </c>
      <c r="I817">
        <v>20</v>
      </c>
      <c r="J817" s="7">
        <v>2</v>
      </c>
      <c r="K817" s="7" t="str">
        <f>IFERROR(VLOOKUP(Detalle_OC[[#This Row],[Centro]]&amp;Detalle_OC[[#This Row],[Nro Almacen]],Almacen!A:D,4,FALSE),"")</f>
        <v>La Huaca</v>
      </c>
    </row>
    <row r="818" spans="1:11" x14ac:dyDescent="0.35">
      <c r="A818" s="7" t="str">
        <f>Detalle_OC[[#This Row],[Centro]]&amp;Detalle_OC[[#This Row],[Nom Almacen]]&amp;Detalle_OC[[#This Row],[Material]]&amp;Detalle_OC[[#This Row],[Pedido]]&amp;Detalle_OC[[#This Row],[Posicion]]</f>
        <v>Agricola del Chira PlantaLa Huaca70100392550002409320</v>
      </c>
      <c r="B818" t="s">
        <v>38</v>
      </c>
      <c r="C818" t="s">
        <v>453</v>
      </c>
      <c r="D818" s="17">
        <v>44785</v>
      </c>
      <c r="E818" t="s">
        <v>26</v>
      </c>
      <c r="F818" t="s">
        <v>27</v>
      </c>
      <c r="G818">
        <v>70100392</v>
      </c>
      <c r="H818">
        <v>5500024093</v>
      </c>
      <c r="I818">
        <v>20</v>
      </c>
      <c r="J818" s="7">
        <v>2</v>
      </c>
      <c r="K818" s="7" t="str">
        <f>IFERROR(VLOOKUP(Detalle_OC[[#This Row],[Centro]]&amp;Detalle_OC[[#This Row],[Nro Almacen]],Almacen!A:D,4,FALSE),"")</f>
        <v>La Huaca</v>
      </c>
    </row>
    <row r="819" spans="1:11" x14ac:dyDescent="0.35">
      <c r="A819" s="7" t="str">
        <f>Detalle_OC[[#This Row],[Centro]]&amp;Detalle_OC[[#This Row],[Nom Almacen]]&amp;Detalle_OC[[#This Row],[Material]]&amp;Detalle_OC[[#This Row],[Pedido]]&amp;Detalle_OC[[#This Row],[Posicion]]</f>
        <v>Agricola del Chira PlantaLa Huaca70100392550002409320</v>
      </c>
      <c r="B819" t="s">
        <v>38</v>
      </c>
      <c r="C819" t="s">
        <v>453</v>
      </c>
      <c r="D819" s="17">
        <v>44862</v>
      </c>
      <c r="E819" t="s">
        <v>26</v>
      </c>
      <c r="F819" t="s">
        <v>27</v>
      </c>
      <c r="G819">
        <v>70100392</v>
      </c>
      <c r="H819">
        <v>5500024093</v>
      </c>
      <c r="I819">
        <v>20</v>
      </c>
      <c r="J819" s="7">
        <v>2</v>
      </c>
      <c r="K819" s="7" t="str">
        <f>IFERROR(VLOOKUP(Detalle_OC[[#This Row],[Centro]]&amp;Detalle_OC[[#This Row],[Nro Almacen]],Almacen!A:D,4,FALSE),"")</f>
        <v>La Huaca</v>
      </c>
    </row>
    <row r="820" spans="1:11" x14ac:dyDescent="0.35">
      <c r="A820" s="7" t="str">
        <f>Detalle_OC[[#This Row],[Centro]]&amp;Detalle_OC[[#This Row],[Nom Almacen]]&amp;Detalle_OC[[#This Row],[Material]]&amp;Detalle_OC[[#This Row],[Pedido]]&amp;Detalle_OC[[#This Row],[Posicion]]</f>
        <v>Agricola del Chira PlantaLa Huaca70100392550002409320</v>
      </c>
      <c r="B820" t="s">
        <v>38</v>
      </c>
      <c r="C820" t="s">
        <v>453</v>
      </c>
      <c r="D820" s="17">
        <v>44908</v>
      </c>
      <c r="E820" t="s">
        <v>26</v>
      </c>
      <c r="F820" t="s">
        <v>27</v>
      </c>
      <c r="G820">
        <v>70100392</v>
      </c>
      <c r="H820">
        <v>5500024093</v>
      </c>
      <c r="I820">
        <v>20</v>
      </c>
      <c r="J820" s="7">
        <v>2</v>
      </c>
      <c r="K820" s="7" t="str">
        <f>IFERROR(VLOOKUP(Detalle_OC[[#This Row],[Centro]]&amp;Detalle_OC[[#This Row],[Nro Almacen]],Almacen!A:D,4,FALSE),"")</f>
        <v>La Huaca</v>
      </c>
    </row>
    <row r="821" spans="1:11" x14ac:dyDescent="0.35">
      <c r="A821" s="7" t="str">
        <f>Detalle_OC[[#This Row],[Centro]]&amp;Detalle_OC[[#This Row],[Nom Almacen]]&amp;Detalle_OC[[#This Row],[Material]]&amp;Detalle_OC[[#This Row],[Pedido]]&amp;Detalle_OC[[#This Row],[Posicion]]</f>
        <v>Agricola del Chira PlantaLa Huaca70100392550002409320</v>
      </c>
      <c r="B821" t="s">
        <v>38</v>
      </c>
      <c r="C821" t="s">
        <v>453</v>
      </c>
      <c r="D821" s="17">
        <v>44923</v>
      </c>
      <c r="E821" t="s">
        <v>26</v>
      </c>
      <c r="F821" t="s">
        <v>27</v>
      </c>
      <c r="G821">
        <v>70100392</v>
      </c>
      <c r="H821">
        <v>5500024093</v>
      </c>
      <c r="I821">
        <v>20</v>
      </c>
      <c r="J821" s="7">
        <v>2</v>
      </c>
      <c r="K821" s="7" t="str">
        <f>IFERROR(VLOOKUP(Detalle_OC[[#This Row],[Centro]]&amp;Detalle_OC[[#This Row],[Nro Almacen]],Almacen!A:D,4,FALSE),"")</f>
        <v>La Huaca</v>
      </c>
    </row>
    <row r="822" spans="1:11" x14ac:dyDescent="0.35">
      <c r="A822" s="7" t="str">
        <f>Detalle_OC[[#This Row],[Centro]]&amp;Detalle_OC[[#This Row],[Nom Almacen]]&amp;Detalle_OC[[#This Row],[Material]]&amp;Detalle_OC[[#This Row],[Pedido]]&amp;Detalle_OC[[#This Row],[Posicion]]</f>
        <v>Agricola del Chira PlantaLa Huaca70100392550002409320</v>
      </c>
      <c r="B822" t="s">
        <v>38</v>
      </c>
      <c r="C822" t="s">
        <v>453</v>
      </c>
      <c r="D822" s="17">
        <v>44567</v>
      </c>
      <c r="E822" t="s">
        <v>26</v>
      </c>
      <c r="F822" t="s">
        <v>27</v>
      </c>
      <c r="G822">
        <v>70100392</v>
      </c>
      <c r="H822">
        <v>5500024093</v>
      </c>
      <c r="I822">
        <v>20</v>
      </c>
      <c r="J822" s="7">
        <v>2</v>
      </c>
      <c r="K822" s="7" t="str">
        <f>IFERROR(VLOOKUP(Detalle_OC[[#This Row],[Centro]]&amp;Detalle_OC[[#This Row],[Nro Almacen]],Almacen!A:D,4,FALSE),"")</f>
        <v>La Huaca</v>
      </c>
    </row>
    <row r="823" spans="1:11" x14ac:dyDescent="0.35">
      <c r="A823" s="7" t="str">
        <f>Detalle_OC[[#This Row],[Centro]]&amp;Detalle_OC[[#This Row],[Nom Almacen]]&amp;Detalle_OC[[#This Row],[Material]]&amp;Detalle_OC[[#This Row],[Pedido]]&amp;Detalle_OC[[#This Row],[Posicion]]</f>
        <v>Agricola del Chira PlantaLa Huaca70100392550002409320</v>
      </c>
      <c r="B823" t="s">
        <v>38</v>
      </c>
      <c r="C823" t="s">
        <v>453</v>
      </c>
      <c r="D823" s="17">
        <v>44932</v>
      </c>
      <c r="E823" t="s">
        <v>26</v>
      </c>
      <c r="F823" t="s">
        <v>27</v>
      </c>
      <c r="G823">
        <v>70100392</v>
      </c>
      <c r="H823">
        <v>5500024093</v>
      </c>
      <c r="I823">
        <v>20</v>
      </c>
      <c r="J823" s="7">
        <v>2</v>
      </c>
      <c r="K823" s="7" t="str">
        <f>IFERROR(VLOOKUP(Detalle_OC[[#This Row],[Centro]]&amp;Detalle_OC[[#This Row],[Nro Almacen]],Almacen!A:D,4,FALSE),"")</f>
        <v>La Huaca</v>
      </c>
    </row>
    <row r="824" spans="1:11" x14ac:dyDescent="0.35">
      <c r="A824" s="7" t="str">
        <f>Detalle_OC[[#This Row],[Centro]]&amp;Detalle_OC[[#This Row],[Nom Almacen]]&amp;Detalle_OC[[#This Row],[Material]]&amp;Detalle_OC[[#This Row],[Pedido]]&amp;Detalle_OC[[#This Row],[Posicion]]</f>
        <v>Agricola del Chira PlantaLa Huaca70100392550002409320</v>
      </c>
      <c r="B824" t="s">
        <v>38</v>
      </c>
      <c r="C824" t="s">
        <v>453</v>
      </c>
      <c r="D824" s="17">
        <v>44937</v>
      </c>
      <c r="E824" t="s">
        <v>26</v>
      </c>
      <c r="F824" t="s">
        <v>27</v>
      </c>
      <c r="G824">
        <v>70100392</v>
      </c>
      <c r="H824">
        <v>5500024093</v>
      </c>
      <c r="I824">
        <v>20</v>
      </c>
      <c r="J824" s="7">
        <v>2</v>
      </c>
      <c r="K824" s="7" t="str">
        <f>IFERROR(VLOOKUP(Detalle_OC[[#This Row],[Centro]]&amp;Detalle_OC[[#This Row],[Nro Almacen]],Almacen!A:D,4,FALSE),"")</f>
        <v>La Huaca</v>
      </c>
    </row>
    <row r="825" spans="1:11" x14ac:dyDescent="0.35">
      <c r="A825" s="7" t="str">
        <f>Detalle_OC[[#This Row],[Centro]]&amp;Detalle_OC[[#This Row],[Nom Almacen]]&amp;Detalle_OC[[#This Row],[Material]]&amp;Detalle_OC[[#This Row],[Pedido]]&amp;Detalle_OC[[#This Row],[Posicion]]</f>
        <v>Agricola del Chira PlantaLa Huaca70100392550002409320</v>
      </c>
      <c r="B825" t="s">
        <v>38</v>
      </c>
      <c r="C825" t="s">
        <v>453</v>
      </c>
      <c r="D825" s="17">
        <v>44943</v>
      </c>
      <c r="E825" t="s">
        <v>26</v>
      </c>
      <c r="F825" t="s">
        <v>27</v>
      </c>
      <c r="G825">
        <v>70100392</v>
      </c>
      <c r="H825">
        <v>5500024093</v>
      </c>
      <c r="I825">
        <v>20</v>
      </c>
      <c r="J825" s="7">
        <v>2</v>
      </c>
      <c r="K825" s="7" t="str">
        <f>IFERROR(VLOOKUP(Detalle_OC[[#This Row],[Centro]]&amp;Detalle_OC[[#This Row],[Nro Almacen]],Almacen!A:D,4,FALSE),"")</f>
        <v>La Huaca</v>
      </c>
    </row>
    <row r="826" spans="1:11" x14ac:dyDescent="0.35">
      <c r="A826" s="7" t="str">
        <f>Detalle_OC[[#This Row],[Centro]]&amp;Detalle_OC[[#This Row],[Nom Almacen]]&amp;Detalle_OC[[#This Row],[Material]]&amp;Detalle_OC[[#This Row],[Pedido]]&amp;Detalle_OC[[#This Row],[Posicion]]</f>
        <v>Agricola del Chira PlantaLa Huaca70100392550002409320</v>
      </c>
      <c r="B826" t="s">
        <v>38</v>
      </c>
      <c r="C826" t="s">
        <v>453</v>
      </c>
      <c r="D826" s="17">
        <v>44957</v>
      </c>
      <c r="E826" t="s">
        <v>26</v>
      </c>
      <c r="F826" t="s">
        <v>27</v>
      </c>
      <c r="G826">
        <v>70100392</v>
      </c>
      <c r="H826">
        <v>5500024093</v>
      </c>
      <c r="I826">
        <v>20</v>
      </c>
      <c r="J826" s="7">
        <v>2</v>
      </c>
      <c r="K826" s="7" t="str">
        <f>IFERROR(VLOOKUP(Detalle_OC[[#This Row],[Centro]]&amp;Detalle_OC[[#This Row],[Nro Almacen]],Almacen!A:D,4,FALSE),"")</f>
        <v>La Huaca</v>
      </c>
    </row>
    <row r="827" spans="1:11" x14ac:dyDescent="0.35">
      <c r="A827" s="7" t="str">
        <f>Detalle_OC[[#This Row],[Centro]]&amp;Detalle_OC[[#This Row],[Nom Almacen]]&amp;Detalle_OC[[#This Row],[Material]]&amp;Detalle_OC[[#This Row],[Pedido]]&amp;Detalle_OC[[#This Row],[Posicion]]</f>
        <v>Agricola del Chira PlantaLa Huaca70100392550002409320</v>
      </c>
      <c r="B827" t="s">
        <v>38</v>
      </c>
      <c r="C827" t="s">
        <v>453</v>
      </c>
      <c r="D827" s="17">
        <v>44960</v>
      </c>
      <c r="E827" t="s">
        <v>26</v>
      </c>
      <c r="F827" t="s">
        <v>27</v>
      </c>
      <c r="G827">
        <v>70100392</v>
      </c>
      <c r="H827">
        <v>5500024093</v>
      </c>
      <c r="I827">
        <v>20</v>
      </c>
      <c r="J827" s="7">
        <v>2</v>
      </c>
      <c r="K827" s="7" t="str">
        <f>IFERROR(VLOOKUP(Detalle_OC[[#This Row],[Centro]]&amp;Detalle_OC[[#This Row],[Nro Almacen]],Almacen!A:D,4,FALSE),"")</f>
        <v>La Huaca</v>
      </c>
    </row>
    <row r="828" spans="1:11" x14ac:dyDescent="0.35">
      <c r="A828" s="7" t="str">
        <f>Detalle_OC[[#This Row],[Centro]]&amp;Detalle_OC[[#This Row],[Nom Almacen]]&amp;Detalle_OC[[#This Row],[Material]]&amp;Detalle_OC[[#This Row],[Pedido]]&amp;Detalle_OC[[#This Row],[Posicion]]</f>
        <v>Agricola del Chira PlantaLa Huaca70100392550002409320</v>
      </c>
      <c r="B828" t="s">
        <v>38</v>
      </c>
      <c r="C828" t="s">
        <v>453</v>
      </c>
      <c r="D828" s="17">
        <v>44964</v>
      </c>
      <c r="E828" t="s">
        <v>26</v>
      </c>
      <c r="F828" t="s">
        <v>27</v>
      </c>
      <c r="G828">
        <v>70100392</v>
      </c>
      <c r="H828">
        <v>5500024093</v>
      </c>
      <c r="I828">
        <v>20</v>
      </c>
      <c r="J828" s="7">
        <v>2</v>
      </c>
      <c r="K828" s="7" t="str">
        <f>IFERROR(VLOOKUP(Detalle_OC[[#This Row],[Centro]]&amp;Detalle_OC[[#This Row],[Nro Almacen]],Almacen!A:D,4,FALSE),"")</f>
        <v>La Huaca</v>
      </c>
    </row>
    <row r="829" spans="1:11" x14ac:dyDescent="0.35">
      <c r="A829" s="7" t="str">
        <f>Detalle_OC[[#This Row],[Centro]]&amp;Detalle_OC[[#This Row],[Nom Almacen]]&amp;Detalle_OC[[#This Row],[Material]]&amp;Detalle_OC[[#This Row],[Pedido]]&amp;Detalle_OC[[#This Row],[Posicion]]</f>
        <v>Agricola del Chira PlantaLa Huaca70100392550002409320</v>
      </c>
      <c r="B829" t="s">
        <v>38</v>
      </c>
      <c r="C829" t="s">
        <v>453</v>
      </c>
      <c r="D829" s="17">
        <v>44964</v>
      </c>
      <c r="E829" t="s">
        <v>26</v>
      </c>
      <c r="F829" t="s">
        <v>27</v>
      </c>
      <c r="G829">
        <v>70100392</v>
      </c>
      <c r="H829">
        <v>5500024093</v>
      </c>
      <c r="I829">
        <v>20</v>
      </c>
      <c r="J829" s="7">
        <v>2</v>
      </c>
      <c r="K829" s="7" t="str">
        <f>IFERROR(VLOOKUP(Detalle_OC[[#This Row],[Centro]]&amp;Detalle_OC[[#This Row],[Nro Almacen]],Almacen!A:D,4,FALSE),"")</f>
        <v>La Huaca</v>
      </c>
    </row>
    <row r="830" spans="1:11" x14ac:dyDescent="0.35">
      <c r="A830" s="7" t="str">
        <f>Detalle_OC[[#This Row],[Centro]]&amp;Detalle_OC[[#This Row],[Nom Almacen]]&amp;Detalle_OC[[#This Row],[Material]]&amp;Detalle_OC[[#This Row],[Pedido]]&amp;Detalle_OC[[#This Row],[Posicion]]</f>
        <v>Agricola del Chira PlantaLa Huaca70100392550002409320</v>
      </c>
      <c r="B830" t="s">
        <v>38</v>
      </c>
      <c r="C830" t="s">
        <v>453</v>
      </c>
      <c r="D830" s="17">
        <v>44968</v>
      </c>
      <c r="E830" t="s">
        <v>26</v>
      </c>
      <c r="F830" t="s">
        <v>27</v>
      </c>
      <c r="G830">
        <v>70100392</v>
      </c>
      <c r="H830">
        <v>5500024093</v>
      </c>
      <c r="I830">
        <v>20</v>
      </c>
      <c r="J830" s="7">
        <v>2</v>
      </c>
      <c r="K830" s="7" t="str">
        <f>IFERROR(VLOOKUP(Detalle_OC[[#This Row],[Centro]]&amp;Detalle_OC[[#This Row],[Nro Almacen]],Almacen!A:D,4,FALSE),"")</f>
        <v>La Huaca</v>
      </c>
    </row>
    <row r="831" spans="1:11" x14ac:dyDescent="0.35">
      <c r="A831" s="7" t="str">
        <f>Detalle_OC[[#This Row],[Centro]]&amp;Detalle_OC[[#This Row],[Nom Almacen]]&amp;Detalle_OC[[#This Row],[Material]]&amp;Detalle_OC[[#This Row],[Pedido]]&amp;Detalle_OC[[#This Row],[Posicion]]</f>
        <v>Agricola del Chira PlantaLa Huaca70100392550002409320</v>
      </c>
      <c r="B831" t="s">
        <v>38</v>
      </c>
      <c r="C831" t="s">
        <v>453</v>
      </c>
      <c r="D831" s="17">
        <v>44973</v>
      </c>
      <c r="E831" t="s">
        <v>26</v>
      </c>
      <c r="F831" t="s">
        <v>27</v>
      </c>
      <c r="G831">
        <v>70100392</v>
      </c>
      <c r="H831">
        <v>5500024093</v>
      </c>
      <c r="I831">
        <v>20</v>
      </c>
      <c r="J831" s="7">
        <v>2</v>
      </c>
      <c r="K831" s="7" t="str">
        <f>IFERROR(VLOOKUP(Detalle_OC[[#This Row],[Centro]]&amp;Detalle_OC[[#This Row],[Nro Almacen]],Almacen!A:D,4,FALSE),"")</f>
        <v>La Huaca</v>
      </c>
    </row>
    <row r="832" spans="1:11" x14ac:dyDescent="0.35">
      <c r="A832" s="7" t="str">
        <f>Detalle_OC[[#This Row],[Centro]]&amp;Detalle_OC[[#This Row],[Nom Almacen]]&amp;Detalle_OC[[#This Row],[Material]]&amp;Detalle_OC[[#This Row],[Pedido]]&amp;Detalle_OC[[#This Row],[Posicion]]</f>
        <v>Agricola del Chira PlantaLa Huaca70100392550002409320</v>
      </c>
      <c r="B832" t="s">
        <v>38</v>
      </c>
      <c r="C832" t="s">
        <v>453</v>
      </c>
      <c r="D832" s="17">
        <v>44979</v>
      </c>
      <c r="E832" t="s">
        <v>26</v>
      </c>
      <c r="F832" t="s">
        <v>27</v>
      </c>
      <c r="G832">
        <v>70100392</v>
      </c>
      <c r="H832">
        <v>5500024093</v>
      </c>
      <c r="I832">
        <v>20</v>
      </c>
      <c r="J832" s="7">
        <v>2</v>
      </c>
      <c r="K832" s="7" t="str">
        <f>IFERROR(VLOOKUP(Detalle_OC[[#This Row],[Centro]]&amp;Detalle_OC[[#This Row],[Nro Almacen]],Almacen!A:D,4,FALSE),"")</f>
        <v>La Huaca</v>
      </c>
    </row>
    <row r="833" spans="1:11" x14ac:dyDescent="0.35">
      <c r="A833" s="7" t="str">
        <f>Detalle_OC[[#This Row],[Centro]]&amp;Detalle_OC[[#This Row],[Nom Almacen]]&amp;Detalle_OC[[#This Row],[Material]]&amp;Detalle_OC[[#This Row],[Pedido]]&amp;Detalle_OC[[#This Row],[Posicion]]</f>
        <v>Agricola del Chira PlantaLa Huaca70100392550002409320</v>
      </c>
      <c r="B833" t="s">
        <v>38</v>
      </c>
      <c r="C833" t="s">
        <v>453</v>
      </c>
      <c r="D833" s="17">
        <v>44979</v>
      </c>
      <c r="E833" t="s">
        <v>26</v>
      </c>
      <c r="F833" t="s">
        <v>27</v>
      </c>
      <c r="G833">
        <v>70100392</v>
      </c>
      <c r="H833">
        <v>5500024093</v>
      </c>
      <c r="I833">
        <v>20</v>
      </c>
      <c r="J833" s="7">
        <v>2</v>
      </c>
      <c r="K833" s="7" t="str">
        <f>IFERROR(VLOOKUP(Detalle_OC[[#This Row],[Centro]]&amp;Detalle_OC[[#This Row],[Nro Almacen]],Almacen!A:D,4,FALSE),"")</f>
        <v>La Huaca</v>
      </c>
    </row>
    <row r="834" spans="1:11" x14ac:dyDescent="0.35">
      <c r="A834" s="7" t="str">
        <f>Detalle_OC[[#This Row],[Centro]]&amp;Detalle_OC[[#This Row],[Nom Almacen]]&amp;Detalle_OC[[#This Row],[Material]]&amp;Detalle_OC[[#This Row],[Pedido]]&amp;Detalle_OC[[#This Row],[Posicion]]</f>
        <v>Agricola del Chira PlantaLa Huaca70100392550002409320</v>
      </c>
      <c r="B834" t="s">
        <v>38</v>
      </c>
      <c r="C834" t="s">
        <v>453</v>
      </c>
      <c r="D834" s="17">
        <v>44986</v>
      </c>
      <c r="E834" t="s">
        <v>26</v>
      </c>
      <c r="F834" t="s">
        <v>27</v>
      </c>
      <c r="G834">
        <v>70100392</v>
      </c>
      <c r="H834">
        <v>5500024093</v>
      </c>
      <c r="I834">
        <v>20</v>
      </c>
      <c r="J834" s="7">
        <v>2</v>
      </c>
      <c r="K834" s="7" t="str">
        <f>IFERROR(VLOOKUP(Detalle_OC[[#This Row],[Centro]]&amp;Detalle_OC[[#This Row],[Nro Almacen]],Almacen!A:D,4,FALSE),"")</f>
        <v>La Huaca</v>
      </c>
    </row>
    <row r="835" spans="1:11" x14ac:dyDescent="0.35">
      <c r="A835" s="7" t="str">
        <f>Detalle_OC[[#This Row],[Centro]]&amp;Detalle_OC[[#This Row],[Nom Almacen]]&amp;Detalle_OC[[#This Row],[Material]]&amp;Detalle_OC[[#This Row],[Pedido]]&amp;Detalle_OC[[#This Row],[Posicion]]</f>
        <v>Agricola del Chira PlantaLa Huaca70100392550002409320</v>
      </c>
      <c r="B835" t="s">
        <v>38</v>
      </c>
      <c r="C835" t="s">
        <v>453</v>
      </c>
      <c r="D835" s="17">
        <v>44986</v>
      </c>
      <c r="E835" t="s">
        <v>26</v>
      </c>
      <c r="F835" t="s">
        <v>27</v>
      </c>
      <c r="G835">
        <v>70100392</v>
      </c>
      <c r="H835">
        <v>5500024093</v>
      </c>
      <c r="I835">
        <v>20</v>
      </c>
      <c r="J835" s="7">
        <v>2</v>
      </c>
      <c r="K835" s="7" t="str">
        <f>IFERROR(VLOOKUP(Detalle_OC[[#This Row],[Centro]]&amp;Detalle_OC[[#This Row],[Nro Almacen]],Almacen!A:D,4,FALSE),"")</f>
        <v>La Huaca</v>
      </c>
    </row>
    <row r="836" spans="1:11" x14ac:dyDescent="0.35">
      <c r="A836" s="7" t="str">
        <f>Detalle_OC[[#This Row],[Centro]]&amp;Detalle_OC[[#This Row],[Nom Almacen]]&amp;Detalle_OC[[#This Row],[Material]]&amp;Detalle_OC[[#This Row],[Pedido]]&amp;Detalle_OC[[#This Row],[Posicion]]</f>
        <v>Agricola del Chira PlantaSan Vicente70100392550002409330</v>
      </c>
      <c r="B836" t="s">
        <v>38</v>
      </c>
      <c r="C836" t="s">
        <v>453</v>
      </c>
      <c r="D836" s="17">
        <v>44901</v>
      </c>
      <c r="E836" t="s">
        <v>26</v>
      </c>
      <c r="F836" t="s">
        <v>27</v>
      </c>
      <c r="G836">
        <v>70100392</v>
      </c>
      <c r="H836">
        <v>5500024093</v>
      </c>
      <c r="I836">
        <v>30</v>
      </c>
      <c r="J836" s="7">
        <v>3</v>
      </c>
      <c r="K836" s="7" t="str">
        <f>IFERROR(VLOOKUP(Detalle_OC[[#This Row],[Centro]]&amp;Detalle_OC[[#This Row],[Nro Almacen]],Almacen!A:D,4,FALSE),"")</f>
        <v>San Vicente</v>
      </c>
    </row>
    <row r="837" spans="1:11" x14ac:dyDescent="0.35">
      <c r="A837" s="7" t="str">
        <f>Detalle_OC[[#This Row],[Centro]]&amp;Detalle_OC[[#This Row],[Nom Almacen]]&amp;Detalle_OC[[#This Row],[Material]]&amp;Detalle_OC[[#This Row],[Pedido]]&amp;Detalle_OC[[#This Row],[Posicion]]</f>
        <v>Agricola del Chira PlantaSan Vicente70100392550002409330</v>
      </c>
      <c r="B837" t="s">
        <v>38</v>
      </c>
      <c r="C837" t="s">
        <v>453</v>
      </c>
      <c r="D837" s="17">
        <v>44953</v>
      </c>
      <c r="E837" t="s">
        <v>26</v>
      </c>
      <c r="F837" t="s">
        <v>27</v>
      </c>
      <c r="G837">
        <v>70100392</v>
      </c>
      <c r="H837">
        <v>5500024093</v>
      </c>
      <c r="I837">
        <v>30</v>
      </c>
      <c r="J837" s="7">
        <v>3</v>
      </c>
      <c r="K837" s="7" t="str">
        <f>IFERROR(VLOOKUP(Detalle_OC[[#This Row],[Centro]]&amp;Detalle_OC[[#This Row],[Nro Almacen]],Almacen!A:D,4,FALSE),"")</f>
        <v>San Vicente</v>
      </c>
    </row>
    <row r="838" spans="1:11" x14ac:dyDescent="0.35">
      <c r="A838" s="7" t="str">
        <f>Detalle_OC[[#This Row],[Centro]]&amp;Detalle_OC[[#This Row],[Nom Almacen]]&amp;Detalle_OC[[#This Row],[Material]]&amp;Detalle_OC[[#This Row],[Pedido]]&amp;Detalle_OC[[#This Row],[Posicion]]</f>
        <v>Agricola del Chira PlantaSan Vicente70100392550002409330</v>
      </c>
      <c r="B838" t="s">
        <v>38</v>
      </c>
      <c r="C838" t="s">
        <v>453</v>
      </c>
      <c r="D838" s="17">
        <v>44993</v>
      </c>
      <c r="E838" t="s">
        <v>26</v>
      </c>
      <c r="F838" t="s">
        <v>27</v>
      </c>
      <c r="G838">
        <v>70100392</v>
      </c>
      <c r="H838">
        <v>5500024093</v>
      </c>
      <c r="I838">
        <v>30</v>
      </c>
      <c r="J838" s="7">
        <v>3</v>
      </c>
      <c r="K838" s="7" t="str">
        <f>IFERROR(VLOOKUP(Detalle_OC[[#This Row],[Centro]]&amp;Detalle_OC[[#This Row],[Nro Almacen]],Almacen!A:D,4,FALSE),"")</f>
        <v>San Vicente</v>
      </c>
    </row>
    <row r="839" spans="1:11" x14ac:dyDescent="0.35">
      <c r="A839" s="7" t="str">
        <f>Detalle_OC[[#This Row],[Centro]]&amp;Detalle_OC[[#This Row],[Nom Almacen]]&amp;Detalle_OC[[#This Row],[Material]]&amp;Detalle_OC[[#This Row],[Pedido]]&amp;Detalle_OC[[#This Row],[Posicion]]</f>
        <v>Agricola del Chira PlantaAlmacen Lobo70100392550002409340</v>
      </c>
      <c r="B839" t="s">
        <v>38</v>
      </c>
      <c r="C839" t="s">
        <v>453</v>
      </c>
      <c r="D839" s="17">
        <v>44692</v>
      </c>
      <c r="E839" t="s">
        <v>26</v>
      </c>
      <c r="F839" t="s">
        <v>27</v>
      </c>
      <c r="G839">
        <v>70100392</v>
      </c>
      <c r="H839">
        <v>5500024093</v>
      </c>
      <c r="I839">
        <v>40</v>
      </c>
      <c r="J839" s="7">
        <v>7</v>
      </c>
      <c r="K839" s="7" t="str">
        <f>IFERROR(VLOOKUP(Detalle_OC[[#This Row],[Centro]]&amp;Detalle_OC[[#This Row],[Nro Almacen]],Almacen!A:D,4,FALSE),"")</f>
        <v>Almacen Lobo</v>
      </c>
    </row>
    <row r="840" spans="1:11" x14ac:dyDescent="0.35">
      <c r="A840" s="7" t="str">
        <f>Detalle_OC[[#This Row],[Centro]]&amp;Detalle_OC[[#This Row],[Nom Almacen]]&amp;Detalle_OC[[#This Row],[Material]]&amp;Detalle_OC[[#This Row],[Pedido]]&amp;Detalle_OC[[#This Row],[Posicion]]</f>
        <v>Agricola del Chira PlantaAlmacen Lobo70100392550002409340</v>
      </c>
      <c r="B840" t="s">
        <v>38</v>
      </c>
      <c r="C840" t="s">
        <v>453</v>
      </c>
      <c r="D840" s="17">
        <v>44702</v>
      </c>
      <c r="E840" t="s">
        <v>26</v>
      </c>
      <c r="F840" t="s">
        <v>27</v>
      </c>
      <c r="G840">
        <v>70100392</v>
      </c>
      <c r="H840">
        <v>5500024093</v>
      </c>
      <c r="I840">
        <v>40</v>
      </c>
      <c r="J840" s="7">
        <v>7</v>
      </c>
      <c r="K840" s="7" t="str">
        <f>IFERROR(VLOOKUP(Detalle_OC[[#This Row],[Centro]]&amp;Detalle_OC[[#This Row],[Nro Almacen]],Almacen!A:D,4,FALSE),"")</f>
        <v>Almacen Lobo</v>
      </c>
    </row>
    <row r="841" spans="1:11" x14ac:dyDescent="0.35">
      <c r="A841" s="7" t="str">
        <f>Detalle_OC[[#This Row],[Centro]]&amp;Detalle_OC[[#This Row],[Nom Almacen]]&amp;Detalle_OC[[#This Row],[Material]]&amp;Detalle_OC[[#This Row],[Pedido]]&amp;Detalle_OC[[#This Row],[Posicion]]</f>
        <v>Agricola del Chira PlantaAlmacen Lobo70100392550002409340</v>
      </c>
      <c r="B841" t="s">
        <v>38</v>
      </c>
      <c r="C841" t="s">
        <v>453</v>
      </c>
      <c r="D841" s="17">
        <v>44708</v>
      </c>
      <c r="E841" t="s">
        <v>26</v>
      </c>
      <c r="F841" t="s">
        <v>27</v>
      </c>
      <c r="G841">
        <v>70100392</v>
      </c>
      <c r="H841">
        <v>5500024093</v>
      </c>
      <c r="I841">
        <v>40</v>
      </c>
      <c r="J841" s="7">
        <v>7</v>
      </c>
      <c r="K841" s="7" t="str">
        <f>IFERROR(VLOOKUP(Detalle_OC[[#This Row],[Centro]]&amp;Detalle_OC[[#This Row],[Nro Almacen]],Almacen!A:D,4,FALSE),"")</f>
        <v>Almacen Lobo</v>
      </c>
    </row>
    <row r="842" spans="1:11" x14ac:dyDescent="0.35">
      <c r="A842" s="7" t="str">
        <f>Detalle_OC[[#This Row],[Centro]]&amp;Detalle_OC[[#This Row],[Nom Almacen]]&amp;Detalle_OC[[#This Row],[Material]]&amp;Detalle_OC[[#This Row],[Pedido]]&amp;Detalle_OC[[#This Row],[Posicion]]</f>
        <v>Agricola del Chira PlantaAlmacen Lobo70100392550002409340</v>
      </c>
      <c r="B842" t="s">
        <v>38</v>
      </c>
      <c r="C842" t="s">
        <v>453</v>
      </c>
      <c r="D842" s="17">
        <v>44716</v>
      </c>
      <c r="E842" t="s">
        <v>26</v>
      </c>
      <c r="F842" t="s">
        <v>27</v>
      </c>
      <c r="G842">
        <v>70100392</v>
      </c>
      <c r="H842">
        <v>5500024093</v>
      </c>
      <c r="I842">
        <v>40</v>
      </c>
      <c r="J842" s="7">
        <v>7</v>
      </c>
      <c r="K842" s="7" t="str">
        <f>IFERROR(VLOOKUP(Detalle_OC[[#This Row],[Centro]]&amp;Detalle_OC[[#This Row],[Nro Almacen]],Almacen!A:D,4,FALSE),"")</f>
        <v>Almacen Lobo</v>
      </c>
    </row>
    <row r="843" spans="1:11" x14ac:dyDescent="0.35">
      <c r="A843" s="7" t="str">
        <f>Detalle_OC[[#This Row],[Centro]]&amp;Detalle_OC[[#This Row],[Nom Almacen]]&amp;Detalle_OC[[#This Row],[Material]]&amp;Detalle_OC[[#This Row],[Pedido]]&amp;Detalle_OC[[#This Row],[Posicion]]</f>
        <v>Agricola del Chira PlantaAlmacen Lobo70100392550002409340</v>
      </c>
      <c r="B843" t="s">
        <v>38</v>
      </c>
      <c r="C843" t="s">
        <v>453</v>
      </c>
      <c r="D843" s="17">
        <v>44723</v>
      </c>
      <c r="E843" t="s">
        <v>26</v>
      </c>
      <c r="F843" t="s">
        <v>27</v>
      </c>
      <c r="G843">
        <v>70100392</v>
      </c>
      <c r="H843">
        <v>5500024093</v>
      </c>
      <c r="I843">
        <v>40</v>
      </c>
      <c r="J843" s="7">
        <v>7</v>
      </c>
      <c r="K843" s="7" t="str">
        <f>IFERROR(VLOOKUP(Detalle_OC[[#This Row],[Centro]]&amp;Detalle_OC[[#This Row],[Nro Almacen]],Almacen!A:D,4,FALSE),"")</f>
        <v>Almacen Lobo</v>
      </c>
    </row>
    <row r="844" spans="1:11" x14ac:dyDescent="0.35">
      <c r="A844" s="7" t="str">
        <f>Detalle_OC[[#This Row],[Centro]]&amp;Detalle_OC[[#This Row],[Nom Almacen]]&amp;Detalle_OC[[#This Row],[Material]]&amp;Detalle_OC[[#This Row],[Pedido]]&amp;Detalle_OC[[#This Row],[Posicion]]</f>
        <v>Agricola del Chira PlantaAlmacen Lobo70100392550002409340</v>
      </c>
      <c r="B844" t="s">
        <v>38</v>
      </c>
      <c r="C844" t="s">
        <v>453</v>
      </c>
      <c r="D844" s="17">
        <v>44730</v>
      </c>
      <c r="E844" t="s">
        <v>26</v>
      </c>
      <c r="F844" t="s">
        <v>27</v>
      </c>
      <c r="G844">
        <v>70100392</v>
      </c>
      <c r="H844">
        <v>5500024093</v>
      </c>
      <c r="I844">
        <v>40</v>
      </c>
      <c r="J844" s="7">
        <v>7</v>
      </c>
      <c r="K844" s="7" t="str">
        <f>IFERROR(VLOOKUP(Detalle_OC[[#This Row],[Centro]]&amp;Detalle_OC[[#This Row],[Nro Almacen]],Almacen!A:D,4,FALSE),"")</f>
        <v>Almacen Lobo</v>
      </c>
    </row>
    <row r="845" spans="1:11" x14ac:dyDescent="0.35">
      <c r="A845" s="7" t="str">
        <f>Detalle_OC[[#This Row],[Centro]]&amp;Detalle_OC[[#This Row],[Nom Almacen]]&amp;Detalle_OC[[#This Row],[Material]]&amp;Detalle_OC[[#This Row],[Pedido]]&amp;Detalle_OC[[#This Row],[Posicion]]</f>
        <v>Agricola del Chira PlantaAlmacen Lobo70100392550002409340</v>
      </c>
      <c r="B845" t="s">
        <v>38</v>
      </c>
      <c r="C845" t="s">
        <v>453</v>
      </c>
      <c r="D845" s="17">
        <v>44739</v>
      </c>
      <c r="E845" t="s">
        <v>26</v>
      </c>
      <c r="F845" t="s">
        <v>27</v>
      </c>
      <c r="G845">
        <v>70100392</v>
      </c>
      <c r="H845">
        <v>5500024093</v>
      </c>
      <c r="I845">
        <v>40</v>
      </c>
      <c r="J845" s="7">
        <v>7</v>
      </c>
      <c r="K845" s="7" t="str">
        <f>IFERROR(VLOOKUP(Detalle_OC[[#This Row],[Centro]]&amp;Detalle_OC[[#This Row],[Nro Almacen]],Almacen!A:D,4,FALSE),"")</f>
        <v>Almacen Lobo</v>
      </c>
    </row>
    <row r="846" spans="1:11" x14ac:dyDescent="0.35">
      <c r="A846" s="7" t="str">
        <f>Detalle_OC[[#This Row],[Centro]]&amp;Detalle_OC[[#This Row],[Nom Almacen]]&amp;Detalle_OC[[#This Row],[Material]]&amp;Detalle_OC[[#This Row],[Pedido]]&amp;Detalle_OC[[#This Row],[Posicion]]</f>
        <v>Agricola del Chira PlantaAlmacen Lobo70100392550002409340</v>
      </c>
      <c r="B846" t="s">
        <v>38</v>
      </c>
      <c r="C846" t="s">
        <v>453</v>
      </c>
      <c r="D846" s="17">
        <v>44744</v>
      </c>
      <c r="E846" t="s">
        <v>26</v>
      </c>
      <c r="F846" t="s">
        <v>27</v>
      </c>
      <c r="G846">
        <v>70100392</v>
      </c>
      <c r="H846">
        <v>5500024093</v>
      </c>
      <c r="I846">
        <v>40</v>
      </c>
      <c r="J846" s="7">
        <v>7</v>
      </c>
      <c r="K846" s="7" t="str">
        <f>IFERROR(VLOOKUP(Detalle_OC[[#This Row],[Centro]]&amp;Detalle_OC[[#This Row],[Nro Almacen]],Almacen!A:D,4,FALSE),"")</f>
        <v>Almacen Lobo</v>
      </c>
    </row>
    <row r="847" spans="1:11" x14ac:dyDescent="0.35">
      <c r="A847" s="7" t="str">
        <f>Detalle_OC[[#This Row],[Centro]]&amp;Detalle_OC[[#This Row],[Nom Almacen]]&amp;Detalle_OC[[#This Row],[Material]]&amp;Detalle_OC[[#This Row],[Pedido]]&amp;Detalle_OC[[#This Row],[Posicion]]</f>
        <v>Agricola del Chira PlantaAlmacen Lobo70100392550002409340</v>
      </c>
      <c r="B847" t="s">
        <v>38</v>
      </c>
      <c r="C847" t="s">
        <v>453</v>
      </c>
      <c r="D847" s="17">
        <v>44758</v>
      </c>
      <c r="E847" t="s">
        <v>26</v>
      </c>
      <c r="F847" t="s">
        <v>27</v>
      </c>
      <c r="G847">
        <v>70100392</v>
      </c>
      <c r="H847">
        <v>5500024093</v>
      </c>
      <c r="I847">
        <v>40</v>
      </c>
      <c r="J847" s="7">
        <v>7</v>
      </c>
      <c r="K847" s="7" t="str">
        <f>IFERROR(VLOOKUP(Detalle_OC[[#This Row],[Centro]]&amp;Detalle_OC[[#This Row],[Nro Almacen]],Almacen!A:D,4,FALSE),"")</f>
        <v>Almacen Lobo</v>
      </c>
    </row>
    <row r="848" spans="1:11" x14ac:dyDescent="0.35">
      <c r="A848" s="7" t="str">
        <f>Detalle_OC[[#This Row],[Centro]]&amp;Detalle_OC[[#This Row],[Nom Almacen]]&amp;Detalle_OC[[#This Row],[Material]]&amp;Detalle_OC[[#This Row],[Pedido]]&amp;Detalle_OC[[#This Row],[Posicion]]</f>
        <v>Agricola del Chira PlantaAlmacen Lobo70100392550002409340</v>
      </c>
      <c r="B848" t="s">
        <v>38</v>
      </c>
      <c r="C848" t="s">
        <v>453</v>
      </c>
      <c r="D848" s="17">
        <v>44772</v>
      </c>
      <c r="E848" t="s">
        <v>26</v>
      </c>
      <c r="F848" t="s">
        <v>27</v>
      </c>
      <c r="G848">
        <v>70100392</v>
      </c>
      <c r="H848">
        <v>5500024093</v>
      </c>
      <c r="I848">
        <v>40</v>
      </c>
      <c r="J848" s="7">
        <v>7</v>
      </c>
      <c r="K848" s="7" t="str">
        <f>IFERROR(VLOOKUP(Detalle_OC[[#This Row],[Centro]]&amp;Detalle_OC[[#This Row],[Nro Almacen]],Almacen!A:D,4,FALSE),"")</f>
        <v>Almacen Lobo</v>
      </c>
    </row>
    <row r="849" spans="1:11" x14ac:dyDescent="0.35">
      <c r="A849" s="7" t="str">
        <f>Detalle_OC[[#This Row],[Centro]]&amp;Detalle_OC[[#This Row],[Nom Almacen]]&amp;Detalle_OC[[#This Row],[Material]]&amp;Detalle_OC[[#This Row],[Pedido]]&amp;Detalle_OC[[#This Row],[Posicion]]</f>
        <v>Agricola del Chira PlantaAlmacen Lobo70100392550002409340</v>
      </c>
      <c r="B849" t="s">
        <v>38</v>
      </c>
      <c r="C849" t="s">
        <v>453</v>
      </c>
      <c r="D849" s="17">
        <v>44778</v>
      </c>
      <c r="E849" t="s">
        <v>26</v>
      </c>
      <c r="F849" t="s">
        <v>27</v>
      </c>
      <c r="G849">
        <v>70100392</v>
      </c>
      <c r="H849">
        <v>5500024093</v>
      </c>
      <c r="I849">
        <v>40</v>
      </c>
      <c r="J849" s="7">
        <v>7</v>
      </c>
      <c r="K849" s="7" t="str">
        <f>IFERROR(VLOOKUP(Detalle_OC[[#This Row],[Centro]]&amp;Detalle_OC[[#This Row],[Nro Almacen]],Almacen!A:D,4,FALSE),"")</f>
        <v>Almacen Lobo</v>
      </c>
    </row>
    <row r="850" spans="1:11" x14ac:dyDescent="0.35">
      <c r="A850" s="7" t="str">
        <f>Detalle_OC[[#This Row],[Centro]]&amp;Detalle_OC[[#This Row],[Nom Almacen]]&amp;Detalle_OC[[#This Row],[Material]]&amp;Detalle_OC[[#This Row],[Pedido]]&amp;Detalle_OC[[#This Row],[Posicion]]</f>
        <v>Agricola del Chira PlantaAlmacen Lobo70100392550002409340</v>
      </c>
      <c r="B850" t="s">
        <v>38</v>
      </c>
      <c r="C850" t="s">
        <v>453</v>
      </c>
      <c r="D850" s="17">
        <v>44786</v>
      </c>
      <c r="E850" t="s">
        <v>26</v>
      </c>
      <c r="F850" t="s">
        <v>27</v>
      </c>
      <c r="G850">
        <v>70100392</v>
      </c>
      <c r="H850">
        <v>5500024093</v>
      </c>
      <c r="I850">
        <v>40</v>
      </c>
      <c r="J850" s="7">
        <v>7</v>
      </c>
      <c r="K850" s="7" t="str">
        <f>IFERROR(VLOOKUP(Detalle_OC[[#This Row],[Centro]]&amp;Detalle_OC[[#This Row],[Nro Almacen]],Almacen!A:D,4,FALSE),"")</f>
        <v>Almacen Lobo</v>
      </c>
    </row>
    <row r="851" spans="1:11" x14ac:dyDescent="0.35">
      <c r="A851" s="7" t="str">
        <f>Detalle_OC[[#This Row],[Centro]]&amp;Detalle_OC[[#This Row],[Nom Almacen]]&amp;Detalle_OC[[#This Row],[Material]]&amp;Detalle_OC[[#This Row],[Pedido]]&amp;Detalle_OC[[#This Row],[Posicion]]</f>
        <v>Agricola del Chira PlantaAlmacen Lobo70100392550002409340</v>
      </c>
      <c r="B851" t="s">
        <v>38</v>
      </c>
      <c r="C851" t="s">
        <v>453</v>
      </c>
      <c r="D851" s="17">
        <v>44792</v>
      </c>
      <c r="E851" t="s">
        <v>26</v>
      </c>
      <c r="F851" t="s">
        <v>27</v>
      </c>
      <c r="G851">
        <v>70100392</v>
      </c>
      <c r="H851">
        <v>5500024093</v>
      </c>
      <c r="I851">
        <v>40</v>
      </c>
      <c r="J851" s="7">
        <v>7</v>
      </c>
      <c r="K851" s="7" t="str">
        <f>IFERROR(VLOOKUP(Detalle_OC[[#This Row],[Centro]]&amp;Detalle_OC[[#This Row],[Nro Almacen]],Almacen!A:D,4,FALSE),"")</f>
        <v>Almacen Lobo</v>
      </c>
    </row>
    <row r="852" spans="1:11" x14ac:dyDescent="0.35">
      <c r="A852" s="7" t="str">
        <f>Detalle_OC[[#This Row],[Centro]]&amp;Detalle_OC[[#This Row],[Nom Almacen]]&amp;Detalle_OC[[#This Row],[Material]]&amp;Detalle_OC[[#This Row],[Pedido]]&amp;Detalle_OC[[#This Row],[Posicion]]</f>
        <v>Agricola del Chira PlantaAlmacen Lobo70100392550002409340</v>
      </c>
      <c r="B852" t="s">
        <v>38</v>
      </c>
      <c r="C852" t="s">
        <v>453</v>
      </c>
      <c r="D852" s="17">
        <v>44806</v>
      </c>
      <c r="E852" t="s">
        <v>26</v>
      </c>
      <c r="F852" t="s">
        <v>27</v>
      </c>
      <c r="G852">
        <v>70100392</v>
      </c>
      <c r="H852">
        <v>5500024093</v>
      </c>
      <c r="I852">
        <v>40</v>
      </c>
      <c r="J852" s="7">
        <v>7</v>
      </c>
      <c r="K852" s="7" t="str">
        <f>IFERROR(VLOOKUP(Detalle_OC[[#This Row],[Centro]]&amp;Detalle_OC[[#This Row],[Nro Almacen]],Almacen!A:D,4,FALSE),"")</f>
        <v>Almacen Lobo</v>
      </c>
    </row>
    <row r="853" spans="1:11" x14ac:dyDescent="0.35">
      <c r="A853" s="7" t="str">
        <f>Detalle_OC[[#This Row],[Centro]]&amp;Detalle_OC[[#This Row],[Nom Almacen]]&amp;Detalle_OC[[#This Row],[Material]]&amp;Detalle_OC[[#This Row],[Pedido]]&amp;Detalle_OC[[#This Row],[Posicion]]</f>
        <v>Agricola del Chira PlantaAlmacen Lobo70100392550002409340</v>
      </c>
      <c r="B853" t="s">
        <v>38</v>
      </c>
      <c r="C853" t="s">
        <v>453</v>
      </c>
      <c r="D853" s="17">
        <v>44827</v>
      </c>
      <c r="E853" t="s">
        <v>26</v>
      </c>
      <c r="F853" t="s">
        <v>27</v>
      </c>
      <c r="G853">
        <v>70100392</v>
      </c>
      <c r="H853">
        <v>5500024093</v>
      </c>
      <c r="I853">
        <v>40</v>
      </c>
      <c r="J853" s="7">
        <v>7</v>
      </c>
      <c r="K853" s="7" t="str">
        <f>IFERROR(VLOOKUP(Detalle_OC[[#This Row],[Centro]]&amp;Detalle_OC[[#This Row],[Nro Almacen]],Almacen!A:D,4,FALSE),"")</f>
        <v>Almacen Lobo</v>
      </c>
    </row>
    <row r="854" spans="1:11" x14ac:dyDescent="0.35">
      <c r="A854" s="7" t="str">
        <f>Detalle_OC[[#This Row],[Centro]]&amp;Detalle_OC[[#This Row],[Nom Almacen]]&amp;Detalle_OC[[#This Row],[Material]]&amp;Detalle_OC[[#This Row],[Pedido]]&amp;Detalle_OC[[#This Row],[Posicion]]</f>
        <v>Agricola del Chira PlantaAlmacen Lobo70100392550002409340</v>
      </c>
      <c r="B854" t="s">
        <v>38</v>
      </c>
      <c r="C854" t="s">
        <v>453</v>
      </c>
      <c r="D854" s="17">
        <v>44852</v>
      </c>
      <c r="E854" t="s">
        <v>26</v>
      </c>
      <c r="F854" t="s">
        <v>27</v>
      </c>
      <c r="G854">
        <v>70100392</v>
      </c>
      <c r="H854">
        <v>5500024093</v>
      </c>
      <c r="I854">
        <v>40</v>
      </c>
      <c r="J854" s="7">
        <v>7</v>
      </c>
      <c r="K854" s="7" t="str">
        <f>IFERROR(VLOOKUP(Detalle_OC[[#This Row],[Centro]]&amp;Detalle_OC[[#This Row],[Nro Almacen]],Almacen!A:D,4,FALSE),"")</f>
        <v>Almacen Lobo</v>
      </c>
    </row>
    <row r="855" spans="1:11" x14ac:dyDescent="0.35">
      <c r="A855" s="7" t="str">
        <f>Detalle_OC[[#This Row],[Centro]]&amp;Detalle_OC[[#This Row],[Nom Almacen]]&amp;Detalle_OC[[#This Row],[Material]]&amp;Detalle_OC[[#This Row],[Pedido]]&amp;Detalle_OC[[#This Row],[Posicion]]</f>
        <v>Agricola del Chira PlantaAlmacen Lobo70100392550002409340</v>
      </c>
      <c r="B855" t="s">
        <v>38</v>
      </c>
      <c r="C855" t="s">
        <v>453</v>
      </c>
      <c r="D855" s="17">
        <v>44862</v>
      </c>
      <c r="E855" t="s">
        <v>26</v>
      </c>
      <c r="F855" t="s">
        <v>27</v>
      </c>
      <c r="G855">
        <v>70100392</v>
      </c>
      <c r="H855">
        <v>5500024093</v>
      </c>
      <c r="I855">
        <v>40</v>
      </c>
      <c r="J855" s="7">
        <v>7</v>
      </c>
      <c r="K855" s="7" t="str">
        <f>IFERROR(VLOOKUP(Detalle_OC[[#This Row],[Centro]]&amp;Detalle_OC[[#This Row],[Nro Almacen]],Almacen!A:D,4,FALSE),"")</f>
        <v>Almacen Lobo</v>
      </c>
    </row>
    <row r="856" spans="1:11" x14ac:dyDescent="0.35">
      <c r="A856" s="7" t="str">
        <f>Detalle_OC[[#This Row],[Centro]]&amp;Detalle_OC[[#This Row],[Nom Almacen]]&amp;Detalle_OC[[#This Row],[Material]]&amp;Detalle_OC[[#This Row],[Pedido]]&amp;Detalle_OC[[#This Row],[Posicion]]</f>
        <v>Agricola del Chira PlantaAlmacen Lobo70100392550002409340</v>
      </c>
      <c r="B856" t="s">
        <v>38</v>
      </c>
      <c r="C856" t="s">
        <v>453</v>
      </c>
      <c r="D856" s="17">
        <v>44876</v>
      </c>
      <c r="E856" t="s">
        <v>26</v>
      </c>
      <c r="F856" t="s">
        <v>27</v>
      </c>
      <c r="G856">
        <v>70100392</v>
      </c>
      <c r="H856">
        <v>5500024093</v>
      </c>
      <c r="I856">
        <v>40</v>
      </c>
      <c r="J856" s="7">
        <v>7</v>
      </c>
      <c r="K856" s="7" t="str">
        <f>IFERROR(VLOOKUP(Detalle_OC[[#This Row],[Centro]]&amp;Detalle_OC[[#This Row],[Nro Almacen]],Almacen!A:D,4,FALSE),"")</f>
        <v>Almacen Lobo</v>
      </c>
    </row>
    <row r="857" spans="1:11" x14ac:dyDescent="0.35">
      <c r="A857" s="7" t="str">
        <f>Detalle_OC[[#This Row],[Centro]]&amp;Detalle_OC[[#This Row],[Nom Almacen]]&amp;Detalle_OC[[#This Row],[Material]]&amp;Detalle_OC[[#This Row],[Pedido]]&amp;Detalle_OC[[#This Row],[Posicion]]</f>
        <v>Agricola del Chira PlantaAlmacen Lobo70100392550002409340</v>
      </c>
      <c r="B857" t="s">
        <v>38</v>
      </c>
      <c r="C857" t="s">
        <v>453</v>
      </c>
      <c r="D857" s="17">
        <v>44880</v>
      </c>
      <c r="E857" t="s">
        <v>26</v>
      </c>
      <c r="F857" t="s">
        <v>27</v>
      </c>
      <c r="G857">
        <v>70100392</v>
      </c>
      <c r="H857">
        <v>5500024093</v>
      </c>
      <c r="I857">
        <v>40</v>
      </c>
      <c r="J857" s="7">
        <v>7</v>
      </c>
      <c r="K857" s="7" t="str">
        <f>IFERROR(VLOOKUP(Detalle_OC[[#This Row],[Centro]]&amp;Detalle_OC[[#This Row],[Nro Almacen]],Almacen!A:D,4,FALSE),"")</f>
        <v>Almacen Lobo</v>
      </c>
    </row>
    <row r="858" spans="1:11" x14ac:dyDescent="0.35">
      <c r="A858" s="7" t="str">
        <f>Detalle_OC[[#This Row],[Centro]]&amp;Detalle_OC[[#This Row],[Nom Almacen]]&amp;Detalle_OC[[#This Row],[Material]]&amp;Detalle_OC[[#This Row],[Pedido]]&amp;Detalle_OC[[#This Row],[Posicion]]</f>
        <v>Agricola del Chira PlantaAlmacen Lobo70100392550002409340</v>
      </c>
      <c r="B858" t="s">
        <v>38</v>
      </c>
      <c r="C858" t="s">
        <v>453</v>
      </c>
      <c r="D858" s="17">
        <v>44888</v>
      </c>
      <c r="E858" t="s">
        <v>26</v>
      </c>
      <c r="F858" t="s">
        <v>27</v>
      </c>
      <c r="G858">
        <v>70100392</v>
      </c>
      <c r="H858">
        <v>5500024093</v>
      </c>
      <c r="I858">
        <v>40</v>
      </c>
      <c r="J858" s="7">
        <v>7</v>
      </c>
      <c r="K858" s="7" t="str">
        <f>IFERROR(VLOOKUP(Detalle_OC[[#This Row],[Centro]]&amp;Detalle_OC[[#This Row],[Nro Almacen]],Almacen!A:D,4,FALSE),"")</f>
        <v>Almacen Lobo</v>
      </c>
    </row>
    <row r="859" spans="1:11" x14ac:dyDescent="0.35">
      <c r="A859" s="7" t="str">
        <f>Detalle_OC[[#This Row],[Centro]]&amp;Detalle_OC[[#This Row],[Nom Almacen]]&amp;Detalle_OC[[#This Row],[Material]]&amp;Detalle_OC[[#This Row],[Pedido]]&amp;Detalle_OC[[#This Row],[Posicion]]</f>
        <v>Agricola del Chira PlantaMontelima70100900451145253120</v>
      </c>
      <c r="B859" t="s">
        <v>109</v>
      </c>
      <c r="C859" t="s">
        <v>454</v>
      </c>
      <c r="D859" s="17">
        <v>44995</v>
      </c>
      <c r="E859" t="s">
        <v>26</v>
      </c>
      <c r="F859" t="s">
        <v>27</v>
      </c>
      <c r="G859">
        <v>70100900</v>
      </c>
      <c r="H859">
        <v>4511452531</v>
      </c>
      <c r="I859">
        <v>20</v>
      </c>
      <c r="J859" s="7">
        <v>1</v>
      </c>
      <c r="K859" s="7" t="str">
        <f>IFERROR(VLOOKUP(Detalle_OC[[#This Row],[Centro]]&amp;Detalle_OC[[#This Row],[Nro Almacen]],Almacen!A:D,4,FALSE),"")</f>
        <v>Montelima</v>
      </c>
    </row>
    <row r="860" spans="1:11" x14ac:dyDescent="0.35">
      <c r="A860" s="7" t="str">
        <f>Detalle_OC[[#This Row],[Centro]]&amp;Detalle_OC[[#This Row],[Nom Almacen]]&amp;Detalle_OC[[#This Row],[Material]]&amp;Detalle_OC[[#This Row],[Pedido]]&amp;Detalle_OC[[#This Row],[Posicion]]</f>
        <v>Agricola del Chira PlantaMontelima70102188451144658840</v>
      </c>
      <c r="B860" t="s">
        <v>114</v>
      </c>
      <c r="C860" t="s">
        <v>418</v>
      </c>
      <c r="D860" s="17">
        <v>44977</v>
      </c>
      <c r="E860" t="s">
        <v>26</v>
      </c>
      <c r="F860" t="s">
        <v>27</v>
      </c>
      <c r="G860">
        <v>70102188</v>
      </c>
      <c r="H860">
        <v>4511446588</v>
      </c>
      <c r="I860">
        <v>40</v>
      </c>
      <c r="J860" s="7">
        <v>1</v>
      </c>
      <c r="K860" s="7" t="str">
        <f>IFERROR(VLOOKUP(Detalle_OC[[#This Row],[Centro]]&amp;Detalle_OC[[#This Row],[Nro Almacen]],Almacen!A:D,4,FALSE),"")</f>
        <v>Montelima</v>
      </c>
    </row>
    <row r="861" spans="1:11" x14ac:dyDescent="0.35">
      <c r="A861" s="7" t="str">
        <f>Detalle_OC[[#This Row],[Centro]]&amp;Detalle_OC[[#This Row],[Nom Almacen]]&amp;Detalle_OC[[#This Row],[Material]]&amp;Detalle_OC[[#This Row],[Pedido]]&amp;Detalle_OC[[#This Row],[Posicion]]</f>
        <v>Agricola del Chira PlantaMontelima70106622451144441520</v>
      </c>
      <c r="B861" t="s">
        <v>127</v>
      </c>
      <c r="C861" t="s">
        <v>423</v>
      </c>
      <c r="D861" s="17">
        <v>44986</v>
      </c>
      <c r="E861" t="s">
        <v>26</v>
      </c>
      <c r="F861" t="s">
        <v>27</v>
      </c>
      <c r="G861">
        <v>70106622</v>
      </c>
      <c r="H861">
        <v>4511444415</v>
      </c>
      <c r="I861">
        <v>20</v>
      </c>
      <c r="J861" s="7">
        <v>1</v>
      </c>
      <c r="K861" s="7" t="str">
        <f>IFERROR(VLOOKUP(Detalle_OC[[#This Row],[Centro]]&amp;Detalle_OC[[#This Row],[Nro Almacen]],Almacen!A:D,4,FALSE),"")</f>
        <v>Montelima</v>
      </c>
    </row>
    <row r="862" spans="1:11" x14ac:dyDescent="0.35">
      <c r="A862" s="7" t="str">
        <f>Detalle_OC[[#This Row],[Centro]]&amp;Detalle_OC[[#This Row],[Nom Almacen]]&amp;Detalle_OC[[#This Row],[Material]]&amp;Detalle_OC[[#This Row],[Pedido]]&amp;Detalle_OC[[#This Row],[Posicion]]</f>
        <v>Agricola del Chira PlantaMontelima70106624451144441530</v>
      </c>
      <c r="B862" t="s">
        <v>455</v>
      </c>
      <c r="C862" t="s">
        <v>423</v>
      </c>
      <c r="D862" s="17">
        <v>44986</v>
      </c>
      <c r="E862" t="s">
        <v>26</v>
      </c>
      <c r="F862" t="s">
        <v>27</v>
      </c>
      <c r="G862">
        <v>70106624</v>
      </c>
      <c r="H862">
        <v>4511444415</v>
      </c>
      <c r="I862">
        <v>30</v>
      </c>
      <c r="J862" s="7">
        <v>1</v>
      </c>
      <c r="K862" s="7" t="str">
        <f>IFERROR(VLOOKUP(Detalle_OC[[#This Row],[Centro]]&amp;Detalle_OC[[#This Row],[Nro Almacen]],Almacen!A:D,4,FALSE),"")</f>
        <v>Montelima</v>
      </c>
    </row>
    <row r="863" spans="1:11" x14ac:dyDescent="0.35">
      <c r="A863" s="7" t="str">
        <f>Detalle_OC[[#This Row],[Centro]]&amp;Detalle_OC[[#This Row],[Nom Almacen]]&amp;Detalle_OC[[#This Row],[Material]]&amp;Detalle_OC[[#This Row],[Pedido]]&amp;Detalle_OC[[#This Row],[Posicion]]</f>
        <v>Agricola del Chira PlantaMontelima70110202451145363340</v>
      </c>
      <c r="B863" t="s">
        <v>116</v>
      </c>
      <c r="C863" t="s">
        <v>428</v>
      </c>
      <c r="D863" s="17">
        <v>45000</v>
      </c>
      <c r="E863" t="s">
        <v>26</v>
      </c>
      <c r="F863" t="s">
        <v>27</v>
      </c>
      <c r="G863">
        <v>70110202</v>
      </c>
      <c r="H863">
        <v>4511453633</v>
      </c>
      <c r="I863">
        <v>40</v>
      </c>
      <c r="J863" s="7">
        <v>1</v>
      </c>
      <c r="K863" s="7" t="str">
        <f>IFERROR(VLOOKUP(Detalle_OC[[#This Row],[Centro]]&amp;Detalle_OC[[#This Row],[Nro Almacen]],Almacen!A:D,4,FALSE),"")</f>
        <v>Montelima</v>
      </c>
    </row>
    <row r="864" spans="1:11" x14ac:dyDescent="0.35">
      <c r="A864" s="7" t="str">
        <f>Detalle_OC[[#This Row],[Centro]]&amp;Detalle_OC[[#This Row],[Nom Almacen]]&amp;Detalle_OC[[#This Row],[Material]]&amp;Detalle_OC[[#This Row],[Pedido]]&amp;Detalle_OC[[#This Row],[Posicion]]</f>
        <v>Bioenergía del Chira PlantaMontelima70111491451144406810</v>
      </c>
      <c r="B864" t="s">
        <v>162</v>
      </c>
      <c r="C864" t="s">
        <v>435</v>
      </c>
      <c r="D864" s="17">
        <v>44993</v>
      </c>
      <c r="E864" t="s">
        <v>26</v>
      </c>
      <c r="F864" t="s">
        <v>57</v>
      </c>
      <c r="G864">
        <v>70111491</v>
      </c>
      <c r="H864">
        <v>4511444068</v>
      </c>
      <c r="I864">
        <v>10</v>
      </c>
      <c r="J864" s="7">
        <v>1</v>
      </c>
      <c r="K864" s="7" t="str">
        <f>IFERROR(VLOOKUP(Detalle_OC[[#This Row],[Centro]]&amp;Detalle_OC[[#This Row],[Nro Almacen]],Almacen!A:D,4,FALSE),"")</f>
        <v>Montelima</v>
      </c>
    </row>
    <row r="865" spans="1:11" x14ac:dyDescent="0.35">
      <c r="A865" s="7" t="str">
        <f>Detalle_OC[[#This Row],[Centro]]&amp;Detalle_OC[[#This Row],[Nom Almacen]]&amp;Detalle_OC[[#This Row],[Material]]&amp;Detalle_OC[[#This Row],[Pedido]]&amp;Detalle_OC[[#This Row],[Posicion]]</f>
        <v>Agricola del Chira PlantaMontelima70112244451145169410</v>
      </c>
      <c r="B865" t="s">
        <v>46</v>
      </c>
      <c r="C865" t="s">
        <v>456</v>
      </c>
      <c r="D865" s="17">
        <v>44995</v>
      </c>
      <c r="E865" t="s">
        <v>26</v>
      </c>
      <c r="F865" t="s">
        <v>27</v>
      </c>
      <c r="G865">
        <v>70112244</v>
      </c>
      <c r="H865">
        <v>4511451694</v>
      </c>
      <c r="I865">
        <v>10</v>
      </c>
      <c r="J865" s="7">
        <v>1</v>
      </c>
      <c r="K865" s="7" t="str">
        <f>IFERROR(VLOOKUP(Detalle_OC[[#This Row],[Centro]]&amp;Detalle_OC[[#This Row],[Nro Almacen]],Almacen!A:D,4,FALSE),"")</f>
        <v>Montelima</v>
      </c>
    </row>
    <row r="866" spans="1:11" x14ac:dyDescent="0.35">
      <c r="A866" s="7" t="str">
        <f>Detalle_OC[[#This Row],[Centro]]&amp;Detalle_OC[[#This Row],[Nom Almacen]]&amp;Detalle_OC[[#This Row],[Material]]&amp;Detalle_OC[[#This Row],[Pedido]]&amp;Detalle_OC[[#This Row],[Posicion]]</f>
        <v>Agricola del Chira PlantaMontelima70112941451145363330</v>
      </c>
      <c r="B866" t="s">
        <v>116</v>
      </c>
      <c r="C866" t="s">
        <v>428</v>
      </c>
      <c r="D866" s="17">
        <v>45000</v>
      </c>
      <c r="E866" t="s">
        <v>26</v>
      </c>
      <c r="F866" t="s">
        <v>27</v>
      </c>
      <c r="G866">
        <v>70112941</v>
      </c>
      <c r="H866">
        <v>4511453633</v>
      </c>
      <c r="I866">
        <v>30</v>
      </c>
      <c r="J866" s="7">
        <v>1</v>
      </c>
      <c r="K866" s="7" t="str">
        <f>IFERROR(VLOOKUP(Detalle_OC[[#This Row],[Centro]]&amp;Detalle_OC[[#This Row],[Nro Almacen]],Almacen!A:D,4,FALSE),"")</f>
        <v>Montelima</v>
      </c>
    </row>
    <row r="867" spans="1:11" x14ac:dyDescent="0.35">
      <c r="A867" s="7" t="str">
        <f>Detalle_OC[[#This Row],[Centro]]&amp;Detalle_OC[[#This Row],[Nom Almacen]]&amp;Detalle_OC[[#This Row],[Material]]&amp;Detalle_OC[[#This Row],[Pedido]]&amp;Detalle_OC[[#This Row],[Posicion]]</f>
        <v>Agricola del Chira PlantaMontelima70113145451145169420</v>
      </c>
      <c r="B867" t="s">
        <v>109</v>
      </c>
      <c r="C867" t="s">
        <v>456</v>
      </c>
      <c r="D867" s="17">
        <v>44995</v>
      </c>
      <c r="E867" t="s">
        <v>26</v>
      </c>
      <c r="F867" t="s">
        <v>27</v>
      </c>
      <c r="G867">
        <v>70113145</v>
      </c>
      <c r="H867">
        <v>4511451694</v>
      </c>
      <c r="I867">
        <v>20</v>
      </c>
      <c r="J867" s="7">
        <v>1</v>
      </c>
      <c r="K867" s="7" t="str">
        <f>IFERROR(VLOOKUP(Detalle_OC[[#This Row],[Centro]]&amp;Detalle_OC[[#This Row],[Nro Almacen]],Almacen!A:D,4,FALSE),"")</f>
        <v>Montelima</v>
      </c>
    </row>
    <row r="868" spans="1:11" x14ac:dyDescent="0.35">
      <c r="A868" s="7" t="str">
        <f>Detalle_OC[[#This Row],[Centro]]&amp;Detalle_OC[[#This Row],[Nom Almacen]]&amp;Detalle_OC[[#This Row],[Material]]&amp;Detalle_OC[[#This Row],[Pedido]]&amp;Detalle_OC[[#This Row],[Posicion]]</f>
        <v>Sucroalcolera del Chira PlantaMontelima70113613451145373510</v>
      </c>
      <c r="B868" t="s">
        <v>157</v>
      </c>
      <c r="C868" t="s">
        <v>457</v>
      </c>
      <c r="D868" s="17">
        <v>45016</v>
      </c>
      <c r="E868" t="s">
        <v>120</v>
      </c>
      <c r="F868" t="s">
        <v>41</v>
      </c>
      <c r="G868">
        <v>70113613</v>
      </c>
      <c r="H868">
        <v>4511453735</v>
      </c>
      <c r="I868">
        <v>10</v>
      </c>
      <c r="J868" s="7">
        <v>1</v>
      </c>
      <c r="K868" s="7" t="str">
        <f>IFERROR(VLOOKUP(Detalle_OC[[#This Row],[Centro]]&amp;Detalle_OC[[#This Row],[Nro Almacen]],Almacen!A:D,4,FALSE),"")</f>
        <v>Montelima</v>
      </c>
    </row>
    <row r="869" spans="1:11" x14ac:dyDescent="0.35">
      <c r="A869" s="7" t="str">
        <f>Detalle_OC[[#This Row],[Centro]]&amp;Detalle_OC[[#This Row],[Nom Almacen]]&amp;Detalle_OC[[#This Row],[Material]]&amp;Detalle_OC[[#This Row],[Pedido]]&amp;Detalle_OC[[#This Row],[Posicion]]</f>
        <v>Sucroalcolera del Chira PlantaMontelimaCEP55942683451145370210</v>
      </c>
      <c r="B869" t="s">
        <v>123</v>
      </c>
      <c r="C869" t="s">
        <v>436</v>
      </c>
      <c r="D869" s="17">
        <v>45000</v>
      </c>
      <c r="E869" t="s">
        <v>26</v>
      </c>
      <c r="F869" t="s">
        <v>41</v>
      </c>
      <c r="G869" t="s">
        <v>369</v>
      </c>
      <c r="H869">
        <v>4511453702</v>
      </c>
      <c r="I869">
        <v>10</v>
      </c>
      <c r="J869" s="7">
        <v>1</v>
      </c>
      <c r="K869" s="7" t="str">
        <f>IFERROR(VLOOKUP(Detalle_OC[[#This Row],[Centro]]&amp;Detalle_OC[[#This Row],[Nro Almacen]],Almacen!A:D,4,FALSE),"")</f>
        <v>Montelima</v>
      </c>
    </row>
    <row r="870" spans="1:11" x14ac:dyDescent="0.35">
      <c r="A870" s="7" t="str">
        <f>Detalle_OC[[#This Row],[Centro]]&amp;Detalle_OC[[#This Row],[Nom Almacen]]&amp;Detalle_OC[[#This Row],[Material]]&amp;Detalle_OC[[#This Row],[Pedido]]&amp;Detalle_OC[[#This Row],[Posicion]]</f>
        <v>Sucroalcolera del Chira PlantaMontelimaCEP55942683451145370220</v>
      </c>
      <c r="B870" t="s">
        <v>123</v>
      </c>
      <c r="C870" t="s">
        <v>436</v>
      </c>
      <c r="D870" s="17">
        <v>45000</v>
      </c>
      <c r="E870" t="s">
        <v>26</v>
      </c>
      <c r="F870" t="s">
        <v>41</v>
      </c>
      <c r="G870" t="s">
        <v>369</v>
      </c>
      <c r="H870">
        <v>4511453702</v>
      </c>
      <c r="I870">
        <v>20</v>
      </c>
      <c r="J870" s="7">
        <v>1</v>
      </c>
      <c r="K870" s="7" t="str">
        <f>IFERROR(VLOOKUP(Detalle_OC[[#This Row],[Centro]]&amp;Detalle_OC[[#This Row],[Nro Almacen]],Almacen!A:D,4,FALSE),"")</f>
        <v>Montelima</v>
      </c>
    </row>
    <row r="871" spans="1:11" x14ac:dyDescent="0.35">
      <c r="A871" s="7" t="str">
        <f>Detalle_OC[[#This Row],[Centro]]&amp;Detalle_OC[[#This Row],[Nom Almacen]]&amp;Detalle_OC[[#This Row],[Material]]&amp;Detalle_OC[[#This Row],[Pedido]]&amp;Detalle_OC[[#This Row],[Posicion]]</f>
        <v>Agricola del Chira PlantaMontelimaCF20250040 4511446078110</v>
      </c>
      <c r="B871" t="s">
        <v>48</v>
      </c>
      <c r="C871" t="s">
        <v>409</v>
      </c>
      <c r="D871" s="17">
        <v>44995</v>
      </c>
      <c r="E871" t="s">
        <v>26</v>
      </c>
      <c r="F871" t="s">
        <v>27</v>
      </c>
      <c r="G871" t="s">
        <v>403</v>
      </c>
      <c r="H871">
        <v>4511446078</v>
      </c>
      <c r="I871">
        <v>110</v>
      </c>
      <c r="J871" s="7">
        <v>1</v>
      </c>
      <c r="K871" s="7" t="str">
        <f>IFERROR(VLOOKUP(Detalle_OC[[#This Row],[Centro]]&amp;Detalle_OC[[#This Row],[Nro Almacen]],Almacen!A:D,4,FALSE),"")</f>
        <v>Montelima</v>
      </c>
    </row>
    <row r="872" spans="1:11" x14ac:dyDescent="0.35">
      <c r="A872" s="7" t="str">
        <f>Detalle_OC[[#This Row],[Centro]]&amp;Detalle_OC[[#This Row],[Nom Almacen]]&amp;Detalle_OC[[#This Row],[Material]]&amp;Detalle_OC[[#This Row],[Pedido]]&amp;Detalle_OC[[#This Row],[Posicion]]</f>
        <v>Sucroalcolera del Chira PlantaMontelimaCF20250040 451145361210</v>
      </c>
      <c r="B872" t="s">
        <v>124</v>
      </c>
      <c r="C872" t="s">
        <v>409</v>
      </c>
      <c r="D872" s="17">
        <v>44995</v>
      </c>
      <c r="E872" t="s">
        <v>26</v>
      </c>
      <c r="F872" t="s">
        <v>41</v>
      </c>
      <c r="G872" t="s">
        <v>403</v>
      </c>
      <c r="H872">
        <v>4511453612</v>
      </c>
      <c r="I872">
        <v>10</v>
      </c>
      <c r="J872" s="7">
        <v>1</v>
      </c>
      <c r="K872" s="7" t="str">
        <f>IFERROR(VLOOKUP(Detalle_OC[[#This Row],[Centro]]&amp;Detalle_OC[[#This Row],[Nro Almacen]],Almacen!A:D,4,FALSE),"")</f>
        <v>Montelima</v>
      </c>
    </row>
    <row r="873" spans="1:11" x14ac:dyDescent="0.35">
      <c r="A873" s="7" t="str">
        <f>Detalle_OC[[#This Row],[Centro]]&amp;Detalle_OC[[#This Row],[Nom Almacen]]&amp;Detalle_OC[[#This Row],[Material]]&amp;Detalle_OC[[#This Row],[Pedido]]&amp;Detalle_OC[[#This Row],[Posicion]]</f>
        <v>Agricola del Chira PlantaAlmacen LoboCP190038   451144607890</v>
      </c>
      <c r="B873" t="s">
        <v>48</v>
      </c>
      <c r="C873" t="s">
        <v>409</v>
      </c>
      <c r="D873" s="17">
        <v>44995</v>
      </c>
      <c r="E873" t="s">
        <v>26</v>
      </c>
      <c r="F873" t="s">
        <v>27</v>
      </c>
      <c r="G873" t="s">
        <v>458</v>
      </c>
      <c r="H873">
        <v>4511446078</v>
      </c>
      <c r="I873">
        <v>90</v>
      </c>
      <c r="J873" s="7">
        <v>7</v>
      </c>
      <c r="K873" s="7" t="str">
        <f>IFERROR(VLOOKUP(Detalle_OC[[#This Row],[Centro]]&amp;Detalle_OC[[#This Row],[Nro Almacen]],Almacen!A:D,4,FALSE),"")</f>
        <v>Almacen Lobo</v>
      </c>
    </row>
    <row r="874" spans="1:11" x14ac:dyDescent="0.35">
      <c r="A874" s="7" t="str">
        <f>Detalle_OC[[#This Row],[Centro]]&amp;Detalle_OC[[#This Row],[Nom Almacen]]&amp;Detalle_OC[[#This Row],[Material]]&amp;Detalle_OC[[#This Row],[Pedido]]&amp;Detalle_OC[[#This Row],[Posicion]]</f>
        <v>Agricola del Chira PlantaMontelimaCP190038   4511446078100</v>
      </c>
      <c r="B874" t="s">
        <v>48</v>
      </c>
      <c r="C874" t="s">
        <v>409</v>
      </c>
      <c r="D874" s="17">
        <v>44995</v>
      </c>
      <c r="E874" t="s">
        <v>26</v>
      </c>
      <c r="F874" t="s">
        <v>27</v>
      </c>
      <c r="G874" t="s">
        <v>458</v>
      </c>
      <c r="H874">
        <v>4511446078</v>
      </c>
      <c r="I874">
        <v>100</v>
      </c>
      <c r="J874" s="7">
        <v>1</v>
      </c>
      <c r="K874" s="7" t="str">
        <f>IFERROR(VLOOKUP(Detalle_OC[[#This Row],[Centro]]&amp;Detalle_OC[[#This Row],[Nro Almacen]],Almacen!A:D,4,FALSE),"")</f>
        <v>Montelima</v>
      </c>
    </row>
    <row r="875" spans="1:11" x14ac:dyDescent="0.35">
      <c r="A875" s="7" t="str">
        <f>Detalle_OC[[#This Row],[Centro]]&amp;Detalle_OC[[#This Row],[Nom Almacen]]&amp;Detalle_OC[[#This Row],[Material]]&amp;Detalle_OC[[#This Row],[Pedido]]&amp;Detalle_OC[[#This Row],[Posicion]]</f>
        <v>Agricola del Chira PlantaMontelimaCS290120   451144658810</v>
      </c>
      <c r="B875" t="s">
        <v>46</v>
      </c>
      <c r="C875" t="s">
        <v>418</v>
      </c>
      <c r="D875" s="17">
        <v>44977</v>
      </c>
      <c r="E875" t="s">
        <v>26</v>
      </c>
      <c r="F875" t="s">
        <v>27</v>
      </c>
      <c r="G875" t="s">
        <v>459</v>
      </c>
      <c r="H875">
        <v>4511446588</v>
      </c>
      <c r="I875">
        <v>10</v>
      </c>
      <c r="J875" s="7">
        <v>1</v>
      </c>
      <c r="K875" s="7" t="str">
        <f>IFERROR(VLOOKUP(Detalle_OC[[#This Row],[Centro]]&amp;Detalle_OC[[#This Row],[Nro Almacen]],Almacen!A:D,4,FALSE),"")</f>
        <v>Montelima</v>
      </c>
    </row>
    <row r="876" spans="1:11" x14ac:dyDescent="0.35">
      <c r="A876" s="7" t="str">
        <f>Detalle_OC[[#This Row],[Centro]]&amp;Detalle_OC[[#This Row],[Nom Almacen]]&amp;Detalle_OC[[#This Row],[Material]]&amp;Detalle_OC[[#This Row],[Pedido]]&amp;Detalle_OC[[#This Row],[Posicion]]</f>
        <v>Agricola del Chira PlantaAlmacen LoboCS34015030 451144607840</v>
      </c>
      <c r="B876" t="s">
        <v>47</v>
      </c>
      <c r="C876" t="s">
        <v>409</v>
      </c>
      <c r="D876" s="17">
        <v>44995</v>
      </c>
      <c r="E876" t="s">
        <v>26</v>
      </c>
      <c r="F876" t="s">
        <v>27</v>
      </c>
      <c r="G876" t="s">
        <v>460</v>
      </c>
      <c r="H876">
        <v>4511446078</v>
      </c>
      <c r="I876">
        <v>40</v>
      </c>
      <c r="J876" s="7">
        <v>7</v>
      </c>
      <c r="K876" s="7" t="str">
        <f>IFERROR(VLOOKUP(Detalle_OC[[#This Row],[Centro]]&amp;Detalle_OC[[#This Row],[Nro Almacen]],Almacen!A:D,4,FALSE),"")</f>
        <v>Almacen Lobo</v>
      </c>
    </row>
    <row r="877" spans="1:11" x14ac:dyDescent="0.35">
      <c r="A877" s="7" t="str">
        <f>Detalle_OC[[#This Row],[Centro]]&amp;Detalle_OC[[#This Row],[Nom Almacen]]&amp;Detalle_OC[[#This Row],[Material]]&amp;Detalle_OC[[#This Row],[Pedido]]&amp;Detalle_OC[[#This Row],[Posicion]]</f>
        <v>Agricola del Chira PlantaMontelimaCS400907   451145253110</v>
      </c>
      <c r="B877" t="s">
        <v>118</v>
      </c>
      <c r="C877" t="s">
        <v>454</v>
      </c>
      <c r="D877" s="17">
        <v>44995</v>
      </c>
      <c r="E877" t="s">
        <v>26</v>
      </c>
      <c r="F877" t="s">
        <v>27</v>
      </c>
      <c r="G877" t="s">
        <v>381</v>
      </c>
      <c r="H877">
        <v>4511452531</v>
      </c>
      <c r="I877">
        <v>10</v>
      </c>
      <c r="J877" s="7">
        <v>1</v>
      </c>
      <c r="K877" s="7" t="str">
        <f>IFERROR(VLOOKUP(Detalle_OC[[#This Row],[Centro]]&amp;Detalle_OC[[#This Row],[Nro Almacen]],Almacen!A:D,4,FALSE),"")</f>
        <v>Montelima</v>
      </c>
    </row>
    <row r="878" spans="1:11" x14ac:dyDescent="0.35">
      <c r="A878" s="7" t="str">
        <f>Detalle_OC[[#This Row],[Centro]]&amp;Detalle_OC[[#This Row],[Nom Almacen]]&amp;Detalle_OC[[#This Row],[Material]]&amp;Detalle_OC[[#This Row],[Pedido]]&amp;Detalle_OC[[#This Row],[Posicion]]</f>
        <v>Sucroalcolera del Chira PlantaMontelimaCS401836   451145300310</v>
      </c>
      <c r="B878" t="s">
        <v>43</v>
      </c>
      <c r="C878" t="s">
        <v>409</v>
      </c>
      <c r="D878" s="17">
        <v>44995</v>
      </c>
      <c r="E878" t="s">
        <v>26</v>
      </c>
      <c r="F878" t="s">
        <v>41</v>
      </c>
      <c r="G878" t="s">
        <v>394</v>
      </c>
      <c r="H878">
        <v>4511453003</v>
      </c>
      <c r="I878">
        <v>10</v>
      </c>
      <c r="J878" s="7">
        <v>1</v>
      </c>
      <c r="K878" s="7" t="str">
        <f>IFERROR(VLOOKUP(Detalle_OC[[#This Row],[Centro]]&amp;Detalle_OC[[#This Row],[Nro Almacen]],Almacen!A:D,4,FALSE),"")</f>
        <v>Montelima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287"/>
  <sheetViews>
    <sheetView showGridLines="0" zoomScale="80" zoomScaleNormal="80" workbookViewId="0">
      <pane ySplit="4" topLeftCell="A5" activePane="bottomLeft" state="frozen"/>
      <selection pane="bottomLeft" activeCell="B260" sqref="B260"/>
    </sheetView>
  </sheetViews>
  <sheetFormatPr baseColWidth="10" defaultRowHeight="14.5" x14ac:dyDescent="0.35"/>
  <cols>
    <col min="1" max="1" width="4.1796875" customWidth="1"/>
    <col min="2" max="2" width="13.1796875" customWidth="1"/>
    <col min="3" max="3" width="20.81640625" bestFit="1" customWidth="1"/>
    <col min="4" max="4" width="24.26953125" bestFit="1" customWidth="1"/>
    <col min="5" max="5" width="25.54296875" customWidth="1"/>
  </cols>
  <sheetData>
    <row r="1" spans="1:5" x14ac:dyDescent="0.35">
      <c r="A1">
        <f>COUNTA(Compradores[Usuario Comprador])+5</f>
        <v>288</v>
      </c>
    </row>
    <row r="2" spans="1:5" ht="18" x14ac:dyDescent="0.4">
      <c r="B2" s="16" t="s">
        <v>37</v>
      </c>
      <c r="C2" s="15">
        <v>153</v>
      </c>
      <c r="D2" s="15">
        <v>157</v>
      </c>
      <c r="E2" s="15">
        <v>158</v>
      </c>
    </row>
    <row r="4" spans="1:5" x14ac:dyDescent="0.35">
      <c r="B4" t="s">
        <v>34</v>
      </c>
      <c r="C4" t="s">
        <v>35</v>
      </c>
    </row>
    <row r="5" spans="1:5" x14ac:dyDescent="0.35">
      <c r="B5">
        <v>4511057857</v>
      </c>
      <c r="C5" t="s">
        <v>40</v>
      </c>
    </row>
    <row r="6" spans="1:5" x14ac:dyDescent="0.35">
      <c r="B6">
        <v>4511449929</v>
      </c>
      <c r="C6" t="s">
        <v>136</v>
      </c>
    </row>
    <row r="7" spans="1:5" x14ac:dyDescent="0.35">
      <c r="B7">
        <v>4511449929</v>
      </c>
      <c r="C7" t="s">
        <v>136</v>
      </c>
    </row>
    <row r="8" spans="1:5" x14ac:dyDescent="0.35">
      <c r="B8">
        <v>4511449929</v>
      </c>
      <c r="C8" t="s">
        <v>136</v>
      </c>
    </row>
    <row r="9" spans="1:5" x14ac:dyDescent="0.35">
      <c r="B9">
        <v>4511449929</v>
      </c>
      <c r="C9" t="s">
        <v>136</v>
      </c>
    </row>
    <row r="10" spans="1:5" x14ac:dyDescent="0.35">
      <c r="B10">
        <v>4511449929</v>
      </c>
      <c r="C10" t="s">
        <v>136</v>
      </c>
    </row>
    <row r="11" spans="1:5" x14ac:dyDescent="0.35">
      <c r="B11">
        <v>4511454100</v>
      </c>
      <c r="C11" t="s">
        <v>136</v>
      </c>
    </row>
    <row r="12" spans="1:5" x14ac:dyDescent="0.35">
      <c r="B12">
        <v>4511454100</v>
      </c>
      <c r="C12" t="s">
        <v>136</v>
      </c>
    </row>
    <row r="13" spans="1:5" x14ac:dyDescent="0.35">
      <c r="B13">
        <v>4511454100</v>
      </c>
      <c r="C13" t="s">
        <v>136</v>
      </c>
    </row>
    <row r="14" spans="1:5" x14ac:dyDescent="0.35">
      <c r="B14">
        <v>4511454100</v>
      </c>
      <c r="C14" t="s">
        <v>136</v>
      </c>
    </row>
    <row r="15" spans="1:5" x14ac:dyDescent="0.35">
      <c r="B15">
        <v>4511453188</v>
      </c>
      <c r="C15" t="s">
        <v>136</v>
      </c>
    </row>
    <row r="16" spans="1:5" x14ac:dyDescent="0.35">
      <c r="B16">
        <v>4511453188</v>
      </c>
      <c r="C16" t="s">
        <v>136</v>
      </c>
    </row>
    <row r="17" spans="2:3" x14ac:dyDescent="0.35">
      <c r="B17">
        <v>4511453188</v>
      </c>
      <c r="C17" t="s">
        <v>136</v>
      </c>
    </row>
    <row r="18" spans="2:3" x14ac:dyDescent="0.35">
      <c r="B18">
        <v>4511452985</v>
      </c>
      <c r="C18" t="s">
        <v>136</v>
      </c>
    </row>
    <row r="19" spans="2:3" x14ac:dyDescent="0.35">
      <c r="B19">
        <v>4511452985</v>
      </c>
      <c r="C19" t="s">
        <v>136</v>
      </c>
    </row>
    <row r="20" spans="2:3" x14ac:dyDescent="0.35">
      <c r="B20">
        <v>4511452985</v>
      </c>
      <c r="C20" t="s">
        <v>136</v>
      </c>
    </row>
    <row r="21" spans="2:3" x14ac:dyDescent="0.35">
      <c r="B21">
        <v>4511452985</v>
      </c>
      <c r="C21" t="s">
        <v>136</v>
      </c>
    </row>
    <row r="22" spans="2:3" x14ac:dyDescent="0.35">
      <c r="B22">
        <v>4511452985</v>
      </c>
      <c r="C22" t="s">
        <v>136</v>
      </c>
    </row>
    <row r="23" spans="2:3" x14ac:dyDescent="0.35">
      <c r="B23">
        <v>4511452985</v>
      </c>
      <c r="C23" t="s">
        <v>136</v>
      </c>
    </row>
    <row r="24" spans="2:3" x14ac:dyDescent="0.35">
      <c r="B24">
        <v>4511452985</v>
      </c>
      <c r="C24" t="s">
        <v>136</v>
      </c>
    </row>
    <row r="25" spans="2:3" x14ac:dyDescent="0.35">
      <c r="B25">
        <v>4511452985</v>
      </c>
      <c r="C25" t="s">
        <v>136</v>
      </c>
    </row>
    <row r="26" spans="2:3" x14ac:dyDescent="0.35">
      <c r="B26">
        <v>4511452985</v>
      </c>
      <c r="C26" t="s">
        <v>136</v>
      </c>
    </row>
    <row r="27" spans="2:3" x14ac:dyDescent="0.35">
      <c r="B27">
        <v>4511452985</v>
      </c>
      <c r="C27" t="s">
        <v>136</v>
      </c>
    </row>
    <row r="28" spans="2:3" x14ac:dyDescent="0.35">
      <c r="B28">
        <v>4511452985</v>
      </c>
      <c r="C28" t="s">
        <v>136</v>
      </c>
    </row>
    <row r="29" spans="2:3" x14ac:dyDescent="0.35">
      <c r="B29">
        <v>4511447045</v>
      </c>
      <c r="C29" t="s">
        <v>110</v>
      </c>
    </row>
    <row r="30" spans="2:3" x14ac:dyDescent="0.35">
      <c r="B30">
        <v>4511447045</v>
      </c>
      <c r="C30" t="s">
        <v>110</v>
      </c>
    </row>
    <row r="31" spans="2:3" x14ac:dyDescent="0.35">
      <c r="B31">
        <v>4511447045</v>
      </c>
      <c r="C31" t="s">
        <v>110</v>
      </c>
    </row>
    <row r="32" spans="2:3" x14ac:dyDescent="0.35">
      <c r="B32">
        <v>4511452531</v>
      </c>
      <c r="C32" t="s">
        <v>110</v>
      </c>
    </row>
    <row r="33" spans="2:3" x14ac:dyDescent="0.35">
      <c r="B33">
        <v>4511452531</v>
      </c>
      <c r="C33" t="s">
        <v>110</v>
      </c>
    </row>
    <row r="34" spans="2:3" x14ac:dyDescent="0.35">
      <c r="B34">
        <v>4511453005</v>
      </c>
      <c r="C34" t="s">
        <v>110</v>
      </c>
    </row>
    <row r="35" spans="2:3" x14ac:dyDescent="0.35">
      <c r="B35">
        <v>4511446078</v>
      </c>
      <c r="C35" t="s">
        <v>110</v>
      </c>
    </row>
    <row r="36" spans="2:3" x14ac:dyDescent="0.35">
      <c r="B36">
        <v>4511446078</v>
      </c>
      <c r="C36" t="s">
        <v>110</v>
      </c>
    </row>
    <row r="37" spans="2:3" x14ac:dyDescent="0.35">
      <c r="B37">
        <v>4511446078</v>
      </c>
      <c r="C37" t="s">
        <v>110</v>
      </c>
    </row>
    <row r="38" spans="2:3" x14ac:dyDescent="0.35">
      <c r="B38">
        <v>4511446078</v>
      </c>
      <c r="C38" t="s">
        <v>110</v>
      </c>
    </row>
    <row r="39" spans="2:3" x14ac:dyDescent="0.35">
      <c r="B39">
        <v>4511446078</v>
      </c>
      <c r="C39" t="s">
        <v>110</v>
      </c>
    </row>
    <row r="40" spans="2:3" x14ac:dyDescent="0.35">
      <c r="B40">
        <v>4511446078</v>
      </c>
      <c r="C40" t="s">
        <v>110</v>
      </c>
    </row>
    <row r="41" spans="2:3" x14ac:dyDescent="0.35">
      <c r="B41">
        <v>4511446078</v>
      </c>
      <c r="C41" t="s">
        <v>110</v>
      </c>
    </row>
    <row r="42" spans="2:3" x14ac:dyDescent="0.35">
      <c r="B42">
        <v>4511446078</v>
      </c>
      <c r="C42" t="s">
        <v>110</v>
      </c>
    </row>
    <row r="43" spans="2:3" x14ac:dyDescent="0.35">
      <c r="B43">
        <v>4511446078</v>
      </c>
      <c r="C43" t="s">
        <v>110</v>
      </c>
    </row>
    <row r="44" spans="2:3" x14ac:dyDescent="0.35">
      <c r="B44">
        <v>4511446078</v>
      </c>
      <c r="C44" t="s">
        <v>110</v>
      </c>
    </row>
    <row r="45" spans="2:3" x14ac:dyDescent="0.35">
      <c r="B45">
        <v>4511446078</v>
      </c>
      <c r="C45" t="s">
        <v>110</v>
      </c>
    </row>
    <row r="46" spans="2:3" x14ac:dyDescent="0.35">
      <c r="B46">
        <v>4511446078</v>
      </c>
      <c r="C46" t="s">
        <v>110</v>
      </c>
    </row>
    <row r="47" spans="2:3" x14ac:dyDescent="0.35">
      <c r="B47">
        <v>4511446078</v>
      </c>
      <c r="C47" t="s">
        <v>110</v>
      </c>
    </row>
    <row r="48" spans="2:3" x14ac:dyDescent="0.35">
      <c r="B48">
        <v>4511450578</v>
      </c>
      <c r="C48" t="s">
        <v>110</v>
      </c>
    </row>
    <row r="49" spans="2:3" x14ac:dyDescent="0.35">
      <c r="B49">
        <v>4511449466</v>
      </c>
      <c r="C49" t="s">
        <v>110</v>
      </c>
    </row>
    <row r="50" spans="2:3" x14ac:dyDescent="0.35">
      <c r="B50">
        <v>4511449748</v>
      </c>
      <c r="C50" t="s">
        <v>110</v>
      </c>
    </row>
    <row r="51" spans="2:3" x14ac:dyDescent="0.35">
      <c r="B51">
        <v>4511449748</v>
      </c>
      <c r="C51" t="s">
        <v>110</v>
      </c>
    </row>
    <row r="52" spans="2:3" x14ac:dyDescent="0.35">
      <c r="B52">
        <v>4511449558</v>
      </c>
      <c r="C52" t="s">
        <v>110</v>
      </c>
    </row>
    <row r="53" spans="2:3" x14ac:dyDescent="0.35">
      <c r="B53">
        <v>4511453633</v>
      </c>
      <c r="C53" t="s">
        <v>110</v>
      </c>
    </row>
    <row r="54" spans="2:3" x14ac:dyDescent="0.35">
      <c r="B54">
        <v>4511453633</v>
      </c>
      <c r="C54" t="s">
        <v>110</v>
      </c>
    </row>
    <row r="55" spans="2:3" x14ac:dyDescent="0.35">
      <c r="B55">
        <v>4511453633</v>
      </c>
      <c r="C55" t="s">
        <v>110</v>
      </c>
    </row>
    <row r="56" spans="2:3" x14ac:dyDescent="0.35">
      <c r="B56">
        <v>4511453633</v>
      </c>
      <c r="C56" t="s">
        <v>110</v>
      </c>
    </row>
    <row r="57" spans="2:3" x14ac:dyDescent="0.35">
      <c r="B57">
        <v>4511451150</v>
      </c>
      <c r="C57" t="s">
        <v>50</v>
      </c>
    </row>
    <row r="58" spans="2:3" x14ac:dyDescent="0.35">
      <c r="B58">
        <v>4511451150</v>
      </c>
      <c r="C58" t="s">
        <v>50</v>
      </c>
    </row>
    <row r="59" spans="2:3" x14ac:dyDescent="0.35">
      <c r="B59">
        <v>4511447584</v>
      </c>
      <c r="C59" t="s">
        <v>50</v>
      </c>
    </row>
    <row r="60" spans="2:3" x14ac:dyDescent="0.35">
      <c r="B60">
        <v>4511449166</v>
      </c>
      <c r="C60" t="s">
        <v>50</v>
      </c>
    </row>
    <row r="61" spans="2:3" x14ac:dyDescent="0.35">
      <c r="B61">
        <v>4511449166</v>
      </c>
      <c r="C61" t="s">
        <v>50</v>
      </c>
    </row>
    <row r="62" spans="2:3" x14ac:dyDescent="0.35">
      <c r="B62">
        <v>4511446588</v>
      </c>
      <c r="C62" t="s">
        <v>50</v>
      </c>
    </row>
    <row r="63" spans="2:3" x14ac:dyDescent="0.35">
      <c r="B63">
        <v>4511446588</v>
      </c>
      <c r="C63" t="s">
        <v>50</v>
      </c>
    </row>
    <row r="64" spans="2:3" x14ac:dyDescent="0.35">
      <c r="B64">
        <v>4511446588</v>
      </c>
      <c r="C64" t="s">
        <v>50</v>
      </c>
    </row>
    <row r="65" spans="2:3" x14ac:dyDescent="0.35">
      <c r="B65">
        <v>4511446588</v>
      </c>
      <c r="C65" t="s">
        <v>50</v>
      </c>
    </row>
    <row r="66" spans="2:3" x14ac:dyDescent="0.35">
      <c r="B66">
        <v>4511446588</v>
      </c>
      <c r="C66" t="s">
        <v>50</v>
      </c>
    </row>
    <row r="67" spans="2:3" x14ac:dyDescent="0.35">
      <c r="B67">
        <v>4511446588</v>
      </c>
      <c r="C67" t="s">
        <v>50</v>
      </c>
    </row>
    <row r="68" spans="2:3" x14ac:dyDescent="0.35">
      <c r="B68">
        <v>4511453700</v>
      </c>
      <c r="C68" t="s">
        <v>50</v>
      </c>
    </row>
    <row r="69" spans="2:3" x14ac:dyDescent="0.35">
      <c r="B69">
        <v>4511451694</v>
      </c>
      <c r="C69" t="s">
        <v>50</v>
      </c>
    </row>
    <row r="70" spans="2:3" x14ac:dyDescent="0.35">
      <c r="B70">
        <v>4511451694</v>
      </c>
      <c r="C70" t="s">
        <v>50</v>
      </c>
    </row>
    <row r="71" spans="2:3" x14ac:dyDescent="0.35">
      <c r="B71">
        <v>4511416314</v>
      </c>
      <c r="C71" t="s">
        <v>50</v>
      </c>
    </row>
    <row r="72" spans="2:3" x14ac:dyDescent="0.35">
      <c r="B72">
        <v>4511444238</v>
      </c>
      <c r="C72" t="s">
        <v>50</v>
      </c>
    </row>
    <row r="73" spans="2:3" x14ac:dyDescent="0.35">
      <c r="B73">
        <v>4511444238</v>
      </c>
      <c r="C73" t="s">
        <v>50</v>
      </c>
    </row>
    <row r="74" spans="2:3" x14ac:dyDescent="0.35">
      <c r="B74">
        <v>4511444238</v>
      </c>
      <c r="C74" t="s">
        <v>50</v>
      </c>
    </row>
    <row r="75" spans="2:3" x14ac:dyDescent="0.35">
      <c r="B75">
        <v>4511444238</v>
      </c>
      <c r="C75" t="s">
        <v>50</v>
      </c>
    </row>
    <row r="76" spans="2:3" x14ac:dyDescent="0.35">
      <c r="B76">
        <v>4511452694</v>
      </c>
      <c r="C76" t="s">
        <v>50</v>
      </c>
    </row>
    <row r="77" spans="2:3" x14ac:dyDescent="0.35">
      <c r="B77">
        <v>4511452694</v>
      </c>
      <c r="C77" t="s">
        <v>50</v>
      </c>
    </row>
    <row r="78" spans="2:3" x14ac:dyDescent="0.35">
      <c r="B78">
        <v>4511443242</v>
      </c>
      <c r="C78" t="s">
        <v>50</v>
      </c>
    </row>
    <row r="79" spans="2:3" x14ac:dyDescent="0.35">
      <c r="B79">
        <v>4511443242</v>
      </c>
      <c r="C79" t="s">
        <v>50</v>
      </c>
    </row>
    <row r="80" spans="2:3" x14ac:dyDescent="0.35">
      <c r="B80">
        <v>4511440339</v>
      </c>
      <c r="C80" t="s">
        <v>50</v>
      </c>
    </row>
    <row r="81" spans="2:3" x14ac:dyDescent="0.35">
      <c r="B81">
        <v>4511440339</v>
      </c>
      <c r="C81" t="s">
        <v>50</v>
      </c>
    </row>
    <row r="82" spans="2:3" x14ac:dyDescent="0.35">
      <c r="B82">
        <v>4511440339</v>
      </c>
      <c r="C82" t="s">
        <v>50</v>
      </c>
    </row>
    <row r="83" spans="2:3" x14ac:dyDescent="0.35">
      <c r="B83">
        <v>4511402103</v>
      </c>
      <c r="C83" t="s">
        <v>50</v>
      </c>
    </row>
    <row r="84" spans="2:3" x14ac:dyDescent="0.35">
      <c r="B84">
        <v>4511454198</v>
      </c>
      <c r="C84" t="s">
        <v>51</v>
      </c>
    </row>
    <row r="85" spans="2:3" x14ac:dyDescent="0.35">
      <c r="B85">
        <v>4511454198</v>
      </c>
      <c r="C85" t="s">
        <v>51</v>
      </c>
    </row>
    <row r="86" spans="2:3" x14ac:dyDescent="0.35">
      <c r="B86">
        <v>4511454198</v>
      </c>
      <c r="C86" t="s">
        <v>51</v>
      </c>
    </row>
    <row r="87" spans="2:3" x14ac:dyDescent="0.35">
      <c r="B87">
        <v>4511454198</v>
      </c>
      <c r="C87" t="s">
        <v>51</v>
      </c>
    </row>
    <row r="88" spans="2:3" x14ac:dyDescent="0.35">
      <c r="B88">
        <v>4511453248</v>
      </c>
      <c r="C88" t="s">
        <v>51</v>
      </c>
    </row>
    <row r="89" spans="2:3" x14ac:dyDescent="0.35">
      <c r="B89">
        <v>4511445369</v>
      </c>
      <c r="C89" t="s">
        <v>51</v>
      </c>
    </row>
    <row r="90" spans="2:3" x14ac:dyDescent="0.35">
      <c r="B90">
        <v>4511454653</v>
      </c>
      <c r="C90" t="s">
        <v>51</v>
      </c>
    </row>
    <row r="91" spans="2:3" x14ac:dyDescent="0.35">
      <c r="B91">
        <v>4511450196</v>
      </c>
      <c r="C91" t="s">
        <v>51</v>
      </c>
    </row>
    <row r="92" spans="2:3" x14ac:dyDescent="0.35">
      <c r="B92">
        <v>4511450196</v>
      </c>
      <c r="C92" t="s">
        <v>51</v>
      </c>
    </row>
    <row r="93" spans="2:3" x14ac:dyDescent="0.35">
      <c r="B93">
        <v>4511444415</v>
      </c>
      <c r="C93" t="s">
        <v>51</v>
      </c>
    </row>
    <row r="94" spans="2:3" x14ac:dyDescent="0.35">
      <c r="B94">
        <v>4511444415</v>
      </c>
      <c r="C94" t="s">
        <v>51</v>
      </c>
    </row>
    <row r="95" spans="2:3" x14ac:dyDescent="0.35">
      <c r="B95">
        <v>4511444415</v>
      </c>
      <c r="C95" t="s">
        <v>51</v>
      </c>
    </row>
    <row r="96" spans="2:3" x14ac:dyDescent="0.35">
      <c r="B96">
        <v>4511452724</v>
      </c>
      <c r="C96" t="s">
        <v>136</v>
      </c>
    </row>
    <row r="97" spans="2:3" x14ac:dyDescent="0.35">
      <c r="B97">
        <v>4511450980</v>
      </c>
      <c r="C97" t="s">
        <v>136</v>
      </c>
    </row>
    <row r="98" spans="2:3" x14ac:dyDescent="0.35">
      <c r="B98">
        <v>4511450980</v>
      </c>
      <c r="C98" t="s">
        <v>136</v>
      </c>
    </row>
    <row r="99" spans="2:3" x14ac:dyDescent="0.35">
      <c r="B99">
        <v>4511450980</v>
      </c>
      <c r="C99" t="s">
        <v>136</v>
      </c>
    </row>
    <row r="100" spans="2:3" x14ac:dyDescent="0.35">
      <c r="B100">
        <v>4511450980</v>
      </c>
      <c r="C100" t="s">
        <v>136</v>
      </c>
    </row>
    <row r="101" spans="2:3" x14ac:dyDescent="0.35">
      <c r="B101">
        <v>4511453097</v>
      </c>
      <c r="C101" t="s">
        <v>136</v>
      </c>
    </row>
    <row r="102" spans="2:3" x14ac:dyDescent="0.35">
      <c r="B102">
        <v>4511453097</v>
      </c>
      <c r="C102" t="s">
        <v>136</v>
      </c>
    </row>
    <row r="103" spans="2:3" x14ac:dyDescent="0.35">
      <c r="B103">
        <v>4511453097</v>
      </c>
      <c r="C103" t="s">
        <v>136</v>
      </c>
    </row>
    <row r="104" spans="2:3" x14ac:dyDescent="0.35">
      <c r="B104">
        <v>4511452987</v>
      </c>
      <c r="C104" t="s">
        <v>136</v>
      </c>
    </row>
    <row r="105" spans="2:3" x14ac:dyDescent="0.35">
      <c r="B105">
        <v>4511452987</v>
      </c>
      <c r="C105" t="s">
        <v>136</v>
      </c>
    </row>
    <row r="106" spans="2:3" x14ac:dyDescent="0.35">
      <c r="B106">
        <v>4511451029</v>
      </c>
      <c r="C106" t="s">
        <v>110</v>
      </c>
    </row>
    <row r="107" spans="2:3" x14ac:dyDescent="0.35">
      <c r="B107">
        <v>4511447267</v>
      </c>
      <c r="C107" t="s">
        <v>110</v>
      </c>
    </row>
    <row r="108" spans="2:3" x14ac:dyDescent="0.35">
      <c r="B108">
        <v>4511447267</v>
      </c>
      <c r="C108" t="s">
        <v>110</v>
      </c>
    </row>
    <row r="109" spans="2:3" x14ac:dyDescent="0.35">
      <c r="B109">
        <v>4511447267</v>
      </c>
      <c r="C109" t="s">
        <v>110</v>
      </c>
    </row>
    <row r="110" spans="2:3" x14ac:dyDescent="0.35">
      <c r="B110">
        <v>4511447267</v>
      </c>
      <c r="C110" t="s">
        <v>110</v>
      </c>
    </row>
    <row r="111" spans="2:3" x14ac:dyDescent="0.35">
      <c r="B111">
        <v>4511447267</v>
      </c>
      <c r="C111" t="s">
        <v>110</v>
      </c>
    </row>
    <row r="112" spans="2:3" x14ac:dyDescent="0.35">
      <c r="B112">
        <v>4511447267</v>
      </c>
      <c r="C112" t="s">
        <v>110</v>
      </c>
    </row>
    <row r="113" spans="2:3" x14ac:dyDescent="0.35">
      <c r="B113">
        <v>4511454187</v>
      </c>
      <c r="C113" t="s">
        <v>110</v>
      </c>
    </row>
    <row r="114" spans="2:3" x14ac:dyDescent="0.35">
      <c r="B114">
        <v>4511445332</v>
      </c>
      <c r="C114" t="s">
        <v>110</v>
      </c>
    </row>
    <row r="115" spans="2:3" x14ac:dyDescent="0.35">
      <c r="B115">
        <v>4511453735</v>
      </c>
      <c r="C115" t="s">
        <v>110</v>
      </c>
    </row>
    <row r="116" spans="2:3" x14ac:dyDescent="0.35">
      <c r="B116">
        <v>4511456426</v>
      </c>
      <c r="C116" t="s">
        <v>110</v>
      </c>
    </row>
    <row r="117" spans="2:3" x14ac:dyDescent="0.35">
      <c r="B117">
        <v>4511456426</v>
      </c>
      <c r="C117" t="s">
        <v>110</v>
      </c>
    </row>
    <row r="118" spans="2:3" x14ac:dyDescent="0.35">
      <c r="B118">
        <v>4511456426</v>
      </c>
      <c r="C118" t="s">
        <v>110</v>
      </c>
    </row>
    <row r="119" spans="2:3" x14ac:dyDescent="0.35">
      <c r="B119">
        <v>4511453612</v>
      </c>
      <c r="C119" t="s">
        <v>110</v>
      </c>
    </row>
    <row r="120" spans="2:3" x14ac:dyDescent="0.35">
      <c r="B120">
        <v>4511453612</v>
      </c>
      <c r="C120" t="s">
        <v>110</v>
      </c>
    </row>
    <row r="121" spans="2:3" x14ac:dyDescent="0.35">
      <c r="B121">
        <v>4511453612</v>
      </c>
      <c r="C121" t="s">
        <v>110</v>
      </c>
    </row>
    <row r="122" spans="2:3" x14ac:dyDescent="0.35">
      <c r="B122">
        <v>4511453208</v>
      </c>
      <c r="C122" t="s">
        <v>110</v>
      </c>
    </row>
    <row r="123" spans="2:3" x14ac:dyDescent="0.35">
      <c r="B123">
        <v>4511453003</v>
      </c>
      <c r="C123" t="s">
        <v>110</v>
      </c>
    </row>
    <row r="124" spans="2:3" x14ac:dyDescent="0.35">
      <c r="B124">
        <v>4511453003</v>
      </c>
      <c r="C124" t="s">
        <v>110</v>
      </c>
    </row>
    <row r="125" spans="2:3" x14ac:dyDescent="0.35">
      <c r="B125">
        <v>4511448855</v>
      </c>
      <c r="C125" t="s">
        <v>110</v>
      </c>
    </row>
    <row r="126" spans="2:3" x14ac:dyDescent="0.35">
      <c r="B126">
        <v>4511448169</v>
      </c>
      <c r="C126" t="s">
        <v>110</v>
      </c>
    </row>
    <row r="127" spans="2:3" x14ac:dyDescent="0.35">
      <c r="B127">
        <v>4511453702</v>
      </c>
      <c r="C127" t="s">
        <v>110</v>
      </c>
    </row>
    <row r="128" spans="2:3" x14ac:dyDescent="0.35">
      <c r="B128">
        <v>4511453702</v>
      </c>
      <c r="C128" t="s">
        <v>110</v>
      </c>
    </row>
    <row r="129" spans="2:3" x14ac:dyDescent="0.35">
      <c r="B129">
        <v>4511453105</v>
      </c>
      <c r="C129" t="s">
        <v>110</v>
      </c>
    </row>
    <row r="130" spans="2:3" x14ac:dyDescent="0.35">
      <c r="B130">
        <v>4511453076</v>
      </c>
      <c r="C130" t="s">
        <v>110</v>
      </c>
    </row>
    <row r="131" spans="2:3" x14ac:dyDescent="0.35">
      <c r="B131">
        <v>4511453076</v>
      </c>
      <c r="C131" t="s">
        <v>110</v>
      </c>
    </row>
    <row r="132" spans="2:3" x14ac:dyDescent="0.35">
      <c r="B132">
        <v>4511455813</v>
      </c>
      <c r="C132" t="s">
        <v>110</v>
      </c>
    </row>
    <row r="133" spans="2:3" x14ac:dyDescent="0.35">
      <c r="B133">
        <v>4511455813</v>
      </c>
      <c r="C133" t="s">
        <v>110</v>
      </c>
    </row>
    <row r="134" spans="2:3" x14ac:dyDescent="0.35">
      <c r="B134">
        <v>4511455812</v>
      </c>
      <c r="C134" t="s">
        <v>110</v>
      </c>
    </row>
    <row r="135" spans="2:3" x14ac:dyDescent="0.35">
      <c r="B135">
        <v>4511455812</v>
      </c>
      <c r="C135" t="s">
        <v>110</v>
      </c>
    </row>
    <row r="136" spans="2:3" x14ac:dyDescent="0.35">
      <c r="B136">
        <v>4511455812</v>
      </c>
      <c r="C136" t="s">
        <v>110</v>
      </c>
    </row>
    <row r="137" spans="2:3" x14ac:dyDescent="0.35">
      <c r="B137">
        <v>4511455812</v>
      </c>
      <c r="C137" t="s">
        <v>110</v>
      </c>
    </row>
    <row r="138" spans="2:3" x14ac:dyDescent="0.35">
      <c r="B138">
        <v>4511455812</v>
      </c>
      <c r="C138" t="s">
        <v>110</v>
      </c>
    </row>
    <row r="139" spans="2:3" x14ac:dyDescent="0.35">
      <c r="B139">
        <v>4511455812</v>
      </c>
      <c r="C139" t="s">
        <v>110</v>
      </c>
    </row>
    <row r="140" spans="2:3" x14ac:dyDescent="0.35">
      <c r="B140">
        <v>4511453644</v>
      </c>
      <c r="C140" t="s">
        <v>110</v>
      </c>
    </row>
    <row r="141" spans="2:3" x14ac:dyDescent="0.35">
      <c r="B141">
        <v>4511453581</v>
      </c>
      <c r="C141" t="s">
        <v>110</v>
      </c>
    </row>
    <row r="142" spans="2:3" x14ac:dyDescent="0.35">
      <c r="B142">
        <v>4511453238</v>
      </c>
      <c r="C142" t="s">
        <v>110</v>
      </c>
    </row>
    <row r="143" spans="2:3" x14ac:dyDescent="0.35">
      <c r="B143">
        <v>4511453238</v>
      </c>
      <c r="C143" t="s">
        <v>110</v>
      </c>
    </row>
    <row r="144" spans="2:3" x14ac:dyDescent="0.35">
      <c r="B144">
        <v>4511453238</v>
      </c>
      <c r="C144" t="s">
        <v>110</v>
      </c>
    </row>
    <row r="145" spans="2:3" x14ac:dyDescent="0.35">
      <c r="B145">
        <v>4511451251</v>
      </c>
      <c r="C145" t="s">
        <v>110</v>
      </c>
    </row>
    <row r="146" spans="2:3" x14ac:dyDescent="0.35">
      <c r="B146">
        <v>4511454194</v>
      </c>
      <c r="C146" t="s">
        <v>50</v>
      </c>
    </row>
    <row r="147" spans="2:3" x14ac:dyDescent="0.35">
      <c r="B147">
        <v>4511449866</v>
      </c>
      <c r="C147" t="s">
        <v>50</v>
      </c>
    </row>
    <row r="148" spans="2:3" x14ac:dyDescent="0.35">
      <c r="B148">
        <v>4511449866</v>
      </c>
      <c r="C148" t="s">
        <v>50</v>
      </c>
    </row>
    <row r="149" spans="2:3" x14ac:dyDescent="0.35">
      <c r="B149">
        <v>4511445281</v>
      </c>
      <c r="C149" t="s">
        <v>50</v>
      </c>
    </row>
    <row r="150" spans="2:3" x14ac:dyDescent="0.35">
      <c r="B150">
        <v>4511445281</v>
      </c>
      <c r="C150" t="s">
        <v>50</v>
      </c>
    </row>
    <row r="151" spans="2:3" x14ac:dyDescent="0.35">
      <c r="B151">
        <v>4511449944</v>
      </c>
      <c r="C151" t="s">
        <v>50</v>
      </c>
    </row>
    <row r="152" spans="2:3" x14ac:dyDescent="0.35">
      <c r="B152">
        <v>4511445856</v>
      </c>
      <c r="C152" t="s">
        <v>50</v>
      </c>
    </row>
    <row r="153" spans="2:3" x14ac:dyDescent="0.35">
      <c r="B153">
        <v>4511445856</v>
      </c>
      <c r="C153" t="s">
        <v>50</v>
      </c>
    </row>
    <row r="154" spans="2:3" x14ac:dyDescent="0.35">
      <c r="B154">
        <v>4511445856</v>
      </c>
      <c r="C154" t="s">
        <v>50</v>
      </c>
    </row>
    <row r="155" spans="2:3" x14ac:dyDescent="0.35">
      <c r="B155">
        <v>4511445856</v>
      </c>
      <c r="C155" t="s">
        <v>50</v>
      </c>
    </row>
    <row r="156" spans="2:3" x14ac:dyDescent="0.35">
      <c r="B156">
        <v>4511450608</v>
      </c>
      <c r="C156" t="s">
        <v>50</v>
      </c>
    </row>
    <row r="157" spans="2:3" x14ac:dyDescent="0.35">
      <c r="B157">
        <v>4511444102</v>
      </c>
      <c r="C157" t="s">
        <v>50</v>
      </c>
    </row>
    <row r="158" spans="2:3" x14ac:dyDescent="0.35">
      <c r="B158">
        <v>4511444102</v>
      </c>
      <c r="C158" t="s">
        <v>50</v>
      </c>
    </row>
    <row r="159" spans="2:3" x14ac:dyDescent="0.35">
      <c r="B159">
        <v>4511443845</v>
      </c>
      <c r="C159" t="s">
        <v>50</v>
      </c>
    </row>
    <row r="160" spans="2:3" x14ac:dyDescent="0.35">
      <c r="B160">
        <v>4511443845</v>
      </c>
      <c r="C160" t="s">
        <v>50</v>
      </c>
    </row>
    <row r="161" spans="2:3" x14ac:dyDescent="0.35">
      <c r="B161">
        <v>4511453703</v>
      </c>
      <c r="C161" t="s">
        <v>50</v>
      </c>
    </row>
    <row r="162" spans="2:3" x14ac:dyDescent="0.35">
      <c r="B162">
        <v>4511449573</v>
      </c>
      <c r="C162" t="s">
        <v>50</v>
      </c>
    </row>
    <row r="163" spans="2:3" x14ac:dyDescent="0.35">
      <c r="B163">
        <v>4511449945</v>
      </c>
      <c r="C163" t="s">
        <v>50</v>
      </c>
    </row>
    <row r="164" spans="2:3" x14ac:dyDescent="0.35">
      <c r="B164">
        <v>4511449945</v>
      </c>
      <c r="C164" t="s">
        <v>50</v>
      </c>
    </row>
    <row r="165" spans="2:3" x14ac:dyDescent="0.35">
      <c r="B165">
        <v>4511449945</v>
      </c>
      <c r="C165" t="s">
        <v>50</v>
      </c>
    </row>
    <row r="166" spans="2:3" x14ac:dyDescent="0.35">
      <c r="B166">
        <v>4511449945</v>
      </c>
      <c r="C166" t="s">
        <v>50</v>
      </c>
    </row>
    <row r="167" spans="2:3" x14ac:dyDescent="0.35">
      <c r="B167">
        <v>4511449945</v>
      </c>
      <c r="C167" t="s">
        <v>50</v>
      </c>
    </row>
    <row r="168" spans="2:3" x14ac:dyDescent="0.35">
      <c r="B168">
        <v>4511453220</v>
      </c>
      <c r="C168" t="s">
        <v>50</v>
      </c>
    </row>
    <row r="169" spans="2:3" x14ac:dyDescent="0.35">
      <c r="B169">
        <v>4511453220</v>
      </c>
      <c r="C169" t="s">
        <v>50</v>
      </c>
    </row>
    <row r="170" spans="2:3" x14ac:dyDescent="0.35">
      <c r="B170">
        <v>4511453220</v>
      </c>
      <c r="C170" t="s">
        <v>50</v>
      </c>
    </row>
    <row r="171" spans="2:3" x14ac:dyDescent="0.35">
      <c r="B171">
        <v>4511453220</v>
      </c>
      <c r="C171" t="s">
        <v>50</v>
      </c>
    </row>
    <row r="172" spans="2:3" x14ac:dyDescent="0.35">
      <c r="B172">
        <v>4511449924</v>
      </c>
      <c r="C172" t="s">
        <v>50</v>
      </c>
    </row>
    <row r="173" spans="2:3" x14ac:dyDescent="0.35">
      <c r="B173">
        <v>4511455751</v>
      </c>
      <c r="C173" t="s">
        <v>50</v>
      </c>
    </row>
    <row r="174" spans="2:3" x14ac:dyDescent="0.35">
      <c r="B174">
        <v>4511431526</v>
      </c>
      <c r="C174" t="s">
        <v>50</v>
      </c>
    </row>
    <row r="175" spans="2:3" x14ac:dyDescent="0.35">
      <c r="B175">
        <v>4511431526</v>
      </c>
      <c r="C175" t="s">
        <v>50</v>
      </c>
    </row>
    <row r="176" spans="2:3" x14ac:dyDescent="0.35">
      <c r="B176">
        <v>4511431526</v>
      </c>
      <c r="C176" t="s">
        <v>50</v>
      </c>
    </row>
    <row r="177" spans="2:3" x14ac:dyDescent="0.35">
      <c r="B177">
        <v>4511449170</v>
      </c>
      <c r="C177" t="s">
        <v>51</v>
      </c>
    </row>
    <row r="178" spans="2:3" x14ac:dyDescent="0.35">
      <c r="B178">
        <v>4511449170</v>
      </c>
      <c r="C178" t="s">
        <v>51</v>
      </c>
    </row>
    <row r="179" spans="2:3" x14ac:dyDescent="0.35">
      <c r="B179">
        <v>4511449170</v>
      </c>
      <c r="C179" t="s">
        <v>51</v>
      </c>
    </row>
    <row r="180" spans="2:3" x14ac:dyDescent="0.35">
      <c r="B180">
        <v>4511449170</v>
      </c>
      <c r="C180" t="s">
        <v>51</v>
      </c>
    </row>
    <row r="181" spans="2:3" x14ac:dyDescent="0.35">
      <c r="B181">
        <v>4511449170</v>
      </c>
      <c r="C181" t="s">
        <v>51</v>
      </c>
    </row>
    <row r="182" spans="2:3" x14ac:dyDescent="0.35">
      <c r="B182">
        <v>4511448595</v>
      </c>
      <c r="C182" t="s">
        <v>51</v>
      </c>
    </row>
    <row r="183" spans="2:3" x14ac:dyDescent="0.35">
      <c r="B183">
        <v>4511448595</v>
      </c>
      <c r="C183" t="s">
        <v>51</v>
      </c>
    </row>
    <row r="184" spans="2:3" x14ac:dyDescent="0.35">
      <c r="B184">
        <v>4511448595</v>
      </c>
      <c r="C184" t="s">
        <v>51</v>
      </c>
    </row>
    <row r="185" spans="2:3" x14ac:dyDescent="0.35">
      <c r="B185">
        <v>4511444507</v>
      </c>
      <c r="C185" t="s">
        <v>51</v>
      </c>
    </row>
    <row r="186" spans="2:3" x14ac:dyDescent="0.35">
      <c r="B186">
        <v>4511444507</v>
      </c>
      <c r="C186" t="s">
        <v>51</v>
      </c>
    </row>
    <row r="187" spans="2:3" x14ac:dyDescent="0.35">
      <c r="B187">
        <v>4511448911</v>
      </c>
      <c r="C187" t="s">
        <v>51</v>
      </c>
    </row>
    <row r="188" spans="2:3" x14ac:dyDescent="0.35">
      <c r="B188">
        <v>4511448911</v>
      </c>
      <c r="C188" t="s">
        <v>51</v>
      </c>
    </row>
    <row r="189" spans="2:3" x14ac:dyDescent="0.35">
      <c r="B189">
        <v>4511448911</v>
      </c>
      <c r="C189" t="s">
        <v>51</v>
      </c>
    </row>
    <row r="190" spans="2:3" x14ac:dyDescent="0.35">
      <c r="B190">
        <v>4511448911</v>
      </c>
      <c r="C190" t="s">
        <v>51</v>
      </c>
    </row>
    <row r="191" spans="2:3" x14ac:dyDescent="0.35">
      <c r="B191">
        <v>4511448911</v>
      </c>
      <c r="C191" t="s">
        <v>51</v>
      </c>
    </row>
    <row r="192" spans="2:3" x14ac:dyDescent="0.35">
      <c r="B192">
        <v>4511448911</v>
      </c>
      <c r="C192" t="s">
        <v>51</v>
      </c>
    </row>
    <row r="193" spans="2:3" x14ac:dyDescent="0.35">
      <c r="B193">
        <v>4511450724</v>
      </c>
      <c r="C193" t="s">
        <v>51</v>
      </c>
    </row>
    <row r="194" spans="2:3" x14ac:dyDescent="0.35">
      <c r="B194">
        <v>4511450724</v>
      </c>
      <c r="C194" t="s">
        <v>51</v>
      </c>
    </row>
    <row r="195" spans="2:3" x14ac:dyDescent="0.35">
      <c r="B195">
        <v>4511450724</v>
      </c>
      <c r="C195" t="s">
        <v>51</v>
      </c>
    </row>
    <row r="196" spans="2:3" x14ac:dyDescent="0.35">
      <c r="B196">
        <v>4511450724</v>
      </c>
      <c r="C196" t="s">
        <v>51</v>
      </c>
    </row>
    <row r="197" spans="2:3" x14ac:dyDescent="0.35">
      <c r="B197">
        <v>4511450724</v>
      </c>
      <c r="C197" t="s">
        <v>51</v>
      </c>
    </row>
    <row r="198" spans="2:3" x14ac:dyDescent="0.35">
      <c r="B198">
        <v>4511445560</v>
      </c>
      <c r="C198" t="s">
        <v>51</v>
      </c>
    </row>
    <row r="199" spans="2:3" x14ac:dyDescent="0.35">
      <c r="B199">
        <v>4511445560</v>
      </c>
      <c r="C199" t="s">
        <v>51</v>
      </c>
    </row>
    <row r="200" spans="2:3" x14ac:dyDescent="0.35">
      <c r="B200">
        <v>4511445560</v>
      </c>
      <c r="C200" t="s">
        <v>51</v>
      </c>
    </row>
    <row r="201" spans="2:3" x14ac:dyDescent="0.35">
      <c r="B201">
        <v>4511443456</v>
      </c>
      <c r="C201" t="s">
        <v>51</v>
      </c>
    </row>
    <row r="202" spans="2:3" x14ac:dyDescent="0.35">
      <c r="B202">
        <v>4511443456</v>
      </c>
      <c r="C202" t="s">
        <v>51</v>
      </c>
    </row>
    <row r="203" spans="2:3" x14ac:dyDescent="0.35">
      <c r="B203">
        <v>4511443456</v>
      </c>
      <c r="C203" t="s">
        <v>51</v>
      </c>
    </row>
    <row r="204" spans="2:3" x14ac:dyDescent="0.35">
      <c r="B204">
        <v>4511443456</v>
      </c>
      <c r="C204" t="s">
        <v>51</v>
      </c>
    </row>
    <row r="205" spans="2:3" x14ac:dyDescent="0.35">
      <c r="B205">
        <v>4511443456</v>
      </c>
      <c r="C205" t="s">
        <v>51</v>
      </c>
    </row>
    <row r="206" spans="2:3" x14ac:dyDescent="0.35">
      <c r="B206">
        <v>4511443456</v>
      </c>
      <c r="C206" t="s">
        <v>51</v>
      </c>
    </row>
    <row r="207" spans="2:3" x14ac:dyDescent="0.35">
      <c r="B207">
        <v>4511449897</v>
      </c>
      <c r="C207" t="s">
        <v>51</v>
      </c>
    </row>
    <row r="208" spans="2:3" x14ac:dyDescent="0.35">
      <c r="B208">
        <v>4511449897</v>
      </c>
      <c r="C208" t="s">
        <v>51</v>
      </c>
    </row>
    <row r="209" spans="2:3" x14ac:dyDescent="0.35">
      <c r="B209">
        <v>4511449897</v>
      </c>
      <c r="C209" t="s">
        <v>51</v>
      </c>
    </row>
    <row r="210" spans="2:3" x14ac:dyDescent="0.35">
      <c r="B210">
        <v>4511449897</v>
      </c>
      <c r="C210" t="s">
        <v>51</v>
      </c>
    </row>
    <row r="211" spans="2:3" x14ac:dyDescent="0.35">
      <c r="B211">
        <v>4511449897</v>
      </c>
      <c r="C211" t="s">
        <v>51</v>
      </c>
    </row>
    <row r="212" spans="2:3" x14ac:dyDescent="0.35">
      <c r="B212">
        <v>4511449897</v>
      </c>
      <c r="C212" t="s">
        <v>51</v>
      </c>
    </row>
    <row r="213" spans="2:3" x14ac:dyDescent="0.35">
      <c r="B213">
        <v>4511449897</v>
      </c>
      <c r="C213" t="s">
        <v>51</v>
      </c>
    </row>
    <row r="214" spans="2:3" x14ac:dyDescent="0.35">
      <c r="B214">
        <v>4511449897</v>
      </c>
      <c r="C214" t="s">
        <v>51</v>
      </c>
    </row>
    <row r="215" spans="2:3" x14ac:dyDescent="0.35">
      <c r="B215">
        <v>4511447189</v>
      </c>
      <c r="C215" t="s">
        <v>51</v>
      </c>
    </row>
    <row r="216" spans="2:3" x14ac:dyDescent="0.35">
      <c r="B216">
        <v>4511447189</v>
      </c>
      <c r="C216" t="s">
        <v>51</v>
      </c>
    </row>
    <row r="217" spans="2:3" x14ac:dyDescent="0.35">
      <c r="B217">
        <v>4511447189</v>
      </c>
      <c r="C217" t="s">
        <v>51</v>
      </c>
    </row>
    <row r="218" spans="2:3" x14ac:dyDescent="0.35">
      <c r="B218">
        <v>4511447189</v>
      </c>
      <c r="C218" t="s">
        <v>51</v>
      </c>
    </row>
    <row r="219" spans="2:3" x14ac:dyDescent="0.35">
      <c r="B219">
        <v>4511447189</v>
      </c>
      <c r="C219" t="s">
        <v>51</v>
      </c>
    </row>
    <row r="220" spans="2:3" x14ac:dyDescent="0.35">
      <c r="B220">
        <v>4511447189</v>
      </c>
      <c r="C220" t="s">
        <v>51</v>
      </c>
    </row>
    <row r="221" spans="2:3" x14ac:dyDescent="0.35">
      <c r="B221">
        <v>4511447189</v>
      </c>
      <c r="C221" t="s">
        <v>51</v>
      </c>
    </row>
    <row r="222" spans="2:3" x14ac:dyDescent="0.35">
      <c r="B222">
        <v>4511447189</v>
      </c>
      <c r="C222" t="s">
        <v>51</v>
      </c>
    </row>
    <row r="223" spans="2:3" x14ac:dyDescent="0.35">
      <c r="B223">
        <v>4511447189</v>
      </c>
      <c r="C223" t="s">
        <v>51</v>
      </c>
    </row>
    <row r="224" spans="2:3" x14ac:dyDescent="0.35">
      <c r="B224">
        <v>4511447189</v>
      </c>
      <c r="C224" t="s">
        <v>51</v>
      </c>
    </row>
    <row r="225" spans="2:3" x14ac:dyDescent="0.35">
      <c r="B225">
        <v>4511447189</v>
      </c>
      <c r="C225" t="s">
        <v>51</v>
      </c>
    </row>
    <row r="226" spans="2:3" x14ac:dyDescent="0.35">
      <c r="B226">
        <v>4511447189</v>
      </c>
      <c r="C226" t="s">
        <v>51</v>
      </c>
    </row>
    <row r="227" spans="2:3" x14ac:dyDescent="0.35">
      <c r="B227">
        <v>4511447189</v>
      </c>
      <c r="C227" t="s">
        <v>51</v>
      </c>
    </row>
    <row r="228" spans="2:3" x14ac:dyDescent="0.35">
      <c r="B228">
        <v>4511447189</v>
      </c>
      <c r="C228" t="s">
        <v>51</v>
      </c>
    </row>
    <row r="229" spans="2:3" x14ac:dyDescent="0.35">
      <c r="B229">
        <v>4511447189</v>
      </c>
      <c r="C229" t="s">
        <v>51</v>
      </c>
    </row>
    <row r="230" spans="2:3" x14ac:dyDescent="0.35">
      <c r="B230">
        <v>4511447189</v>
      </c>
      <c r="C230" t="s">
        <v>51</v>
      </c>
    </row>
    <row r="231" spans="2:3" x14ac:dyDescent="0.35">
      <c r="B231">
        <v>4511447189</v>
      </c>
      <c r="C231" t="s">
        <v>51</v>
      </c>
    </row>
    <row r="232" spans="2:3" x14ac:dyDescent="0.35">
      <c r="B232">
        <v>4511447189</v>
      </c>
      <c r="C232" t="s">
        <v>51</v>
      </c>
    </row>
    <row r="233" spans="2:3" x14ac:dyDescent="0.35">
      <c r="B233">
        <v>4511447189</v>
      </c>
      <c r="C233" t="s">
        <v>51</v>
      </c>
    </row>
    <row r="234" spans="2:3" x14ac:dyDescent="0.35">
      <c r="B234">
        <v>4511447189</v>
      </c>
      <c r="C234" t="s">
        <v>51</v>
      </c>
    </row>
    <row r="235" spans="2:3" x14ac:dyDescent="0.35">
      <c r="B235">
        <v>4511454650</v>
      </c>
      <c r="C235" t="s">
        <v>51</v>
      </c>
    </row>
    <row r="236" spans="2:3" x14ac:dyDescent="0.35">
      <c r="B236">
        <v>4511452613</v>
      </c>
      <c r="C236" t="s">
        <v>51</v>
      </c>
    </row>
    <row r="237" spans="2:3" x14ac:dyDescent="0.35">
      <c r="B237">
        <v>4511452613</v>
      </c>
      <c r="C237" t="s">
        <v>51</v>
      </c>
    </row>
    <row r="238" spans="2:3" x14ac:dyDescent="0.35">
      <c r="B238">
        <v>4511443949</v>
      </c>
      <c r="C238" t="s">
        <v>51</v>
      </c>
    </row>
    <row r="239" spans="2:3" x14ac:dyDescent="0.35">
      <c r="B239">
        <v>4511443949</v>
      </c>
      <c r="C239" t="s">
        <v>51</v>
      </c>
    </row>
    <row r="240" spans="2:3" x14ac:dyDescent="0.35">
      <c r="B240">
        <v>4511443949</v>
      </c>
      <c r="C240" t="s">
        <v>51</v>
      </c>
    </row>
    <row r="241" spans="2:3" x14ac:dyDescent="0.35">
      <c r="B241">
        <v>4511443949</v>
      </c>
      <c r="C241" t="s">
        <v>51</v>
      </c>
    </row>
    <row r="242" spans="2:3" x14ac:dyDescent="0.35">
      <c r="B242">
        <v>4511443949</v>
      </c>
      <c r="C242" t="s">
        <v>51</v>
      </c>
    </row>
    <row r="243" spans="2:3" x14ac:dyDescent="0.35">
      <c r="B243">
        <v>4511443949</v>
      </c>
      <c r="C243" t="s">
        <v>51</v>
      </c>
    </row>
    <row r="244" spans="2:3" x14ac:dyDescent="0.35">
      <c r="B244">
        <v>4511443949</v>
      </c>
      <c r="C244" t="s">
        <v>51</v>
      </c>
    </row>
    <row r="245" spans="2:3" x14ac:dyDescent="0.35">
      <c r="B245">
        <v>4511443949</v>
      </c>
      <c r="C245" t="s">
        <v>51</v>
      </c>
    </row>
    <row r="246" spans="2:3" x14ac:dyDescent="0.35">
      <c r="B246">
        <v>4511443949</v>
      </c>
      <c r="C246" t="s">
        <v>51</v>
      </c>
    </row>
    <row r="247" spans="2:3" x14ac:dyDescent="0.35">
      <c r="B247">
        <v>4511443949</v>
      </c>
      <c r="C247" t="s">
        <v>51</v>
      </c>
    </row>
    <row r="248" spans="2:3" x14ac:dyDescent="0.35">
      <c r="B248">
        <v>4511443949</v>
      </c>
      <c r="C248" t="s">
        <v>51</v>
      </c>
    </row>
    <row r="249" spans="2:3" x14ac:dyDescent="0.35">
      <c r="B249">
        <v>4511443949</v>
      </c>
      <c r="C249" t="s">
        <v>51</v>
      </c>
    </row>
    <row r="250" spans="2:3" x14ac:dyDescent="0.35">
      <c r="B250">
        <v>4511443949</v>
      </c>
      <c r="C250" t="s">
        <v>51</v>
      </c>
    </row>
    <row r="251" spans="2:3" x14ac:dyDescent="0.35">
      <c r="B251">
        <v>4511443949</v>
      </c>
      <c r="C251" t="s">
        <v>51</v>
      </c>
    </row>
    <row r="252" spans="2:3" x14ac:dyDescent="0.35">
      <c r="B252">
        <v>4511443949</v>
      </c>
      <c r="C252" t="s">
        <v>51</v>
      </c>
    </row>
    <row r="253" spans="2:3" x14ac:dyDescent="0.35">
      <c r="B253">
        <v>4511443949</v>
      </c>
      <c r="C253" t="s">
        <v>51</v>
      </c>
    </row>
    <row r="254" spans="2:3" x14ac:dyDescent="0.35">
      <c r="B254">
        <v>4511443949</v>
      </c>
      <c r="C254" t="s">
        <v>51</v>
      </c>
    </row>
    <row r="255" spans="2:3" x14ac:dyDescent="0.35">
      <c r="B255">
        <v>4511443949</v>
      </c>
      <c r="C255" t="s">
        <v>51</v>
      </c>
    </row>
    <row r="256" spans="2:3" x14ac:dyDescent="0.35">
      <c r="B256">
        <v>4511443949</v>
      </c>
      <c r="C256" t="s">
        <v>51</v>
      </c>
    </row>
    <row r="257" spans="2:3" x14ac:dyDescent="0.35">
      <c r="B257">
        <v>4511443457</v>
      </c>
      <c r="C257" t="s">
        <v>51</v>
      </c>
    </row>
    <row r="258" spans="2:3" x14ac:dyDescent="0.35">
      <c r="B258">
        <v>4511453257</v>
      </c>
      <c r="C258" t="s">
        <v>51</v>
      </c>
    </row>
    <row r="259" spans="2:3" x14ac:dyDescent="0.35">
      <c r="B259">
        <v>4511453257</v>
      </c>
      <c r="C259" t="s">
        <v>51</v>
      </c>
    </row>
    <row r="260" spans="2:3" x14ac:dyDescent="0.35">
      <c r="B260">
        <v>4511448883</v>
      </c>
      <c r="C260" t="s">
        <v>136</v>
      </c>
    </row>
    <row r="261" spans="2:3" x14ac:dyDescent="0.35">
      <c r="B261">
        <v>4511448883</v>
      </c>
      <c r="C261" t="s">
        <v>136</v>
      </c>
    </row>
    <row r="262" spans="2:3" x14ac:dyDescent="0.35">
      <c r="B262">
        <v>4511448883</v>
      </c>
      <c r="C262" t="s">
        <v>136</v>
      </c>
    </row>
    <row r="263" spans="2:3" x14ac:dyDescent="0.35">
      <c r="B263">
        <v>4511451624</v>
      </c>
      <c r="C263" t="s">
        <v>136</v>
      </c>
    </row>
    <row r="264" spans="2:3" x14ac:dyDescent="0.35">
      <c r="B264">
        <v>4511453094</v>
      </c>
      <c r="C264" t="s">
        <v>136</v>
      </c>
    </row>
    <row r="265" spans="2:3" x14ac:dyDescent="0.35">
      <c r="B265">
        <v>4511453094</v>
      </c>
      <c r="C265" t="s">
        <v>136</v>
      </c>
    </row>
    <row r="266" spans="2:3" x14ac:dyDescent="0.35">
      <c r="B266">
        <v>4511453094</v>
      </c>
      <c r="C266" t="s">
        <v>136</v>
      </c>
    </row>
    <row r="267" spans="2:3" x14ac:dyDescent="0.35">
      <c r="B267">
        <v>4511453094</v>
      </c>
      <c r="C267" t="s">
        <v>136</v>
      </c>
    </row>
    <row r="268" spans="2:3" x14ac:dyDescent="0.35">
      <c r="B268">
        <v>4511453094</v>
      </c>
      <c r="C268" t="s">
        <v>136</v>
      </c>
    </row>
    <row r="269" spans="2:3" x14ac:dyDescent="0.35">
      <c r="B269">
        <v>4511453094</v>
      </c>
      <c r="C269" t="s">
        <v>136</v>
      </c>
    </row>
    <row r="270" spans="2:3" x14ac:dyDescent="0.35">
      <c r="B270">
        <v>4511452995</v>
      </c>
      <c r="C270" t="s">
        <v>136</v>
      </c>
    </row>
    <row r="271" spans="2:3" x14ac:dyDescent="0.35">
      <c r="B271">
        <v>4511452995</v>
      </c>
      <c r="C271" t="s">
        <v>136</v>
      </c>
    </row>
    <row r="272" spans="2:3" x14ac:dyDescent="0.35">
      <c r="B272">
        <v>4511451200</v>
      </c>
      <c r="C272" t="s">
        <v>110</v>
      </c>
    </row>
    <row r="273" spans="2:3" x14ac:dyDescent="0.35">
      <c r="B273">
        <v>4511451200</v>
      </c>
      <c r="C273" t="s">
        <v>110</v>
      </c>
    </row>
    <row r="274" spans="2:3" x14ac:dyDescent="0.35">
      <c r="B274">
        <v>4511453661</v>
      </c>
      <c r="C274" t="s">
        <v>110</v>
      </c>
    </row>
    <row r="275" spans="2:3" x14ac:dyDescent="0.35">
      <c r="B275">
        <v>4511453661</v>
      </c>
      <c r="C275" t="s">
        <v>110</v>
      </c>
    </row>
    <row r="276" spans="2:3" x14ac:dyDescent="0.35">
      <c r="B276">
        <v>4511453661</v>
      </c>
      <c r="C276" t="s">
        <v>110</v>
      </c>
    </row>
    <row r="277" spans="2:3" x14ac:dyDescent="0.35">
      <c r="B277">
        <v>4511453109</v>
      </c>
      <c r="C277" t="s">
        <v>110</v>
      </c>
    </row>
    <row r="278" spans="2:3" x14ac:dyDescent="0.35">
      <c r="B278">
        <v>4511455815</v>
      </c>
      <c r="C278" t="s">
        <v>110</v>
      </c>
    </row>
    <row r="279" spans="2:3" x14ac:dyDescent="0.35">
      <c r="B279">
        <v>4511454062</v>
      </c>
      <c r="C279" t="s">
        <v>110</v>
      </c>
    </row>
    <row r="280" spans="2:3" x14ac:dyDescent="0.35">
      <c r="B280">
        <v>4511454062</v>
      </c>
      <c r="C280" t="s">
        <v>110</v>
      </c>
    </row>
    <row r="281" spans="2:3" x14ac:dyDescent="0.35">
      <c r="B281">
        <v>4511454062</v>
      </c>
      <c r="C281" t="s">
        <v>110</v>
      </c>
    </row>
    <row r="282" spans="2:3" x14ac:dyDescent="0.35">
      <c r="B282">
        <v>4511454062</v>
      </c>
      <c r="C282" t="s">
        <v>110</v>
      </c>
    </row>
    <row r="283" spans="2:3" x14ac:dyDescent="0.35">
      <c r="B283">
        <v>4511452645</v>
      </c>
      <c r="C283" t="s">
        <v>50</v>
      </c>
    </row>
    <row r="284" spans="2:3" x14ac:dyDescent="0.35">
      <c r="B284">
        <v>4511444068</v>
      </c>
      <c r="C284" t="s">
        <v>50</v>
      </c>
    </row>
    <row r="285" spans="2:3" x14ac:dyDescent="0.35">
      <c r="B285">
        <v>4511448912</v>
      </c>
      <c r="C285" t="s">
        <v>51</v>
      </c>
    </row>
    <row r="286" spans="2:3" x14ac:dyDescent="0.35">
      <c r="B286">
        <v>4511443458</v>
      </c>
      <c r="C286" t="s">
        <v>51</v>
      </c>
    </row>
    <row r="287" spans="2:3" x14ac:dyDescent="0.35">
      <c r="B287">
        <v>4511443458</v>
      </c>
      <c r="C287" t="s">
        <v>51</v>
      </c>
    </row>
  </sheetData>
  <dataValidations count="1">
    <dataValidation type="list" allowBlank="1" showInputMessage="1" showErrorMessage="1" sqref="C2:E2" xr:uid="{00000000-0002-0000-0400-000000000000}">
      <formula1>"153,157,158"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053F6-5B2C-4CEE-9F9F-4BEA4C0994AD}">
  <sheetPr codeName="Hoja8"/>
  <dimension ref="A1:G60"/>
  <sheetViews>
    <sheetView showGridLines="0" workbookViewId="0">
      <selection activeCell="J7" sqref="J7"/>
    </sheetView>
  </sheetViews>
  <sheetFormatPr baseColWidth="10" defaultRowHeight="14.5" x14ac:dyDescent="0.35"/>
  <cols>
    <col min="1" max="1" width="29.54296875" bestFit="1" customWidth="1"/>
    <col min="2" max="2" width="27.54296875" bestFit="1" customWidth="1"/>
    <col min="3" max="3" width="5.1796875" bestFit="1" customWidth="1"/>
    <col min="4" max="4" width="17.453125" bestFit="1" customWidth="1"/>
  </cols>
  <sheetData>
    <row r="1" spans="1:7" x14ac:dyDescent="0.35">
      <c r="A1" s="18" t="s">
        <v>107</v>
      </c>
      <c r="B1" s="18" t="s">
        <v>55</v>
      </c>
      <c r="C1" s="18" t="s">
        <v>44</v>
      </c>
      <c r="D1" s="18" t="s">
        <v>56</v>
      </c>
      <c r="E1" s="18" t="s">
        <v>133</v>
      </c>
      <c r="F1" s="18" t="s">
        <v>134</v>
      </c>
      <c r="G1" s="18" t="s">
        <v>135</v>
      </c>
    </row>
    <row r="2" spans="1:7" x14ac:dyDescent="0.35">
      <c r="A2" t="str">
        <f t="shared" ref="A2:A33" si="0">B2&amp;C2</f>
        <v>Agricola del Chira Planta1</v>
      </c>
      <c r="B2" t="s">
        <v>27</v>
      </c>
      <c r="C2">
        <v>1</v>
      </c>
      <c r="D2" t="s">
        <v>29</v>
      </c>
      <c r="E2" t="str">
        <f>F2&amp;C2</f>
        <v>32021</v>
      </c>
      <c r="F2">
        <v>3202</v>
      </c>
      <c r="G2" t="s">
        <v>29</v>
      </c>
    </row>
    <row r="3" spans="1:7" x14ac:dyDescent="0.35">
      <c r="A3" t="str">
        <f t="shared" si="0"/>
        <v>Agricola del Chira Planta2</v>
      </c>
      <c r="B3" t="s">
        <v>27</v>
      </c>
      <c r="C3">
        <v>2</v>
      </c>
      <c r="D3" t="s">
        <v>52</v>
      </c>
      <c r="E3" t="str">
        <f t="shared" ref="E3:E60" si="1">F3&amp;C3</f>
        <v>32022</v>
      </c>
      <c r="F3">
        <v>3202</v>
      </c>
      <c r="G3" t="s">
        <v>52</v>
      </c>
    </row>
    <row r="4" spans="1:7" x14ac:dyDescent="0.35">
      <c r="A4" t="str">
        <f t="shared" si="0"/>
        <v>Agricola del Chira Planta3</v>
      </c>
      <c r="B4" t="s">
        <v>27</v>
      </c>
      <c r="C4">
        <v>3</v>
      </c>
      <c r="D4" t="s">
        <v>59</v>
      </c>
      <c r="E4" t="str">
        <f t="shared" si="1"/>
        <v>32023</v>
      </c>
      <c r="F4">
        <v>3202</v>
      </c>
      <c r="G4" t="s">
        <v>59</v>
      </c>
    </row>
    <row r="5" spans="1:7" x14ac:dyDescent="0.35">
      <c r="A5" t="str">
        <f t="shared" si="0"/>
        <v>Agricola del Chira Planta4</v>
      </c>
      <c r="B5" t="s">
        <v>27</v>
      </c>
      <c r="C5">
        <v>4</v>
      </c>
      <c r="D5" t="s">
        <v>62</v>
      </c>
      <c r="E5" t="str">
        <f t="shared" si="1"/>
        <v>32024</v>
      </c>
      <c r="F5">
        <v>3202</v>
      </c>
      <c r="G5" t="s">
        <v>62</v>
      </c>
    </row>
    <row r="6" spans="1:7" x14ac:dyDescent="0.35">
      <c r="A6" t="str">
        <f t="shared" si="0"/>
        <v>Agricola del Chira Planta5</v>
      </c>
      <c r="B6" t="s">
        <v>27</v>
      </c>
      <c r="C6">
        <v>5</v>
      </c>
      <c r="D6" t="s">
        <v>65</v>
      </c>
      <c r="E6" t="str">
        <f t="shared" si="1"/>
        <v>32025</v>
      </c>
      <c r="F6">
        <v>3202</v>
      </c>
      <c r="G6" t="s">
        <v>65</v>
      </c>
    </row>
    <row r="7" spans="1:7" x14ac:dyDescent="0.35">
      <c r="A7" t="str">
        <f t="shared" si="0"/>
        <v>Agricola del Chira Planta6</v>
      </c>
      <c r="B7" t="s">
        <v>27</v>
      </c>
      <c r="C7">
        <v>6</v>
      </c>
      <c r="D7" t="s">
        <v>67</v>
      </c>
      <c r="E7" t="str">
        <f t="shared" si="1"/>
        <v>32026</v>
      </c>
      <c r="F7">
        <v>3202</v>
      </c>
      <c r="G7" t="s">
        <v>67</v>
      </c>
    </row>
    <row r="8" spans="1:7" x14ac:dyDescent="0.35">
      <c r="A8" t="str">
        <f t="shared" si="0"/>
        <v>Agricola del Chira Planta7</v>
      </c>
      <c r="B8" t="s">
        <v>27</v>
      </c>
      <c r="C8">
        <v>7</v>
      </c>
      <c r="D8" t="s">
        <v>69</v>
      </c>
      <c r="E8" t="str">
        <f t="shared" si="1"/>
        <v>32027</v>
      </c>
      <c r="F8">
        <v>3202</v>
      </c>
      <c r="G8" t="s">
        <v>69</v>
      </c>
    </row>
    <row r="9" spans="1:7" x14ac:dyDescent="0.35">
      <c r="A9" t="str">
        <f t="shared" si="0"/>
        <v>Agricola del Chira Planta8</v>
      </c>
      <c r="B9" t="s">
        <v>27</v>
      </c>
      <c r="C9">
        <v>8</v>
      </c>
      <c r="D9" t="s">
        <v>71</v>
      </c>
      <c r="E9" t="str">
        <f t="shared" si="1"/>
        <v>32028</v>
      </c>
      <c r="F9">
        <v>3202</v>
      </c>
      <c r="G9" t="s">
        <v>71</v>
      </c>
    </row>
    <row r="10" spans="1:7" x14ac:dyDescent="0.35">
      <c r="A10" t="str">
        <f t="shared" si="0"/>
        <v>Agricola del Chira Planta9</v>
      </c>
      <c r="B10" t="s">
        <v>27</v>
      </c>
      <c r="C10">
        <v>9</v>
      </c>
      <c r="D10" t="s">
        <v>73</v>
      </c>
      <c r="E10" t="str">
        <f t="shared" si="1"/>
        <v>32029</v>
      </c>
      <c r="F10">
        <v>3202</v>
      </c>
      <c r="G10" t="s">
        <v>73</v>
      </c>
    </row>
    <row r="11" spans="1:7" x14ac:dyDescent="0.35">
      <c r="A11" t="str">
        <f t="shared" si="0"/>
        <v>Agricola del Chira Planta10</v>
      </c>
      <c r="B11" t="s">
        <v>27</v>
      </c>
      <c r="C11">
        <v>10</v>
      </c>
      <c r="D11" t="s">
        <v>74</v>
      </c>
      <c r="E11" t="str">
        <f t="shared" si="1"/>
        <v>320210</v>
      </c>
      <c r="F11">
        <v>3202</v>
      </c>
      <c r="G11" t="s">
        <v>74</v>
      </c>
    </row>
    <row r="12" spans="1:7" x14ac:dyDescent="0.35">
      <c r="A12" t="str">
        <f t="shared" si="0"/>
        <v>Agricola del Chira Planta11</v>
      </c>
      <c r="B12" t="s">
        <v>27</v>
      </c>
      <c r="C12">
        <v>11</v>
      </c>
      <c r="D12" t="s">
        <v>76</v>
      </c>
      <c r="E12" t="str">
        <f t="shared" si="1"/>
        <v>320211</v>
      </c>
      <c r="F12">
        <v>3202</v>
      </c>
      <c r="G12" t="s">
        <v>76</v>
      </c>
    </row>
    <row r="13" spans="1:7" x14ac:dyDescent="0.35">
      <c r="A13" t="str">
        <f t="shared" si="0"/>
        <v>Agricola del Chira Planta12</v>
      </c>
      <c r="B13" t="s">
        <v>27</v>
      </c>
      <c r="C13">
        <v>12</v>
      </c>
      <c r="D13" t="s">
        <v>78</v>
      </c>
      <c r="E13" t="str">
        <f t="shared" si="1"/>
        <v>320212</v>
      </c>
      <c r="F13">
        <v>3202</v>
      </c>
      <c r="G13" t="s">
        <v>78</v>
      </c>
    </row>
    <row r="14" spans="1:7" x14ac:dyDescent="0.35">
      <c r="A14" t="str">
        <f t="shared" si="0"/>
        <v>Agricola del Chira Planta13</v>
      </c>
      <c r="B14" t="s">
        <v>27</v>
      </c>
      <c r="C14">
        <v>13</v>
      </c>
      <c r="D14" t="s">
        <v>80</v>
      </c>
      <c r="E14" t="str">
        <f t="shared" si="1"/>
        <v>320213</v>
      </c>
      <c r="F14">
        <v>3202</v>
      </c>
      <c r="G14" t="s">
        <v>80</v>
      </c>
    </row>
    <row r="15" spans="1:7" x14ac:dyDescent="0.35">
      <c r="A15" t="str">
        <f t="shared" si="0"/>
        <v>Agricola del Chira Planta14</v>
      </c>
      <c r="B15" t="s">
        <v>27</v>
      </c>
      <c r="C15">
        <v>14</v>
      </c>
      <c r="D15" t="s">
        <v>82</v>
      </c>
      <c r="E15" t="str">
        <f t="shared" si="1"/>
        <v>320214</v>
      </c>
      <c r="F15">
        <v>3202</v>
      </c>
      <c r="G15" t="s">
        <v>82</v>
      </c>
    </row>
    <row r="16" spans="1:7" x14ac:dyDescent="0.35">
      <c r="A16" t="str">
        <f t="shared" si="0"/>
        <v>Agricola del Chira Planta15</v>
      </c>
      <c r="B16" t="s">
        <v>27</v>
      </c>
      <c r="C16">
        <v>15</v>
      </c>
      <c r="D16" t="s">
        <v>84</v>
      </c>
      <c r="E16" t="str">
        <f t="shared" si="1"/>
        <v>320215</v>
      </c>
      <c r="F16">
        <v>3202</v>
      </c>
      <c r="G16" t="s">
        <v>84</v>
      </c>
    </row>
    <row r="17" spans="1:7" x14ac:dyDescent="0.35">
      <c r="A17" t="str">
        <f t="shared" si="0"/>
        <v>Agricola del Chira Planta16</v>
      </c>
      <c r="B17" t="s">
        <v>27</v>
      </c>
      <c r="C17">
        <v>16</v>
      </c>
      <c r="D17" t="s">
        <v>85</v>
      </c>
      <c r="E17" t="str">
        <f t="shared" si="1"/>
        <v>320216</v>
      </c>
      <c r="F17">
        <v>3202</v>
      </c>
      <c r="G17" t="s">
        <v>85</v>
      </c>
    </row>
    <row r="18" spans="1:7" x14ac:dyDescent="0.35">
      <c r="A18" t="str">
        <f t="shared" si="0"/>
        <v>Agricola del Chira Planta17</v>
      </c>
      <c r="B18" t="s">
        <v>27</v>
      </c>
      <c r="C18">
        <v>17</v>
      </c>
      <c r="D18" t="s">
        <v>86</v>
      </c>
      <c r="E18" t="str">
        <f t="shared" si="1"/>
        <v>320217</v>
      </c>
      <c r="F18">
        <v>3202</v>
      </c>
      <c r="G18" t="s">
        <v>86</v>
      </c>
    </row>
    <row r="19" spans="1:7" x14ac:dyDescent="0.35">
      <c r="A19" t="str">
        <f t="shared" si="0"/>
        <v>Agricola del Chira Planta18</v>
      </c>
      <c r="B19" t="s">
        <v>27</v>
      </c>
      <c r="C19">
        <v>18</v>
      </c>
      <c r="D19" t="s">
        <v>87</v>
      </c>
      <c r="E19" t="str">
        <f t="shared" si="1"/>
        <v>320218</v>
      </c>
      <c r="F19">
        <v>3202</v>
      </c>
      <c r="G19" t="s">
        <v>87</v>
      </c>
    </row>
    <row r="20" spans="1:7" x14ac:dyDescent="0.35">
      <c r="A20" t="str">
        <f t="shared" si="0"/>
        <v>Agricola del Chira Planta19</v>
      </c>
      <c r="B20" t="s">
        <v>27</v>
      </c>
      <c r="C20">
        <v>19</v>
      </c>
      <c r="D20" t="s">
        <v>88</v>
      </c>
      <c r="E20" t="str">
        <f t="shared" si="1"/>
        <v>320219</v>
      </c>
      <c r="F20">
        <v>3202</v>
      </c>
      <c r="G20" t="s">
        <v>88</v>
      </c>
    </row>
    <row r="21" spans="1:7" x14ac:dyDescent="0.35">
      <c r="A21" t="str">
        <f t="shared" si="0"/>
        <v>Agricola del Chira Planta20</v>
      </c>
      <c r="B21" t="s">
        <v>27</v>
      </c>
      <c r="C21">
        <v>20</v>
      </c>
      <c r="D21" t="s">
        <v>89</v>
      </c>
      <c r="E21" t="str">
        <f t="shared" si="1"/>
        <v>320220</v>
      </c>
      <c r="F21">
        <v>3202</v>
      </c>
      <c r="G21" t="s">
        <v>89</v>
      </c>
    </row>
    <row r="22" spans="1:7" x14ac:dyDescent="0.35">
      <c r="A22" t="str">
        <f t="shared" si="0"/>
        <v>Agricola del Chira Planta21</v>
      </c>
      <c r="B22" t="s">
        <v>27</v>
      </c>
      <c r="C22">
        <v>21</v>
      </c>
      <c r="D22" t="s">
        <v>90</v>
      </c>
      <c r="E22" t="str">
        <f t="shared" si="1"/>
        <v>320221</v>
      </c>
      <c r="F22">
        <v>3202</v>
      </c>
      <c r="G22" t="s">
        <v>90</v>
      </c>
    </row>
    <row r="23" spans="1:7" x14ac:dyDescent="0.35">
      <c r="A23" t="str">
        <f t="shared" si="0"/>
        <v>Agricola del Chira Planta22</v>
      </c>
      <c r="B23" t="s">
        <v>27</v>
      </c>
      <c r="C23">
        <v>22</v>
      </c>
      <c r="D23" t="s">
        <v>91</v>
      </c>
      <c r="E23" t="str">
        <f t="shared" si="1"/>
        <v>320222</v>
      </c>
      <c r="F23">
        <v>3202</v>
      </c>
      <c r="G23" t="s">
        <v>91</v>
      </c>
    </row>
    <row r="24" spans="1:7" x14ac:dyDescent="0.35">
      <c r="A24" t="str">
        <f t="shared" si="0"/>
        <v>Agricola del Chira Planta23</v>
      </c>
      <c r="B24" t="s">
        <v>27</v>
      </c>
      <c r="C24">
        <v>23</v>
      </c>
      <c r="D24" t="s">
        <v>92</v>
      </c>
      <c r="E24" t="str">
        <f t="shared" si="1"/>
        <v>320223</v>
      </c>
      <c r="F24">
        <v>3202</v>
      </c>
      <c r="G24" t="s">
        <v>92</v>
      </c>
    </row>
    <row r="25" spans="1:7" x14ac:dyDescent="0.35">
      <c r="A25" t="str">
        <f t="shared" si="0"/>
        <v>Agricola del Chira Planta24</v>
      </c>
      <c r="B25" t="s">
        <v>27</v>
      </c>
      <c r="C25">
        <v>24</v>
      </c>
      <c r="D25" t="s">
        <v>93</v>
      </c>
      <c r="E25" t="str">
        <f t="shared" si="1"/>
        <v>320224</v>
      </c>
      <c r="F25">
        <v>3202</v>
      </c>
      <c r="G25" t="s">
        <v>93</v>
      </c>
    </row>
    <row r="26" spans="1:7" x14ac:dyDescent="0.35">
      <c r="A26" t="str">
        <f t="shared" si="0"/>
        <v>Agricola del Chira Planta25</v>
      </c>
      <c r="B26" t="s">
        <v>27</v>
      </c>
      <c r="C26">
        <v>25</v>
      </c>
      <c r="D26" t="s">
        <v>94</v>
      </c>
      <c r="E26" t="str">
        <f t="shared" si="1"/>
        <v>320225</v>
      </c>
      <c r="F26">
        <v>3202</v>
      </c>
      <c r="G26" t="s">
        <v>94</v>
      </c>
    </row>
    <row r="27" spans="1:7" x14ac:dyDescent="0.35">
      <c r="A27" t="str">
        <f t="shared" si="0"/>
        <v>Agricola del Chira Planta26</v>
      </c>
      <c r="B27" t="s">
        <v>27</v>
      </c>
      <c r="C27">
        <v>26</v>
      </c>
      <c r="D27" t="s">
        <v>70</v>
      </c>
      <c r="E27" t="str">
        <f t="shared" si="1"/>
        <v>320226</v>
      </c>
      <c r="F27">
        <v>3202</v>
      </c>
      <c r="G27" t="s">
        <v>70</v>
      </c>
    </row>
    <row r="28" spans="1:7" x14ac:dyDescent="0.35">
      <c r="A28" t="str">
        <f t="shared" si="0"/>
        <v>Agricola del Chira Planta27</v>
      </c>
      <c r="B28" t="s">
        <v>27</v>
      </c>
      <c r="C28">
        <v>27</v>
      </c>
      <c r="D28" t="s">
        <v>95</v>
      </c>
      <c r="E28" t="str">
        <f t="shared" si="1"/>
        <v>320227</v>
      </c>
      <c r="F28">
        <v>3202</v>
      </c>
      <c r="G28" t="s">
        <v>95</v>
      </c>
    </row>
    <row r="29" spans="1:7" x14ac:dyDescent="0.35">
      <c r="A29" t="str">
        <f t="shared" si="0"/>
        <v>Agricola del Chira Planta28</v>
      </c>
      <c r="B29" t="s">
        <v>27</v>
      </c>
      <c r="C29">
        <v>28</v>
      </c>
      <c r="D29" t="s">
        <v>96</v>
      </c>
      <c r="E29" t="str">
        <f t="shared" si="1"/>
        <v>320228</v>
      </c>
      <c r="F29">
        <v>3202</v>
      </c>
      <c r="G29" t="s">
        <v>96</v>
      </c>
    </row>
    <row r="30" spans="1:7" x14ac:dyDescent="0.35">
      <c r="A30" t="str">
        <f t="shared" si="0"/>
        <v>Agricola del Chira Planta29</v>
      </c>
      <c r="B30" t="s">
        <v>27</v>
      </c>
      <c r="C30">
        <v>29</v>
      </c>
      <c r="D30" t="s">
        <v>97</v>
      </c>
      <c r="E30" t="str">
        <f t="shared" si="1"/>
        <v>320229</v>
      </c>
      <c r="F30">
        <v>3202</v>
      </c>
      <c r="G30" t="s">
        <v>97</v>
      </c>
    </row>
    <row r="31" spans="1:7" x14ac:dyDescent="0.35">
      <c r="A31" t="str">
        <f t="shared" si="0"/>
        <v>Agricola del Chira Planta30</v>
      </c>
      <c r="B31" t="s">
        <v>27</v>
      </c>
      <c r="C31">
        <v>30</v>
      </c>
      <c r="D31" t="s">
        <v>98</v>
      </c>
      <c r="E31" t="str">
        <f t="shared" si="1"/>
        <v>320230</v>
      </c>
      <c r="F31">
        <v>3202</v>
      </c>
      <c r="G31" t="s">
        <v>98</v>
      </c>
    </row>
    <row r="32" spans="1:7" x14ac:dyDescent="0.35">
      <c r="A32" t="str">
        <f t="shared" si="0"/>
        <v>Agricola del Chira Planta31</v>
      </c>
      <c r="B32" t="s">
        <v>27</v>
      </c>
      <c r="C32">
        <v>31</v>
      </c>
      <c r="D32" t="s">
        <v>99</v>
      </c>
      <c r="E32" t="str">
        <f t="shared" si="1"/>
        <v>320231</v>
      </c>
      <c r="F32">
        <v>3202</v>
      </c>
      <c r="G32" t="s">
        <v>99</v>
      </c>
    </row>
    <row r="33" spans="1:7" x14ac:dyDescent="0.35">
      <c r="A33" t="str">
        <f t="shared" si="0"/>
        <v>Agricola del Chira Planta32</v>
      </c>
      <c r="B33" t="s">
        <v>27</v>
      </c>
      <c r="C33">
        <v>32</v>
      </c>
      <c r="D33" t="s">
        <v>100</v>
      </c>
      <c r="E33" t="str">
        <f t="shared" si="1"/>
        <v>320232</v>
      </c>
      <c r="F33">
        <v>3202</v>
      </c>
      <c r="G33" t="s">
        <v>100</v>
      </c>
    </row>
    <row r="34" spans="1:7" x14ac:dyDescent="0.35">
      <c r="A34" t="str">
        <f t="shared" ref="A34:A60" si="2">B34&amp;C34</f>
        <v>Agricola del Chira Planta33</v>
      </c>
      <c r="B34" t="s">
        <v>27</v>
      </c>
      <c r="C34">
        <v>33</v>
      </c>
      <c r="D34" t="s">
        <v>102</v>
      </c>
      <c r="E34" t="str">
        <f t="shared" si="1"/>
        <v>320233</v>
      </c>
      <c r="F34">
        <v>3202</v>
      </c>
      <c r="G34" t="s">
        <v>102</v>
      </c>
    </row>
    <row r="35" spans="1:7" x14ac:dyDescent="0.35">
      <c r="A35" t="str">
        <f t="shared" si="2"/>
        <v>Agricola del Chira Planta34</v>
      </c>
      <c r="B35" t="s">
        <v>27</v>
      </c>
      <c r="C35">
        <v>34</v>
      </c>
      <c r="D35" t="s">
        <v>103</v>
      </c>
      <c r="E35" t="str">
        <f t="shared" si="1"/>
        <v>320234</v>
      </c>
      <c r="F35">
        <v>3202</v>
      </c>
      <c r="G35" t="s">
        <v>103</v>
      </c>
    </row>
    <row r="36" spans="1:7" x14ac:dyDescent="0.35">
      <c r="A36" t="str">
        <f t="shared" si="2"/>
        <v>Agricola del Chira Planta35</v>
      </c>
      <c r="B36" t="s">
        <v>27</v>
      </c>
      <c r="C36">
        <v>35</v>
      </c>
      <c r="D36" t="s">
        <v>104</v>
      </c>
      <c r="E36" t="str">
        <f t="shared" si="1"/>
        <v>320235</v>
      </c>
      <c r="F36">
        <v>3202</v>
      </c>
      <c r="G36" t="s">
        <v>104</v>
      </c>
    </row>
    <row r="37" spans="1:7" x14ac:dyDescent="0.35">
      <c r="A37" t="str">
        <f t="shared" si="2"/>
        <v>Agricola del Chira Planta36</v>
      </c>
      <c r="B37" t="s">
        <v>27</v>
      </c>
      <c r="C37">
        <v>36</v>
      </c>
      <c r="D37" t="s">
        <v>77</v>
      </c>
      <c r="E37" t="str">
        <f t="shared" si="1"/>
        <v>320236</v>
      </c>
      <c r="F37">
        <v>3202</v>
      </c>
      <c r="G37" t="s">
        <v>77</v>
      </c>
    </row>
    <row r="38" spans="1:7" x14ac:dyDescent="0.35">
      <c r="A38" t="str">
        <f t="shared" si="2"/>
        <v>Agricola del Chira Planta37</v>
      </c>
      <c r="B38" t="s">
        <v>27</v>
      </c>
      <c r="C38">
        <v>37</v>
      </c>
      <c r="D38" t="s">
        <v>105</v>
      </c>
      <c r="E38" t="str">
        <f t="shared" si="1"/>
        <v>320237</v>
      </c>
      <c r="F38">
        <v>3202</v>
      </c>
      <c r="G38" t="s">
        <v>105</v>
      </c>
    </row>
    <row r="39" spans="1:7" x14ac:dyDescent="0.35">
      <c r="A39" t="str">
        <f t="shared" si="2"/>
        <v>Agricola del Chira Planta38</v>
      </c>
      <c r="B39" t="s">
        <v>27</v>
      </c>
      <c r="C39">
        <v>38</v>
      </c>
      <c r="D39" t="s">
        <v>106</v>
      </c>
      <c r="E39" t="str">
        <f t="shared" si="1"/>
        <v>320238</v>
      </c>
      <c r="F39">
        <v>3202</v>
      </c>
      <c r="G39" t="s">
        <v>106</v>
      </c>
    </row>
    <row r="40" spans="1:7" x14ac:dyDescent="0.35">
      <c r="A40" t="str">
        <f t="shared" si="2"/>
        <v>Bioenergía del Chira Planta1</v>
      </c>
      <c r="B40" t="s">
        <v>57</v>
      </c>
      <c r="C40">
        <v>1</v>
      </c>
      <c r="D40" t="s">
        <v>29</v>
      </c>
      <c r="E40" t="str">
        <f t="shared" si="1"/>
        <v>35021</v>
      </c>
      <c r="F40">
        <v>3502</v>
      </c>
      <c r="G40" t="s">
        <v>29</v>
      </c>
    </row>
    <row r="41" spans="1:7" x14ac:dyDescent="0.35">
      <c r="A41" t="str">
        <f t="shared" si="2"/>
        <v>Bioenergía del Chira Planta2</v>
      </c>
      <c r="B41" t="s">
        <v>57</v>
      </c>
      <c r="C41">
        <v>2</v>
      </c>
      <c r="D41" t="s">
        <v>58</v>
      </c>
      <c r="E41" t="str">
        <f t="shared" si="1"/>
        <v>35022</v>
      </c>
      <c r="F41">
        <v>3502</v>
      </c>
      <c r="G41" t="s">
        <v>58</v>
      </c>
    </row>
    <row r="42" spans="1:7" x14ac:dyDescent="0.35">
      <c r="A42" t="str">
        <f t="shared" si="2"/>
        <v>Bioenergía del Chira Planta3</v>
      </c>
      <c r="B42" t="s">
        <v>57</v>
      </c>
      <c r="C42">
        <v>3</v>
      </c>
      <c r="D42" t="s">
        <v>61</v>
      </c>
      <c r="E42" t="str">
        <f t="shared" si="1"/>
        <v>35023</v>
      </c>
      <c r="F42">
        <v>3502</v>
      </c>
      <c r="G42" t="s">
        <v>61</v>
      </c>
    </row>
    <row r="43" spans="1:7" x14ac:dyDescent="0.35">
      <c r="A43" t="str">
        <f t="shared" si="2"/>
        <v>Bioenergía del Chira Planta4</v>
      </c>
      <c r="B43" t="s">
        <v>57</v>
      </c>
      <c r="C43">
        <v>4</v>
      </c>
      <c r="D43" t="s">
        <v>64</v>
      </c>
      <c r="E43" t="str">
        <f t="shared" si="1"/>
        <v>35024</v>
      </c>
      <c r="F43">
        <v>3502</v>
      </c>
      <c r="G43" t="s">
        <v>64</v>
      </c>
    </row>
    <row r="44" spans="1:7" x14ac:dyDescent="0.35">
      <c r="A44" t="str">
        <f t="shared" si="2"/>
        <v>Bioenergía del Chira Planta32</v>
      </c>
      <c r="B44" t="s">
        <v>57</v>
      </c>
      <c r="C44">
        <v>32</v>
      </c>
      <c r="D44" t="s">
        <v>101</v>
      </c>
      <c r="E44" t="str">
        <f t="shared" si="1"/>
        <v>350232</v>
      </c>
      <c r="F44">
        <v>3502</v>
      </c>
      <c r="G44" t="s">
        <v>101</v>
      </c>
    </row>
    <row r="45" spans="1:7" x14ac:dyDescent="0.35">
      <c r="A45" t="str">
        <f t="shared" si="2"/>
        <v>Sucroalcolera del Chira Planta1</v>
      </c>
      <c r="B45" t="s">
        <v>41</v>
      </c>
      <c r="C45">
        <v>1</v>
      </c>
      <c r="D45" t="s">
        <v>29</v>
      </c>
      <c r="E45" t="str">
        <f t="shared" si="1"/>
        <v>34021</v>
      </c>
      <c r="F45">
        <v>3402</v>
      </c>
      <c r="G45" t="s">
        <v>29</v>
      </c>
    </row>
    <row r="46" spans="1:7" x14ac:dyDescent="0.35">
      <c r="A46" t="str">
        <f t="shared" si="2"/>
        <v>Sucroalcolera del Chira Planta2</v>
      </c>
      <c r="B46" t="s">
        <v>41</v>
      </c>
      <c r="C46">
        <v>2</v>
      </c>
      <c r="D46" t="s">
        <v>58</v>
      </c>
      <c r="E46" t="str">
        <f t="shared" si="1"/>
        <v>34022</v>
      </c>
      <c r="F46">
        <v>3402</v>
      </c>
      <c r="G46" t="s">
        <v>58</v>
      </c>
    </row>
    <row r="47" spans="1:7" x14ac:dyDescent="0.35">
      <c r="A47" t="str">
        <f t="shared" si="2"/>
        <v>Sucroalcolera del Chira Planta3</v>
      </c>
      <c r="B47" t="s">
        <v>41</v>
      </c>
      <c r="C47">
        <v>3</v>
      </c>
      <c r="D47" t="s">
        <v>60</v>
      </c>
      <c r="E47" t="str">
        <f t="shared" si="1"/>
        <v>34023</v>
      </c>
      <c r="F47">
        <v>3402</v>
      </c>
      <c r="G47" t="s">
        <v>60</v>
      </c>
    </row>
    <row r="48" spans="1:7" x14ac:dyDescent="0.35">
      <c r="A48" t="str">
        <f t="shared" si="2"/>
        <v>Sucroalcolera del Chira Planta4</v>
      </c>
      <c r="B48" t="s">
        <v>41</v>
      </c>
      <c r="C48">
        <v>4</v>
      </c>
      <c r="D48" t="s">
        <v>63</v>
      </c>
      <c r="E48" t="str">
        <f t="shared" si="1"/>
        <v>34024</v>
      </c>
      <c r="F48">
        <v>3402</v>
      </c>
      <c r="G48" t="s">
        <v>63</v>
      </c>
    </row>
    <row r="49" spans="1:7" x14ac:dyDescent="0.35">
      <c r="A49" t="str">
        <f t="shared" si="2"/>
        <v>Sucroalcolera del Chira Planta5</v>
      </c>
      <c r="B49" t="s">
        <v>41</v>
      </c>
      <c r="C49">
        <v>5</v>
      </c>
      <c r="D49" t="s">
        <v>66</v>
      </c>
      <c r="E49" t="str">
        <f t="shared" si="1"/>
        <v>34025</v>
      </c>
      <c r="F49">
        <v>3402</v>
      </c>
      <c r="G49" t="s">
        <v>66</v>
      </c>
    </row>
    <row r="50" spans="1:7" x14ac:dyDescent="0.35">
      <c r="A50" t="str">
        <f t="shared" si="2"/>
        <v>Sucroalcolera del Chira Planta6</v>
      </c>
      <c r="B50" t="s">
        <v>41</v>
      </c>
      <c r="C50">
        <v>6</v>
      </c>
      <c r="D50" t="s">
        <v>68</v>
      </c>
      <c r="E50" t="str">
        <f t="shared" si="1"/>
        <v>34026</v>
      </c>
      <c r="F50">
        <v>3402</v>
      </c>
      <c r="G50" t="s">
        <v>68</v>
      </c>
    </row>
    <row r="51" spans="1:7" x14ac:dyDescent="0.35">
      <c r="A51" t="str">
        <f t="shared" si="2"/>
        <v>Sucroalcolera del Chira Planta7</v>
      </c>
      <c r="B51" t="s">
        <v>41</v>
      </c>
      <c r="C51">
        <v>7</v>
      </c>
      <c r="D51" t="s">
        <v>70</v>
      </c>
      <c r="E51" t="str">
        <f t="shared" si="1"/>
        <v>34027</v>
      </c>
      <c r="F51">
        <v>3402</v>
      </c>
      <c r="G51" t="s">
        <v>70</v>
      </c>
    </row>
    <row r="52" spans="1:7" x14ac:dyDescent="0.35">
      <c r="A52" t="str">
        <f t="shared" si="2"/>
        <v>Sucroalcolera del Chira Planta8</v>
      </c>
      <c r="B52" t="s">
        <v>41</v>
      </c>
      <c r="C52">
        <v>8</v>
      </c>
      <c r="D52" t="s">
        <v>72</v>
      </c>
      <c r="E52" t="str">
        <f t="shared" si="1"/>
        <v>34028</v>
      </c>
      <c r="F52">
        <v>3402</v>
      </c>
      <c r="G52" t="s">
        <v>72</v>
      </c>
    </row>
    <row r="53" spans="1:7" x14ac:dyDescent="0.35">
      <c r="A53" t="str">
        <f t="shared" si="2"/>
        <v>Sucroalcolera del Chira Planta9</v>
      </c>
      <c r="B53" t="s">
        <v>41</v>
      </c>
      <c r="C53">
        <v>9</v>
      </c>
      <c r="D53" t="s">
        <v>64</v>
      </c>
      <c r="E53" t="str">
        <f t="shared" si="1"/>
        <v>34029</v>
      </c>
      <c r="F53">
        <v>3402</v>
      </c>
      <c r="G53" t="s">
        <v>64</v>
      </c>
    </row>
    <row r="54" spans="1:7" x14ac:dyDescent="0.35">
      <c r="A54" t="str">
        <f t="shared" si="2"/>
        <v>Sucroalcolera del Chira Planta10</v>
      </c>
      <c r="B54" t="s">
        <v>41</v>
      </c>
      <c r="C54">
        <v>10</v>
      </c>
      <c r="D54" t="s">
        <v>75</v>
      </c>
      <c r="E54" t="str">
        <f t="shared" si="1"/>
        <v>340210</v>
      </c>
      <c r="F54">
        <v>3402</v>
      </c>
      <c r="G54" t="s">
        <v>75</v>
      </c>
    </row>
    <row r="55" spans="1:7" x14ac:dyDescent="0.35">
      <c r="A55" t="str">
        <f t="shared" si="2"/>
        <v>Sucroalcolera del Chira Planta11</v>
      </c>
      <c r="B55" t="s">
        <v>41</v>
      </c>
      <c r="C55">
        <v>11</v>
      </c>
      <c r="D55" t="s">
        <v>77</v>
      </c>
      <c r="E55" t="str">
        <f t="shared" si="1"/>
        <v>340211</v>
      </c>
      <c r="F55">
        <v>3402</v>
      </c>
      <c r="G55" t="s">
        <v>77</v>
      </c>
    </row>
    <row r="56" spans="1:7" x14ac:dyDescent="0.35">
      <c r="A56" t="str">
        <f t="shared" si="2"/>
        <v>Sucroalcolera del Chira Planta12</v>
      </c>
      <c r="B56" t="s">
        <v>41</v>
      </c>
      <c r="C56">
        <v>12</v>
      </c>
      <c r="D56" t="s">
        <v>79</v>
      </c>
      <c r="E56" t="str">
        <f t="shared" si="1"/>
        <v>340212</v>
      </c>
      <c r="F56">
        <v>3402</v>
      </c>
      <c r="G56" t="s">
        <v>79</v>
      </c>
    </row>
    <row r="57" spans="1:7" x14ac:dyDescent="0.35">
      <c r="A57" t="str">
        <f t="shared" si="2"/>
        <v>Sucroalcolera del Chira Planta13</v>
      </c>
      <c r="B57" t="s">
        <v>41</v>
      </c>
      <c r="C57">
        <v>13</v>
      </c>
      <c r="D57" t="s">
        <v>81</v>
      </c>
      <c r="E57" t="str">
        <f t="shared" si="1"/>
        <v>340213</v>
      </c>
      <c r="F57">
        <v>3402</v>
      </c>
      <c r="G57" t="s">
        <v>81</v>
      </c>
    </row>
    <row r="58" spans="1:7" x14ac:dyDescent="0.35">
      <c r="A58" t="str">
        <f t="shared" si="2"/>
        <v>Sucroalcolera del Chira Planta14</v>
      </c>
      <c r="B58" t="s">
        <v>41</v>
      </c>
      <c r="C58">
        <v>14</v>
      </c>
      <c r="D58" t="s">
        <v>83</v>
      </c>
      <c r="E58" t="str">
        <f t="shared" si="1"/>
        <v>340214</v>
      </c>
      <c r="F58">
        <v>3402</v>
      </c>
      <c r="G58" t="s">
        <v>83</v>
      </c>
    </row>
    <row r="59" spans="1:7" x14ac:dyDescent="0.35">
      <c r="A59" t="str">
        <f t="shared" si="2"/>
        <v>Sucroalcolera del Chira Planta28</v>
      </c>
      <c r="B59" t="s">
        <v>41</v>
      </c>
      <c r="C59">
        <v>28</v>
      </c>
      <c r="D59" t="s">
        <v>96</v>
      </c>
      <c r="E59" t="str">
        <f t="shared" si="1"/>
        <v>340228</v>
      </c>
      <c r="F59">
        <v>3402</v>
      </c>
      <c r="G59" t="s">
        <v>96</v>
      </c>
    </row>
    <row r="60" spans="1:7" x14ac:dyDescent="0.35">
      <c r="A60" t="str">
        <f t="shared" si="2"/>
        <v>Sucroalcolera del Chira Planta32</v>
      </c>
      <c r="B60" t="s">
        <v>41</v>
      </c>
      <c r="C60">
        <v>32</v>
      </c>
      <c r="D60" t="s">
        <v>101</v>
      </c>
      <c r="E60" t="str">
        <f t="shared" si="1"/>
        <v>340232</v>
      </c>
      <c r="F60">
        <v>3402</v>
      </c>
      <c r="G60" t="s">
        <v>101</v>
      </c>
    </row>
  </sheetData>
  <autoFilter ref="A1:G60" xr:uid="{2F8053F6-5B2C-4CEE-9F9F-4BEA4C0994AD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Formato_Enviar</vt:lpstr>
      <vt:lpstr>Resumen</vt:lpstr>
      <vt:lpstr>Informe_Ingresos</vt:lpstr>
      <vt:lpstr>TD</vt:lpstr>
      <vt:lpstr>Compradores</vt:lpstr>
      <vt:lpstr>Almacen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Saulo Renelmo Garcia Pasapera</dc:creator>
  <cp:lastModifiedBy>Aileen Sofia Lachira Prado</cp:lastModifiedBy>
  <dcterms:created xsi:type="dcterms:W3CDTF">2015-06-05T18:19:34Z</dcterms:created>
  <dcterms:modified xsi:type="dcterms:W3CDTF">2023-03-09T00:14:37Z</dcterms:modified>
</cp:coreProperties>
</file>