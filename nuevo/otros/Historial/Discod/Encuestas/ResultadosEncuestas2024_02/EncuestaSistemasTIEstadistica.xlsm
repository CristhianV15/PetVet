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"/>
    </mc:Choice>
  </mc:AlternateContent>
  <xr:revisionPtr revIDLastSave="0" documentId="13_ncr:1_{C82C1B84-F79C-4A55-9F3C-F2D2DBE9F5D1}" xr6:coauthVersionLast="47" xr6:coauthVersionMax="47" xr10:uidLastSave="{00000000-0000-0000-0000-000000000000}"/>
  <bookViews>
    <workbookView xWindow="-108" yWindow="-108" windowWidth="23256" windowHeight="13896" firstSheet="4" activeTab="4" xr2:uid="{33B226CF-D489-4D0F-8D70-DC6CBAFC18C2}"/>
  </bookViews>
  <sheets>
    <sheet name="DataUsuario" sheetId="19" r:id="rId1"/>
    <sheet name="EncuestaAreas" sheetId="18" r:id="rId2"/>
    <sheet name="UniversoAreas" sheetId="121" r:id="rId3"/>
    <sheet name="HistoricoAreas" sheetId="162" r:id="rId4"/>
    <sheet name="Paso1_RespuestasMicrosoftForms" sheetId="192" r:id="rId5"/>
    <sheet name="Estadística" sheetId="193" r:id="rId6"/>
    <sheet name="Paso2_Comentarios" sheetId="194" r:id="rId7"/>
    <sheet name="Paso3_Tabuleado" sheetId="19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93" l="1"/>
  <c r="E2" i="196" l="1"/>
  <c r="E3" i="196"/>
  <c r="E4" i="196"/>
  <c r="E5" i="196"/>
  <c r="E6" i="196"/>
  <c r="E7" i="196"/>
  <c r="E8" i="196"/>
  <c r="E9" i="196"/>
  <c r="E10" i="196"/>
  <c r="E11" i="196"/>
  <c r="E12" i="196"/>
  <c r="E13" i="196"/>
  <c r="E14" i="196"/>
  <c r="E15" i="196"/>
  <c r="E16" i="196"/>
  <c r="E17" i="196"/>
  <c r="E18" i="196"/>
  <c r="E19" i="196"/>
  <c r="E20" i="196"/>
  <c r="E21" i="196"/>
  <c r="E22" i="196"/>
  <c r="E23" i="196"/>
  <c r="E24" i="196"/>
  <c r="E25" i="196"/>
  <c r="E26" i="196"/>
  <c r="E27" i="196"/>
  <c r="E28" i="196"/>
  <c r="E29" i="196"/>
  <c r="E30" i="196"/>
  <c r="E31" i="196"/>
  <c r="E32" i="196"/>
  <c r="E33" i="196"/>
  <c r="E34" i="196"/>
  <c r="E35" i="196"/>
  <c r="E36" i="196"/>
  <c r="E37" i="196"/>
  <c r="E38" i="196"/>
  <c r="E39" i="196"/>
  <c r="E40" i="196"/>
  <c r="E41" i="196"/>
  <c r="E42" i="196"/>
  <c r="E43" i="196"/>
  <c r="E44" i="196"/>
  <c r="E45" i="196"/>
  <c r="E46" i="196"/>
  <c r="E47" i="196"/>
  <c r="E48" i="196"/>
  <c r="E49" i="196"/>
  <c r="E50" i="196"/>
  <c r="E51" i="196"/>
  <c r="E52" i="196"/>
  <c r="E53" i="196"/>
  <c r="E54" i="196"/>
  <c r="E55" i="196"/>
  <c r="E56" i="196"/>
  <c r="E57" i="196"/>
  <c r="E58" i="196"/>
  <c r="E59" i="196"/>
  <c r="E60" i="196"/>
  <c r="E61" i="196"/>
  <c r="E62" i="196"/>
  <c r="E63" i="196"/>
  <c r="E64" i="196"/>
  <c r="E65" i="196"/>
  <c r="E66" i="196"/>
  <c r="E67" i="196"/>
  <c r="E68" i="196"/>
  <c r="E69" i="196"/>
  <c r="E70" i="196"/>
  <c r="E71" i="196"/>
  <c r="E72" i="196"/>
  <c r="E73" i="196"/>
  <c r="E74" i="196"/>
  <c r="E75" i="196"/>
  <c r="E76" i="196"/>
  <c r="E77" i="196"/>
  <c r="E78" i="196"/>
  <c r="E79" i="196"/>
  <c r="E80" i="196"/>
  <c r="E81" i="196"/>
  <c r="E82" i="196"/>
  <c r="E83" i="196"/>
  <c r="E84" i="196"/>
  <c r="E85" i="196"/>
  <c r="E86" i="196"/>
  <c r="E87" i="196"/>
  <c r="E88" i="196"/>
  <c r="E89" i="196"/>
  <c r="E90" i="196"/>
  <c r="E91" i="196"/>
  <c r="E92" i="196"/>
  <c r="E93" i="196"/>
  <c r="E94" i="196"/>
  <c r="E95" i="196"/>
  <c r="E96" i="196"/>
  <c r="E97" i="196"/>
  <c r="E98" i="196"/>
  <c r="E99" i="196"/>
  <c r="E100" i="196"/>
  <c r="E101" i="196"/>
  <c r="E102" i="196"/>
  <c r="E103" i="196"/>
  <c r="E104" i="196"/>
  <c r="E105" i="196"/>
  <c r="E106" i="196"/>
  <c r="E107" i="196"/>
  <c r="E108" i="196"/>
  <c r="E109" i="196"/>
  <c r="E110" i="196"/>
  <c r="E111" i="196"/>
  <c r="E112" i="196"/>
  <c r="E113" i="196"/>
  <c r="E114" i="196"/>
  <c r="E115" i="196"/>
  <c r="E116" i="196"/>
  <c r="E117" i="196"/>
  <c r="E118" i="196"/>
  <c r="E119" i="196"/>
  <c r="E120" i="196"/>
  <c r="E121" i="196"/>
  <c r="E122" i="196"/>
  <c r="E123" i="196"/>
  <c r="E124" i="196"/>
  <c r="E125" i="196"/>
  <c r="E126" i="196"/>
  <c r="E127" i="196"/>
  <c r="E128" i="196"/>
  <c r="E129" i="196"/>
  <c r="E130" i="196"/>
  <c r="E131" i="196"/>
  <c r="E132" i="196"/>
  <c r="E133" i="196"/>
  <c r="E134" i="196"/>
  <c r="E135" i="196"/>
  <c r="E136" i="196"/>
  <c r="E137" i="196"/>
  <c r="E138" i="196"/>
  <c r="E139" i="196"/>
  <c r="E140" i="196"/>
  <c r="E141" i="196"/>
  <c r="E142" i="196"/>
  <c r="E143" i="196"/>
  <c r="E144" i="196"/>
  <c r="E145" i="196"/>
  <c r="E146" i="196"/>
  <c r="E147" i="196"/>
  <c r="E148" i="196"/>
  <c r="E149" i="196"/>
  <c r="E150" i="196"/>
  <c r="E151" i="196"/>
  <c r="E152" i="196"/>
  <c r="E153" i="196"/>
  <c r="E154" i="196"/>
  <c r="E155" i="196"/>
  <c r="E156" i="196"/>
  <c r="E157" i="196"/>
  <c r="E158" i="196"/>
  <c r="E159" i="196"/>
  <c r="E160" i="196"/>
  <c r="E161" i="196"/>
  <c r="E162" i="196"/>
  <c r="E163" i="196"/>
  <c r="E164" i="196"/>
  <c r="E165" i="196"/>
  <c r="E166" i="196"/>
  <c r="E167" i="196"/>
  <c r="E168" i="196"/>
  <c r="E169" i="196"/>
  <c r="E170" i="196"/>
  <c r="E171" i="196"/>
  <c r="E172" i="196"/>
  <c r="E173" i="196"/>
  <c r="E174" i="196"/>
  <c r="E175" i="196"/>
  <c r="E176" i="196"/>
  <c r="E177" i="196"/>
  <c r="E178" i="196"/>
  <c r="E179" i="196"/>
  <c r="E180" i="196"/>
  <c r="E181" i="196"/>
  <c r="E182" i="196"/>
  <c r="E183" i="196"/>
  <c r="E184" i="196"/>
  <c r="E185" i="196"/>
  <c r="E186" i="196"/>
  <c r="E187" i="196"/>
  <c r="E188" i="196"/>
  <c r="E189" i="196"/>
  <c r="E190" i="196"/>
  <c r="E191" i="196"/>
  <c r="E192" i="196"/>
  <c r="E193" i="196"/>
  <c r="E194" i="196"/>
  <c r="E195" i="196"/>
  <c r="E196" i="196"/>
  <c r="E197" i="196"/>
  <c r="E198" i="196"/>
  <c r="E199" i="196"/>
  <c r="E200" i="196"/>
  <c r="E201" i="196"/>
  <c r="E202" i="196"/>
  <c r="E203" i="196"/>
  <c r="E204" i="196"/>
  <c r="E205" i="196"/>
  <c r="E206" i="196"/>
  <c r="E207" i="196"/>
  <c r="E208" i="196"/>
  <c r="E209" i="196"/>
  <c r="E210" i="196"/>
  <c r="E211" i="196"/>
  <c r="E212" i="196"/>
  <c r="E213" i="196"/>
  <c r="E214" i="196"/>
  <c r="E215" i="196"/>
  <c r="E216" i="196"/>
  <c r="E217" i="196"/>
  <c r="E218" i="196"/>
  <c r="E219" i="196"/>
  <c r="E220" i="196"/>
  <c r="E221" i="196"/>
  <c r="E222" i="196"/>
  <c r="E223" i="196"/>
  <c r="E224" i="196"/>
  <c r="E225" i="196"/>
  <c r="E226" i="196"/>
  <c r="E227" i="196"/>
  <c r="E228" i="196"/>
  <c r="E229" i="196"/>
  <c r="E230" i="196"/>
  <c r="E231" i="196"/>
  <c r="E232" i="196"/>
  <c r="E233" i="196"/>
  <c r="E234" i="196"/>
  <c r="E235" i="196"/>
  <c r="E236" i="196"/>
  <c r="E237" i="196"/>
  <c r="E238" i="196"/>
  <c r="E239" i="196"/>
  <c r="E240" i="196"/>
  <c r="E241" i="196"/>
  <c r="E242" i="196"/>
  <c r="E243" i="196"/>
  <c r="E244" i="196"/>
  <c r="E245" i="196"/>
  <c r="E246" i="196"/>
  <c r="E247" i="196"/>
  <c r="E248" i="196"/>
  <c r="E249" i="196"/>
  <c r="E250" i="196"/>
  <c r="E251" i="196"/>
  <c r="E252" i="196"/>
  <c r="E253" i="196"/>
  <c r="E254" i="196"/>
  <c r="E255" i="196"/>
  <c r="E256" i="196"/>
  <c r="E257" i="196"/>
  <c r="E258" i="196"/>
  <c r="E259" i="196"/>
  <c r="E260" i="196"/>
  <c r="E261" i="196"/>
  <c r="E262" i="196"/>
  <c r="E263" i="196"/>
  <c r="E264" i="196"/>
  <c r="E265" i="196"/>
  <c r="E266" i="196"/>
  <c r="E267" i="196"/>
  <c r="E268" i="196"/>
  <c r="E269" i="196"/>
  <c r="E270" i="196"/>
  <c r="E271" i="196"/>
  <c r="E272" i="196"/>
  <c r="E273" i="196"/>
  <c r="E274" i="196"/>
  <c r="E275" i="196"/>
  <c r="E276" i="196"/>
  <c r="E277" i="196"/>
  <c r="E278" i="196"/>
  <c r="E279" i="196"/>
  <c r="E280" i="196"/>
  <c r="E281" i="196"/>
  <c r="E282" i="196"/>
  <c r="E283" i="196"/>
  <c r="E284" i="196"/>
  <c r="E285" i="196"/>
  <c r="E286" i="196"/>
  <c r="E287" i="196"/>
  <c r="E288" i="196"/>
  <c r="E289" i="196"/>
  <c r="E290" i="196"/>
  <c r="E291" i="196"/>
  <c r="E292" i="196"/>
  <c r="E293" i="196"/>
  <c r="E294" i="196"/>
  <c r="E295" i="196"/>
  <c r="E296" i="196"/>
  <c r="E297" i="196"/>
  <c r="E298" i="196"/>
  <c r="E299" i="196"/>
  <c r="E300" i="196"/>
  <c r="E301" i="196"/>
  <c r="E302" i="196"/>
  <c r="E303" i="196"/>
  <c r="E304" i="196"/>
  <c r="E305" i="196"/>
  <c r="E306" i="196"/>
  <c r="E307" i="196"/>
  <c r="E308" i="196"/>
  <c r="E309" i="196"/>
  <c r="E310" i="196"/>
  <c r="E311" i="196"/>
  <c r="E312" i="196"/>
  <c r="E313" i="196"/>
  <c r="E314" i="196"/>
  <c r="E315" i="196"/>
  <c r="E316" i="196"/>
  <c r="E317" i="196"/>
  <c r="E318" i="196"/>
  <c r="E319" i="196"/>
  <c r="E320" i="196"/>
  <c r="E321" i="196"/>
  <c r="E322" i="196"/>
  <c r="E323" i="196"/>
  <c r="E324" i="196"/>
  <c r="E325" i="196"/>
  <c r="E326" i="196"/>
  <c r="E327" i="196"/>
  <c r="E328" i="196"/>
  <c r="E329" i="196"/>
  <c r="E330" i="196"/>
  <c r="E331" i="196"/>
  <c r="E332" i="196"/>
  <c r="E333" i="196"/>
  <c r="E334" i="196"/>
  <c r="E335" i="196"/>
  <c r="E336" i="196"/>
  <c r="E337" i="196"/>
  <c r="E338" i="196"/>
  <c r="E339" i="196"/>
  <c r="E340" i="196"/>
  <c r="E341" i="196"/>
  <c r="E342" i="196"/>
  <c r="E343" i="196"/>
  <c r="E344" i="196"/>
  <c r="E345" i="196"/>
  <c r="E346" i="196"/>
  <c r="E347" i="196"/>
  <c r="E348" i="196"/>
  <c r="E349" i="196"/>
  <c r="E350" i="196"/>
  <c r="E351" i="196"/>
  <c r="E352" i="196"/>
  <c r="E353" i="196"/>
  <c r="E354" i="196"/>
  <c r="E355" i="196"/>
  <c r="E356" i="196"/>
  <c r="E357" i="196"/>
  <c r="E358" i="196"/>
  <c r="E359" i="196"/>
  <c r="E360" i="196"/>
  <c r="E361" i="196"/>
  <c r="E362" i="196"/>
  <c r="E363" i="196"/>
  <c r="E364" i="196"/>
  <c r="E365" i="196"/>
  <c r="E366" i="196"/>
  <c r="E367" i="196"/>
  <c r="E368" i="196"/>
  <c r="E369" i="196"/>
  <c r="E370" i="196"/>
  <c r="E371" i="196"/>
  <c r="E372" i="196"/>
  <c r="E373" i="196"/>
  <c r="E374" i="196"/>
  <c r="E375" i="196"/>
  <c r="E376" i="196"/>
  <c r="E377" i="196"/>
  <c r="E378" i="196"/>
  <c r="E379" i="196"/>
  <c r="E380" i="196"/>
  <c r="E381" i="196"/>
  <c r="E382" i="196"/>
  <c r="E383" i="196"/>
  <c r="E384" i="196"/>
  <c r="E385" i="196"/>
  <c r="E386" i="196"/>
  <c r="E387" i="196"/>
  <c r="E388" i="196"/>
  <c r="E389" i="196"/>
  <c r="E390" i="196"/>
  <c r="E391" i="196"/>
  <c r="E392" i="196"/>
  <c r="E393" i="196"/>
  <c r="E394" i="196"/>
  <c r="E395" i="196"/>
  <c r="E396" i="196"/>
  <c r="E397" i="196"/>
  <c r="E398" i="196"/>
  <c r="E399" i="196"/>
  <c r="E400" i="196"/>
  <c r="E401" i="196"/>
  <c r="E402" i="196"/>
  <c r="E403" i="196"/>
  <c r="E404" i="196"/>
  <c r="E405" i="196"/>
  <c r="E406" i="196"/>
  <c r="E407" i="196"/>
  <c r="E408" i="196"/>
  <c r="E409" i="196"/>
  <c r="E410" i="196"/>
  <c r="E411" i="196"/>
  <c r="E412" i="196"/>
  <c r="E413" i="196"/>
  <c r="E414" i="196"/>
  <c r="E415" i="196"/>
  <c r="E416" i="196"/>
  <c r="E417" i="196"/>
  <c r="E418" i="196"/>
  <c r="E419" i="196"/>
  <c r="E420" i="196"/>
  <c r="E421" i="196"/>
  <c r="E422" i="196"/>
  <c r="E423" i="196"/>
  <c r="E424" i="196"/>
  <c r="E425" i="196"/>
  <c r="E426" i="196"/>
  <c r="E427" i="196"/>
  <c r="E428" i="196"/>
  <c r="E429" i="196"/>
  <c r="E430" i="196"/>
  <c r="E431" i="196"/>
  <c r="E432" i="196"/>
  <c r="E433" i="196"/>
  <c r="E434" i="196"/>
  <c r="E435" i="196"/>
  <c r="E436" i="196"/>
  <c r="E437" i="196"/>
  <c r="E438" i="196"/>
  <c r="E439" i="196"/>
  <c r="E440" i="196"/>
  <c r="E441" i="196"/>
  <c r="E442" i="196"/>
  <c r="E443" i="196"/>
  <c r="E444" i="196"/>
  <c r="E445" i="196"/>
  <c r="E446" i="196"/>
  <c r="E447" i="196"/>
  <c r="E448" i="196"/>
  <c r="E449" i="196"/>
  <c r="E450" i="196"/>
  <c r="E451" i="196"/>
  <c r="E452" i="196"/>
  <c r="E453" i="196"/>
  <c r="E454" i="196"/>
  <c r="E455" i="196"/>
  <c r="E456" i="196"/>
  <c r="E457" i="196"/>
  <c r="E458" i="196"/>
  <c r="E459" i="196"/>
  <c r="E460" i="196"/>
  <c r="E461" i="196"/>
  <c r="E462" i="196"/>
  <c r="E463" i="196"/>
  <c r="E464" i="196"/>
  <c r="E465" i="196"/>
  <c r="E466" i="196"/>
  <c r="E467" i="196"/>
  <c r="E468" i="196"/>
  <c r="E469" i="196"/>
  <c r="E470" i="196"/>
  <c r="E471" i="196"/>
  <c r="E472" i="196"/>
  <c r="E473" i="196"/>
  <c r="E474" i="196"/>
  <c r="E475" i="196"/>
  <c r="E476" i="196"/>
  <c r="E477" i="196"/>
  <c r="E478" i="196"/>
  <c r="E479" i="196"/>
  <c r="E480" i="196"/>
  <c r="E481" i="196"/>
  <c r="E482" i="196"/>
  <c r="E483" i="196"/>
  <c r="E484" i="196"/>
  <c r="E485" i="196"/>
  <c r="E486" i="196"/>
  <c r="E487" i="196"/>
  <c r="E488" i="196"/>
  <c r="E489" i="196"/>
  <c r="E490" i="196"/>
  <c r="E491" i="196"/>
  <c r="E492" i="196"/>
  <c r="E493" i="196"/>
  <c r="E494" i="196"/>
  <c r="E495" i="196"/>
  <c r="E496" i="196"/>
  <c r="E497" i="196"/>
  <c r="E498" i="196"/>
  <c r="E499" i="196"/>
  <c r="E500" i="196"/>
  <c r="E501" i="196"/>
  <c r="E502" i="196"/>
  <c r="E503" i="196"/>
  <c r="E504" i="196"/>
  <c r="E505" i="196"/>
  <c r="E506" i="196"/>
  <c r="E507" i="196"/>
  <c r="E508" i="196"/>
  <c r="E509" i="196"/>
  <c r="E510" i="196"/>
  <c r="E511" i="196"/>
  <c r="E512" i="196"/>
  <c r="E513" i="196"/>
  <c r="E514" i="196"/>
  <c r="E515" i="196"/>
  <c r="E516" i="196"/>
  <c r="E517" i="196"/>
  <c r="E518" i="196"/>
  <c r="E519" i="196"/>
  <c r="E520" i="196"/>
  <c r="E521" i="196"/>
  <c r="E522" i="196"/>
  <c r="E523" i="196"/>
  <c r="E524" i="196"/>
  <c r="E525" i="196"/>
  <c r="E526" i="196"/>
  <c r="E527" i="196"/>
  <c r="E528" i="196"/>
  <c r="E529" i="196"/>
  <c r="E530" i="196"/>
  <c r="E531" i="196"/>
  <c r="E532" i="196"/>
  <c r="E533" i="196"/>
  <c r="E534" i="196"/>
  <c r="E535" i="196"/>
  <c r="E536" i="196"/>
  <c r="E537" i="196"/>
  <c r="E538" i="196"/>
  <c r="E539" i="196"/>
  <c r="E540" i="196"/>
  <c r="E541" i="196"/>
  <c r="E542" i="196"/>
  <c r="E543" i="196"/>
  <c r="E544" i="196"/>
  <c r="E545" i="196"/>
  <c r="E546" i="196"/>
  <c r="E547" i="196"/>
  <c r="E548" i="196"/>
  <c r="E549" i="196"/>
  <c r="E550" i="196"/>
  <c r="E551" i="196"/>
  <c r="E552" i="196"/>
  <c r="E553" i="196"/>
  <c r="E554" i="196"/>
  <c r="E555" i="196"/>
  <c r="E556" i="196"/>
  <c r="E557" i="196"/>
  <c r="E558" i="196"/>
  <c r="E559" i="196"/>
  <c r="E560" i="196"/>
  <c r="E561" i="196"/>
  <c r="E562" i="196"/>
  <c r="E563" i="196"/>
  <c r="E564" i="196"/>
  <c r="E565" i="196"/>
  <c r="E566" i="196"/>
  <c r="E567" i="196"/>
  <c r="E568" i="196"/>
  <c r="E569" i="196"/>
  <c r="E570" i="196"/>
  <c r="E571" i="196"/>
  <c r="D2" i="196"/>
  <c r="D3" i="196"/>
  <c r="D4" i="196"/>
  <c r="D5" i="196"/>
  <c r="D6" i="196"/>
  <c r="D7" i="196"/>
  <c r="D8" i="196"/>
  <c r="D9" i="196"/>
  <c r="D10" i="196"/>
  <c r="D11" i="196"/>
  <c r="D12" i="196"/>
  <c r="D13" i="196"/>
  <c r="D14" i="196"/>
  <c r="D15" i="196"/>
  <c r="D16" i="196"/>
  <c r="D17" i="196"/>
  <c r="D18" i="196"/>
  <c r="D19" i="196"/>
  <c r="D20" i="196"/>
  <c r="D21" i="196"/>
  <c r="D22" i="196"/>
  <c r="D23" i="196"/>
  <c r="D24" i="196"/>
  <c r="D25" i="196"/>
  <c r="D26" i="196"/>
  <c r="D27" i="196"/>
  <c r="D28" i="196"/>
  <c r="D29" i="196"/>
  <c r="D30" i="196"/>
  <c r="D31" i="196"/>
  <c r="D32" i="196"/>
  <c r="D33" i="196"/>
  <c r="D34" i="196"/>
  <c r="D35" i="196"/>
  <c r="D36" i="196"/>
  <c r="D37" i="196"/>
  <c r="D38" i="196"/>
  <c r="D39" i="196"/>
  <c r="D40" i="196"/>
  <c r="D41" i="196"/>
  <c r="D42" i="196"/>
  <c r="D43" i="196"/>
  <c r="D44" i="196"/>
  <c r="D45" i="196"/>
  <c r="D46" i="196"/>
  <c r="D47" i="196"/>
  <c r="D48" i="196"/>
  <c r="D49" i="196"/>
  <c r="D50" i="196"/>
  <c r="D51" i="196"/>
  <c r="D52" i="196"/>
  <c r="D53" i="196"/>
  <c r="D54" i="196"/>
  <c r="D55" i="196"/>
  <c r="D56" i="196"/>
  <c r="D57" i="196"/>
  <c r="D58" i="196"/>
  <c r="D59" i="196"/>
  <c r="D60" i="196"/>
  <c r="D61" i="196"/>
  <c r="D62" i="196"/>
  <c r="D63" i="196"/>
  <c r="D64" i="196"/>
  <c r="D65" i="196"/>
  <c r="D66" i="196"/>
  <c r="D67" i="196"/>
  <c r="D68" i="196"/>
  <c r="D69" i="196"/>
  <c r="D70" i="196"/>
  <c r="D71" i="196"/>
  <c r="D72" i="196"/>
  <c r="D73" i="196"/>
  <c r="D74" i="196"/>
  <c r="D75" i="196"/>
  <c r="D76" i="196"/>
  <c r="D77" i="196"/>
  <c r="D78" i="196"/>
  <c r="D79" i="196"/>
  <c r="D80" i="196"/>
  <c r="D81" i="196"/>
  <c r="D82" i="196"/>
  <c r="D83" i="196"/>
  <c r="D84" i="196"/>
  <c r="D85" i="196"/>
  <c r="D86" i="196"/>
  <c r="D87" i="196"/>
  <c r="D88" i="196"/>
  <c r="D89" i="196"/>
  <c r="D90" i="196"/>
  <c r="D91" i="196"/>
  <c r="D92" i="196"/>
  <c r="D93" i="196"/>
  <c r="D94" i="196"/>
  <c r="D95" i="196"/>
  <c r="D96" i="196"/>
  <c r="D97" i="196"/>
  <c r="D98" i="196"/>
  <c r="D99" i="196"/>
  <c r="D100" i="196"/>
  <c r="D101" i="196"/>
  <c r="D102" i="196"/>
  <c r="D103" i="196"/>
  <c r="D104" i="196"/>
  <c r="D105" i="196"/>
  <c r="D106" i="196"/>
  <c r="D107" i="196"/>
  <c r="D108" i="196"/>
  <c r="D109" i="196"/>
  <c r="D110" i="196"/>
  <c r="D111" i="196"/>
  <c r="D112" i="196"/>
  <c r="D113" i="196"/>
  <c r="D114" i="196"/>
  <c r="D115" i="196"/>
  <c r="D116" i="196"/>
  <c r="D117" i="196"/>
  <c r="D118" i="196"/>
  <c r="D119" i="196"/>
  <c r="D120" i="196"/>
  <c r="D121" i="196"/>
  <c r="D122" i="196"/>
  <c r="D123" i="196"/>
  <c r="D124" i="196"/>
  <c r="D125" i="196"/>
  <c r="D126" i="196"/>
  <c r="D127" i="196"/>
  <c r="D128" i="196"/>
  <c r="D129" i="196"/>
  <c r="D130" i="196"/>
  <c r="D131" i="196"/>
  <c r="D132" i="196"/>
  <c r="D133" i="196"/>
  <c r="D134" i="196"/>
  <c r="D135" i="196"/>
  <c r="D136" i="196"/>
  <c r="D137" i="196"/>
  <c r="D138" i="196"/>
  <c r="D139" i="196"/>
  <c r="D140" i="196"/>
  <c r="D141" i="196"/>
  <c r="D142" i="196"/>
  <c r="D143" i="196"/>
  <c r="D144" i="196"/>
  <c r="D145" i="196"/>
  <c r="D146" i="196"/>
  <c r="D147" i="196"/>
  <c r="D148" i="196"/>
  <c r="D149" i="196"/>
  <c r="D150" i="196"/>
  <c r="D151" i="196"/>
  <c r="D152" i="196"/>
  <c r="D153" i="196"/>
  <c r="D154" i="196"/>
  <c r="D155" i="196"/>
  <c r="D156" i="196"/>
  <c r="D157" i="196"/>
  <c r="D158" i="196"/>
  <c r="D159" i="196"/>
  <c r="D160" i="196"/>
  <c r="D161" i="196"/>
  <c r="D162" i="196"/>
  <c r="D163" i="196"/>
  <c r="D164" i="196"/>
  <c r="D165" i="196"/>
  <c r="D166" i="196"/>
  <c r="D167" i="196"/>
  <c r="D168" i="196"/>
  <c r="D169" i="196"/>
  <c r="D170" i="196"/>
  <c r="D171" i="196"/>
  <c r="D172" i="196"/>
  <c r="D173" i="196"/>
  <c r="D174" i="196"/>
  <c r="D175" i="196"/>
  <c r="D176" i="196"/>
  <c r="D177" i="196"/>
  <c r="D178" i="196"/>
  <c r="D179" i="196"/>
  <c r="D180" i="196"/>
  <c r="D181" i="196"/>
  <c r="D182" i="196"/>
  <c r="D183" i="196"/>
  <c r="D184" i="196"/>
  <c r="D185" i="196"/>
  <c r="D186" i="196"/>
  <c r="D187" i="196"/>
  <c r="D188" i="196"/>
  <c r="D189" i="196"/>
  <c r="D190" i="196"/>
  <c r="D191" i="196"/>
  <c r="D192" i="196"/>
  <c r="D193" i="196"/>
  <c r="D194" i="196"/>
  <c r="D195" i="196"/>
  <c r="D196" i="196"/>
  <c r="D197" i="196"/>
  <c r="D198" i="196"/>
  <c r="D199" i="196"/>
  <c r="D200" i="196"/>
  <c r="D201" i="196"/>
  <c r="D202" i="196"/>
  <c r="D203" i="196"/>
  <c r="D204" i="196"/>
  <c r="D205" i="196"/>
  <c r="D206" i="196"/>
  <c r="D207" i="196"/>
  <c r="D208" i="196"/>
  <c r="D209" i="196"/>
  <c r="D210" i="196"/>
  <c r="D211" i="196"/>
  <c r="D212" i="196"/>
  <c r="D213" i="196"/>
  <c r="D214" i="196"/>
  <c r="D215" i="196"/>
  <c r="D216" i="196"/>
  <c r="D217" i="196"/>
  <c r="D218" i="196"/>
  <c r="D219" i="196"/>
  <c r="D220" i="196"/>
  <c r="D221" i="196"/>
  <c r="D222" i="196"/>
  <c r="D223" i="196"/>
  <c r="D224" i="196"/>
  <c r="D225" i="196"/>
  <c r="D226" i="196"/>
  <c r="D227" i="196"/>
  <c r="D228" i="196"/>
  <c r="D229" i="196"/>
  <c r="D230" i="196"/>
  <c r="D231" i="196"/>
  <c r="D232" i="196"/>
  <c r="D233" i="196"/>
  <c r="D234" i="196"/>
  <c r="D235" i="196"/>
  <c r="D236" i="196"/>
  <c r="D237" i="196"/>
  <c r="D238" i="196"/>
  <c r="D239" i="196"/>
  <c r="D240" i="196"/>
  <c r="D241" i="196"/>
  <c r="D242" i="196"/>
  <c r="D243" i="196"/>
  <c r="D244" i="196"/>
  <c r="D245" i="196"/>
  <c r="D246" i="196"/>
  <c r="D247" i="196"/>
  <c r="D248" i="196"/>
  <c r="D249" i="196"/>
  <c r="D250" i="196"/>
  <c r="D251" i="196"/>
  <c r="D252" i="196"/>
  <c r="D253" i="196"/>
  <c r="D254" i="196"/>
  <c r="D255" i="196"/>
  <c r="D256" i="196"/>
  <c r="D257" i="196"/>
  <c r="D258" i="196"/>
  <c r="D259" i="196"/>
  <c r="D260" i="196"/>
  <c r="D261" i="196"/>
  <c r="D262" i="196"/>
  <c r="D263" i="196"/>
  <c r="D264" i="196"/>
  <c r="D265" i="196"/>
  <c r="D266" i="196"/>
  <c r="D267" i="196"/>
  <c r="D268" i="196"/>
  <c r="D269" i="196"/>
  <c r="D270" i="196"/>
  <c r="D271" i="196"/>
  <c r="D272" i="196"/>
  <c r="D273" i="196"/>
  <c r="D274" i="196"/>
  <c r="D275" i="196"/>
  <c r="D276" i="196"/>
  <c r="D277" i="196"/>
  <c r="D278" i="196"/>
  <c r="D279" i="196"/>
  <c r="D280" i="196"/>
  <c r="D281" i="196"/>
  <c r="D282" i="196"/>
  <c r="D283" i="196"/>
  <c r="D284" i="196"/>
  <c r="D285" i="196"/>
  <c r="D286" i="196"/>
  <c r="D287" i="196"/>
  <c r="D288" i="196"/>
  <c r="D289" i="196"/>
  <c r="D290" i="196"/>
  <c r="D291" i="196"/>
  <c r="D292" i="196"/>
  <c r="D293" i="196"/>
  <c r="D294" i="196"/>
  <c r="D295" i="196"/>
  <c r="D296" i="196"/>
  <c r="D297" i="196"/>
  <c r="D298" i="196"/>
  <c r="D299" i="196"/>
  <c r="D300" i="196"/>
  <c r="D301" i="196"/>
  <c r="D302" i="196"/>
  <c r="D303" i="196"/>
  <c r="D304" i="196"/>
  <c r="D305" i="196"/>
  <c r="D306" i="196"/>
  <c r="D307" i="196"/>
  <c r="D308" i="196"/>
  <c r="D309" i="196"/>
  <c r="D310" i="196"/>
  <c r="D311" i="196"/>
  <c r="D312" i="196"/>
  <c r="D313" i="196"/>
  <c r="D314" i="196"/>
  <c r="D315" i="196"/>
  <c r="D316" i="196"/>
  <c r="D317" i="196"/>
  <c r="D318" i="196"/>
  <c r="D319" i="196"/>
  <c r="D320" i="196"/>
  <c r="D321" i="196"/>
  <c r="D322" i="196"/>
  <c r="D323" i="196"/>
  <c r="D324" i="196"/>
  <c r="D325" i="196"/>
  <c r="D326" i="196"/>
  <c r="D327" i="196"/>
  <c r="D328" i="196"/>
  <c r="D329" i="196"/>
  <c r="D330" i="196"/>
  <c r="D331" i="196"/>
  <c r="D332" i="196"/>
  <c r="D333" i="196"/>
  <c r="D334" i="196"/>
  <c r="D335" i="196"/>
  <c r="D336" i="196"/>
  <c r="D337" i="196"/>
  <c r="D338" i="196"/>
  <c r="D339" i="196"/>
  <c r="D340" i="196"/>
  <c r="D341" i="196"/>
  <c r="D342" i="196"/>
  <c r="D343" i="196"/>
  <c r="D344" i="196"/>
  <c r="D345" i="196"/>
  <c r="D346" i="196"/>
  <c r="D347" i="196"/>
  <c r="D348" i="196"/>
  <c r="D349" i="196"/>
  <c r="D350" i="196"/>
  <c r="D351" i="196"/>
  <c r="D352" i="196"/>
  <c r="D353" i="196"/>
  <c r="D354" i="196"/>
  <c r="D355" i="196"/>
  <c r="D356" i="196"/>
  <c r="D357" i="196"/>
  <c r="D358" i="196"/>
  <c r="D359" i="196"/>
  <c r="D360" i="196"/>
  <c r="D361" i="196"/>
  <c r="D362" i="196"/>
  <c r="D363" i="196"/>
  <c r="D364" i="196"/>
  <c r="D365" i="196"/>
  <c r="D366" i="196"/>
  <c r="D367" i="196"/>
  <c r="D368" i="196"/>
  <c r="D369" i="196"/>
  <c r="D370" i="196"/>
  <c r="D371" i="196"/>
  <c r="D372" i="196"/>
  <c r="D373" i="196"/>
  <c r="D374" i="196"/>
  <c r="D375" i="196"/>
  <c r="D376" i="196"/>
  <c r="D377" i="196"/>
  <c r="D378" i="196"/>
  <c r="D379" i="196"/>
  <c r="D380" i="196"/>
  <c r="D381" i="196"/>
  <c r="D382" i="196"/>
  <c r="D383" i="196"/>
  <c r="D384" i="196"/>
  <c r="D385" i="196"/>
  <c r="D386" i="196"/>
  <c r="D387" i="196"/>
  <c r="D388" i="196"/>
  <c r="D389" i="196"/>
  <c r="D390" i="196"/>
  <c r="D391" i="196"/>
  <c r="D392" i="196"/>
  <c r="D393" i="196"/>
  <c r="D394" i="196"/>
  <c r="D395" i="196"/>
  <c r="D396" i="196"/>
  <c r="D397" i="196"/>
  <c r="D398" i="196"/>
  <c r="D399" i="196"/>
  <c r="D400" i="196"/>
  <c r="D401" i="196"/>
  <c r="D402" i="196"/>
  <c r="D403" i="196"/>
  <c r="D404" i="196"/>
  <c r="D405" i="196"/>
  <c r="D406" i="196"/>
  <c r="D407" i="196"/>
  <c r="D408" i="196"/>
  <c r="D409" i="196"/>
  <c r="D410" i="196"/>
  <c r="D411" i="196"/>
  <c r="D412" i="196"/>
  <c r="D413" i="196"/>
  <c r="D414" i="196"/>
  <c r="D415" i="196"/>
  <c r="D416" i="196"/>
  <c r="D417" i="196"/>
  <c r="D418" i="196"/>
  <c r="D419" i="196"/>
  <c r="D420" i="196"/>
  <c r="D421" i="196"/>
  <c r="D422" i="196"/>
  <c r="D423" i="196"/>
  <c r="D424" i="196"/>
  <c r="D425" i="196"/>
  <c r="D426" i="196"/>
  <c r="D427" i="196"/>
  <c r="D428" i="196"/>
  <c r="D429" i="196"/>
  <c r="D430" i="196"/>
  <c r="D431" i="196"/>
  <c r="D432" i="196"/>
  <c r="D433" i="196"/>
  <c r="D434" i="196"/>
  <c r="D435" i="196"/>
  <c r="D436" i="196"/>
  <c r="D437" i="196"/>
  <c r="D438" i="196"/>
  <c r="D439" i="196"/>
  <c r="D440" i="196"/>
  <c r="D441" i="196"/>
  <c r="D442" i="196"/>
  <c r="D443" i="196"/>
  <c r="D444" i="196"/>
  <c r="D445" i="196"/>
  <c r="D446" i="196"/>
  <c r="D447" i="196"/>
  <c r="D448" i="196"/>
  <c r="D449" i="196"/>
  <c r="D450" i="196"/>
  <c r="D451" i="196"/>
  <c r="D452" i="196"/>
  <c r="D453" i="196"/>
  <c r="D454" i="196"/>
  <c r="D455" i="196"/>
  <c r="D456" i="196"/>
  <c r="D457" i="196"/>
  <c r="D458" i="196"/>
  <c r="D459" i="196"/>
  <c r="D460" i="196"/>
  <c r="D461" i="196"/>
  <c r="D462" i="196"/>
  <c r="D463" i="196"/>
  <c r="D464" i="196"/>
  <c r="D465" i="196"/>
  <c r="D466" i="196"/>
  <c r="D467" i="196"/>
  <c r="D468" i="196"/>
  <c r="D469" i="196"/>
  <c r="D470" i="196"/>
  <c r="D471" i="196"/>
  <c r="D472" i="196"/>
  <c r="D473" i="196"/>
  <c r="D474" i="196"/>
  <c r="D475" i="196"/>
  <c r="D476" i="196"/>
  <c r="D477" i="196"/>
  <c r="D478" i="196"/>
  <c r="D479" i="196"/>
  <c r="D480" i="196"/>
  <c r="D481" i="196"/>
  <c r="D482" i="196"/>
  <c r="D483" i="196"/>
  <c r="D484" i="196"/>
  <c r="D485" i="196"/>
  <c r="D486" i="196"/>
  <c r="D487" i="196"/>
  <c r="D488" i="196"/>
  <c r="D489" i="196"/>
  <c r="D490" i="196"/>
  <c r="D491" i="196"/>
  <c r="D492" i="196"/>
  <c r="D493" i="196"/>
  <c r="D494" i="196"/>
  <c r="D495" i="196"/>
  <c r="D496" i="196"/>
  <c r="D497" i="196"/>
  <c r="D498" i="196"/>
  <c r="D499" i="196"/>
  <c r="D500" i="196"/>
  <c r="D501" i="196"/>
  <c r="D502" i="196"/>
  <c r="D503" i="196"/>
  <c r="D504" i="196"/>
  <c r="D505" i="196"/>
  <c r="D506" i="196"/>
  <c r="D507" i="196"/>
  <c r="D508" i="196"/>
  <c r="D509" i="196"/>
  <c r="D510" i="196"/>
  <c r="D511" i="196"/>
  <c r="D512" i="196"/>
  <c r="D513" i="196"/>
  <c r="D514" i="196"/>
  <c r="D515" i="196"/>
  <c r="D516" i="196"/>
  <c r="D517" i="196"/>
  <c r="D518" i="196"/>
  <c r="D519" i="196"/>
  <c r="D520" i="196"/>
  <c r="D521" i="196"/>
  <c r="D522" i="196"/>
  <c r="D523" i="196"/>
  <c r="D524" i="196"/>
  <c r="D525" i="196"/>
  <c r="D526" i="196"/>
  <c r="D527" i="196"/>
  <c r="D528" i="196"/>
  <c r="D529" i="196"/>
  <c r="D530" i="196"/>
  <c r="D531" i="196"/>
  <c r="D532" i="196"/>
  <c r="D533" i="196"/>
  <c r="D534" i="196"/>
  <c r="D535" i="196"/>
  <c r="D536" i="196"/>
  <c r="D537" i="196"/>
  <c r="D538" i="196"/>
  <c r="D539" i="196"/>
  <c r="D540" i="196"/>
  <c r="D541" i="196"/>
  <c r="D542" i="196"/>
  <c r="D543" i="196"/>
  <c r="D544" i="196"/>
  <c r="D545" i="196"/>
  <c r="D546" i="196"/>
  <c r="D547" i="196"/>
  <c r="D548" i="196"/>
  <c r="D549" i="196"/>
  <c r="D550" i="196"/>
  <c r="D551" i="196"/>
  <c r="D552" i="196"/>
  <c r="D553" i="196"/>
  <c r="D554" i="196"/>
  <c r="D555" i="196"/>
  <c r="D556" i="196"/>
  <c r="D557" i="196"/>
  <c r="D558" i="196"/>
  <c r="D559" i="196"/>
  <c r="D560" i="196"/>
  <c r="D561" i="196"/>
  <c r="D562" i="196"/>
  <c r="D563" i="196"/>
  <c r="D564" i="196"/>
  <c r="D565" i="196"/>
  <c r="D566" i="196"/>
  <c r="D567" i="196"/>
  <c r="D568" i="196"/>
  <c r="D569" i="196"/>
  <c r="D570" i="196"/>
  <c r="D571" i="196"/>
  <c r="BE35" i="193"/>
  <c r="BD35" i="193"/>
  <c r="BC35" i="193"/>
  <c r="BB35" i="193"/>
  <c r="BA35" i="193"/>
  <c r="AZ35" i="193"/>
  <c r="Q55" i="193" s="1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O55" i="193" s="1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M55" i="193" s="1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K55" i="193" s="1"/>
  <c r="O35" i="193"/>
  <c r="N35" i="193"/>
  <c r="M35" i="193"/>
  <c r="L35" i="193"/>
  <c r="K35" i="193"/>
  <c r="J35" i="193"/>
  <c r="I35" i="193"/>
  <c r="E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P54" i="193" s="1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N54" i="193" s="1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L54" i="193" s="1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J54" i="193" s="1"/>
  <c r="I34" i="193"/>
  <c r="E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P53" i="193" s="1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N53" i="193" s="1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L53" i="193" s="1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E33" i="193"/>
  <c r="D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P52" i="193" s="1"/>
  <c r="AS32" i="193"/>
  <c r="AR32" i="193"/>
  <c r="AQ32" i="193"/>
  <c r="AP32" i="193"/>
  <c r="AO32" i="193"/>
  <c r="AN32" i="193"/>
  <c r="O52" i="193" s="1"/>
  <c r="AM32" i="193"/>
  <c r="AL32" i="193"/>
  <c r="AK32" i="193"/>
  <c r="AJ32" i="193"/>
  <c r="AI32" i="193"/>
  <c r="AH32" i="193"/>
  <c r="N52" i="193" s="1"/>
  <c r="AG32" i="193"/>
  <c r="AF32" i="193"/>
  <c r="AE32" i="193"/>
  <c r="AD32" i="193"/>
  <c r="AC32" i="193"/>
  <c r="AB32" i="193"/>
  <c r="M52" i="193" s="1"/>
  <c r="AA32" i="193"/>
  <c r="Z32" i="193"/>
  <c r="Y32" i="193"/>
  <c r="X32" i="193"/>
  <c r="W32" i="193"/>
  <c r="V32" i="193"/>
  <c r="L52" i="193" s="1"/>
  <c r="U32" i="193"/>
  <c r="T32" i="193"/>
  <c r="S32" i="193"/>
  <c r="R32" i="193"/>
  <c r="Q32" i="193"/>
  <c r="P32" i="193"/>
  <c r="K52" i="193" s="1"/>
  <c r="O32" i="193"/>
  <c r="N32" i="193"/>
  <c r="M32" i="193"/>
  <c r="L32" i="193"/>
  <c r="K32" i="193"/>
  <c r="J32" i="193"/>
  <c r="J52" i="193" s="1"/>
  <c r="I32" i="193"/>
  <c r="E32" i="193"/>
  <c r="BE31" i="193"/>
  <c r="BD31" i="193"/>
  <c r="BC31" i="193"/>
  <c r="BB31" i="193"/>
  <c r="BA31" i="193"/>
  <c r="AZ31" i="193"/>
  <c r="Q51" i="193" s="1"/>
  <c r="AY31" i="193"/>
  <c r="AX31" i="193"/>
  <c r="AW31" i="193"/>
  <c r="AV31" i="193"/>
  <c r="AU31" i="193"/>
  <c r="AT31" i="193"/>
  <c r="AS31" i="193"/>
  <c r="AR31" i="193"/>
  <c r="AQ31" i="193"/>
  <c r="AP31" i="193"/>
  <c r="AO31" i="193"/>
  <c r="AN31" i="193"/>
  <c r="O51" i="193" s="1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M51" i="193" s="1"/>
  <c r="AA31" i="193"/>
  <c r="Z31" i="193"/>
  <c r="Y31" i="193"/>
  <c r="X31" i="193"/>
  <c r="W31" i="193"/>
  <c r="V31" i="193"/>
  <c r="U31" i="193"/>
  <c r="T31" i="193"/>
  <c r="S31" i="193"/>
  <c r="R31" i="193"/>
  <c r="Q31" i="193"/>
  <c r="P31" i="193"/>
  <c r="K51" i="193" s="1"/>
  <c r="O31" i="193"/>
  <c r="N31" i="193"/>
  <c r="M31" i="193"/>
  <c r="L31" i="193"/>
  <c r="K31" i="193"/>
  <c r="J31" i="193"/>
  <c r="I31" i="193"/>
  <c r="E31" i="193"/>
  <c r="BE30" i="193"/>
  <c r="BD30" i="193"/>
  <c r="BC30" i="193"/>
  <c r="BB30" i="193"/>
  <c r="BA30" i="193"/>
  <c r="AZ30" i="193"/>
  <c r="Q50" i="193" s="1"/>
  <c r="AY30" i="193"/>
  <c r="AX30" i="193"/>
  <c r="AW30" i="193"/>
  <c r="AV30" i="193"/>
  <c r="AU30" i="193"/>
  <c r="AT30" i="193"/>
  <c r="AS30" i="193"/>
  <c r="AR30" i="193"/>
  <c r="AQ30" i="193"/>
  <c r="AP30" i="193"/>
  <c r="AO30" i="193"/>
  <c r="AN30" i="193"/>
  <c r="O50" i="193" s="1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L50" i="193" s="1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G30" i="193"/>
  <c r="E30" i="193"/>
  <c r="D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P49" i="193" s="1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N49" i="193" s="1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L49" i="193" s="1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E29" i="193"/>
  <c r="D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P48" i="193" s="1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N48" i="193" s="1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L48" i="193" s="1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J48" i="193" s="1"/>
  <c r="I28" i="193"/>
  <c r="E28" i="193"/>
  <c r="BE27" i="193"/>
  <c r="BD27" i="193"/>
  <c r="BC27" i="193"/>
  <c r="BB27" i="193"/>
  <c r="BA27" i="193"/>
  <c r="AZ27" i="193"/>
  <c r="Q47" i="193" s="1"/>
  <c r="AY27" i="193"/>
  <c r="AX27" i="193"/>
  <c r="AW27" i="193"/>
  <c r="AV27" i="193"/>
  <c r="AU27" i="193"/>
  <c r="P47" i="193" s="1"/>
  <c r="AT27" i="193"/>
  <c r="AS27" i="193"/>
  <c r="AR27" i="193"/>
  <c r="AQ27" i="193"/>
  <c r="AP27" i="193"/>
  <c r="AO27" i="193"/>
  <c r="AN27" i="193"/>
  <c r="O47" i="193" s="1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M47" i="193" s="1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K47" i="193" s="1"/>
  <c r="O27" i="193"/>
  <c r="N27" i="193"/>
  <c r="M27" i="193"/>
  <c r="L27" i="193"/>
  <c r="K27" i="193"/>
  <c r="J27" i="193"/>
  <c r="I27" i="193"/>
  <c r="F27" i="193"/>
  <c r="E27" i="193"/>
  <c r="D27" i="193"/>
  <c r="BE26" i="193"/>
  <c r="BD26" i="193"/>
  <c r="BC26" i="193"/>
  <c r="BB26" i="193"/>
  <c r="BA26" i="193"/>
  <c r="AZ26" i="193"/>
  <c r="Q46" i="193" s="1"/>
  <c r="AY26" i="193"/>
  <c r="AX26" i="193"/>
  <c r="AW26" i="193"/>
  <c r="AV26" i="193"/>
  <c r="AU26" i="193"/>
  <c r="AT26" i="193"/>
  <c r="AS26" i="193"/>
  <c r="AR26" i="193"/>
  <c r="AQ26" i="193"/>
  <c r="AP26" i="193"/>
  <c r="AO26" i="193"/>
  <c r="AN26" i="193"/>
  <c r="O46" i="193" s="1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L46" i="193" s="1"/>
  <c r="U26" i="193"/>
  <c r="T26" i="193"/>
  <c r="S26" i="193"/>
  <c r="R26" i="193"/>
  <c r="Q26" i="193"/>
  <c r="P26" i="193"/>
  <c r="K46" i="193" s="1"/>
  <c r="O26" i="193"/>
  <c r="N26" i="193"/>
  <c r="M26" i="193"/>
  <c r="L26" i="193"/>
  <c r="K26" i="193"/>
  <c r="J26" i="193"/>
  <c r="I26" i="193"/>
  <c r="E26" i="193"/>
  <c r="BE25" i="193"/>
  <c r="BD25" i="193"/>
  <c r="BC25" i="193"/>
  <c r="BB25" i="193"/>
  <c r="BA25" i="193"/>
  <c r="AZ25" i="193"/>
  <c r="AY25" i="193"/>
  <c r="AX25" i="193"/>
  <c r="AW25" i="193"/>
  <c r="AV25" i="193"/>
  <c r="AU25" i="193"/>
  <c r="AT25" i="193"/>
  <c r="P45" i="193" s="1"/>
  <c r="AS25" i="193"/>
  <c r="AR25" i="193"/>
  <c r="AQ25" i="193"/>
  <c r="AP25" i="193"/>
  <c r="AO25" i="193"/>
  <c r="AN25" i="193"/>
  <c r="AM25" i="193"/>
  <c r="AL25" i="193"/>
  <c r="AK25" i="193"/>
  <c r="AJ25" i="193"/>
  <c r="AI25" i="193"/>
  <c r="AH25" i="193"/>
  <c r="AG25" i="193"/>
  <c r="AF25" i="193"/>
  <c r="AE25" i="193"/>
  <c r="AD25" i="193"/>
  <c r="AC25" i="193"/>
  <c r="AB25" i="193"/>
  <c r="AA25" i="193"/>
  <c r="Z25" i="193"/>
  <c r="Y25" i="193"/>
  <c r="X25" i="193"/>
  <c r="W25" i="193"/>
  <c r="V25" i="193"/>
  <c r="U25" i="193"/>
  <c r="T25" i="193"/>
  <c r="S25" i="193"/>
  <c r="R25" i="193"/>
  <c r="Q25" i="193"/>
  <c r="P25" i="193"/>
  <c r="O25" i="193"/>
  <c r="N25" i="193"/>
  <c r="M25" i="193"/>
  <c r="L25" i="193"/>
  <c r="K25" i="193"/>
  <c r="J25" i="193"/>
  <c r="I25" i="193"/>
  <c r="E25" i="193"/>
  <c r="I18" i="193"/>
  <c r="I36" i="193" s="1"/>
  <c r="E18" i="193"/>
  <c r="D17" i="193"/>
  <c r="D35" i="193" s="1"/>
  <c r="D16" i="193"/>
  <c r="G16" i="193" s="1"/>
  <c r="H15" i="193"/>
  <c r="H33" i="193" s="1"/>
  <c r="G15" i="193"/>
  <c r="G33" i="193" s="1"/>
  <c r="F15" i="193"/>
  <c r="F33" i="193" s="1"/>
  <c r="D15" i="193"/>
  <c r="D14" i="193"/>
  <c r="G14" i="193" s="1"/>
  <c r="D13" i="193"/>
  <c r="F13" i="193" s="1"/>
  <c r="F31" i="193" s="1"/>
  <c r="H12" i="193"/>
  <c r="H30" i="193" s="1"/>
  <c r="G12" i="193"/>
  <c r="F12" i="193"/>
  <c r="F30" i="193" s="1"/>
  <c r="G11" i="193"/>
  <c r="H11" i="193" s="1"/>
  <c r="H29" i="193" s="1"/>
  <c r="F11" i="193"/>
  <c r="F29" i="193" s="1"/>
  <c r="D11" i="193"/>
  <c r="D10" i="193"/>
  <c r="G10" i="193" s="1"/>
  <c r="G9" i="193"/>
  <c r="H9" i="193" s="1"/>
  <c r="H27" i="193" s="1"/>
  <c r="F9" i="193"/>
  <c r="D8" i="193"/>
  <c r="D26" i="193" s="1"/>
  <c r="F7" i="193"/>
  <c r="F25" i="193" s="1"/>
  <c r="N45" i="193" l="1"/>
  <c r="L45" i="193"/>
  <c r="P51" i="193"/>
  <c r="M46" i="193"/>
  <c r="K54" i="193"/>
  <c r="M54" i="193"/>
  <c r="K50" i="193"/>
  <c r="M50" i="193"/>
  <c r="J49" i="193"/>
  <c r="J53" i="193"/>
  <c r="R53" i="193" s="1"/>
  <c r="J46" i="193"/>
  <c r="R46" i="193" s="1"/>
  <c r="N46" i="193"/>
  <c r="P46" i="193"/>
  <c r="K48" i="193"/>
  <c r="R48" i="193" s="1"/>
  <c r="M48" i="193"/>
  <c r="O48" i="193"/>
  <c r="Q52" i="193"/>
  <c r="R52" i="193" s="1"/>
  <c r="J55" i="193"/>
  <c r="L55" i="193"/>
  <c r="N55" i="193"/>
  <c r="P55" i="193"/>
  <c r="Q48" i="193"/>
  <c r="J50" i="193"/>
  <c r="R50" i="193" s="1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Q45" i="193"/>
  <c r="J47" i="193"/>
  <c r="L47" i="193"/>
  <c r="N47" i="193"/>
  <c r="N51" i="193"/>
  <c r="O54" i="193"/>
  <c r="Q54" i="193"/>
  <c r="R54" i="193" s="1"/>
  <c r="J45" i="193"/>
  <c r="H16" i="193"/>
  <c r="H34" i="193" s="1"/>
  <c r="G34" i="193"/>
  <c r="G32" i="193"/>
  <c r="H14" i="193"/>
  <c r="H32" i="193" s="1"/>
  <c r="G28" i="193"/>
  <c r="H10" i="193"/>
  <c r="H28" i="193" s="1"/>
  <c r="R47" i="193"/>
  <c r="G13" i="193"/>
  <c r="F14" i="193"/>
  <c r="F32" i="193" s="1"/>
  <c r="F17" i="193"/>
  <c r="F35" i="193" s="1"/>
  <c r="G27" i="193"/>
  <c r="G29" i="193"/>
  <c r="G7" i="193"/>
  <c r="F10" i="193"/>
  <c r="F28" i="193" s="1"/>
  <c r="F8" i="193"/>
  <c r="F26" i="193" s="1"/>
  <c r="G8" i="193"/>
  <c r="D18" i="193"/>
  <c r="D36" i="193" s="1"/>
  <c r="D28" i="193"/>
  <c r="D32" i="193"/>
  <c r="D34" i="193"/>
  <c r="F16" i="193"/>
  <c r="F34" i="193" s="1"/>
  <c r="E36" i="193"/>
  <c r="D25" i="193"/>
  <c r="G17" i="193"/>
  <c r="D31" i="193"/>
  <c r="F18" i="193" l="1"/>
  <c r="F36" i="193" s="1"/>
  <c r="R45" i="193"/>
  <c r="R51" i="193"/>
  <c r="R49" i="193"/>
  <c r="R55" i="193"/>
  <c r="H13" i="193"/>
  <c r="H31" i="193" s="1"/>
  <c r="G31" i="193"/>
  <c r="H17" i="193"/>
  <c r="H35" i="193" s="1"/>
  <c r="G35" i="193"/>
  <c r="G18" i="193"/>
  <c r="G25" i="193"/>
  <c r="H7" i="193"/>
  <c r="H25" i="193" s="1"/>
  <c r="G26" i="193"/>
  <c r="H8" i="193"/>
  <c r="H26" i="193" s="1"/>
  <c r="H18" i="193" l="1"/>
  <c r="H36" i="193" s="1"/>
  <c r="G36" i="193"/>
</calcChain>
</file>

<file path=xl/sharedStrings.xml><?xml version="1.0" encoding="utf-8"?>
<sst xmlns="http://schemas.openxmlformats.org/spreadsheetml/2006/main" count="3300" uniqueCount="590">
  <si>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</si>
  <si>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</si>
  <si>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</si>
  <si>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</si>
  <si>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</si>
  <si>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</si>
  <si>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</si>
  <si>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</si>
  <si>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</si>
  <si>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</si>
  <si>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</si>
  <si>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</si>
  <si>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</si>
  <si>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</si>
  <si>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</si>
  <si>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</si>
  <si>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</si>
  <si>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</si>
  <si>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</si>
  <si>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</si>
  <si>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</si>
  <si>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</si>
  <si>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</si>
  <si>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</si>
  <si>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Soporte brindado en certificaciones HACCP, control de plagas e ISO 9001:2015</t>
  </si>
  <si>
    <t>Soporte técnico a los requerimientos solicitados</t>
  </si>
  <si>
    <t>Creación de reportes emitidos por parte del laboratorio de Materia Prima y/o Industrial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</si>
  <si>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</si>
  <si>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</si>
  <si>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</si>
  <si>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</si>
  <si>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</si>
  <si>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</si>
  <si>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</si>
  <si>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Seguimiento de riesgos y planes de acción</t>
  </si>
  <si>
    <t>Gestión de cursos y capacitaciones</t>
  </si>
  <si>
    <t>Fortalecimiento del control interno de la compañía</t>
  </si>
  <si>
    <t>Monitoreo y seguimiento a los riesgos (emergentes y de nivel crítico)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</si>
  <si>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</si>
  <si>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</si>
  <si>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</si>
  <si>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</si>
  <si>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</si>
  <si>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</si>
  <si>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</si>
  <si>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</si>
  <si>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</si>
  <si>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</si>
  <si>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</si>
  <si>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</si>
  <si>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</si>
  <si>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</si>
  <si>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</si>
  <si>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</si>
  <si>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</si>
  <si>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</si>
  <si>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</si>
  <si>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</si>
  <si>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</si>
  <si>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</si>
  <si>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</si>
  <si>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</si>
  <si>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</si>
  <si>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</si>
  <si>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usuario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</si>
  <si>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</si>
  <si>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</si>
  <si>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</si>
  <si>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</si>
  <si>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</si>
  <si>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</si>
  <si>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</si>
  <si>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</si>
  <si>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</si>
  <si>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</si>
  <si>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</si>
  <si>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</si>
  <si>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</si>
  <si>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</si>
  <si>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</si>
  <si>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</si>
  <si>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</si>
  <si>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</si>
  <si>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</si>
  <si>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</si>
  <si>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</si>
  <si>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</si>
  <si>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</si>
  <si>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</si>
  <si>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</si>
  <si>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</si>
  <si>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</si>
  <si>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</si>
  <si>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</si>
  <si>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</si>
  <si>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</si>
  <si>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</si>
  <si>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</si>
  <si>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</si>
  <si>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</si>
  <si>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</si>
  <si>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</si>
  <si>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</si>
  <si>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</si>
  <si>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</si>
  <si>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</si>
  <si>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</si>
  <si>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</si>
  <si>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</si>
  <si>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</si>
  <si>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</si>
  <si>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</si>
  <si>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</si>
  <si>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</si>
  <si>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</si>
  <si>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</si>
  <si>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</si>
  <si>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</si>
  <si>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</si>
  <si>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</si>
  <si>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</si>
  <si>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</si>
  <si>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</si>
  <si>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</si>
  <si>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</si>
  <si>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</si>
  <si>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</si>
  <si>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</si>
  <si>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</si>
  <si>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</si>
  <si>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</si>
  <si>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</si>
  <si>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</si>
  <si>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</si>
  <si>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</si>
  <si>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</si>
  <si>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</si>
  <si>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</si>
  <si>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</si>
  <si>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</si>
  <si>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</si>
  <si>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</si>
  <si>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</si>
  <si>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</si>
  <si>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</si>
  <si>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</si>
  <si>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</si>
  <si>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</si>
  <si>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</si>
  <si>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Control de gestión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</si>
  <si>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</si>
  <si>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</si>
  <si>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</si>
  <si>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</si>
  <si>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</si>
  <si>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</si>
  <si>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</si>
  <si>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</si>
  <si>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</si>
  <si>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</si>
  <si>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</si>
  <si>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</si>
  <si>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</si>
  <si>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</si>
  <si>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</si>
  <si>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</si>
  <si>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</si>
  <si>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</si>
  <si>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</si>
  <si>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</si>
  <si>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</si>
  <si>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</si>
  <si>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</si>
  <si>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</si>
  <si>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</si>
  <si>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</si>
  <si>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</si>
  <si>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ECruzA@agricolachira.com.pe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</si>
  <si>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</si>
  <si>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</si>
  <si>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</si>
  <si>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</si>
  <si>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</si>
  <si>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</si>
  <si>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</si>
  <si>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</si>
  <si>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</si>
  <si>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</si>
  <si>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</si>
  <si>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</si>
  <si>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</si>
  <si>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</si>
  <si>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</si>
  <si>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</si>
  <si>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</si>
  <si>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</si>
  <si>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</si>
  <si>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</si>
  <si>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</si>
  <si>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FFloresP@agricolachira.com.pe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</si>
  <si>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</si>
  <si>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</si>
  <si>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</si>
  <si>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</si>
  <si>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</si>
  <si>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</si>
  <si>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</si>
  <si>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</si>
  <si>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</si>
  <si>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</si>
  <si>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</si>
  <si>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</si>
  <si>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</si>
  <si>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</si>
  <si>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</si>
  <si>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</si>
  <si>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</si>
  <si>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</si>
  <si>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</si>
  <si>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</si>
  <si>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</si>
  <si>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</si>
  <si>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</si>
  <si>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</si>
  <si>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</si>
  <si>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</si>
  <si>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</si>
  <si>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</si>
  <si>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</si>
  <si>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</si>
  <si>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</si>
  <si>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</si>
  <si>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</si>
  <si>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</si>
  <si>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</si>
  <si>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</si>
  <si>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</si>
  <si>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</si>
  <si>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</si>
  <si>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</si>
  <si>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</si>
  <si>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</si>
  <si>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</si>
  <si>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</si>
  <si>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</si>
  <si>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</si>
  <si>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</si>
  <si>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</si>
  <si>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</si>
  <si>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</si>
  <si>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</si>
  <si>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</si>
  <si>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</si>
  <si>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</si>
  <si>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jlachiray@agricolachira.com.pe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</si>
  <si>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</si>
  <si>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</si>
  <si>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</si>
  <si>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</si>
  <si>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</si>
  <si>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</si>
  <si>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</si>
  <si>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</si>
  <si>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</si>
  <si>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</si>
  <si>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</si>
  <si>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</si>
  <si>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</si>
  <si>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</si>
  <si>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</si>
  <si>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</si>
  <si>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</si>
  <si>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</si>
  <si>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</si>
  <si>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</si>
  <si>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</si>
  <si>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</si>
  <si>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JHuamanRo@agricolachira.com.pe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</si>
  <si>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</si>
  <si>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</si>
  <si>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</si>
  <si>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</si>
  <si>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</si>
  <si>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</si>
  <si>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</si>
  <si>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</si>
  <si>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</si>
  <si>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</si>
  <si>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</si>
  <si>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</si>
  <si>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</si>
  <si>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</si>
  <si>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</si>
  <si>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</si>
  <si>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</si>
  <si>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</si>
  <si>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</si>
  <si>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</si>
  <si>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</si>
  <si>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</si>
  <si>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</si>
  <si>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</si>
  <si>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</si>
  <si>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</si>
  <si>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</si>
  <si>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</si>
  <si>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</si>
  <si>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</si>
  <si>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JCheroPa@agricolachira.com.pe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</si>
  <si>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</si>
  <si>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</si>
  <si>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</si>
  <si>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</si>
  <si>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</si>
  <si>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</si>
  <si>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</si>
  <si>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</si>
  <si>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</si>
  <si>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</si>
  <si>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</si>
  <si>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</si>
  <si>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</si>
  <si>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</si>
  <si>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</si>
  <si>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</si>
  <si>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</si>
  <si>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</si>
  <si>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</si>
  <si>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</si>
  <si>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</si>
  <si>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</si>
  <si>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</si>
  <si>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</si>
  <si>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</si>
  <si>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</si>
  <si>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</si>
  <si>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</si>
  <si>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</si>
  <si>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</si>
  <si>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</si>
  <si>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</si>
  <si>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</si>
  <si>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</si>
  <si>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</si>
  <si>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</si>
  <si>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</si>
  <si>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</si>
  <si>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</si>
  <si>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</si>
  <si>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</si>
  <si>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</si>
  <si>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</si>
  <si>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</si>
  <si>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</si>
  <si>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</si>
  <si>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</si>
  <si>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</si>
  <si>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</si>
  <si>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</si>
  <si>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</si>
  <si>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</si>
  <si>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</si>
  <si>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</si>
  <si>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</si>
  <si>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</si>
  <si>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</si>
  <si>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</si>
  <si>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</si>
  <si>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</si>
  <si>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</si>
  <si>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</si>
  <si>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PRojasR@agricolachira.com.pe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</si>
  <si>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</si>
  <si>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</si>
  <si>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</si>
  <si>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</si>
  <si>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</si>
  <si>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</si>
  <si>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PViteC@agricolachira.com.pe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</si>
  <si>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</si>
  <si>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</si>
  <si>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</si>
  <si>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</si>
  <si>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</si>
  <si>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</si>
  <si>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</si>
  <si>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</si>
  <si>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</si>
  <si>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</si>
  <si>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</si>
  <si>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</si>
  <si>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</si>
  <si>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</si>
  <si>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</si>
  <si>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</si>
  <si>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</si>
  <si>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</si>
  <si>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</si>
  <si>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</si>
  <si>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</si>
  <si>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</si>
  <si>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</si>
  <si>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</si>
  <si>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</si>
  <si>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</si>
  <si>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</si>
  <si>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</si>
  <si>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</si>
  <si>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</si>
  <si>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</si>
  <si>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</si>
  <si>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</si>
  <si>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</si>
  <si>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</si>
  <si>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</si>
  <si>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</si>
  <si>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</si>
  <si>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</si>
  <si>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</si>
  <si>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</si>
  <si>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</si>
  <si>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</si>
  <si>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</si>
  <si>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</si>
  <si>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</si>
  <si>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</si>
  <si>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</si>
  <si>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</si>
  <si>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</si>
  <si>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</si>
  <si>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</si>
  <si>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</si>
  <si>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</si>
  <si>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</si>
  <si>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</si>
  <si>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</si>
  <si>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</si>
  <si>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</si>
  <si>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</si>
  <si>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</si>
  <si>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</si>
  <si>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</si>
  <si>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</si>
  <si>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</si>
  <si>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</si>
  <si>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</si>
  <si>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</si>
  <si>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</si>
  <si>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</si>
  <si>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</si>
  <si>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</si>
  <si>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</si>
  <si>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</si>
  <si>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</si>
  <si>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</si>
  <si>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</si>
  <si>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</si>
  <si>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</si>
  <si>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OMontenegroC@agricolachira.com.pe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</si>
  <si>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</si>
  <si>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</si>
  <si>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</si>
  <si>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</si>
  <si>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</si>
  <si>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</si>
  <si>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</si>
  <si>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</si>
  <si>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</si>
  <si>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</si>
  <si>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</si>
  <si>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</si>
  <si>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</si>
  <si>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</si>
  <si>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</si>
  <si>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</si>
  <si>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</si>
  <si>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</si>
  <si>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</si>
  <si>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</si>
  <si>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</si>
  <si>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</si>
  <si>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</si>
  <si>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</si>
  <si>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</si>
  <si>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</si>
  <si>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</si>
  <si>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</si>
  <si>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</si>
  <si>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</si>
  <si>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</si>
  <si>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</si>
  <si>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</si>
  <si>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Agradecemos su participación en esta encuesta, si tuviera alguna sugerencia para mejorar el servicio, por favor escríbalo en el siguiente espacio.</t>
  </si>
  <si>
    <t>Pedro Alejandro Trigoso Feijoo</t>
  </si>
  <si>
    <t>No aplica</t>
  </si>
  <si>
    <t>Bueno</t>
  </si>
  <si>
    <t>En el área de operaciones se postergan o no se cumplen con avances con proyectos de automatización y control propuestos</t>
  </si>
  <si>
    <t>Excelente</t>
  </si>
  <si>
    <t>Regular</t>
  </si>
  <si>
    <t>Excelente equipo, gracias por todo el soporte brindado a todas horas.</t>
  </si>
  <si>
    <t>El soporte presencial es rápido sin embargo el soporte virtual es un poco lento y genera tiempos muertos en la actividad.</t>
  </si>
  <si>
    <t>LI Di Liberto Sauri</t>
  </si>
  <si>
    <t>ALachiraP@agricolachira.com.pe</t>
  </si>
  <si>
    <t>-</t>
  </si>
  <si>
    <t>JCastilloR@agricolachira.com.pe</t>
  </si>
  <si>
    <t>todo ok</t>
  </si>
  <si>
    <t>Excelente equipo, siempre se reconoce el acostumbrado apoyo del equipo de Fransheska (Josue/Wilder).</t>
  </si>
  <si>
    <t xml:space="preserve">Prontitud en los requerimientos en las incidencias
</t>
  </si>
  <si>
    <t>Excelente!</t>
  </si>
  <si>
    <t>Buen equipo de trabajo</t>
  </si>
  <si>
    <t>VCruzC@agricolachira.com.pe</t>
  </si>
  <si>
    <t>Exelente servicio.</t>
  </si>
  <si>
    <t xml:space="preserve">EXCELENTE SERVICIO </t>
  </si>
  <si>
    <t>Malo</t>
  </si>
  <si>
    <t>Hay muchas fallas en la red de datos y acceso al público. Las coordinaciones sobre el acceso al servidor Público, no se coordina adecuadamente.</t>
  </si>
  <si>
    <t>AVasquezM@agricolachira.com.pe</t>
  </si>
  <si>
    <t>EHerediaR@agricolachira.com.pe</t>
  </si>
  <si>
    <t>Héctor Daniel Borja Torres</t>
  </si>
  <si>
    <t>Gran soporte del equipo de TI y Sistemas</t>
  </si>
  <si>
    <t>buen servicio</t>
  </si>
  <si>
    <t xml:space="preserve">Considero que se debería revisar la conectividad para el área de CPIU montelima pues constantemente la señal es débil y entiendo que se han instalado dispositivos pero aun no le brindan una solución definitiva al área de CPIU
</t>
  </si>
  <si>
    <t>good!!</t>
  </si>
  <si>
    <t>Gran equipo, gracias por el soporte brindando.</t>
  </si>
  <si>
    <t>Mejorar la velocidad de RED/Internet</t>
  </si>
  <si>
    <t>Pésimo</t>
  </si>
  <si>
    <t>Deberían hacer más eficiente el SIOP que en reiteradas ocasiones sufre de fallas.</t>
  </si>
  <si>
    <t>Raul Javier Torres Silva</t>
  </si>
  <si>
    <t>mejor la calidad de equipo celular, ya que los equipos en renovacion anterior han fallado en poco tiempo de uso y se ha tenido que esperar la proxima renovacion para poder un nuevo equipo</t>
  </si>
  <si>
    <t>Uno de los principales inconvenientes es la caída del SIOP</t>
  </si>
  <si>
    <t>Brindar capacitaciones sobre nuevas herramientas digitales que se han implementado en Planta.</t>
  </si>
  <si>
    <t>Un buen soporte con el equipo de Sistemas, sobre todo el gran apoyo de Jene.</t>
  </si>
  <si>
    <t>AY INCIDENTES QUE SON PRIORIDAD PROCESO, DEBEN ATENDERSE EN EL MENOR TIEMPO POSIBLE, EVALUAR FACTIBILIDAD UNA PERSONA DE SISTEMAS Y TI, ESTE ATENTO LOS TURNOS NOCHES Y/O FERIADOS Y SE VALLA ROTANDO</t>
  </si>
  <si>
    <t>Amables durante la resolución de problemas y atención rápida y eficiente.</t>
  </si>
  <si>
    <t>bien</t>
  </si>
  <si>
    <t>Lenin Vasquez Pinday</t>
  </si>
  <si>
    <t>Celeridad en los nuevos desarrollos (BIOSALC, NAX) y levantamiento de observaciones con reportes (POWER BI)</t>
  </si>
  <si>
    <t xml:space="preserve">Felicitar la gestión actual del equipo, se caracteriza por la calidad y orientación al servicio y cliente, compromiso y resultado. </t>
  </si>
  <si>
    <t>MDiazTa@agricolachira.com.pe</t>
  </si>
  <si>
    <t>Ricardo Mera Chu</t>
  </si>
  <si>
    <t>JLopezSi@agricolachira.com.pe</t>
  </si>
  <si>
    <t>Excelente equipo. sobre todo Fransheska</t>
  </si>
  <si>
    <t xml:space="preserve">ok
</t>
  </si>
  <si>
    <t>JArevaloga@agricolachira.com.pe</t>
  </si>
  <si>
    <t>.</t>
  </si>
  <si>
    <t>VHilaresZ@agricolachira.com.pe</t>
  </si>
  <si>
    <t>Victor Hilares Zamudio</t>
  </si>
  <si>
    <t xml:space="preserve">Servicio del internet del fundo tiene fallas ,está lento. </t>
  </si>
  <si>
    <t>Operador Balanza</t>
  </si>
  <si>
    <t xml:space="preserve">Atención muy buena y rápida </t>
  </si>
  <si>
    <t>Todo conforme</t>
  </si>
  <si>
    <t>Carlos Andrés Manayay Barrios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</si>
  <si>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</si>
  <si>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</si>
  <si>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</si>
  <si>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</si>
  <si>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</si>
  <si>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</si>
  <si>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</si>
  <si>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</si>
  <si>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</si>
  <si>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</si>
  <si>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</si>
  <si>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</si>
  <si>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</si>
  <si>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</si>
  <si>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</si>
  <si>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</si>
  <si>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</si>
  <si>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</si>
  <si>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</si>
  <si>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</si>
  <si>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</si>
  <si>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</si>
  <si>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</si>
  <si>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</si>
  <si>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</si>
  <si>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</si>
  <si>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</si>
  <si>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</si>
  <si>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</si>
  <si>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</si>
  <si>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</si>
  <si>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</si>
  <si>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</si>
  <si>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t>Actual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</si>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</sst>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m/d/yy\ h:mm:ss"/>
    <numFmt numFmtId="167" formatCode="_-* #,##0_-;\-* #,##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4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2" fillId="0" borderId="0" xfId="2" applyFont="1" applyFill="1" applyBorder="1" applyAlignment="1">
      <alignment horizontal="left"/>
    </xf>
    <xf numFmtId="0" fontId="3" fillId="0" borderId="0" xfId="2"/>
    <xf numFmtId="0" fontId="0" fillId="0" borderId="1" xfId="0" applyBorder="1"/>
    <xf numFmtId="164" fontId="0" fillId="0" borderId="1" xfId="3" applyNumberFormat="1" applyFont="1" applyFill="1" applyBorder="1" applyAlignment="1">
      <alignment horizontal="right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5" fillId="0" borderId="1" xfId="0" applyFont="1" applyBorder="1"/>
    <xf numFmtId="0" fontId="5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5" fillId="0" borderId="2" xfId="0" applyFont="1" applyBorder="1"/>
    <xf numFmtId="0" fontId="5" fillId="0" borderId="2" xfId="0" quotePrefix="1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15" fontId="0" fillId="0" borderId="3" xfId="0" applyNumberFormat="1" applyBorder="1"/>
    <xf numFmtId="15" fontId="0" fillId="0" borderId="2" xfId="0" applyNumberFormat="1" applyBorder="1"/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0" borderId="0" xfId="0" applyNumberFormat="1" applyAlignment="1">
      <alignment horizontal="left" indent="1"/>
    </xf>
    <xf numFmtId="165" fontId="0" fillId="0" borderId="2" xfId="0" applyNumberFormat="1" applyBorder="1" applyAlignment="1">
      <alignment horizontal="left" indent="1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2" fillId="0" borderId="1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5" fontId="0" fillId="0" borderId="7" xfId="0" applyNumberFormat="1" applyBorder="1"/>
    <xf numFmtId="15" fontId="0" fillId="0" borderId="6" xfId="0" applyNumberFormat="1" applyBorder="1"/>
    <xf numFmtId="15" fontId="0" fillId="0" borderId="5" xfId="0" applyNumberFormat="1" applyBorder="1"/>
    <xf numFmtId="0" fontId="0" fillId="0" borderId="5" xfId="0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15" fontId="5" fillId="0" borderId="7" xfId="0" applyNumberFormat="1" applyFont="1" applyBorder="1" applyAlignment="1">
      <alignment horizontal="center"/>
    </xf>
    <xf numFmtId="15" fontId="5" fillId="0" borderId="6" xfId="0" applyNumberFormat="1" applyFont="1" applyBorder="1" applyAlignment="1">
      <alignment horizontal="center"/>
    </xf>
    <xf numFmtId="15" fontId="5" fillId="0" borderId="5" xfId="0" applyNumberFormat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5" fontId="0" fillId="0" borderId="1" xfId="0" applyNumberFormat="1" applyBorder="1"/>
    <xf numFmtId="15" fontId="6" fillId="0" borderId="1" xfId="0" applyNumberFormat="1" applyFont="1" applyBorder="1"/>
    <xf numFmtId="0" fontId="5" fillId="0" borderId="0" xfId="0" applyFont="1"/>
    <xf numFmtId="166" fontId="0" fillId="0" borderId="0" xfId="0" applyNumberFormat="1"/>
    <xf numFmtId="0" fontId="0" fillId="0" borderId="0" xfId="0" quotePrefix="1"/>
    <xf numFmtId="0" fontId="8" fillId="0" borderId="0" xfId="0" applyFont="1"/>
    <xf numFmtId="0" fontId="7" fillId="3" borderId="8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7" fontId="0" fillId="0" borderId="18" xfId="3" applyNumberFormat="1" applyFont="1" applyBorder="1"/>
    <xf numFmtId="167" fontId="5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7" fontId="0" fillId="0" borderId="25" xfId="3" applyNumberFormat="1" applyFont="1" applyBorder="1"/>
    <xf numFmtId="167" fontId="5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0" fontId="0" fillId="0" borderId="29" xfId="0" applyBorder="1"/>
    <xf numFmtId="167" fontId="0" fillId="0" borderId="29" xfId="3" applyNumberFormat="1" applyFont="1" applyBorder="1"/>
    <xf numFmtId="167" fontId="5" fillId="0" borderId="30" xfId="3" applyNumberFormat="1" applyFont="1" applyBorder="1"/>
    <xf numFmtId="9" fontId="0" fillId="0" borderId="31" xfId="5" applyFon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7" fontId="0" fillId="0" borderId="0" xfId="3" applyNumberFormat="1" applyFont="1"/>
    <xf numFmtId="9" fontId="0" fillId="0" borderId="0" xfId="5" applyFont="1"/>
    <xf numFmtId="0" fontId="9" fillId="0" borderId="0" xfId="0" applyFont="1"/>
    <xf numFmtId="0" fontId="11" fillId="0" borderId="0" xfId="0" applyFont="1"/>
    <xf numFmtId="0" fontId="7" fillId="4" borderId="36" xfId="0" applyFont="1" applyFill="1" applyBorder="1" applyAlignment="1">
      <alignment horizontal="center"/>
    </xf>
    <xf numFmtId="0" fontId="7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10" fillId="0" borderId="0" xfId="0" applyFont="1"/>
    <xf numFmtId="0" fontId="0" fillId="0" borderId="0" xfId="0" applyAlignment="1">
      <alignment horizontal="center"/>
    </xf>
    <xf numFmtId="0" fontId="7" fillId="4" borderId="49" xfId="0" applyFont="1" applyFill="1" applyBorder="1" applyAlignment="1">
      <alignment horizontal="center"/>
    </xf>
    <xf numFmtId="0" fontId="7" fillId="4" borderId="50" xfId="0" applyFont="1" applyFill="1" applyBorder="1" applyAlignment="1">
      <alignment horizontal="center"/>
    </xf>
    <xf numFmtId="0" fontId="7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5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5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2" borderId="0" xfId="0" applyFill="1" applyAlignment="1">
      <alignment horizontal="center" wrapText="1"/>
    </xf>
    <xf numFmtId="0" fontId="7" fillId="3" borderId="8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/>
    </xf>
    <xf numFmtId="0" fontId="7" fillId="3" borderId="0" xfId="0" applyFont="1" applyFill="1" applyAlignment="1">
      <alignment horizontal="center" vertical="center"/>
    </xf>
    <xf numFmtId="0" fontId="7" fillId="4" borderId="9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left" vertical="center"/>
    </xf>
    <xf numFmtId="0" fontId="7" fillId="4" borderId="46" xfId="0" applyFont="1" applyFill="1" applyBorder="1" applyAlignment="1">
      <alignment horizontal="left" vertical="center"/>
    </xf>
    <xf numFmtId="0" fontId="7" fillId="4" borderId="42" xfId="0" applyFont="1" applyFill="1" applyBorder="1" applyAlignment="1">
      <alignment horizontal="left" vertical="center"/>
    </xf>
    <xf numFmtId="0" fontId="7" fillId="4" borderId="43" xfId="0" applyFont="1" applyFill="1" applyBorder="1" applyAlignment="1">
      <alignment horizontal="left" vertical="center"/>
    </xf>
    <xf numFmtId="0" fontId="7" fillId="4" borderId="44" xfId="0" applyFont="1" applyFill="1" applyBorder="1" applyAlignment="1">
      <alignment horizontal="left" vertical="center"/>
    </xf>
    <xf numFmtId="0" fontId="7" fillId="4" borderId="47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7" fillId="4" borderId="48" xfId="0" applyFont="1" applyFill="1" applyBorder="1" applyAlignment="1">
      <alignment horizontal="left" vertical="center"/>
    </xf>
    <xf numFmtId="0" fontId="7" fillId="4" borderId="45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  <xf numFmtId="0" fontId="0" fillId="6" borderId="58" xfId="0" applyFont="1" applyFill="1" applyBorder="1"/>
    <xf numFmtId="0" fontId="0" fillId="6" borderId="59" xfId="0" applyFont="1" applyFill="1" applyBorder="1"/>
    <xf numFmtId="0" fontId="0" fillId="6" borderId="60" xfId="0" applyFont="1" applyFill="1" applyBorder="1"/>
    <xf numFmtId="0" fontId="0" fillId="7" borderId="58" xfId="0" applyFont="1" applyFill="1" applyBorder="1"/>
    <xf numFmtId="0" fontId="0" fillId="7" borderId="59" xfId="0" applyFont="1" applyFill="1" applyBorder="1"/>
    <xf numFmtId="0" fontId="0" fillId="7" borderId="60" xfId="0" applyFont="1" applyFill="1" applyBorder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7" borderId="44" xfId="0" applyFont="1" applyFill="1" applyBorder="1"/>
    <xf numFmtId="0" fontId="0" fillId="7" borderId="41" xfId="0" applyFont="1" applyFill="1" applyBorder="1"/>
    <xf numFmtId="0" fontId="0" fillId="7" borderId="42" xfId="0" applyFont="1" applyFill="1" applyBorder="1"/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6" formatCode="m/d/yy\ h:mm:ss"/>
    </dxf>
    <dxf>
      <numFmt numFmtId="166" formatCode="m/d/yy\ 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167640</xdr:colOff>
          <xdr:row>7</xdr:row>
          <xdr:rowOff>60960</xdr:rowOff>
        </xdr:from>
        <xdr:to>
          <xdr:col>17</xdr:col>
          <xdr:colOff>312420</xdr:colOff>
          <xdr:row>10</xdr:row>
          <xdr:rowOff>137160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30DFF1-D08A-40D2-87B6-A13E4033123D}" name="Tabla232" displayName="Tabla232" ref="A1:D175" totalsRowShown="0" dataDxfId="10">
  <autoFilter ref="A1:D175" xr:uid="{B930DFF1-D08A-40D2-87B6-A13E4033123D}"/>
  <sortState xmlns:xlrd2="http://schemas.microsoft.com/office/spreadsheetml/2017/richdata2" ref="A2:D175">
    <sortCondition ref="A1:A946"/>
  </sortState>
  <tableColumns count="4">
    <tableColumn id="1" xr3:uid="{777696A2-D648-460C-853A-19E217A8E62A}" name="Nombre" dataDxfId="9"/>
    <tableColumn id="2" xr3:uid="{F13859E1-45AA-4166-81CF-0DA423FD2180}" name="usuario" dataDxfId="8"/>
    <tableColumn id="5" xr3:uid="{076A6893-2F1B-47DC-A2EE-04827F1E7F82}" name="Gerencia" dataDxfId="7" dataCellStyle="Hipervínculo"/>
    <tableColumn id="4" xr3:uid="{755166B1-510C-40D3-A392-98A8942D3C51}" name="Área" dataDxfId="6" dataCellStyle="Hipervíncul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7253D6-197F-482E-8B08-7382A78B4867}" name="TBL_ResulEncuestas" displayName="TBL_ResulEncuestas" ref="A3:K117" totalsRowShown="0">
  <autoFilter ref="A3:K117" xr:uid="{A07253D6-197F-482E-8B08-7382A78B4867}"/>
  <tableColumns count="11">
    <tableColumn id="1" xr3:uid="{7E9D91B6-6F53-4862-A0EC-2100AAC36EAE}" name="ID"/>
    <tableColumn id="2" xr3:uid="{FF162CEB-CAC5-4BD3-ADDC-A8974FC5D5F7}" name="Hora de inicio" dataDxfId="5"/>
    <tableColumn id="3" xr3:uid="{16A56D03-FC3C-455A-B6F2-D043F4B13432}" name="Hora de finalización" dataDxfId="4"/>
    <tableColumn id="4" xr3:uid="{3FC21803-990D-4122-A971-E9EF439C8CDC}" name="Correo electrónico"/>
    <tableColumn id="5" xr3:uid="{21BB9740-29DE-477D-B358-5A6BE5630EEA}" name="Nombre"/>
    <tableColumn id="6" xr3:uid="{A6D45D72-7E78-4CCB-977A-562FC5342C5E}" name="1"/>
    <tableColumn id="7" xr3:uid="{CEC14325-72EF-4705-BD90-0744C329F3CF}" name="2"/>
    <tableColumn id="8" xr3:uid="{CC9CF25A-6A72-42C6-90C5-A6573670620F}" name="3"/>
    <tableColumn id="9" xr3:uid="{0A7A706C-6BD5-41BA-A574-6A0B29EF03D3}" name="4"/>
    <tableColumn id="10" xr3:uid="{17391A2A-4CC0-4708-BC07-450EE340CB7E}" name="5"/>
    <tableColumn id="11" xr3:uid="{5537341C-C61C-4CF4-8CE0-BEA58E974381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69345D5-3AAE-4B6A-954A-A5D042DC3525}" name="Resumen2" displayName="Resumen2" ref="A1:E571" totalsRowShown="0">
  <autoFilter ref="A1:E571" xr:uid="{869345D5-3AAE-4B6A-954A-A5D042DC3525}"/>
  <tableColumns count="5">
    <tableColumn id="1" xr3:uid="{06AB062A-A9E3-4EE5-A46C-2E9C8D7B2E9C}" name="Correo electrónico" dataDxfId="1"/>
    <tableColumn id="2" xr3:uid="{5CCA0F0B-8ED1-48AF-8FCF-84B25C6B4AFE}" name="Servicios"/>
    <tableColumn id="3" xr3:uid="{618229B3-69D4-41E8-9958-7A8EC120E24F}" name="Nro" dataDxfId="0"/>
    <tableColumn id="4" xr3:uid="{C96FBAD7-D1FF-40ED-B16D-D5A24EC19A39}" name="Gerencia">
      <calculatedColumnFormula>VLOOKUP(A2,DataUsuario!B:D,2,FALSE)</calculatedColumnFormula>
    </tableColumn>
    <tableColumn id="5" xr3:uid="{A053C781-1524-4436-BA3C-F1FEC86CB317}" name="Area">
      <calculatedColumnFormula>VLOOKUP(A2,DataUsuario!B:D,3,FALSE)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OMontenegroC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175"/>
  <sheetViews>
    <sheetView workbookViewId="0">
      <selection activeCell="B176" sqref="B176"/>
    </sheetView>
  </sheetViews>
  <sheetFormatPr baseColWidth="10" defaultRowHeight="14.4" x14ac:dyDescent="0.3"/>
  <cols>
    <col min="1" max="1" width="39.44140625" bestFit="1" customWidth="1"/>
    <col min="2" max="2" width="39.5546875" bestFit="1" customWidth="1"/>
    <col min="3" max="3" width="29.6640625" bestFit="1" customWidth="1"/>
    <col min="4" max="4" width="38" bestFit="1" customWidth="1"/>
  </cols>
  <sheetData>
    <row r="1" spans="1:4" x14ac:dyDescent="0.3">
      <c r="A1" t="s">
        <v>63</v>
      </c>
      <c r="B1" t="s">
        <v>64</v>
      </c>
      <c r="C1" t="s">
        <v>65</v>
      </c>
      <c r="D1" t="s">
        <v>66</v>
      </c>
    </row>
    <row r="2" spans="1:4" x14ac:dyDescent="0.3">
      <c r="A2" s="2" t="s">
        <v>67</v>
      </c>
      <c r="B2" s="3" t="s">
        <v>68</v>
      </c>
      <c r="C2" s="3" t="s">
        <v>69</v>
      </c>
      <c r="D2" s="3" t="s">
        <v>70</v>
      </c>
    </row>
    <row r="3" spans="1:4" x14ac:dyDescent="0.3">
      <c r="A3" s="4" t="s">
        <v>71</v>
      </c>
      <c r="B3" s="4" t="s">
        <v>72</v>
      </c>
      <c r="C3" s="4" t="s">
        <v>73</v>
      </c>
      <c r="D3" s="4" t="s">
        <v>74</v>
      </c>
    </row>
    <row r="4" spans="1:4" x14ac:dyDescent="0.3">
      <c r="A4" s="4" t="s">
        <v>75</v>
      </c>
      <c r="B4" s="4" t="s">
        <v>76</v>
      </c>
      <c r="C4" s="4" t="s">
        <v>77</v>
      </c>
      <c r="D4" s="4" t="s">
        <v>78</v>
      </c>
    </row>
    <row r="5" spans="1:4" x14ac:dyDescent="0.3">
      <c r="A5" s="4" t="s">
        <v>79</v>
      </c>
      <c r="B5" s="4" t="s">
        <v>80</v>
      </c>
      <c r="C5" s="4" t="s">
        <v>81</v>
      </c>
      <c r="D5" s="4" t="s">
        <v>82</v>
      </c>
    </row>
    <row r="6" spans="1:4" x14ac:dyDescent="0.3">
      <c r="A6" s="4" t="s">
        <v>83</v>
      </c>
      <c r="B6" s="4" t="s">
        <v>84</v>
      </c>
      <c r="C6" s="4" t="s">
        <v>77</v>
      </c>
      <c r="D6" s="4" t="s">
        <v>85</v>
      </c>
    </row>
    <row r="7" spans="1:4" x14ac:dyDescent="0.3">
      <c r="A7" s="4" t="s">
        <v>86</v>
      </c>
      <c r="B7" s="4" t="s">
        <v>87</v>
      </c>
      <c r="C7" s="4" t="s">
        <v>73</v>
      </c>
      <c r="D7" s="4" t="s">
        <v>50</v>
      </c>
    </row>
    <row r="8" spans="1:4" x14ac:dyDescent="0.3">
      <c r="A8" s="4" t="s">
        <v>88</v>
      </c>
      <c r="B8" s="4" t="s">
        <v>89</v>
      </c>
      <c r="C8" s="4" t="s">
        <v>81</v>
      </c>
      <c r="D8" s="4" t="s">
        <v>90</v>
      </c>
    </row>
    <row r="9" spans="1:4" x14ac:dyDescent="0.3">
      <c r="A9" s="4" t="s">
        <v>91</v>
      </c>
      <c r="B9" s="4" t="s">
        <v>92</v>
      </c>
      <c r="C9" s="4" t="s">
        <v>77</v>
      </c>
      <c r="D9" s="4" t="s">
        <v>93</v>
      </c>
    </row>
    <row r="10" spans="1:4" x14ac:dyDescent="0.3">
      <c r="A10" s="4" t="s">
        <v>94</v>
      </c>
      <c r="B10" s="4" t="s">
        <v>95</v>
      </c>
      <c r="C10" s="4" t="s">
        <v>96</v>
      </c>
      <c r="D10" s="4" t="s">
        <v>97</v>
      </c>
    </row>
    <row r="11" spans="1:4" x14ac:dyDescent="0.3">
      <c r="A11" s="4" t="s">
        <v>98</v>
      </c>
      <c r="B11" s="4" t="s">
        <v>99</v>
      </c>
      <c r="C11" s="4" t="s">
        <v>73</v>
      </c>
      <c r="D11" s="4" t="s">
        <v>100</v>
      </c>
    </row>
    <row r="12" spans="1:4" x14ac:dyDescent="0.3">
      <c r="A12" s="4" t="s">
        <v>101</v>
      </c>
      <c r="B12" s="4" t="s">
        <v>102</v>
      </c>
      <c r="C12" s="4" t="s">
        <v>73</v>
      </c>
      <c r="D12" s="4" t="s">
        <v>43</v>
      </c>
    </row>
    <row r="13" spans="1:4" x14ac:dyDescent="0.3">
      <c r="A13" s="4" t="s">
        <v>103</v>
      </c>
      <c r="B13" s="3" t="s">
        <v>104</v>
      </c>
      <c r="C13" s="3" t="s">
        <v>69</v>
      </c>
      <c r="D13" s="3" t="s">
        <v>70</v>
      </c>
    </row>
    <row r="14" spans="1:4" x14ac:dyDescent="0.3">
      <c r="A14" s="4" t="s">
        <v>105</v>
      </c>
      <c r="B14" s="4" t="s">
        <v>106</v>
      </c>
      <c r="C14" s="4" t="s">
        <v>69</v>
      </c>
      <c r="D14" s="4" t="s">
        <v>107</v>
      </c>
    </row>
    <row r="15" spans="1:4" x14ac:dyDescent="0.3">
      <c r="A15" s="2" t="s">
        <v>108</v>
      </c>
      <c r="B15" s="4" t="s">
        <v>109</v>
      </c>
      <c r="C15" s="4" t="s">
        <v>77</v>
      </c>
      <c r="D15" s="4" t="s">
        <v>78</v>
      </c>
    </row>
    <row r="16" spans="1:4" x14ac:dyDescent="0.3">
      <c r="A16" s="4" t="s">
        <v>110</v>
      </c>
      <c r="B16" t="s">
        <v>111</v>
      </c>
      <c r="C16" t="s">
        <v>77</v>
      </c>
      <c r="D16" t="s">
        <v>112</v>
      </c>
    </row>
    <row r="17" spans="1:4" x14ac:dyDescent="0.3">
      <c r="A17" s="4" t="s">
        <v>113</v>
      </c>
      <c r="B17" s="3" t="s">
        <v>114</v>
      </c>
      <c r="C17" s="3" t="s">
        <v>77</v>
      </c>
      <c r="D17" s="3" t="s">
        <v>115</v>
      </c>
    </row>
    <row r="18" spans="1:4" x14ac:dyDescent="0.3">
      <c r="A18" s="4" t="s">
        <v>116</v>
      </c>
      <c r="B18" s="4" t="s">
        <v>117</v>
      </c>
      <c r="C18" s="4" t="s">
        <v>77</v>
      </c>
      <c r="D18" s="4" t="s">
        <v>118</v>
      </c>
    </row>
    <row r="19" spans="1:4" x14ac:dyDescent="0.3">
      <c r="A19" s="4" t="s">
        <v>119</v>
      </c>
      <c r="B19" s="4" t="s">
        <v>120</v>
      </c>
      <c r="C19" s="4" t="s">
        <v>81</v>
      </c>
      <c r="D19" s="4" t="s">
        <v>82</v>
      </c>
    </row>
    <row r="20" spans="1:4" x14ac:dyDescent="0.3">
      <c r="A20" s="4" t="s">
        <v>121</v>
      </c>
      <c r="B20" s="4" t="s">
        <v>122</v>
      </c>
      <c r="C20" s="4" t="s">
        <v>81</v>
      </c>
      <c r="D20" s="4" t="s">
        <v>123</v>
      </c>
    </row>
    <row r="21" spans="1:4" x14ac:dyDescent="0.3">
      <c r="A21" s="4" t="s">
        <v>124</v>
      </c>
      <c r="B21" s="4" t="s">
        <v>125</v>
      </c>
      <c r="C21" s="4" t="s">
        <v>96</v>
      </c>
      <c r="D21" s="4" t="s">
        <v>97</v>
      </c>
    </row>
    <row r="22" spans="1:4" x14ac:dyDescent="0.3">
      <c r="A22" s="4" t="s">
        <v>126</v>
      </c>
      <c r="B22" s="4" t="s">
        <v>127</v>
      </c>
      <c r="C22" s="4" t="s">
        <v>96</v>
      </c>
      <c r="D22" s="4" t="s">
        <v>128</v>
      </c>
    </row>
    <row r="23" spans="1:4" x14ac:dyDescent="0.3">
      <c r="A23" s="4" t="s">
        <v>129</v>
      </c>
      <c r="B23" s="4" t="s">
        <v>130</v>
      </c>
      <c r="C23" s="4" t="s">
        <v>73</v>
      </c>
      <c r="D23" s="4" t="s">
        <v>131</v>
      </c>
    </row>
    <row r="24" spans="1:4" x14ac:dyDescent="0.3">
      <c r="A24" s="4" t="s">
        <v>132</v>
      </c>
      <c r="B24" s="4" t="s">
        <v>133</v>
      </c>
      <c r="C24" s="5" t="s">
        <v>96</v>
      </c>
      <c r="D24" s="5" t="s">
        <v>128</v>
      </c>
    </row>
    <row r="25" spans="1:4" x14ac:dyDescent="0.3">
      <c r="A25" s="4" t="s">
        <v>134</v>
      </c>
      <c r="B25" s="4" t="s">
        <v>135</v>
      </c>
      <c r="C25" s="4" t="s">
        <v>96</v>
      </c>
      <c r="D25" s="4" t="s">
        <v>97</v>
      </c>
    </row>
    <row r="26" spans="1:4" x14ac:dyDescent="0.3">
      <c r="A26" s="4" t="s">
        <v>136</v>
      </c>
      <c r="B26" s="4" t="s">
        <v>137</v>
      </c>
      <c r="C26" s="4" t="s">
        <v>96</v>
      </c>
      <c r="D26" s="4" t="s">
        <v>138</v>
      </c>
    </row>
    <row r="27" spans="1:4" x14ac:dyDescent="0.3">
      <c r="A27" s="4" t="s">
        <v>139</v>
      </c>
      <c r="B27" s="4" t="s">
        <v>140</v>
      </c>
      <c r="C27" s="4" t="s">
        <v>81</v>
      </c>
      <c r="D27" s="4" t="s">
        <v>141</v>
      </c>
    </row>
    <row r="28" spans="1:4" x14ac:dyDescent="0.3">
      <c r="A28" s="2" t="s">
        <v>142</v>
      </c>
      <c r="B28" s="3" t="s">
        <v>143</v>
      </c>
      <c r="C28" s="3" t="s">
        <v>77</v>
      </c>
      <c r="D28" s="3" t="s">
        <v>93</v>
      </c>
    </row>
    <row r="29" spans="1:4" x14ac:dyDescent="0.3">
      <c r="A29" s="4" t="s">
        <v>144</v>
      </c>
      <c r="B29" s="4" t="s">
        <v>145</v>
      </c>
      <c r="C29" s="4" t="s">
        <v>69</v>
      </c>
      <c r="D29" s="4" t="s">
        <v>146</v>
      </c>
    </row>
    <row r="30" spans="1:4" x14ac:dyDescent="0.3">
      <c r="A30" s="4" t="s">
        <v>147</v>
      </c>
      <c r="B30" s="4" t="s">
        <v>148</v>
      </c>
      <c r="C30" s="5" t="s">
        <v>149</v>
      </c>
      <c r="D30" s="5" t="s">
        <v>100</v>
      </c>
    </row>
    <row r="31" spans="1:4" x14ac:dyDescent="0.3">
      <c r="A31" s="4" t="s">
        <v>150</v>
      </c>
      <c r="B31" s="3" t="s">
        <v>151</v>
      </c>
      <c r="C31" s="3" t="s">
        <v>77</v>
      </c>
      <c r="D31" s="3" t="s">
        <v>115</v>
      </c>
    </row>
    <row r="32" spans="1:4" x14ac:dyDescent="0.3">
      <c r="A32" s="4" t="s">
        <v>152</v>
      </c>
      <c r="B32" s="4" t="s">
        <v>153</v>
      </c>
      <c r="C32" s="4" t="s">
        <v>73</v>
      </c>
      <c r="D32" s="4" t="s">
        <v>43</v>
      </c>
    </row>
    <row r="33" spans="1:4" x14ac:dyDescent="0.3">
      <c r="A33" s="4" t="s">
        <v>154</v>
      </c>
      <c r="B33" s="4" t="s">
        <v>155</v>
      </c>
      <c r="C33" s="4" t="s">
        <v>69</v>
      </c>
      <c r="D33" s="4" t="s">
        <v>156</v>
      </c>
    </row>
    <row r="34" spans="1:4" x14ac:dyDescent="0.3">
      <c r="A34" s="4" t="s">
        <v>157</v>
      </c>
      <c r="B34" s="4" t="s">
        <v>158</v>
      </c>
      <c r="C34" s="4" t="s">
        <v>81</v>
      </c>
      <c r="D34" s="4" t="s">
        <v>90</v>
      </c>
    </row>
    <row r="35" spans="1:4" x14ac:dyDescent="0.3">
      <c r="A35" s="4" t="s">
        <v>159</v>
      </c>
      <c r="B35" s="3" t="s">
        <v>160</v>
      </c>
      <c r="C35" s="3" t="s">
        <v>77</v>
      </c>
      <c r="D35" s="3" t="s">
        <v>78</v>
      </c>
    </row>
    <row r="36" spans="1:4" x14ac:dyDescent="0.3">
      <c r="A36" s="2" t="s">
        <v>161</v>
      </c>
      <c r="B36" s="3" t="s">
        <v>162</v>
      </c>
      <c r="C36" s="3" t="s">
        <v>81</v>
      </c>
      <c r="D36" s="3" t="s">
        <v>82</v>
      </c>
    </row>
    <row r="37" spans="1:4" x14ac:dyDescent="0.3">
      <c r="A37" s="4" t="s">
        <v>163</v>
      </c>
      <c r="B37" s="3" t="s">
        <v>164</v>
      </c>
      <c r="C37" s="3" t="s">
        <v>73</v>
      </c>
      <c r="D37" s="3" t="s">
        <v>50</v>
      </c>
    </row>
    <row r="38" spans="1:4" x14ac:dyDescent="0.3">
      <c r="A38" s="4" t="s">
        <v>165</v>
      </c>
      <c r="B38" s="4" t="s">
        <v>166</v>
      </c>
      <c r="C38" s="4" t="s">
        <v>77</v>
      </c>
      <c r="D38" s="4" t="s">
        <v>18</v>
      </c>
    </row>
    <row r="39" spans="1:4" x14ac:dyDescent="0.3">
      <c r="A39" s="4" t="s">
        <v>167</v>
      </c>
      <c r="B39" s="4" t="s">
        <v>168</v>
      </c>
      <c r="C39" s="4" t="s">
        <v>96</v>
      </c>
      <c r="D39" s="4" t="s">
        <v>97</v>
      </c>
    </row>
    <row r="40" spans="1:4" x14ac:dyDescent="0.3">
      <c r="A40" s="4" t="s">
        <v>169</v>
      </c>
      <c r="B40" s="4" t="s">
        <v>170</v>
      </c>
      <c r="C40" s="4" t="s">
        <v>96</v>
      </c>
      <c r="D40" s="4" t="s">
        <v>97</v>
      </c>
    </row>
    <row r="41" spans="1:4" x14ac:dyDescent="0.3">
      <c r="A41" s="4" t="s">
        <v>171</v>
      </c>
      <c r="B41" s="4" t="s">
        <v>172</v>
      </c>
      <c r="C41" s="4" t="s">
        <v>96</v>
      </c>
      <c r="D41" s="4" t="s">
        <v>173</v>
      </c>
    </row>
    <row r="42" spans="1:4" x14ac:dyDescent="0.3">
      <c r="A42" s="4" t="s">
        <v>174</v>
      </c>
      <c r="B42" s="4" t="s">
        <v>175</v>
      </c>
      <c r="C42" s="4" t="s">
        <v>96</v>
      </c>
      <c r="D42" s="4" t="s">
        <v>128</v>
      </c>
    </row>
    <row r="43" spans="1:4" x14ac:dyDescent="0.3">
      <c r="A43" s="4" t="s">
        <v>176</v>
      </c>
      <c r="B43" s="4" t="s">
        <v>177</v>
      </c>
      <c r="C43" s="4" t="s">
        <v>69</v>
      </c>
      <c r="D43" s="4" t="s">
        <v>49</v>
      </c>
    </row>
    <row r="44" spans="1:4" x14ac:dyDescent="0.3">
      <c r="A44" s="4" t="s">
        <v>178</v>
      </c>
      <c r="B44" s="4" t="s">
        <v>179</v>
      </c>
      <c r="C44" s="4" t="s">
        <v>77</v>
      </c>
      <c r="D44" s="4" t="s">
        <v>112</v>
      </c>
    </row>
    <row r="45" spans="1:4" x14ac:dyDescent="0.3">
      <c r="A45" s="2" t="s">
        <v>180</v>
      </c>
      <c r="B45" t="s">
        <v>181</v>
      </c>
      <c r="C45" t="s">
        <v>69</v>
      </c>
      <c r="D45" t="s">
        <v>107</v>
      </c>
    </row>
    <row r="46" spans="1:4" x14ac:dyDescent="0.3">
      <c r="A46" s="4" t="s">
        <v>182</v>
      </c>
      <c r="B46" s="3" t="s">
        <v>183</v>
      </c>
      <c r="C46" s="3" t="s">
        <v>69</v>
      </c>
      <c r="D46" s="3" t="s">
        <v>107</v>
      </c>
    </row>
    <row r="47" spans="1:4" x14ac:dyDescent="0.3">
      <c r="A47" s="4" t="s">
        <v>184</v>
      </c>
      <c r="B47" s="4" t="s">
        <v>185</v>
      </c>
      <c r="C47" s="4" t="s">
        <v>73</v>
      </c>
      <c r="D47" s="4" t="s">
        <v>186</v>
      </c>
    </row>
    <row r="48" spans="1:4" x14ac:dyDescent="0.3">
      <c r="A48" s="4" t="s">
        <v>187</v>
      </c>
      <c r="B48" s="4" t="s">
        <v>188</v>
      </c>
      <c r="C48" s="5" t="s">
        <v>96</v>
      </c>
      <c r="D48" s="5" t="s">
        <v>128</v>
      </c>
    </row>
    <row r="49" spans="1:4" x14ac:dyDescent="0.3">
      <c r="A49" s="4" t="s">
        <v>189</v>
      </c>
      <c r="B49" s="3" t="s">
        <v>190</v>
      </c>
      <c r="C49" s="3" t="s">
        <v>69</v>
      </c>
      <c r="D49" s="3" t="s">
        <v>70</v>
      </c>
    </row>
    <row r="50" spans="1:4" x14ac:dyDescent="0.3">
      <c r="A50" s="4" t="s">
        <v>191</v>
      </c>
      <c r="B50" s="4" t="s">
        <v>192</v>
      </c>
      <c r="C50" s="4" t="s">
        <v>96</v>
      </c>
      <c r="D50" s="4" t="s">
        <v>193</v>
      </c>
    </row>
    <row r="51" spans="1:4" x14ac:dyDescent="0.3">
      <c r="A51" s="4" t="s">
        <v>194</v>
      </c>
      <c r="B51" s="4" t="s">
        <v>195</v>
      </c>
      <c r="C51" s="4" t="s">
        <v>77</v>
      </c>
      <c r="D51" s="4" t="s">
        <v>18</v>
      </c>
    </row>
    <row r="52" spans="1:4" x14ac:dyDescent="0.3">
      <c r="A52" s="4" t="s">
        <v>196</v>
      </c>
      <c r="B52" s="4" t="s">
        <v>197</v>
      </c>
      <c r="C52" s="4" t="s">
        <v>81</v>
      </c>
      <c r="D52" s="4" t="s">
        <v>82</v>
      </c>
    </row>
    <row r="53" spans="1:4" x14ac:dyDescent="0.3">
      <c r="A53" s="4" t="s">
        <v>198</v>
      </c>
      <c r="B53" s="4" t="s">
        <v>199</v>
      </c>
      <c r="C53" s="4" t="s">
        <v>69</v>
      </c>
      <c r="D53" s="4" t="s">
        <v>200</v>
      </c>
    </row>
    <row r="54" spans="1:4" x14ac:dyDescent="0.3">
      <c r="A54" s="4" t="s">
        <v>201</v>
      </c>
      <c r="B54" s="4" t="s">
        <v>202</v>
      </c>
      <c r="C54" s="4" t="s">
        <v>96</v>
      </c>
      <c r="D54" s="4" t="s">
        <v>138</v>
      </c>
    </row>
    <row r="55" spans="1:4" x14ac:dyDescent="0.3">
      <c r="A55" s="4" t="s">
        <v>203</v>
      </c>
      <c r="B55" s="4" t="s">
        <v>204</v>
      </c>
      <c r="C55" s="5" t="s">
        <v>77</v>
      </c>
      <c r="D55" s="5" t="s">
        <v>78</v>
      </c>
    </row>
    <row r="56" spans="1:4" x14ac:dyDescent="0.3">
      <c r="A56" s="4" t="s">
        <v>205</v>
      </c>
      <c r="B56" s="4" t="s">
        <v>206</v>
      </c>
      <c r="C56" s="5" t="s">
        <v>96</v>
      </c>
      <c r="D56" s="5" t="s">
        <v>138</v>
      </c>
    </row>
    <row r="57" spans="1:4" x14ac:dyDescent="0.3">
      <c r="A57" s="4" t="s">
        <v>207</v>
      </c>
      <c r="B57" s="4" t="s">
        <v>208</v>
      </c>
      <c r="C57" s="4" t="s">
        <v>96</v>
      </c>
      <c r="D57" s="4" t="s">
        <v>97</v>
      </c>
    </row>
    <row r="58" spans="1:4" x14ac:dyDescent="0.3">
      <c r="A58" s="4" t="s">
        <v>209</v>
      </c>
      <c r="B58" s="4" t="s">
        <v>210</v>
      </c>
      <c r="C58" s="4" t="s">
        <v>81</v>
      </c>
      <c r="D58" s="4" t="s">
        <v>141</v>
      </c>
    </row>
    <row r="59" spans="1:4" x14ac:dyDescent="0.3">
      <c r="A59" s="4" t="s">
        <v>211</v>
      </c>
      <c r="B59" s="4" t="s">
        <v>212</v>
      </c>
      <c r="C59" s="4" t="s">
        <v>96</v>
      </c>
      <c r="D59" s="4" t="s">
        <v>213</v>
      </c>
    </row>
    <row r="60" spans="1:4" x14ac:dyDescent="0.3">
      <c r="A60" s="4" t="s">
        <v>214</v>
      </c>
      <c r="B60" s="4" t="s">
        <v>215</v>
      </c>
      <c r="C60" s="4" t="s">
        <v>77</v>
      </c>
      <c r="D60" s="4" t="s">
        <v>78</v>
      </c>
    </row>
    <row r="61" spans="1:4" x14ac:dyDescent="0.3">
      <c r="A61" s="4" t="s">
        <v>216</v>
      </c>
      <c r="B61" s="4" t="s">
        <v>217</v>
      </c>
      <c r="C61" s="4" t="s">
        <v>73</v>
      </c>
      <c r="D61" s="4" t="s">
        <v>218</v>
      </c>
    </row>
    <row r="62" spans="1:4" x14ac:dyDescent="0.3">
      <c r="A62" s="4" t="s">
        <v>219</v>
      </c>
      <c r="B62" s="3" t="s">
        <v>220</v>
      </c>
      <c r="C62" s="3" t="s">
        <v>81</v>
      </c>
      <c r="D62" s="3" t="s">
        <v>221</v>
      </c>
    </row>
    <row r="63" spans="1:4" x14ac:dyDescent="0.3">
      <c r="A63" s="4" t="s">
        <v>222</v>
      </c>
      <c r="B63" s="4" t="s">
        <v>223</v>
      </c>
      <c r="C63" s="4" t="s">
        <v>69</v>
      </c>
      <c r="D63" s="4" t="s">
        <v>49</v>
      </c>
    </row>
    <row r="64" spans="1:4" x14ac:dyDescent="0.3">
      <c r="A64" s="4" t="s">
        <v>224</v>
      </c>
      <c r="B64" s="4" t="s">
        <v>225</v>
      </c>
      <c r="C64" s="4" t="s">
        <v>69</v>
      </c>
      <c r="D64" s="4" t="s">
        <v>49</v>
      </c>
    </row>
    <row r="65" spans="1:4" x14ac:dyDescent="0.3">
      <c r="A65" s="4" t="s">
        <v>226</v>
      </c>
      <c r="B65" s="4" t="s">
        <v>227</v>
      </c>
      <c r="C65" s="4" t="s">
        <v>96</v>
      </c>
      <c r="D65" s="4" t="s">
        <v>138</v>
      </c>
    </row>
    <row r="66" spans="1:4" x14ac:dyDescent="0.3">
      <c r="A66" s="4" t="s">
        <v>228</v>
      </c>
      <c r="B66" s="4" t="s">
        <v>229</v>
      </c>
      <c r="C66" s="4" t="s">
        <v>96</v>
      </c>
      <c r="D66" s="4" t="s">
        <v>128</v>
      </c>
    </row>
    <row r="67" spans="1:4" x14ac:dyDescent="0.3">
      <c r="A67" s="4" t="s">
        <v>230</v>
      </c>
      <c r="B67" s="3" t="s">
        <v>231</v>
      </c>
      <c r="C67" s="3" t="s">
        <v>73</v>
      </c>
      <c r="D67" s="3" t="s">
        <v>232</v>
      </c>
    </row>
    <row r="68" spans="1:4" x14ac:dyDescent="0.3">
      <c r="A68" s="4" t="s">
        <v>233</v>
      </c>
      <c r="B68" s="4" t="s">
        <v>234</v>
      </c>
      <c r="C68" s="4" t="s">
        <v>96</v>
      </c>
      <c r="D68" s="4" t="s">
        <v>235</v>
      </c>
    </row>
    <row r="69" spans="1:4" x14ac:dyDescent="0.3">
      <c r="A69" s="4" t="s">
        <v>236</v>
      </c>
      <c r="B69" s="3" t="s">
        <v>237</v>
      </c>
      <c r="C69" s="3" t="s">
        <v>69</v>
      </c>
      <c r="D69" s="3" t="s">
        <v>238</v>
      </c>
    </row>
    <row r="70" spans="1:4" x14ac:dyDescent="0.3">
      <c r="A70" s="4" t="s">
        <v>239</v>
      </c>
      <c r="B70" s="4" t="s">
        <v>240</v>
      </c>
      <c r="C70" s="4" t="s">
        <v>96</v>
      </c>
      <c r="D70" s="4" t="s">
        <v>97</v>
      </c>
    </row>
    <row r="71" spans="1:4" x14ac:dyDescent="0.3">
      <c r="A71" s="4" t="s">
        <v>241</v>
      </c>
      <c r="B71" s="4" t="s">
        <v>242</v>
      </c>
      <c r="C71" s="4" t="s">
        <v>96</v>
      </c>
      <c r="D71" s="4" t="s">
        <v>138</v>
      </c>
    </row>
    <row r="72" spans="1:4" x14ac:dyDescent="0.3">
      <c r="A72" s="4" t="s">
        <v>243</v>
      </c>
      <c r="B72" s="3" t="s">
        <v>244</v>
      </c>
      <c r="C72" s="3" t="s">
        <v>73</v>
      </c>
      <c r="D72" s="3" t="s">
        <v>50</v>
      </c>
    </row>
    <row r="73" spans="1:4" x14ac:dyDescent="0.3">
      <c r="A73" s="4" t="s">
        <v>245</v>
      </c>
      <c r="B73" s="4" t="s">
        <v>246</v>
      </c>
      <c r="C73" s="4" t="s">
        <v>73</v>
      </c>
      <c r="D73" s="4" t="s">
        <v>232</v>
      </c>
    </row>
    <row r="74" spans="1:4" x14ac:dyDescent="0.3">
      <c r="A74" s="4" t="s">
        <v>247</v>
      </c>
      <c r="B74" s="4" t="s">
        <v>248</v>
      </c>
      <c r="C74" s="4" t="s">
        <v>81</v>
      </c>
      <c r="D74" s="4" t="s">
        <v>90</v>
      </c>
    </row>
    <row r="75" spans="1:4" x14ac:dyDescent="0.3">
      <c r="A75" s="4" t="s">
        <v>249</v>
      </c>
      <c r="B75" s="4" t="s">
        <v>250</v>
      </c>
      <c r="C75" s="4" t="s">
        <v>69</v>
      </c>
      <c r="D75" s="4" t="s">
        <v>49</v>
      </c>
    </row>
    <row r="76" spans="1:4" x14ac:dyDescent="0.3">
      <c r="A76" s="4" t="s">
        <v>251</v>
      </c>
      <c r="B76" s="4" t="s">
        <v>252</v>
      </c>
      <c r="C76" s="4" t="s">
        <v>96</v>
      </c>
      <c r="D76" s="4" t="s">
        <v>128</v>
      </c>
    </row>
    <row r="77" spans="1:4" x14ac:dyDescent="0.3">
      <c r="A77" s="4" t="s">
        <v>253</v>
      </c>
      <c r="B77" s="4" t="s">
        <v>254</v>
      </c>
      <c r="C77" s="4" t="s">
        <v>69</v>
      </c>
      <c r="D77" s="4" t="s">
        <v>200</v>
      </c>
    </row>
    <row r="78" spans="1:4" x14ac:dyDescent="0.3">
      <c r="A78" s="4" t="s">
        <v>255</v>
      </c>
      <c r="B78" s="4" t="s">
        <v>256</v>
      </c>
      <c r="C78" s="4" t="s">
        <v>69</v>
      </c>
      <c r="D78" s="4" t="s">
        <v>70</v>
      </c>
    </row>
    <row r="79" spans="1:4" x14ac:dyDescent="0.3">
      <c r="A79" s="4" t="s">
        <v>257</v>
      </c>
      <c r="B79" s="4" t="s">
        <v>258</v>
      </c>
      <c r="C79" s="4" t="s">
        <v>81</v>
      </c>
      <c r="D79" s="4" t="s">
        <v>82</v>
      </c>
    </row>
    <row r="80" spans="1:4" x14ac:dyDescent="0.3">
      <c r="A80" s="4" t="s">
        <v>259</v>
      </c>
      <c r="B80" s="4" t="s">
        <v>260</v>
      </c>
      <c r="C80" s="4" t="s">
        <v>73</v>
      </c>
      <c r="D80" s="4" t="s">
        <v>50</v>
      </c>
    </row>
    <row r="81" spans="1:4" x14ac:dyDescent="0.3">
      <c r="A81" s="4" t="s">
        <v>261</v>
      </c>
      <c r="B81" s="4" t="s">
        <v>262</v>
      </c>
      <c r="C81" s="4" t="s">
        <v>81</v>
      </c>
      <c r="D81" s="4" t="s">
        <v>263</v>
      </c>
    </row>
    <row r="82" spans="1:4" x14ac:dyDescent="0.3">
      <c r="A82" s="4" t="s">
        <v>264</v>
      </c>
      <c r="B82" s="4" t="s">
        <v>265</v>
      </c>
      <c r="C82" s="4" t="s">
        <v>73</v>
      </c>
      <c r="D82" s="4" t="s">
        <v>7</v>
      </c>
    </row>
    <row r="83" spans="1:4" x14ac:dyDescent="0.3">
      <c r="A83" s="4" t="s">
        <v>266</v>
      </c>
      <c r="B83" s="4" t="s">
        <v>267</v>
      </c>
      <c r="C83" s="4" t="s">
        <v>96</v>
      </c>
      <c r="D83" s="4" t="s">
        <v>128</v>
      </c>
    </row>
    <row r="84" spans="1:4" x14ac:dyDescent="0.3">
      <c r="A84" s="4" t="s">
        <v>268</v>
      </c>
      <c r="B84" s="4" t="s">
        <v>269</v>
      </c>
      <c r="C84" s="4" t="s">
        <v>77</v>
      </c>
      <c r="D84" s="4" t="s">
        <v>18</v>
      </c>
    </row>
    <row r="85" spans="1:4" x14ac:dyDescent="0.3">
      <c r="A85" s="2" t="s">
        <v>270</v>
      </c>
      <c r="B85" s="6" t="s">
        <v>271</v>
      </c>
      <c r="C85" s="6" t="s">
        <v>81</v>
      </c>
      <c r="D85" s="6" t="s">
        <v>90</v>
      </c>
    </row>
    <row r="86" spans="1:4" x14ac:dyDescent="0.3">
      <c r="A86" s="4" t="s">
        <v>272</v>
      </c>
      <c r="B86" s="4" t="s">
        <v>273</v>
      </c>
      <c r="C86" s="5" t="s">
        <v>96</v>
      </c>
      <c r="D86" s="5" t="s">
        <v>97</v>
      </c>
    </row>
    <row r="87" spans="1:4" x14ac:dyDescent="0.3">
      <c r="A87" s="4" t="s">
        <v>274</v>
      </c>
      <c r="B87" s="3" t="s">
        <v>275</v>
      </c>
      <c r="C87" s="3" t="s">
        <v>81</v>
      </c>
      <c r="D87" s="3" t="s">
        <v>90</v>
      </c>
    </row>
    <row r="88" spans="1:4" x14ac:dyDescent="0.3">
      <c r="A88" s="4" t="s">
        <v>276</v>
      </c>
      <c r="B88" s="4" t="s">
        <v>277</v>
      </c>
      <c r="C88" s="5" t="s">
        <v>77</v>
      </c>
      <c r="D88" s="5" t="s">
        <v>118</v>
      </c>
    </row>
    <row r="89" spans="1:4" x14ac:dyDescent="0.3">
      <c r="A89" s="4" t="s">
        <v>278</v>
      </c>
      <c r="B89" s="4" t="s">
        <v>279</v>
      </c>
      <c r="C89" s="4" t="s">
        <v>69</v>
      </c>
      <c r="D89" s="4" t="s">
        <v>156</v>
      </c>
    </row>
    <row r="90" spans="1:4" x14ac:dyDescent="0.3">
      <c r="A90" s="4" t="s">
        <v>280</v>
      </c>
      <c r="B90" s="3" t="s">
        <v>281</v>
      </c>
      <c r="C90" s="3" t="s">
        <v>77</v>
      </c>
      <c r="D90" s="3" t="s">
        <v>118</v>
      </c>
    </row>
    <row r="91" spans="1:4" x14ac:dyDescent="0.3">
      <c r="A91" s="4" t="s">
        <v>282</v>
      </c>
      <c r="B91" s="4" t="s">
        <v>283</v>
      </c>
      <c r="C91" s="4" t="s">
        <v>77</v>
      </c>
      <c r="D91" s="4" t="s">
        <v>18</v>
      </c>
    </row>
    <row r="92" spans="1:4" x14ac:dyDescent="0.3">
      <c r="A92" s="4" t="s">
        <v>284</v>
      </c>
      <c r="B92" s="4" t="s">
        <v>285</v>
      </c>
      <c r="C92" s="4" t="s">
        <v>81</v>
      </c>
      <c r="D92" s="4" t="s">
        <v>82</v>
      </c>
    </row>
    <row r="93" spans="1:4" x14ac:dyDescent="0.3">
      <c r="A93" s="4" t="s">
        <v>286</v>
      </c>
      <c r="B93" s="4" t="s">
        <v>287</v>
      </c>
      <c r="C93" s="4" t="s">
        <v>73</v>
      </c>
      <c r="D93" s="4" t="s">
        <v>50</v>
      </c>
    </row>
    <row r="94" spans="1:4" x14ac:dyDescent="0.3">
      <c r="A94" s="4" t="s">
        <v>288</v>
      </c>
      <c r="B94" s="4" t="s">
        <v>289</v>
      </c>
      <c r="C94" s="4" t="s">
        <v>69</v>
      </c>
      <c r="D94" s="4" t="s">
        <v>49</v>
      </c>
    </row>
    <row r="95" spans="1:4" x14ac:dyDescent="0.3">
      <c r="A95" s="2" t="s">
        <v>290</v>
      </c>
      <c r="B95" s="4" t="s">
        <v>291</v>
      </c>
      <c r="C95" s="4" t="s">
        <v>77</v>
      </c>
      <c r="D95" s="4" t="s">
        <v>115</v>
      </c>
    </row>
    <row r="96" spans="1:4" x14ac:dyDescent="0.3">
      <c r="A96" s="4" t="s">
        <v>292</v>
      </c>
      <c r="B96" s="4" t="s">
        <v>293</v>
      </c>
      <c r="C96" s="4" t="s">
        <v>81</v>
      </c>
      <c r="D96" s="4" t="s">
        <v>82</v>
      </c>
    </row>
    <row r="97" spans="1:4" x14ac:dyDescent="0.3">
      <c r="A97" s="4" t="s">
        <v>294</v>
      </c>
      <c r="B97" s="4" t="s">
        <v>295</v>
      </c>
      <c r="C97" s="4" t="s">
        <v>73</v>
      </c>
      <c r="D97" s="4" t="s">
        <v>232</v>
      </c>
    </row>
    <row r="98" spans="1:4" x14ac:dyDescent="0.3">
      <c r="A98" s="2" t="s">
        <v>296</v>
      </c>
      <c r="B98" s="3" t="s">
        <v>297</v>
      </c>
      <c r="C98" s="3" t="s">
        <v>77</v>
      </c>
      <c r="D98" s="3" t="s">
        <v>93</v>
      </c>
    </row>
    <row r="99" spans="1:4" x14ac:dyDescent="0.3">
      <c r="A99" s="4" t="s">
        <v>298</v>
      </c>
      <c r="B99" s="4" t="s">
        <v>299</v>
      </c>
      <c r="C99" s="4" t="s">
        <v>77</v>
      </c>
      <c r="D99" s="4" t="s">
        <v>18</v>
      </c>
    </row>
    <row r="100" spans="1:4" x14ac:dyDescent="0.3">
      <c r="A100" s="4" t="s">
        <v>300</v>
      </c>
      <c r="B100" s="4" t="s">
        <v>301</v>
      </c>
      <c r="C100" s="4" t="s">
        <v>96</v>
      </c>
      <c r="D100" s="4" t="s">
        <v>138</v>
      </c>
    </row>
    <row r="101" spans="1:4" x14ac:dyDescent="0.3">
      <c r="A101" s="4" t="s">
        <v>302</v>
      </c>
      <c r="B101" s="4" t="s">
        <v>303</v>
      </c>
      <c r="C101" s="4" t="s">
        <v>69</v>
      </c>
      <c r="D101" s="4" t="s">
        <v>304</v>
      </c>
    </row>
    <row r="102" spans="1:4" x14ac:dyDescent="0.3">
      <c r="A102" s="4" t="s">
        <v>305</v>
      </c>
      <c r="B102" s="3" t="s">
        <v>306</v>
      </c>
      <c r="C102" s="3" t="s">
        <v>73</v>
      </c>
      <c r="D102" s="3" t="s">
        <v>232</v>
      </c>
    </row>
    <row r="103" spans="1:4" x14ac:dyDescent="0.3">
      <c r="A103" s="4" t="s">
        <v>307</v>
      </c>
      <c r="B103" s="4" t="s">
        <v>308</v>
      </c>
      <c r="C103" s="4" t="s">
        <v>73</v>
      </c>
      <c r="D103" s="4" t="s">
        <v>50</v>
      </c>
    </row>
    <row r="104" spans="1:4" x14ac:dyDescent="0.3">
      <c r="A104" s="2" t="s">
        <v>309</v>
      </c>
      <c r="B104" s="4" t="s">
        <v>310</v>
      </c>
      <c r="C104" s="4" t="s">
        <v>77</v>
      </c>
      <c r="D104" s="4" t="s">
        <v>78</v>
      </c>
    </row>
    <row r="105" spans="1:4" x14ac:dyDescent="0.3">
      <c r="A105" s="4" t="s">
        <v>311</v>
      </c>
      <c r="B105" s="4" t="s">
        <v>312</v>
      </c>
      <c r="C105" s="4" t="s">
        <v>73</v>
      </c>
      <c r="D105" s="4" t="s">
        <v>43</v>
      </c>
    </row>
    <row r="106" spans="1:4" x14ac:dyDescent="0.3">
      <c r="A106" s="4" t="s">
        <v>313</v>
      </c>
      <c r="B106" s="3" t="s">
        <v>314</v>
      </c>
      <c r="C106" s="3" t="s">
        <v>73</v>
      </c>
      <c r="D106" s="3" t="s">
        <v>15</v>
      </c>
    </row>
    <row r="107" spans="1:4" x14ac:dyDescent="0.3">
      <c r="A107" s="2" t="s">
        <v>315</v>
      </c>
      <c r="B107" s="3" t="s">
        <v>316</v>
      </c>
      <c r="C107" s="3" t="s">
        <v>73</v>
      </c>
      <c r="D107" s="3" t="s">
        <v>100</v>
      </c>
    </row>
    <row r="108" spans="1:4" x14ac:dyDescent="0.3">
      <c r="A108" s="2" t="s">
        <v>317</v>
      </c>
      <c r="B108" s="4" t="s">
        <v>318</v>
      </c>
      <c r="C108" s="4" t="s">
        <v>81</v>
      </c>
      <c r="D108" s="4" t="s">
        <v>90</v>
      </c>
    </row>
    <row r="109" spans="1:4" x14ac:dyDescent="0.3">
      <c r="A109" s="4" t="s">
        <v>319</v>
      </c>
      <c r="B109" s="4" t="s">
        <v>320</v>
      </c>
      <c r="C109" s="4" t="s">
        <v>69</v>
      </c>
      <c r="D109" s="4" t="s">
        <v>321</v>
      </c>
    </row>
    <row r="110" spans="1:4" x14ac:dyDescent="0.3">
      <c r="A110" s="4" t="s">
        <v>322</v>
      </c>
      <c r="B110" s="3" t="s">
        <v>323</v>
      </c>
      <c r="C110" s="3" t="s">
        <v>77</v>
      </c>
      <c r="D110" s="3" t="s">
        <v>112</v>
      </c>
    </row>
    <row r="111" spans="1:4" x14ac:dyDescent="0.3">
      <c r="A111" s="2" t="s">
        <v>324</v>
      </c>
      <c r="B111" s="4" t="s">
        <v>325</v>
      </c>
      <c r="C111" s="4" t="s">
        <v>77</v>
      </c>
      <c r="D111" s="4" t="s">
        <v>18</v>
      </c>
    </row>
    <row r="112" spans="1:4" x14ac:dyDescent="0.3">
      <c r="A112" s="4" t="s">
        <v>326</v>
      </c>
      <c r="B112" s="4" t="s">
        <v>327</v>
      </c>
      <c r="C112" s="4" t="s">
        <v>81</v>
      </c>
      <c r="D112" s="4" t="s">
        <v>82</v>
      </c>
    </row>
    <row r="113" spans="1:4" x14ac:dyDescent="0.3">
      <c r="A113" s="4" t="s">
        <v>328</v>
      </c>
      <c r="B113" s="4" t="s">
        <v>329</v>
      </c>
      <c r="C113" s="4" t="s">
        <v>73</v>
      </c>
      <c r="D113" s="4" t="s">
        <v>50</v>
      </c>
    </row>
    <row r="114" spans="1:4" x14ac:dyDescent="0.3">
      <c r="A114" s="4" t="s">
        <v>330</v>
      </c>
      <c r="B114" s="4" t="s">
        <v>331</v>
      </c>
      <c r="C114" s="4" t="s">
        <v>77</v>
      </c>
      <c r="D114" s="4" t="s">
        <v>118</v>
      </c>
    </row>
    <row r="115" spans="1:4" x14ac:dyDescent="0.3">
      <c r="A115" s="4" t="s">
        <v>332</v>
      </c>
      <c r="B115" s="4" t="s">
        <v>333</v>
      </c>
      <c r="C115" s="4" t="s">
        <v>69</v>
      </c>
      <c r="D115" s="4" t="s">
        <v>156</v>
      </c>
    </row>
    <row r="116" spans="1:4" x14ac:dyDescent="0.3">
      <c r="A116" s="2" t="s">
        <v>334</v>
      </c>
      <c r="B116" s="3" t="s">
        <v>335</v>
      </c>
      <c r="C116" s="3" t="s">
        <v>73</v>
      </c>
      <c r="D116" s="3" t="s">
        <v>74</v>
      </c>
    </row>
    <row r="117" spans="1:4" x14ac:dyDescent="0.3">
      <c r="A117" s="4" t="s">
        <v>336</v>
      </c>
      <c r="B117" s="3" t="s">
        <v>337</v>
      </c>
      <c r="C117" s="3" t="s">
        <v>73</v>
      </c>
      <c r="D117" s="3" t="s">
        <v>74</v>
      </c>
    </row>
    <row r="118" spans="1:4" x14ac:dyDescent="0.3">
      <c r="A118" s="4" t="s">
        <v>338</v>
      </c>
      <c r="B118" s="4" t="s">
        <v>339</v>
      </c>
      <c r="C118" s="4" t="s">
        <v>77</v>
      </c>
      <c r="D118" s="4" t="s">
        <v>18</v>
      </c>
    </row>
    <row r="119" spans="1:4" x14ac:dyDescent="0.3">
      <c r="A119" s="2" t="s">
        <v>340</v>
      </c>
      <c r="B119" t="s">
        <v>341</v>
      </c>
      <c r="C119" t="s">
        <v>73</v>
      </c>
      <c r="D119" t="s">
        <v>7</v>
      </c>
    </row>
    <row r="120" spans="1:4" x14ac:dyDescent="0.3">
      <c r="A120" s="4" t="s">
        <v>342</v>
      </c>
      <c r="B120" s="4" t="s">
        <v>343</v>
      </c>
      <c r="C120" s="4" t="s">
        <v>69</v>
      </c>
      <c r="D120" s="4" t="s">
        <v>200</v>
      </c>
    </row>
    <row r="121" spans="1:4" x14ac:dyDescent="0.3">
      <c r="A121" s="4" t="s">
        <v>344</v>
      </c>
      <c r="B121" s="4" t="s">
        <v>345</v>
      </c>
      <c r="C121" s="4" t="s">
        <v>96</v>
      </c>
      <c r="D121" s="4" t="s">
        <v>346</v>
      </c>
    </row>
    <row r="122" spans="1:4" x14ac:dyDescent="0.3">
      <c r="A122" s="4" t="s">
        <v>347</v>
      </c>
      <c r="B122" s="4" t="s">
        <v>348</v>
      </c>
      <c r="C122" s="5" t="s">
        <v>77</v>
      </c>
      <c r="D122" s="5" t="s">
        <v>78</v>
      </c>
    </row>
    <row r="123" spans="1:4" x14ac:dyDescent="0.3">
      <c r="A123" s="4" t="s">
        <v>349</v>
      </c>
      <c r="B123" s="4" t="s">
        <v>350</v>
      </c>
      <c r="C123" s="4" t="s">
        <v>96</v>
      </c>
      <c r="D123" s="4" t="s">
        <v>173</v>
      </c>
    </row>
    <row r="124" spans="1:4" x14ac:dyDescent="0.3">
      <c r="A124" s="4" t="s">
        <v>351</v>
      </c>
      <c r="B124" s="4" t="s">
        <v>352</v>
      </c>
      <c r="C124" s="5" t="s">
        <v>96</v>
      </c>
      <c r="D124" s="5" t="s">
        <v>173</v>
      </c>
    </row>
    <row r="125" spans="1:4" x14ac:dyDescent="0.3">
      <c r="A125" s="2" t="s">
        <v>353</v>
      </c>
      <c r="B125" s="2" t="s">
        <v>354</v>
      </c>
      <c r="C125" s="2" t="s">
        <v>73</v>
      </c>
      <c r="D125" s="2" t="s">
        <v>15</v>
      </c>
    </row>
    <row r="126" spans="1:4" x14ac:dyDescent="0.3">
      <c r="A126" s="2" t="s">
        <v>355</v>
      </c>
      <c r="B126" s="3" t="s">
        <v>356</v>
      </c>
      <c r="C126" s="3" t="s">
        <v>77</v>
      </c>
      <c r="D126" s="3" t="s">
        <v>85</v>
      </c>
    </row>
    <row r="127" spans="1:4" x14ac:dyDescent="0.3">
      <c r="A127" s="4" t="s">
        <v>357</v>
      </c>
      <c r="B127" s="4" t="s">
        <v>358</v>
      </c>
      <c r="C127" s="4" t="s">
        <v>96</v>
      </c>
      <c r="D127" s="4" t="s">
        <v>138</v>
      </c>
    </row>
    <row r="128" spans="1:4" x14ac:dyDescent="0.3">
      <c r="A128" s="4" t="s">
        <v>359</v>
      </c>
      <c r="B128" s="4" t="s">
        <v>360</v>
      </c>
      <c r="C128" s="4" t="s">
        <v>77</v>
      </c>
      <c r="D128" s="4" t="s">
        <v>78</v>
      </c>
    </row>
    <row r="129" spans="1:4" x14ac:dyDescent="0.3">
      <c r="A129" s="4" t="s">
        <v>361</v>
      </c>
      <c r="B129" s="7" t="s">
        <v>458</v>
      </c>
      <c r="C129" s="4" t="s">
        <v>77</v>
      </c>
      <c r="D129" s="4" t="s">
        <v>93</v>
      </c>
    </row>
    <row r="130" spans="1:4" x14ac:dyDescent="0.3">
      <c r="A130" s="4" t="s">
        <v>362</v>
      </c>
      <c r="B130" s="4" t="s">
        <v>363</v>
      </c>
      <c r="C130" s="4" t="s">
        <v>96</v>
      </c>
      <c r="D130" s="4" t="s">
        <v>193</v>
      </c>
    </row>
    <row r="131" spans="1:4" x14ac:dyDescent="0.3">
      <c r="A131" s="4" t="s">
        <v>364</v>
      </c>
      <c r="B131" s="3" t="s">
        <v>365</v>
      </c>
      <c r="C131" s="3" t="s">
        <v>69</v>
      </c>
      <c r="D131" s="3" t="s">
        <v>70</v>
      </c>
    </row>
    <row r="132" spans="1:4" x14ac:dyDescent="0.3">
      <c r="A132" s="4" t="s">
        <v>366</v>
      </c>
      <c r="B132" s="3" t="s">
        <v>367</v>
      </c>
      <c r="C132" s="3" t="s">
        <v>77</v>
      </c>
      <c r="D132" s="3" t="s">
        <v>18</v>
      </c>
    </row>
    <row r="133" spans="1:4" x14ac:dyDescent="0.3">
      <c r="A133" s="2" t="s">
        <v>368</v>
      </c>
      <c r="B133" s="4" t="s">
        <v>369</v>
      </c>
      <c r="C133" s="4" t="s">
        <v>77</v>
      </c>
      <c r="D133" s="4" t="s">
        <v>118</v>
      </c>
    </row>
    <row r="134" spans="1:4" x14ac:dyDescent="0.3">
      <c r="A134" s="4" t="s">
        <v>370</v>
      </c>
      <c r="B134" s="4" t="s">
        <v>371</v>
      </c>
      <c r="C134" s="4" t="s">
        <v>73</v>
      </c>
      <c r="D134" s="4" t="s">
        <v>50</v>
      </c>
    </row>
    <row r="135" spans="1:4" x14ac:dyDescent="0.3">
      <c r="A135" s="4" t="s">
        <v>372</v>
      </c>
      <c r="B135" s="4" t="s">
        <v>373</v>
      </c>
      <c r="C135" s="4" t="s">
        <v>77</v>
      </c>
      <c r="D135" s="4" t="s">
        <v>374</v>
      </c>
    </row>
    <row r="136" spans="1:4" x14ac:dyDescent="0.3">
      <c r="A136" s="4" t="s">
        <v>375</v>
      </c>
      <c r="B136" s="3" t="s">
        <v>376</v>
      </c>
      <c r="C136" s="3" t="s">
        <v>96</v>
      </c>
      <c r="D136" s="3" t="s">
        <v>97</v>
      </c>
    </row>
    <row r="137" spans="1:4" x14ac:dyDescent="0.3">
      <c r="A137" s="4" t="s">
        <v>377</v>
      </c>
      <c r="B137" s="4" t="s">
        <v>378</v>
      </c>
      <c r="C137" s="4" t="s">
        <v>77</v>
      </c>
      <c r="D137" s="4" t="s">
        <v>112</v>
      </c>
    </row>
    <row r="138" spans="1:4" x14ac:dyDescent="0.3">
      <c r="A138" s="2" t="s">
        <v>379</v>
      </c>
      <c r="B138" s="3" t="s">
        <v>380</v>
      </c>
      <c r="C138" s="3" t="s">
        <v>77</v>
      </c>
      <c r="D138" s="3" t="s">
        <v>118</v>
      </c>
    </row>
    <row r="139" spans="1:4" x14ac:dyDescent="0.3">
      <c r="A139" s="4" t="s">
        <v>381</v>
      </c>
      <c r="B139" s="4" t="s">
        <v>382</v>
      </c>
      <c r="C139" s="5" t="s">
        <v>77</v>
      </c>
      <c r="D139" s="5" t="s">
        <v>18</v>
      </c>
    </row>
    <row r="140" spans="1:4" x14ac:dyDescent="0.3">
      <c r="A140" s="4" t="s">
        <v>383</v>
      </c>
      <c r="B140" s="3" t="s">
        <v>384</v>
      </c>
      <c r="C140" s="3" t="s">
        <v>96</v>
      </c>
      <c r="D140" s="3" t="s">
        <v>385</v>
      </c>
    </row>
    <row r="141" spans="1:4" x14ac:dyDescent="0.3">
      <c r="A141" s="4" t="s">
        <v>386</v>
      </c>
      <c r="B141" s="4" t="s">
        <v>387</v>
      </c>
      <c r="C141" s="4" t="s">
        <v>96</v>
      </c>
      <c r="D141" s="4" t="s">
        <v>235</v>
      </c>
    </row>
    <row r="142" spans="1:4" x14ac:dyDescent="0.3">
      <c r="A142" s="4" t="s">
        <v>388</v>
      </c>
      <c r="B142" s="4" t="s">
        <v>389</v>
      </c>
      <c r="C142" s="4" t="s">
        <v>96</v>
      </c>
      <c r="D142" s="4" t="s">
        <v>138</v>
      </c>
    </row>
    <row r="143" spans="1:4" x14ac:dyDescent="0.3">
      <c r="A143" s="4" t="s">
        <v>390</v>
      </c>
      <c r="B143" s="4" t="s">
        <v>391</v>
      </c>
      <c r="C143" s="4" t="s">
        <v>73</v>
      </c>
      <c r="D143" s="4" t="s">
        <v>100</v>
      </c>
    </row>
    <row r="144" spans="1:4" x14ac:dyDescent="0.3">
      <c r="A144" s="4" t="s">
        <v>392</v>
      </c>
      <c r="B144" s="4" t="s">
        <v>393</v>
      </c>
      <c r="C144" s="4" t="s">
        <v>81</v>
      </c>
      <c r="D144" s="4" t="s">
        <v>394</v>
      </c>
    </row>
    <row r="145" spans="1:4" x14ac:dyDescent="0.3">
      <c r="A145" s="4" t="s">
        <v>395</v>
      </c>
      <c r="B145" s="4" t="s">
        <v>396</v>
      </c>
      <c r="C145" s="5" t="s">
        <v>96</v>
      </c>
      <c r="D145" s="5" t="s">
        <v>385</v>
      </c>
    </row>
    <row r="146" spans="1:4" x14ac:dyDescent="0.3">
      <c r="A146" s="4" t="s">
        <v>397</v>
      </c>
      <c r="B146" s="3" t="s">
        <v>398</v>
      </c>
      <c r="C146" s="3" t="s">
        <v>96</v>
      </c>
      <c r="D146" s="3" t="s">
        <v>97</v>
      </c>
    </row>
    <row r="147" spans="1:4" x14ac:dyDescent="0.3">
      <c r="A147" s="4" t="s">
        <v>399</v>
      </c>
      <c r="B147" s="3" t="s">
        <v>400</v>
      </c>
      <c r="C147" s="3" t="s">
        <v>96</v>
      </c>
      <c r="D147" s="3" t="s">
        <v>128</v>
      </c>
    </row>
    <row r="148" spans="1:4" x14ac:dyDescent="0.3">
      <c r="A148" s="4" t="s">
        <v>401</v>
      </c>
      <c r="B148" s="3" t="s">
        <v>402</v>
      </c>
      <c r="C148" s="3" t="s">
        <v>73</v>
      </c>
      <c r="D148" s="3" t="s">
        <v>15</v>
      </c>
    </row>
    <row r="149" spans="1:4" x14ac:dyDescent="0.3">
      <c r="A149" s="4" t="s">
        <v>403</v>
      </c>
      <c r="B149" s="4" t="s">
        <v>404</v>
      </c>
      <c r="C149" s="4" t="s">
        <v>73</v>
      </c>
      <c r="D149" s="4" t="s">
        <v>15</v>
      </c>
    </row>
    <row r="150" spans="1:4" x14ac:dyDescent="0.3">
      <c r="A150" s="4" t="s">
        <v>405</v>
      </c>
      <c r="B150" s="3" t="s">
        <v>406</v>
      </c>
      <c r="C150" s="3" t="s">
        <v>73</v>
      </c>
      <c r="D150" s="3" t="s">
        <v>74</v>
      </c>
    </row>
    <row r="151" spans="1:4" x14ac:dyDescent="0.3">
      <c r="A151" s="4" t="s">
        <v>407</v>
      </c>
      <c r="B151" s="4" t="s">
        <v>408</v>
      </c>
      <c r="C151" s="4" t="s">
        <v>96</v>
      </c>
      <c r="D151" s="4" t="s">
        <v>385</v>
      </c>
    </row>
    <row r="152" spans="1:4" x14ac:dyDescent="0.3">
      <c r="A152" s="4" t="s">
        <v>409</v>
      </c>
      <c r="B152" s="4" t="s">
        <v>410</v>
      </c>
      <c r="C152" s="4" t="s">
        <v>77</v>
      </c>
      <c r="D152" s="4" t="s">
        <v>112</v>
      </c>
    </row>
    <row r="153" spans="1:4" x14ac:dyDescent="0.3">
      <c r="A153" s="4" t="s">
        <v>411</v>
      </c>
      <c r="B153" s="4" t="s">
        <v>412</v>
      </c>
      <c r="C153" s="4" t="s">
        <v>73</v>
      </c>
      <c r="D153" s="4" t="s">
        <v>100</v>
      </c>
    </row>
    <row r="154" spans="1:4" x14ac:dyDescent="0.3">
      <c r="A154" s="4" t="s">
        <v>413</v>
      </c>
      <c r="B154" s="4" t="s">
        <v>414</v>
      </c>
      <c r="C154" s="4" t="s">
        <v>69</v>
      </c>
      <c r="D154" s="4" t="s">
        <v>49</v>
      </c>
    </row>
    <row r="155" spans="1:4" x14ac:dyDescent="0.3">
      <c r="A155" s="4" t="s">
        <v>415</v>
      </c>
      <c r="B155" s="3" t="s">
        <v>416</v>
      </c>
      <c r="C155" s="3" t="s">
        <v>69</v>
      </c>
      <c r="D155" s="3" t="s">
        <v>49</v>
      </c>
    </row>
    <row r="156" spans="1:4" x14ac:dyDescent="0.3">
      <c r="A156" s="4" t="s">
        <v>417</v>
      </c>
      <c r="B156" s="4" t="s">
        <v>418</v>
      </c>
      <c r="C156" s="4" t="s">
        <v>73</v>
      </c>
      <c r="D156" s="4" t="s">
        <v>100</v>
      </c>
    </row>
    <row r="157" spans="1:4" x14ac:dyDescent="0.3">
      <c r="A157" s="4" t="s">
        <v>419</v>
      </c>
      <c r="B157" s="4" t="s">
        <v>420</v>
      </c>
      <c r="C157" s="4" t="s">
        <v>73</v>
      </c>
      <c r="D157" s="4" t="s">
        <v>74</v>
      </c>
    </row>
    <row r="158" spans="1:4" x14ac:dyDescent="0.3">
      <c r="A158" s="4" t="s">
        <v>421</v>
      </c>
      <c r="B158" s="4" t="s">
        <v>422</v>
      </c>
      <c r="C158" s="4" t="s">
        <v>96</v>
      </c>
      <c r="D158" s="4" t="s">
        <v>235</v>
      </c>
    </row>
    <row r="159" spans="1:4" x14ac:dyDescent="0.3">
      <c r="A159" s="4" t="s">
        <v>423</v>
      </c>
      <c r="B159" s="3" t="s">
        <v>424</v>
      </c>
      <c r="C159" s="3" t="s">
        <v>96</v>
      </c>
      <c r="D159" s="3" t="s">
        <v>97</v>
      </c>
    </row>
    <row r="160" spans="1:4" x14ac:dyDescent="0.3">
      <c r="A160" s="4" t="s">
        <v>425</v>
      </c>
      <c r="B160" s="4" t="s">
        <v>426</v>
      </c>
      <c r="C160" s="4" t="s">
        <v>96</v>
      </c>
      <c r="D160" s="4" t="s">
        <v>173</v>
      </c>
    </row>
    <row r="161" spans="1:4" x14ac:dyDescent="0.3">
      <c r="A161" s="4" t="s">
        <v>427</v>
      </c>
      <c r="B161" s="3" t="s">
        <v>428</v>
      </c>
      <c r="C161" s="3" t="s">
        <v>73</v>
      </c>
      <c r="D161" s="3" t="s">
        <v>15</v>
      </c>
    </row>
    <row r="162" spans="1:4" x14ac:dyDescent="0.3">
      <c r="A162" s="4" t="s">
        <v>429</v>
      </c>
      <c r="B162" s="4" t="s">
        <v>430</v>
      </c>
      <c r="C162" s="4" t="s">
        <v>73</v>
      </c>
      <c r="D162" s="4" t="s">
        <v>7</v>
      </c>
    </row>
    <row r="163" spans="1:4" x14ac:dyDescent="0.3">
      <c r="A163" s="4" t="s">
        <v>431</v>
      </c>
      <c r="B163" s="3" t="s">
        <v>432</v>
      </c>
      <c r="C163" s="3" t="s">
        <v>81</v>
      </c>
      <c r="D163" s="3" t="s">
        <v>221</v>
      </c>
    </row>
    <row r="164" spans="1:4" x14ac:dyDescent="0.3">
      <c r="A164" s="4" t="s">
        <v>433</v>
      </c>
      <c r="B164" s="3" t="s">
        <v>434</v>
      </c>
      <c r="C164" s="3" t="s">
        <v>69</v>
      </c>
      <c r="D164" s="3" t="s">
        <v>107</v>
      </c>
    </row>
    <row r="165" spans="1:4" x14ac:dyDescent="0.3">
      <c r="A165" s="4" t="s">
        <v>435</v>
      </c>
      <c r="B165" s="4" t="s">
        <v>436</v>
      </c>
      <c r="C165" s="4" t="s">
        <v>77</v>
      </c>
      <c r="D165" s="4" t="s">
        <v>118</v>
      </c>
    </row>
    <row r="166" spans="1:4" x14ac:dyDescent="0.3">
      <c r="A166" s="4" t="s">
        <v>437</v>
      </c>
      <c r="B166" s="4" t="s">
        <v>438</v>
      </c>
      <c r="C166" s="4" t="s">
        <v>81</v>
      </c>
      <c r="D166" s="4" t="s">
        <v>90</v>
      </c>
    </row>
    <row r="167" spans="1:4" x14ac:dyDescent="0.3">
      <c r="A167" s="4" t="s">
        <v>439</v>
      </c>
      <c r="B167" s="4" t="s">
        <v>440</v>
      </c>
      <c r="C167" s="4" t="s">
        <v>73</v>
      </c>
      <c r="D167" s="4" t="s">
        <v>232</v>
      </c>
    </row>
    <row r="168" spans="1:4" x14ac:dyDescent="0.3">
      <c r="A168" s="4" t="s">
        <v>441</v>
      </c>
      <c r="B168" s="4" t="s">
        <v>442</v>
      </c>
      <c r="C168" s="4" t="s">
        <v>81</v>
      </c>
      <c r="D168" s="4" t="s">
        <v>90</v>
      </c>
    </row>
    <row r="169" spans="1:4" x14ac:dyDescent="0.3">
      <c r="A169" s="4" t="s">
        <v>443</v>
      </c>
      <c r="B169" s="4" t="s">
        <v>444</v>
      </c>
      <c r="C169" s="4" t="s">
        <v>81</v>
      </c>
      <c r="D169" s="4" t="s">
        <v>90</v>
      </c>
    </row>
    <row r="170" spans="1:4" x14ac:dyDescent="0.3">
      <c r="A170" s="4" t="s">
        <v>445</v>
      </c>
      <c r="B170" s="4" t="s">
        <v>446</v>
      </c>
      <c r="C170" s="4" t="s">
        <v>96</v>
      </c>
      <c r="D170" s="4" t="s">
        <v>173</v>
      </c>
    </row>
    <row r="171" spans="1:4" x14ac:dyDescent="0.3">
      <c r="A171" s="2" t="s">
        <v>447</v>
      </c>
      <c r="B171" s="4" t="s">
        <v>448</v>
      </c>
      <c r="C171" s="4" t="s">
        <v>69</v>
      </c>
      <c r="D171" s="4" t="s">
        <v>49</v>
      </c>
    </row>
    <row r="172" spans="1:4" x14ac:dyDescent="0.3">
      <c r="A172" s="4" t="s">
        <v>449</v>
      </c>
      <c r="B172" s="4" t="s">
        <v>450</v>
      </c>
      <c r="C172" s="4" t="s">
        <v>77</v>
      </c>
      <c r="D172" s="4" t="s">
        <v>78</v>
      </c>
    </row>
    <row r="173" spans="1:4" x14ac:dyDescent="0.3">
      <c r="A173" s="4" t="s">
        <v>451</v>
      </c>
      <c r="B173" s="4" t="s">
        <v>452</v>
      </c>
      <c r="C173" s="4" t="s">
        <v>69</v>
      </c>
      <c r="D173" s="4" t="s">
        <v>70</v>
      </c>
    </row>
    <row r="174" spans="1:4" x14ac:dyDescent="0.3">
      <c r="A174" s="2" t="s">
        <v>453</v>
      </c>
      <c r="B174" s="3" t="s">
        <v>454</v>
      </c>
      <c r="C174" s="3" t="s">
        <v>77</v>
      </c>
      <c r="D174" s="3" t="s">
        <v>93</v>
      </c>
    </row>
    <row r="175" spans="1:4" x14ac:dyDescent="0.3">
      <c r="A175" s="4" t="s">
        <v>455</v>
      </c>
      <c r="B175" s="4" t="s">
        <v>456</v>
      </c>
      <c r="C175" s="5" t="s">
        <v>96</v>
      </c>
      <c r="D175" s="5" t="s">
        <v>385</v>
      </c>
    </row>
  </sheetData>
  <hyperlinks>
    <hyperlink ref="B129" r:id="rId1" xr:uid="{4E368D1C-8E9E-482D-8B0C-271EE8C1A057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B62"/>
  <sheetViews>
    <sheetView workbookViewId="0">
      <selection activeCell="B3" sqref="B3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54" t="s">
        <v>5</v>
      </c>
      <c r="B1" s="48" t="s">
        <v>6</v>
      </c>
    </row>
    <row r="2" spans="1:2" x14ac:dyDescent="0.3">
      <c r="A2" s="55" t="s">
        <v>457</v>
      </c>
      <c r="B2" s="49" t="s">
        <v>0</v>
      </c>
    </row>
    <row r="3" spans="1:2" x14ac:dyDescent="0.3">
      <c r="A3" s="56" t="s">
        <v>457</v>
      </c>
      <c r="B3" s="49" t="s">
        <v>1</v>
      </c>
    </row>
    <row r="4" spans="1:2" x14ac:dyDescent="0.3">
      <c r="A4" s="56" t="s">
        <v>457</v>
      </c>
      <c r="B4" s="49" t="s">
        <v>2</v>
      </c>
    </row>
    <row r="5" spans="1:2" x14ac:dyDescent="0.3">
      <c r="A5" s="56" t="s">
        <v>457</v>
      </c>
      <c r="B5" s="49" t="s">
        <v>3</v>
      </c>
    </row>
    <row r="6" spans="1:2" ht="15" thickBot="1" x14ac:dyDescent="0.35">
      <c r="A6" s="61" t="s">
        <v>457</v>
      </c>
      <c r="B6" s="48" t="s">
        <v>4</v>
      </c>
    </row>
    <row r="7" spans="1:2" x14ac:dyDescent="0.3">
      <c r="A7" s="56" t="s">
        <v>7</v>
      </c>
      <c r="B7" s="49" t="s">
        <v>8</v>
      </c>
    </row>
    <row r="8" spans="1:2" x14ac:dyDescent="0.3">
      <c r="A8" s="56" t="s">
        <v>7</v>
      </c>
      <c r="B8" s="49" t="s">
        <v>9</v>
      </c>
    </row>
    <row r="9" spans="1:2" x14ac:dyDescent="0.3">
      <c r="A9" s="56" t="s">
        <v>7</v>
      </c>
      <c r="B9" s="49" t="s">
        <v>10</v>
      </c>
    </row>
    <row r="10" spans="1:2" ht="15" thickBot="1" x14ac:dyDescent="0.35">
      <c r="A10" s="57" t="s">
        <v>7</v>
      </c>
      <c r="B10" s="48" t="s">
        <v>11</v>
      </c>
    </row>
    <row r="11" spans="1:2" x14ac:dyDescent="0.3">
      <c r="A11" s="55" t="s">
        <v>12</v>
      </c>
      <c r="B11" s="50" t="s">
        <v>13</v>
      </c>
    </row>
    <row r="12" spans="1:2" x14ac:dyDescent="0.3">
      <c r="A12" s="56" t="s">
        <v>12</v>
      </c>
      <c r="B12" s="49" t="s">
        <v>14</v>
      </c>
    </row>
    <row r="13" spans="1:2" x14ac:dyDescent="0.3">
      <c r="A13" s="56" t="s">
        <v>12</v>
      </c>
      <c r="B13" s="49" t="s">
        <v>15</v>
      </c>
    </row>
    <row r="14" spans="1:2" x14ac:dyDescent="0.3">
      <c r="A14" s="56" t="s">
        <v>12</v>
      </c>
      <c r="B14" s="49" t="s">
        <v>16</v>
      </c>
    </row>
    <row r="15" spans="1:2" ht="15" thickBot="1" x14ac:dyDescent="0.35">
      <c r="A15" s="57" t="s">
        <v>12</v>
      </c>
      <c r="B15" s="48" t="s">
        <v>17</v>
      </c>
    </row>
    <row r="16" spans="1:2" x14ac:dyDescent="0.3">
      <c r="A16" s="55" t="s">
        <v>18</v>
      </c>
      <c r="B16" s="50" t="s">
        <v>19</v>
      </c>
    </row>
    <row r="17" spans="1:2" x14ac:dyDescent="0.3">
      <c r="A17" s="56" t="s">
        <v>18</v>
      </c>
      <c r="B17" s="49" t="s">
        <v>20</v>
      </c>
    </row>
    <row r="18" spans="1:2" x14ac:dyDescent="0.3">
      <c r="A18" s="56" t="s">
        <v>18</v>
      </c>
      <c r="B18" s="49" t="s">
        <v>21</v>
      </c>
    </row>
    <row r="19" spans="1:2" x14ac:dyDescent="0.3">
      <c r="A19" s="56" t="s">
        <v>18</v>
      </c>
      <c r="B19" s="49" t="s">
        <v>22</v>
      </c>
    </row>
    <row r="20" spans="1:2" x14ac:dyDescent="0.3">
      <c r="A20" s="56" t="s">
        <v>18</v>
      </c>
      <c r="B20" s="49" t="s">
        <v>23</v>
      </c>
    </row>
    <row r="21" spans="1:2" x14ac:dyDescent="0.3">
      <c r="A21" s="56" t="s">
        <v>18</v>
      </c>
      <c r="B21" s="49" t="s">
        <v>24</v>
      </c>
    </row>
    <row r="22" spans="1:2" x14ac:dyDescent="0.3">
      <c r="A22" s="56" t="s">
        <v>18</v>
      </c>
      <c r="B22" s="49" t="s">
        <v>25</v>
      </c>
    </row>
    <row r="23" spans="1:2" ht="15" thickBot="1" x14ac:dyDescent="0.35">
      <c r="A23" s="57" t="s">
        <v>18</v>
      </c>
      <c r="B23" s="48" t="s">
        <v>26</v>
      </c>
    </row>
    <row r="24" spans="1:2" x14ac:dyDescent="0.3">
      <c r="A24" s="55" t="s">
        <v>27</v>
      </c>
      <c r="B24" s="50" t="s">
        <v>28</v>
      </c>
    </row>
    <row r="25" spans="1:2" x14ac:dyDescent="0.3">
      <c r="A25" s="56" t="s">
        <v>27</v>
      </c>
      <c r="B25" s="49" t="s">
        <v>29</v>
      </c>
    </row>
    <row r="26" spans="1:2" x14ac:dyDescent="0.3">
      <c r="A26" s="56" t="s">
        <v>27</v>
      </c>
      <c r="B26" s="49" t="s">
        <v>30</v>
      </c>
    </row>
    <row r="27" spans="1:2" ht="15" thickBot="1" x14ac:dyDescent="0.35">
      <c r="A27" s="57" t="s">
        <v>27</v>
      </c>
      <c r="B27" s="48" t="s">
        <v>31</v>
      </c>
    </row>
    <row r="28" spans="1:2" x14ac:dyDescent="0.3">
      <c r="A28" s="58" t="s">
        <v>32</v>
      </c>
      <c r="B28" s="50" t="s">
        <v>33</v>
      </c>
    </row>
    <row r="29" spans="1:2" x14ac:dyDescent="0.3">
      <c r="A29" s="59" t="s">
        <v>32</v>
      </c>
      <c r="B29" s="49" t="s">
        <v>34</v>
      </c>
    </row>
    <row r="30" spans="1:2" x14ac:dyDescent="0.3">
      <c r="A30" s="59" t="s">
        <v>32</v>
      </c>
      <c r="B30" s="49" t="s">
        <v>35</v>
      </c>
    </row>
    <row r="31" spans="1:2" x14ac:dyDescent="0.3">
      <c r="A31" s="59" t="s">
        <v>32</v>
      </c>
      <c r="B31" s="49" t="s">
        <v>36</v>
      </c>
    </row>
    <row r="32" spans="1:2" ht="15" thickBot="1" x14ac:dyDescent="0.35">
      <c r="A32" s="60" t="s">
        <v>32</v>
      </c>
      <c r="B32" s="48" t="s">
        <v>37</v>
      </c>
    </row>
    <row r="33" spans="1:2" x14ac:dyDescent="0.3">
      <c r="A33" s="58" t="s">
        <v>38</v>
      </c>
      <c r="B33" s="50" t="s">
        <v>39</v>
      </c>
    </row>
    <row r="34" spans="1:2" x14ac:dyDescent="0.3">
      <c r="A34" s="59" t="s">
        <v>38</v>
      </c>
      <c r="B34" s="49" t="s">
        <v>40</v>
      </c>
    </row>
    <row r="35" spans="1:2" x14ac:dyDescent="0.3">
      <c r="A35" s="59" t="s">
        <v>38</v>
      </c>
      <c r="B35" s="49" t="s">
        <v>41</v>
      </c>
    </row>
    <row r="36" spans="1:2" ht="15" thickBot="1" x14ac:dyDescent="0.35">
      <c r="A36" s="60" t="s">
        <v>38</v>
      </c>
      <c r="B36" s="48" t="s">
        <v>42</v>
      </c>
    </row>
    <row r="37" spans="1:2" x14ac:dyDescent="0.3">
      <c r="A37" s="59" t="s">
        <v>43</v>
      </c>
      <c r="B37" s="50" t="s">
        <v>44</v>
      </c>
    </row>
    <row r="38" spans="1:2" x14ac:dyDescent="0.3">
      <c r="A38" s="59" t="s">
        <v>43</v>
      </c>
      <c r="B38" s="49" t="s">
        <v>45</v>
      </c>
    </row>
    <row r="39" spans="1:2" x14ac:dyDescent="0.3">
      <c r="A39" s="59" t="s">
        <v>43</v>
      </c>
      <c r="B39" s="49" t="s">
        <v>46</v>
      </c>
    </row>
    <row r="40" spans="1:2" x14ac:dyDescent="0.3">
      <c r="A40" s="59" t="s">
        <v>43</v>
      </c>
      <c r="B40" s="49" t="s">
        <v>47</v>
      </c>
    </row>
    <row r="41" spans="1:2" ht="15" thickBot="1" x14ac:dyDescent="0.35">
      <c r="A41" s="60" t="s">
        <v>43</v>
      </c>
      <c r="B41" s="48" t="s">
        <v>48</v>
      </c>
    </row>
    <row r="42" spans="1:2" x14ac:dyDescent="0.3">
      <c r="A42" s="58" t="s">
        <v>49</v>
      </c>
      <c r="B42" s="51" t="s">
        <v>53</v>
      </c>
    </row>
    <row r="43" spans="1:2" x14ac:dyDescent="0.3">
      <c r="A43" s="59" t="s">
        <v>49</v>
      </c>
      <c r="B43" s="52" t="s">
        <v>52</v>
      </c>
    </row>
    <row r="44" spans="1:2" x14ac:dyDescent="0.3">
      <c r="A44" s="59" t="s">
        <v>49</v>
      </c>
      <c r="B44" s="52" t="s">
        <v>54</v>
      </c>
    </row>
    <row r="45" spans="1:2" x14ac:dyDescent="0.3">
      <c r="A45" s="59" t="s">
        <v>49</v>
      </c>
      <c r="B45" s="52" t="s">
        <v>471</v>
      </c>
    </row>
    <row r="46" spans="1:2" x14ac:dyDescent="0.3">
      <c r="A46" s="59" t="s">
        <v>49</v>
      </c>
      <c r="B46" s="52" t="s">
        <v>55</v>
      </c>
    </row>
    <row r="47" spans="1:2" x14ac:dyDescent="0.3">
      <c r="A47" s="59" t="s">
        <v>49</v>
      </c>
      <c r="B47" s="52" t="s">
        <v>56</v>
      </c>
    </row>
    <row r="48" spans="1:2" x14ac:dyDescent="0.3">
      <c r="A48" s="59" t="s">
        <v>49</v>
      </c>
      <c r="B48" s="52" t="s">
        <v>57</v>
      </c>
    </row>
    <row r="49" spans="1:2" ht="15" thickBot="1" x14ac:dyDescent="0.35">
      <c r="A49" s="60" t="s">
        <v>49</v>
      </c>
      <c r="B49" s="53" t="s">
        <v>58</v>
      </c>
    </row>
    <row r="50" spans="1:2" x14ac:dyDescent="0.3">
      <c r="A50" s="58" t="s">
        <v>50</v>
      </c>
      <c r="B50" s="51" t="s">
        <v>459</v>
      </c>
    </row>
    <row r="51" spans="1:2" x14ac:dyDescent="0.3">
      <c r="A51" s="59" t="s">
        <v>50</v>
      </c>
      <c r="B51" s="52" t="s">
        <v>460</v>
      </c>
    </row>
    <row r="52" spans="1:2" x14ac:dyDescent="0.3">
      <c r="A52" s="59" t="s">
        <v>50</v>
      </c>
      <c r="B52" s="52" t="s">
        <v>461</v>
      </c>
    </row>
    <row r="53" spans="1:2" x14ac:dyDescent="0.3">
      <c r="A53" s="59" t="s">
        <v>50</v>
      </c>
      <c r="B53" s="52" t="s">
        <v>462</v>
      </c>
    </row>
    <row r="54" spans="1:2" x14ac:dyDescent="0.3">
      <c r="A54" s="59" t="s">
        <v>50</v>
      </c>
      <c r="B54" s="52" t="s">
        <v>463</v>
      </c>
    </row>
    <row r="55" spans="1:2" x14ac:dyDescent="0.3">
      <c r="A55" s="59" t="s">
        <v>50</v>
      </c>
      <c r="B55" s="52" t="s">
        <v>464</v>
      </c>
    </row>
    <row r="56" spans="1:2" ht="15" thickBot="1" x14ac:dyDescent="0.35">
      <c r="A56" s="60" t="s">
        <v>50</v>
      </c>
      <c r="B56" s="53" t="s">
        <v>465</v>
      </c>
    </row>
    <row r="57" spans="1:2" x14ac:dyDescent="0.3">
      <c r="A57" s="58" t="s">
        <v>51</v>
      </c>
      <c r="B57" s="51" t="s">
        <v>466</v>
      </c>
    </row>
    <row r="58" spans="1:2" x14ac:dyDescent="0.3">
      <c r="A58" s="59" t="s">
        <v>51</v>
      </c>
      <c r="B58" s="52" t="s">
        <v>59</v>
      </c>
    </row>
    <row r="59" spans="1:2" x14ac:dyDescent="0.3">
      <c r="A59" s="59" t="s">
        <v>51</v>
      </c>
      <c r="B59" s="52" t="s">
        <v>60</v>
      </c>
    </row>
    <row r="60" spans="1:2" x14ac:dyDescent="0.3">
      <c r="A60" s="59" t="s">
        <v>51</v>
      </c>
      <c r="B60" s="52" t="s">
        <v>61</v>
      </c>
    </row>
    <row r="61" spans="1:2" ht="15" thickBot="1" x14ac:dyDescent="0.35">
      <c r="A61" s="60" t="s">
        <v>51</v>
      </c>
      <c r="B61" s="53" t="s">
        <v>62</v>
      </c>
    </row>
    <row r="62" spans="1:2" x14ac:dyDescent="0.3">
      <c r="A6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61"/>
  <sheetViews>
    <sheetView workbookViewId="0">
      <selection activeCell="B7" sqref="B7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3" t="s">
        <v>5</v>
      </c>
      <c r="B1" s="13" t="s">
        <v>467</v>
      </c>
      <c r="C1" s="13" t="s">
        <v>469</v>
      </c>
    </row>
    <row r="2" spans="1:6" x14ac:dyDescent="0.3">
      <c r="A2" s="8" t="s">
        <v>457</v>
      </c>
      <c r="B2" s="8">
        <v>120</v>
      </c>
      <c r="C2" s="47" t="s">
        <v>232</v>
      </c>
    </row>
    <row r="3" spans="1:6" x14ac:dyDescent="0.3">
      <c r="A3" s="10" t="s">
        <v>7</v>
      </c>
      <c r="B3" s="8">
        <v>98</v>
      </c>
      <c r="C3" s="10" t="s">
        <v>131</v>
      </c>
    </row>
    <row r="4" spans="1:6" x14ac:dyDescent="0.3">
      <c r="A4" s="8" t="s">
        <v>12</v>
      </c>
      <c r="B4" s="8">
        <v>122</v>
      </c>
      <c r="C4" s="11" t="s">
        <v>15</v>
      </c>
    </row>
    <row r="5" spans="1:6" x14ac:dyDescent="0.3">
      <c r="A5" s="8" t="s">
        <v>18</v>
      </c>
      <c r="B5" s="8">
        <v>52</v>
      </c>
      <c r="C5" s="11" t="s">
        <v>18</v>
      </c>
      <c r="F5" s="15" t="s">
        <v>473</v>
      </c>
    </row>
    <row r="6" spans="1:6" x14ac:dyDescent="0.3">
      <c r="A6" s="8" t="s">
        <v>27</v>
      </c>
      <c r="B6" s="8">
        <v>89</v>
      </c>
      <c r="C6" s="47" t="s">
        <v>74</v>
      </c>
    </row>
    <row r="7" spans="1:6" x14ac:dyDescent="0.3">
      <c r="A7" s="62" t="s">
        <v>32</v>
      </c>
      <c r="B7" s="8">
        <v>87</v>
      </c>
      <c r="C7" s="11" t="s">
        <v>218</v>
      </c>
    </row>
    <row r="8" spans="1:6" x14ac:dyDescent="0.3">
      <c r="A8" s="62" t="s">
        <v>38</v>
      </c>
      <c r="B8" s="8">
        <v>108</v>
      </c>
      <c r="C8" s="11" t="s">
        <v>100</v>
      </c>
    </row>
    <row r="9" spans="1:6" x14ac:dyDescent="0.3">
      <c r="A9" s="11" t="s">
        <v>43</v>
      </c>
      <c r="B9" s="8">
        <v>58</v>
      </c>
      <c r="C9" s="11" t="s">
        <v>43</v>
      </c>
    </row>
    <row r="10" spans="1:6" x14ac:dyDescent="0.3">
      <c r="A10" s="11" t="s">
        <v>49</v>
      </c>
      <c r="B10" s="8">
        <v>71</v>
      </c>
      <c r="C10" s="11" t="s">
        <v>49</v>
      </c>
    </row>
    <row r="11" spans="1:6" x14ac:dyDescent="0.3">
      <c r="A11" s="11" t="s">
        <v>50</v>
      </c>
      <c r="B11" s="8">
        <v>77</v>
      </c>
      <c r="C11" s="11" t="s">
        <v>50</v>
      </c>
    </row>
    <row r="12" spans="1:6" x14ac:dyDescent="0.3">
      <c r="A12" s="63" t="s">
        <v>51</v>
      </c>
      <c r="B12" s="8">
        <v>104</v>
      </c>
      <c r="C12" s="11" t="s">
        <v>385</v>
      </c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O66"/>
  <sheetViews>
    <sheetView topLeftCell="H8" zoomScale="160" zoomScaleNormal="160" workbookViewId="0">
      <selection activeCell="N14" sqref="N14"/>
    </sheetView>
  </sheetViews>
  <sheetFormatPr baseColWidth="10" defaultRowHeight="14.4" x14ac:dyDescent="0.3"/>
  <cols>
    <col min="1" max="1" width="24.5546875" bestFit="1" customWidth="1"/>
    <col min="2" max="2" width="24.5546875" customWidth="1"/>
    <col min="3" max="4" width="12.5546875" bestFit="1" customWidth="1"/>
    <col min="10" max="10" width="24.5546875" bestFit="1" customWidth="1"/>
    <col min="11" max="11" width="71.33203125" customWidth="1"/>
    <col min="12" max="12" width="12.5546875" bestFit="1" customWidth="1"/>
  </cols>
  <sheetData>
    <row r="1" spans="1:15" ht="15" thickBot="1" x14ac:dyDescent="0.35">
      <c r="A1" s="13" t="s">
        <v>5</v>
      </c>
      <c r="B1" s="13">
        <v>2021</v>
      </c>
      <c r="C1" s="13">
        <v>2022</v>
      </c>
      <c r="D1" s="13">
        <v>2023</v>
      </c>
      <c r="E1" s="14" t="s">
        <v>470</v>
      </c>
      <c r="J1" s="23" t="s">
        <v>5</v>
      </c>
      <c r="K1" s="23" t="s">
        <v>468</v>
      </c>
      <c r="L1" s="24">
        <v>2022</v>
      </c>
      <c r="M1" s="25">
        <v>2023</v>
      </c>
      <c r="N1" s="25" t="s">
        <v>470</v>
      </c>
      <c r="O1" s="64" t="s">
        <v>475</v>
      </c>
    </row>
    <row r="2" spans="1:15" x14ac:dyDescent="0.3">
      <c r="A2" t="s">
        <v>457</v>
      </c>
      <c r="B2" s="38">
        <v>4.08</v>
      </c>
      <c r="C2" s="19">
        <v>4.2089999999999996</v>
      </c>
      <c r="D2" s="19">
        <v>4.1479269326947801</v>
      </c>
      <c r="E2" s="20">
        <v>4.46</v>
      </c>
      <c r="J2" t="s">
        <v>12</v>
      </c>
      <c r="K2" t="s">
        <v>13</v>
      </c>
      <c r="L2" s="15"/>
      <c r="M2" s="32">
        <v>4.1764705882352944</v>
      </c>
      <c r="N2" s="15">
        <v>4.2169999999999996</v>
      </c>
    </row>
    <row r="3" spans="1:15" x14ac:dyDescent="0.3">
      <c r="A3" s="10" t="s">
        <v>7</v>
      </c>
      <c r="B3" s="40">
        <v>4.04</v>
      </c>
      <c r="C3" s="20">
        <v>4.0017261950955501</v>
      </c>
      <c r="D3" s="18">
        <v>4.0752781320728761</v>
      </c>
      <c r="E3" s="20">
        <v>4.2711554050489013</v>
      </c>
      <c r="J3" t="s">
        <v>12</v>
      </c>
      <c r="K3" t="s">
        <v>14</v>
      </c>
      <c r="L3" s="36">
        <v>4.0340909090909092</v>
      </c>
      <c r="M3" s="32">
        <v>4.1862170087976542</v>
      </c>
      <c r="N3" s="15">
        <v>4.2370000000000001</v>
      </c>
    </row>
    <row r="4" spans="1:15" x14ac:dyDescent="0.3">
      <c r="A4" s="8" t="s">
        <v>12</v>
      </c>
      <c r="B4" s="20">
        <v>4.04</v>
      </c>
      <c r="C4" s="19">
        <v>4.0279999999999996</v>
      </c>
      <c r="D4" s="19">
        <v>4.1596872565260501</v>
      </c>
      <c r="E4" s="20">
        <v>4.1929999999999996</v>
      </c>
      <c r="J4" t="s">
        <v>12</v>
      </c>
      <c r="K4" t="s">
        <v>15</v>
      </c>
      <c r="L4" s="36">
        <v>4.2320945945945949</v>
      </c>
      <c r="M4" s="32">
        <v>4.3283208020050132</v>
      </c>
      <c r="N4" s="32">
        <v>4.32</v>
      </c>
    </row>
    <row r="5" spans="1:15" x14ac:dyDescent="0.3">
      <c r="A5" s="8" t="s">
        <v>18</v>
      </c>
      <c r="B5" s="20">
        <v>4.04</v>
      </c>
      <c r="C5" s="19">
        <v>3.9769999999999999</v>
      </c>
      <c r="D5" s="19">
        <v>3.9620000000000002</v>
      </c>
      <c r="E5" s="20">
        <v>4.0529999999999999</v>
      </c>
      <c r="J5" t="s">
        <v>12</v>
      </c>
      <c r="K5" t="s">
        <v>16</v>
      </c>
      <c r="L5" s="36">
        <v>3.8463438735177862</v>
      </c>
      <c r="M5" s="32">
        <v>4.0620192307692307</v>
      </c>
      <c r="N5" s="15">
        <v>4.0940000000000003</v>
      </c>
    </row>
    <row r="6" spans="1:15" ht="15" thickBot="1" x14ac:dyDescent="0.35">
      <c r="A6" s="8" t="s">
        <v>27</v>
      </c>
      <c r="B6" s="18">
        <v>3.79</v>
      </c>
      <c r="C6" s="19">
        <v>3.992</v>
      </c>
      <c r="D6" s="19">
        <v>3.7909999999999999</v>
      </c>
      <c r="E6" s="20">
        <v>4.0410000000000004</v>
      </c>
      <c r="J6" s="21" t="s">
        <v>12</v>
      </c>
      <c r="K6" s="21" t="s">
        <v>17</v>
      </c>
      <c r="L6" s="39">
        <v>3.9649122807017543</v>
      </c>
      <c r="M6" s="34">
        <v>4.0443037974683538</v>
      </c>
      <c r="N6" s="37">
        <v>4.0949999999999998</v>
      </c>
    </row>
    <row r="7" spans="1:15" x14ac:dyDescent="0.3">
      <c r="A7" s="62" t="s">
        <v>32</v>
      </c>
      <c r="B7" s="16"/>
      <c r="C7" s="12"/>
      <c r="D7" s="9">
        <v>4.1672365050659206</v>
      </c>
      <c r="E7" s="12">
        <v>4.2439999999999998</v>
      </c>
      <c r="J7" s="22" t="s">
        <v>18</v>
      </c>
      <c r="K7" s="22" t="s">
        <v>19</v>
      </c>
      <c r="L7" s="35">
        <v>4.140625</v>
      </c>
      <c r="M7" s="29">
        <v>4.2910256410256409</v>
      </c>
      <c r="N7" s="30">
        <v>4.2220000000000004</v>
      </c>
    </row>
    <row r="8" spans="1:15" x14ac:dyDescent="0.3">
      <c r="A8" s="62" t="s">
        <v>38</v>
      </c>
      <c r="B8" s="16"/>
      <c r="C8" s="17"/>
      <c r="D8" s="19">
        <v>4.2511088144452396</v>
      </c>
      <c r="E8" s="20">
        <v>4.407</v>
      </c>
      <c r="J8" t="s">
        <v>18</v>
      </c>
      <c r="K8" t="s">
        <v>20</v>
      </c>
      <c r="L8" s="36">
        <v>3.959090909090909</v>
      </c>
      <c r="M8" s="32">
        <v>4.0384068278805119</v>
      </c>
      <c r="N8" s="15">
        <v>3.9769999999999999</v>
      </c>
    </row>
    <row r="9" spans="1:15" x14ac:dyDescent="0.3">
      <c r="A9" s="11" t="s">
        <v>43</v>
      </c>
      <c r="B9" s="18">
        <v>4.05</v>
      </c>
      <c r="C9" s="19">
        <v>4.0069999999999997</v>
      </c>
      <c r="D9" s="19">
        <v>4.2982698234860868</v>
      </c>
      <c r="E9" s="20">
        <v>4.5289999999999999</v>
      </c>
      <c r="J9" t="s">
        <v>18</v>
      </c>
      <c r="K9" t="s">
        <v>21</v>
      </c>
      <c r="L9" s="36">
        <v>4.0330086580086579</v>
      </c>
      <c r="M9" s="32">
        <v>4.125</v>
      </c>
      <c r="N9" s="32">
        <v>4.1500000000000004</v>
      </c>
    </row>
    <row r="10" spans="1:15" x14ac:dyDescent="0.3">
      <c r="A10" s="11" t="s">
        <v>49</v>
      </c>
      <c r="B10" s="18">
        <v>3.95</v>
      </c>
      <c r="C10" s="20">
        <v>3.94</v>
      </c>
      <c r="D10" s="19">
        <v>4.0357264843108247</v>
      </c>
      <c r="E10" s="20">
        <v>4.1500000000000004</v>
      </c>
      <c r="J10" t="s">
        <v>18</v>
      </c>
      <c r="K10" t="s">
        <v>22</v>
      </c>
      <c r="N10" s="15">
        <v>4.133</v>
      </c>
    </row>
    <row r="11" spans="1:15" x14ac:dyDescent="0.3">
      <c r="A11" s="11" t="s">
        <v>50</v>
      </c>
      <c r="B11" s="18">
        <v>3.31</v>
      </c>
      <c r="C11" s="41">
        <v>2.956</v>
      </c>
      <c r="D11" s="42">
        <v>3.4390229852995589</v>
      </c>
      <c r="E11" s="20">
        <v>3.5390000000000001</v>
      </c>
      <c r="J11" t="s">
        <v>18</v>
      </c>
      <c r="K11" t="s">
        <v>23</v>
      </c>
      <c r="N11" s="15">
        <v>3.8969999999999998</v>
      </c>
    </row>
    <row r="12" spans="1:15" x14ac:dyDescent="0.3">
      <c r="A12" s="1" t="s">
        <v>51</v>
      </c>
      <c r="B12" s="18">
        <v>3.78</v>
      </c>
      <c r="C12" s="19">
        <v>3.8526097324413793</v>
      </c>
      <c r="D12" s="19">
        <v>3.8410000000000002</v>
      </c>
      <c r="E12" s="20">
        <v>4.1269999999999998</v>
      </c>
      <c r="J12" t="s">
        <v>18</v>
      </c>
      <c r="K12" t="s">
        <v>479</v>
      </c>
      <c r="N12" s="15">
        <v>4.1609999999999996</v>
      </c>
    </row>
    <row r="13" spans="1:15" x14ac:dyDescent="0.3">
      <c r="J13" t="s">
        <v>18</v>
      </c>
      <c r="K13" t="s">
        <v>480</v>
      </c>
    </row>
    <row r="14" spans="1:15" x14ac:dyDescent="0.3">
      <c r="J14" t="s">
        <v>18</v>
      </c>
      <c r="K14" t="s">
        <v>481</v>
      </c>
    </row>
    <row r="15" spans="1:15" ht="15" thickBot="1" x14ac:dyDescent="0.35">
      <c r="J15" s="21" t="s">
        <v>18</v>
      </c>
      <c r="K15" s="21" t="s">
        <v>482</v>
      </c>
      <c r="L15" s="21"/>
      <c r="M15" s="21"/>
      <c r="N15" s="21"/>
    </row>
    <row r="16" spans="1:15" x14ac:dyDescent="0.3">
      <c r="J16" t="s">
        <v>457</v>
      </c>
      <c r="K16" t="s">
        <v>0</v>
      </c>
      <c r="L16" s="36">
        <v>4.2670668953687825</v>
      </c>
      <c r="M16" s="32">
        <v>4.1010101010101003</v>
      </c>
      <c r="N16" s="15">
        <v>4.4809999999999999</v>
      </c>
    </row>
    <row r="17" spans="1:14" x14ac:dyDescent="0.3">
      <c r="J17" t="s">
        <v>457</v>
      </c>
      <c r="K17" t="s">
        <v>1</v>
      </c>
      <c r="L17" s="36">
        <v>3.9935141509433962</v>
      </c>
      <c r="M17" s="32">
        <v>4.2103174603174605</v>
      </c>
      <c r="N17" s="15">
        <v>4.4820000000000002</v>
      </c>
    </row>
    <row r="18" spans="1:14" x14ac:dyDescent="0.3">
      <c r="B18" s="134" t="s">
        <v>472</v>
      </c>
      <c r="J18" t="s">
        <v>457</v>
      </c>
      <c r="K18" t="s">
        <v>2</v>
      </c>
      <c r="L18" s="36">
        <v>3.9239926739926738</v>
      </c>
      <c r="M18" s="32">
        <v>4.1768632753084329</v>
      </c>
      <c r="N18" s="15">
        <v>4.4720000000000004</v>
      </c>
    </row>
    <row r="19" spans="1:14" x14ac:dyDescent="0.3">
      <c r="B19" s="134"/>
      <c r="J19" t="s">
        <v>457</v>
      </c>
      <c r="K19" t="s">
        <v>3</v>
      </c>
      <c r="L19" s="36">
        <v>3.7519181585677748</v>
      </c>
      <c r="M19" s="32">
        <v>4.0061094819159333</v>
      </c>
      <c r="N19" s="15">
        <v>4.327</v>
      </c>
    </row>
    <row r="20" spans="1:14" ht="15" thickBot="1" x14ac:dyDescent="0.35">
      <c r="J20" s="21" t="s">
        <v>457</v>
      </c>
      <c r="K20" s="21" t="s">
        <v>4</v>
      </c>
      <c r="L20" s="39">
        <v>3.7218693284936482</v>
      </c>
      <c r="M20" s="34">
        <v>4.246031746031746</v>
      </c>
      <c r="N20" s="37">
        <v>4.5369999999999999</v>
      </c>
    </row>
    <row r="21" spans="1:14" x14ac:dyDescent="0.3">
      <c r="J21" s="22" t="s">
        <v>27</v>
      </c>
      <c r="K21" s="22" t="s">
        <v>28</v>
      </c>
      <c r="L21" s="35">
        <v>3.7090077410274453</v>
      </c>
      <c r="M21" s="29">
        <v>3.5793749999999998</v>
      </c>
      <c r="N21" s="30">
        <v>3.7970000000000002</v>
      </c>
    </row>
    <row r="22" spans="1:14" x14ac:dyDescent="0.3">
      <c r="J22" t="s">
        <v>27</v>
      </c>
      <c r="K22" t="s">
        <v>29</v>
      </c>
      <c r="L22" s="36">
        <v>3.8807977736549164</v>
      </c>
      <c r="M22" s="32">
        <v>3.8450226244343888</v>
      </c>
      <c r="N22" s="15">
        <v>4.077</v>
      </c>
    </row>
    <row r="23" spans="1:14" x14ac:dyDescent="0.3">
      <c r="J23" t="s">
        <v>27</v>
      </c>
      <c r="K23" t="s">
        <v>30</v>
      </c>
      <c r="M23" s="32">
        <v>3.8673076923076923</v>
      </c>
      <c r="N23" s="15">
        <v>4.3330000000000002</v>
      </c>
    </row>
    <row r="24" spans="1:14" x14ac:dyDescent="0.3">
      <c r="J24" t="s">
        <v>27</v>
      </c>
      <c r="K24" t="s">
        <v>31</v>
      </c>
      <c r="M24" s="32">
        <v>3.875</v>
      </c>
      <c r="N24" s="15">
        <v>3.9569999999999999</v>
      </c>
    </row>
    <row r="25" spans="1:14" ht="15" thickBot="1" x14ac:dyDescent="0.35">
      <c r="J25" s="21" t="s">
        <v>27</v>
      </c>
      <c r="K25" s="21" t="s">
        <v>474</v>
      </c>
      <c r="L25" s="21"/>
      <c r="M25" s="34"/>
      <c r="N25" s="37"/>
    </row>
    <row r="26" spans="1:14" x14ac:dyDescent="0.3">
      <c r="J26" s="1" t="s">
        <v>32</v>
      </c>
      <c r="K26" t="s">
        <v>33</v>
      </c>
      <c r="M26" s="32">
        <v>4.2166666666666668</v>
      </c>
      <c r="N26" s="32">
        <v>4.3849999999999998</v>
      </c>
    </row>
    <row r="27" spans="1:14" x14ac:dyDescent="0.3">
      <c r="A27" s="1"/>
      <c r="B27" s="1"/>
      <c r="J27" s="1" t="s">
        <v>32</v>
      </c>
      <c r="K27" t="s">
        <v>34</v>
      </c>
      <c r="M27" s="32">
        <v>4.096774193548387</v>
      </c>
      <c r="N27" s="32">
        <v>4.2720000000000002</v>
      </c>
    </row>
    <row r="28" spans="1:14" x14ac:dyDescent="0.3">
      <c r="A28" s="1"/>
      <c r="B28" s="1"/>
      <c r="J28" s="1" t="s">
        <v>32</v>
      </c>
      <c r="K28" t="s">
        <v>35</v>
      </c>
      <c r="M28" s="32">
        <v>4.2857142857142856</v>
      </c>
      <c r="N28" s="32">
        <v>4.1879999999999997</v>
      </c>
    </row>
    <row r="29" spans="1:14" x14ac:dyDescent="0.3">
      <c r="A29" s="1"/>
      <c r="B29" s="1"/>
      <c r="J29" s="1" t="s">
        <v>32</v>
      </c>
      <c r="K29" t="s">
        <v>36</v>
      </c>
      <c r="M29" s="32">
        <v>4.1692307692307695</v>
      </c>
      <c r="N29" s="32">
        <v>4.1589999999999998</v>
      </c>
    </row>
    <row r="30" spans="1:14" ht="15" thickBot="1" x14ac:dyDescent="0.35">
      <c r="A30" s="1"/>
      <c r="B30" s="1"/>
      <c r="J30" s="27" t="s">
        <v>32</v>
      </c>
      <c r="K30" s="21" t="s">
        <v>37</v>
      </c>
      <c r="L30" s="21"/>
      <c r="M30" s="34">
        <v>4.0677966101694913</v>
      </c>
      <c r="N30" s="34">
        <v>4.218</v>
      </c>
    </row>
    <row r="31" spans="1:14" x14ac:dyDescent="0.3">
      <c r="A31" s="1"/>
      <c r="B31" s="1"/>
      <c r="J31" s="26" t="s">
        <v>38</v>
      </c>
      <c r="K31" t="s">
        <v>39</v>
      </c>
      <c r="M31" s="32">
        <v>4.2350000000000003</v>
      </c>
      <c r="N31" s="29">
        <v>4.4042553191489358</v>
      </c>
    </row>
    <row r="32" spans="1:14" x14ac:dyDescent="0.3">
      <c r="A32" s="1"/>
      <c r="B32" s="1"/>
      <c r="J32" s="1" t="s">
        <v>38</v>
      </c>
      <c r="K32" t="s">
        <v>40</v>
      </c>
      <c r="M32" s="32">
        <v>4.2069999999999999</v>
      </c>
      <c r="N32" s="32">
        <v>4.376344086021505</v>
      </c>
    </row>
    <row r="33" spans="1:14" x14ac:dyDescent="0.3">
      <c r="A33" s="1"/>
      <c r="B33" s="1"/>
      <c r="J33" s="1" t="s">
        <v>38</v>
      </c>
      <c r="K33" t="s">
        <v>41</v>
      </c>
      <c r="M33" s="32">
        <v>4.173</v>
      </c>
      <c r="N33" s="32">
        <v>4.3493975903614457</v>
      </c>
    </row>
    <row r="34" spans="1:14" ht="15" thickBot="1" x14ac:dyDescent="0.35">
      <c r="A34" s="1"/>
      <c r="B34" s="1"/>
      <c r="J34" s="27" t="s">
        <v>38</v>
      </c>
      <c r="K34" s="21" t="s">
        <v>42</v>
      </c>
      <c r="M34" s="34">
        <v>4.3879999999999999</v>
      </c>
      <c r="N34" s="34">
        <v>4.5</v>
      </c>
    </row>
    <row r="35" spans="1:14" x14ac:dyDescent="0.3">
      <c r="A35" s="1"/>
      <c r="B35" s="1"/>
      <c r="J35" s="26" t="s">
        <v>43</v>
      </c>
      <c r="K35" s="22" t="s">
        <v>44</v>
      </c>
      <c r="L35" s="35">
        <v>3.9591836734693877</v>
      </c>
      <c r="M35" s="29">
        <v>4.3045609548167096</v>
      </c>
      <c r="N35" s="30">
        <v>4.4630000000000001</v>
      </c>
    </row>
    <row r="36" spans="1:14" x14ac:dyDescent="0.3">
      <c r="A36" s="1"/>
      <c r="B36" s="1"/>
      <c r="J36" s="1" t="s">
        <v>43</v>
      </c>
      <c r="K36" t="s">
        <v>45</v>
      </c>
      <c r="L36" s="36">
        <v>4.0238095238095237</v>
      </c>
      <c r="M36" s="32">
        <v>4.2397558849171748</v>
      </c>
      <c r="N36" s="15">
        <v>4.625</v>
      </c>
    </row>
    <row r="37" spans="1:14" x14ac:dyDescent="0.3">
      <c r="A37" s="1"/>
      <c r="B37" s="1"/>
      <c r="J37" s="1" t="s">
        <v>43</v>
      </c>
      <c r="K37" t="s">
        <v>46</v>
      </c>
      <c r="L37" s="36">
        <v>3.9565217391304346</v>
      </c>
      <c r="M37" s="32">
        <v>4.2905263157894744</v>
      </c>
      <c r="N37" s="15">
        <v>4.4619999999999997</v>
      </c>
    </row>
    <row r="38" spans="1:14" x14ac:dyDescent="0.3">
      <c r="A38" s="1"/>
      <c r="B38" s="1"/>
      <c r="J38" s="1" t="s">
        <v>43</v>
      </c>
      <c r="K38" t="s">
        <v>47</v>
      </c>
      <c r="L38" s="36">
        <v>4.0548885077186965</v>
      </c>
      <c r="M38" s="32">
        <v>4.3040816326530607</v>
      </c>
      <c r="N38" s="15">
        <v>4.556</v>
      </c>
    </row>
    <row r="39" spans="1:14" ht="15" thickBot="1" x14ac:dyDescent="0.35">
      <c r="A39" s="1"/>
      <c r="B39" s="1"/>
      <c r="J39" s="27" t="s">
        <v>43</v>
      </c>
      <c r="K39" s="21" t="s">
        <v>48</v>
      </c>
      <c r="L39" s="39">
        <v>4.0400962309542905</v>
      </c>
      <c r="M39" s="34">
        <v>4.3516057585825028</v>
      </c>
      <c r="N39" s="37">
        <v>4.5410000000000004</v>
      </c>
    </row>
    <row r="40" spans="1:14" x14ac:dyDescent="0.3">
      <c r="A40" s="1"/>
      <c r="B40" s="1"/>
      <c r="J40" s="22" t="s">
        <v>7</v>
      </c>
      <c r="K40" s="22" t="s">
        <v>8</v>
      </c>
      <c r="L40" s="35">
        <v>3.888157894736842</v>
      </c>
      <c r="M40" s="29">
        <v>4.0772154906153482</v>
      </c>
      <c r="N40" s="29">
        <v>4.218</v>
      </c>
    </row>
    <row r="41" spans="1:14" x14ac:dyDescent="0.3">
      <c r="A41" s="1"/>
      <c r="B41" s="1"/>
      <c r="J41" t="s">
        <v>7</v>
      </c>
      <c r="K41" t="s">
        <v>9</v>
      </c>
      <c r="L41" s="36">
        <v>4.0453003875968996</v>
      </c>
      <c r="M41" s="32">
        <v>4.1752631578947366</v>
      </c>
      <c r="N41" s="32">
        <v>4.3570000000000002</v>
      </c>
    </row>
    <row r="42" spans="1:14" x14ac:dyDescent="0.3">
      <c r="A42" s="1"/>
      <c r="B42" s="1"/>
      <c r="J42" t="s">
        <v>7</v>
      </c>
      <c r="K42" t="s">
        <v>10</v>
      </c>
      <c r="L42" s="36">
        <v>4.1660628019323669</v>
      </c>
      <c r="M42" s="32">
        <v>4.0894298996819183</v>
      </c>
      <c r="N42" s="32">
        <v>4.2910000000000004</v>
      </c>
    </row>
    <row r="43" spans="1:14" ht="15" thickBot="1" x14ac:dyDescent="0.35">
      <c r="A43" s="1"/>
      <c r="B43" s="1"/>
      <c r="J43" s="21" t="s">
        <v>7</v>
      </c>
      <c r="K43" s="21" t="s">
        <v>11</v>
      </c>
      <c r="L43" s="39">
        <v>3.9073836961160904</v>
      </c>
      <c r="M43" s="34">
        <v>3.9592039800995025</v>
      </c>
      <c r="N43" s="34">
        <v>4.218</v>
      </c>
    </row>
    <row r="44" spans="1:14" x14ac:dyDescent="0.3">
      <c r="A44" s="1"/>
      <c r="B44" s="1"/>
      <c r="J44" s="26" t="s">
        <v>49</v>
      </c>
      <c r="K44" s="26" t="s">
        <v>53</v>
      </c>
      <c r="L44" s="28">
        <v>3.9333333333333336</v>
      </c>
      <c r="M44" s="29">
        <v>4.070832279281559</v>
      </c>
      <c r="N44" s="30">
        <v>4.1829999999999998</v>
      </c>
    </row>
    <row r="45" spans="1:14" x14ac:dyDescent="0.3">
      <c r="A45" s="1"/>
      <c r="B45" s="1"/>
      <c r="J45" s="1" t="s">
        <v>49</v>
      </c>
      <c r="K45" s="1" t="s">
        <v>52</v>
      </c>
      <c r="L45" s="31">
        <v>4.1205837173579107</v>
      </c>
      <c r="M45" s="32">
        <v>4.0563909774436091</v>
      </c>
      <c r="N45" s="15">
        <v>4.2249999999999996</v>
      </c>
    </row>
    <row r="46" spans="1:14" x14ac:dyDescent="0.3">
      <c r="J46" s="1" t="s">
        <v>49</v>
      </c>
      <c r="K46" s="1" t="s">
        <v>54</v>
      </c>
      <c r="L46" s="31">
        <v>3.7540983606557377</v>
      </c>
      <c r="M46" s="32">
        <v>3.9581736909323118</v>
      </c>
      <c r="N46" s="33">
        <v>4.0380000000000003</v>
      </c>
    </row>
    <row r="47" spans="1:14" x14ac:dyDescent="0.3">
      <c r="J47" s="1" t="s">
        <v>49</v>
      </c>
      <c r="K47" s="1" t="s">
        <v>471</v>
      </c>
      <c r="L47" s="31">
        <v>3.9379310344827587</v>
      </c>
      <c r="M47" s="32">
        <v>3.9106263194933146</v>
      </c>
      <c r="N47" s="15">
        <v>4.0380000000000003</v>
      </c>
    </row>
    <row r="48" spans="1:14" x14ac:dyDescent="0.3">
      <c r="J48" s="1" t="s">
        <v>49</v>
      </c>
      <c r="K48" s="1" t="s">
        <v>55</v>
      </c>
      <c r="L48" s="31">
        <v>4.0824999999999996</v>
      </c>
      <c r="M48" s="32">
        <v>4.0674269707883157</v>
      </c>
      <c r="N48" s="15">
        <v>4.1959999999999997</v>
      </c>
    </row>
    <row r="49" spans="1:14" x14ac:dyDescent="0.3">
      <c r="J49" s="1" t="s">
        <v>49</v>
      </c>
      <c r="K49" s="1" t="s">
        <v>56</v>
      </c>
      <c r="L49" s="31">
        <v>4.0769230769230766</v>
      </c>
      <c r="M49" s="32">
        <v>4.1345029239766085</v>
      </c>
      <c r="N49" s="32">
        <v>4.2</v>
      </c>
    </row>
    <row r="50" spans="1:14" x14ac:dyDescent="0.3">
      <c r="J50" s="1" t="s">
        <v>49</v>
      </c>
      <c r="K50" s="1" t="s">
        <v>57</v>
      </c>
      <c r="L50" s="31">
        <v>3.9017996870109548</v>
      </c>
      <c r="M50" s="32">
        <v>4.045528017241379</v>
      </c>
      <c r="N50" s="15">
        <v>4.1189999999999998</v>
      </c>
    </row>
    <row r="51" spans="1:14" x14ac:dyDescent="0.3">
      <c r="J51" s="1" t="s">
        <v>49</v>
      </c>
      <c r="K51" s="1" t="s">
        <v>58</v>
      </c>
      <c r="L51" s="31">
        <v>3.83</v>
      </c>
      <c r="M51" s="32">
        <v>4.0379677182685256</v>
      </c>
      <c r="N51" s="32">
        <v>4.2</v>
      </c>
    </row>
    <row r="52" spans="1:14" x14ac:dyDescent="0.3">
      <c r="J52" s="1" t="s">
        <v>49</v>
      </c>
      <c r="K52" s="1" t="s">
        <v>476</v>
      </c>
      <c r="L52" s="31"/>
      <c r="M52" s="32"/>
      <c r="N52" s="32"/>
    </row>
    <row r="53" spans="1:14" x14ac:dyDescent="0.3">
      <c r="J53" s="1" t="s">
        <v>49</v>
      </c>
      <c r="K53" s="1" t="s">
        <v>477</v>
      </c>
      <c r="L53" s="31"/>
      <c r="M53" s="32"/>
      <c r="N53" s="32"/>
    </row>
    <row r="54" spans="1:14" ht="15" thickBot="1" x14ac:dyDescent="0.35">
      <c r="J54" s="1" t="s">
        <v>49</v>
      </c>
      <c r="K54" s="1" t="s">
        <v>478</v>
      </c>
      <c r="L54" s="31"/>
      <c r="M54" s="32"/>
      <c r="N54" s="32"/>
    </row>
    <row r="55" spans="1:14" x14ac:dyDescent="0.3">
      <c r="A55" s="1"/>
      <c r="B55" s="1"/>
      <c r="J55" s="26" t="s">
        <v>50</v>
      </c>
      <c r="K55" s="26" t="s">
        <v>459</v>
      </c>
      <c r="L55" s="45">
        <v>2.8540000000000001</v>
      </c>
      <c r="M55" s="29">
        <v>3.407</v>
      </c>
      <c r="N55" s="30">
        <v>3.4470000000000001</v>
      </c>
    </row>
    <row r="56" spans="1:14" x14ac:dyDescent="0.3">
      <c r="A56" s="1"/>
      <c r="B56" s="1"/>
      <c r="J56" s="1" t="s">
        <v>50</v>
      </c>
      <c r="K56" s="1" t="s">
        <v>460</v>
      </c>
      <c r="M56" s="32">
        <v>3.7454507857733663</v>
      </c>
      <c r="N56" s="15">
        <v>3.9220000000000002</v>
      </c>
    </row>
    <row r="57" spans="1:14" x14ac:dyDescent="0.3">
      <c r="A57" s="1"/>
      <c r="B57" s="1"/>
      <c r="J57" s="1" t="s">
        <v>50</v>
      </c>
      <c r="K57" s="1" t="s">
        <v>461</v>
      </c>
      <c r="N57" s="15">
        <v>3.3140000000000001</v>
      </c>
    </row>
    <row r="58" spans="1:14" x14ac:dyDescent="0.3">
      <c r="A58" s="1"/>
      <c r="B58" s="1"/>
      <c r="J58" s="1" t="s">
        <v>50</v>
      </c>
      <c r="K58" s="1" t="s">
        <v>462</v>
      </c>
      <c r="L58" s="46">
        <v>2.9533542976939202</v>
      </c>
      <c r="M58" s="32">
        <v>3.3125</v>
      </c>
      <c r="N58" s="15">
        <v>3.3140000000000001</v>
      </c>
    </row>
    <row r="59" spans="1:14" x14ac:dyDescent="0.3">
      <c r="A59" s="1"/>
      <c r="B59" s="1"/>
      <c r="J59" s="1" t="s">
        <v>50</v>
      </c>
      <c r="K59" s="1" t="s">
        <v>463</v>
      </c>
      <c r="L59" s="43"/>
      <c r="M59" s="32">
        <v>3.4391771019677995</v>
      </c>
      <c r="N59" s="15">
        <v>3.706</v>
      </c>
    </row>
    <row r="60" spans="1:14" x14ac:dyDescent="0.3">
      <c r="A60" s="1"/>
      <c r="B60" s="1"/>
      <c r="J60" s="1" t="s">
        <v>50</v>
      </c>
      <c r="K60" s="1" t="s">
        <v>464</v>
      </c>
      <c r="L60" s="46">
        <v>3.108228511530398</v>
      </c>
      <c r="M60" s="32">
        <v>3.4620151939224311</v>
      </c>
      <c r="N60" s="15">
        <v>3.6459999999999999</v>
      </c>
    </row>
    <row r="61" spans="1:14" ht="15" thickBot="1" x14ac:dyDescent="0.35">
      <c r="A61" s="1"/>
      <c r="B61" s="1"/>
      <c r="J61" s="27" t="s">
        <v>50</v>
      </c>
      <c r="K61" s="27" t="s">
        <v>465</v>
      </c>
      <c r="L61" s="44"/>
      <c r="M61" s="34">
        <v>3.6451612903225805</v>
      </c>
      <c r="N61" s="37">
        <v>3.4289999999999998</v>
      </c>
    </row>
    <row r="62" spans="1:14" x14ac:dyDescent="0.3">
      <c r="J62" s="1" t="s">
        <v>51</v>
      </c>
      <c r="K62" s="26" t="s">
        <v>466</v>
      </c>
      <c r="L62" s="35">
        <v>3.9935141509433962</v>
      </c>
      <c r="M62" s="29">
        <v>3.8653846153846154</v>
      </c>
      <c r="N62" s="30">
        <v>4.157</v>
      </c>
    </row>
    <row r="63" spans="1:14" x14ac:dyDescent="0.3">
      <c r="A63" s="1"/>
      <c r="B63" s="1"/>
      <c r="J63" s="1" t="s">
        <v>51</v>
      </c>
      <c r="K63" s="1" t="s">
        <v>59</v>
      </c>
      <c r="M63" s="15">
        <v>3.7320000000000002</v>
      </c>
      <c r="N63" s="15">
        <v>3.9860000000000002</v>
      </c>
    </row>
    <row r="64" spans="1:14" x14ac:dyDescent="0.3">
      <c r="A64" s="1"/>
      <c r="B64" s="1"/>
      <c r="J64" s="1" t="s">
        <v>51</v>
      </c>
      <c r="K64" s="1" t="s">
        <v>60</v>
      </c>
      <c r="L64" s="36">
        <v>4.0812082574377655</v>
      </c>
      <c r="M64" s="32">
        <v>3.9607843137254903</v>
      </c>
      <c r="N64" s="15">
        <v>4.3970000000000002</v>
      </c>
    </row>
    <row r="65" spans="1:14" x14ac:dyDescent="0.3">
      <c r="A65" s="1"/>
      <c r="B65" s="1"/>
      <c r="J65" s="1" t="s">
        <v>51</v>
      </c>
      <c r="K65" s="1" t="s">
        <v>61</v>
      </c>
      <c r="N65" s="15">
        <v>3.9830000000000001</v>
      </c>
    </row>
    <row r="66" spans="1:14" ht="15" thickBot="1" x14ac:dyDescent="0.35">
      <c r="A66" s="1"/>
      <c r="B66" s="1"/>
      <c r="J66" s="27" t="s">
        <v>51</v>
      </c>
      <c r="K66" s="27" t="s">
        <v>62</v>
      </c>
      <c r="L66" s="21"/>
      <c r="M66" s="21"/>
      <c r="N66" s="37">
        <v>4.1109999999999998</v>
      </c>
    </row>
  </sheetData>
  <mergeCells count="1">
    <mergeCell ref="B18:B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L117"/>
  <sheetViews>
    <sheetView tabSelected="1" workbookViewId="0">
      <pane ySplit="1" topLeftCell="A2" activePane="bottomLeft" state="frozenSplit"/>
      <selection pane="bottomLeft" activeCell="M8" sqref="M8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11" width="9.21875" customWidth="1"/>
  </cols>
  <sheetData>
    <row r="1" spans="1:12" ht="15.6" x14ac:dyDescent="0.3">
      <c r="A1" s="160" t="s">
        <v>588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</row>
    <row r="3" spans="1:12" x14ac:dyDescent="0.3">
      <c r="A3" t="s">
        <v>483</v>
      </c>
      <c r="B3" t="s">
        <v>484</v>
      </c>
      <c r="C3" t="s">
        <v>485</v>
      </c>
      <c r="D3" t="s">
        <v>486</v>
      </c>
      <c r="E3" t="s">
        <v>63</v>
      </c>
      <c r="F3" s="66" t="s">
        <v>487</v>
      </c>
      <c r="G3" s="66" t="s">
        <v>488</v>
      </c>
      <c r="H3" s="66" t="s">
        <v>489</v>
      </c>
      <c r="I3" s="66" t="s">
        <v>490</v>
      </c>
      <c r="J3" s="66" t="s">
        <v>491</v>
      </c>
      <c r="K3" t="s">
        <v>492</v>
      </c>
    </row>
    <row r="4" spans="1:12" x14ac:dyDescent="0.3">
      <c r="A4">
        <v>350</v>
      </c>
      <c r="B4" s="65">
        <v>45509.434062499997</v>
      </c>
      <c r="C4" s="65">
        <v>45509.435624999998</v>
      </c>
      <c r="D4" t="s">
        <v>373</v>
      </c>
      <c r="E4" t="s">
        <v>493</v>
      </c>
      <c r="F4" t="s">
        <v>494</v>
      </c>
      <c r="G4" t="s">
        <v>495</v>
      </c>
      <c r="H4" t="s">
        <v>495</v>
      </c>
      <c r="I4" t="s">
        <v>495</v>
      </c>
      <c r="J4" t="s">
        <v>495</v>
      </c>
      <c r="K4" t="s">
        <v>496</v>
      </c>
    </row>
    <row r="5" spans="1:12" x14ac:dyDescent="0.3">
      <c r="A5">
        <v>351</v>
      </c>
      <c r="B5" s="65">
        <v>45509.435868055603</v>
      </c>
      <c r="C5" s="65">
        <v>45509.436342592599</v>
      </c>
      <c r="D5" t="s">
        <v>318</v>
      </c>
      <c r="E5" t="s">
        <v>317</v>
      </c>
      <c r="F5" t="s">
        <v>494</v>
      </c>
      <c r="G5" t="s">
        <v>494</v>
      </c>
      <c r="H5" t="s">
        <v>494</v>
      </c>
      <c r="I5" t="s">
        <v>494</v>
      </c>
      <c r="J5" t="s">
        <v>494</v>
      </c>
    </row>
    <row r="6" spans="1:12" x14ac:dyDescent="0.3">
      <c r="A6">
        <v>352</v>
      </c>
      <c r="B6" s="65">
        <v>45509.4378587963</v>
      </c>
      <c r="C6" s="65">
        <v>45509.438611111102</v>
      </c>
      <c r="D6" t="s">
        <v>102</v>
      </c>
      <c r="E6" t="s">
        <v>101</v>
      </c>
      <c r="F6" t="s">
        <v>494</v>
      </c>
      <c r="G6" t="s">
        <v>495</v>
      </c>
      <c r="H6" t="s">
        <v>495</v>
      </c>
      <c r="I6" t="s">
        <v>495</v>
      </c>
      <c r="J6" t="s">
        <v>497</v>
      </c>
    </row>
    <row r="7" spans="1:12" x14ac:dyDescent="0.3">
      <c r="A7">
        <v>353</v>
      </c>
      <c r="B7" s="65">
        <v>45509.4382638889</v>
      </c>
      <c r="C7" s="65">
        <v>45509.438692129603</v>
      </c>
      <c r="D7" t="s">
        <v>424</v>
      </c>
      <c r="E7" t="s">
        <v>423</v>
      </c>
      <c r="F7" t="s">
        <v>495</v>
      </c>
      <c r="G7" t="s">
        <v>495</v>
      </c>
      <c r="H7" t="s">
        <v>495</v>
      </c>
      <c r="I7" t="s">
        <v>498</v>
      </c>
      <c r="J7" t="s">
        <v>498</v>
      </c>
    </row>
    <row r="8" spans="1:12" x14ac:dyDescent="0.3">
      <c r="A8">
        <v>354</v>
      </c>
      <c r="B8" s="65">
        <v>45509.438229166699</v>
      </c>
      <c r="C8" s="65">
        <v>45509.4387615741</v>
      </c>
      <c r="D8" t="s">
        <v>153</v>
      </c>
      <c r="E8" t="s">
        <v>152</v>
      </c>
      <c r="F8" t="s">
        <v>494</v>
      </c>
      <c r="G8" t="s">
        <v>497</v>
      </c>
      <c r="H8" t="s">
        <v>497</v>
      </c>
      <c r="I8" t="s">
        <v>494</v>
      </c>
      <c r="J8" t="s">
        <v>494</v>
      </c>
    </row>
    <row r="9" spans="1:12" x14ac:dyDescent="0.3">
      <c r="A9">
        <v>355</v>
      </c>
      <c r="B9" s="65">
        <v>45509.442164351902</v>
      </c>
      <c r="C9" s="65">
        <v>45509.442824074104</v>
      </c>
      <c r="D9" t="s">
        <v>99</v>
      </c>
      <c r="E9" t="s">
        <v>98</v>
      </c>
      <c r="F9" t="s">
        <v>494</v>
      </c>
      <c r="G9" t="s">
        <v>497</v>
      </c>
      <c r="H9" t="s">
        <v>497</v>
      </c>
      <c r="I9" t="s">
        <v>497</v>
      </c>
      <c r="J9" t="s">
        <v>497</v>
      </c>
      <c r="K9" t="s">
        <v>499</v>
      </c>
    </row>
    <row r="10" spans="1:12" x14ac:dyDescent="0.3">
      <c r="A10">
        <v>356</v>
      </c>
      <c r="B10" s="65">
        <v>45509.442581018498</v>
      </c>
      <c r="C10" s="65">
        <v>45509.443287037</v>
      </c>
      <c r="D10" t="s">
        <v>269</v>
      </c>
      <c r="E10" t="s">
        <v>268</v>
      </c>
      <c r="F10" t="s">
        <v>494</v>
      </c>
      <c r="G10" t="s">
        <v>495</v>
      </c>
      <c r="H10" t="s">
        <v>495</v>
      </c>
      <c r="I10" t="s">
        <v>495</v>
      </c>
      <c r="J10" t="s">
        <v>498</v>
      </c>
    </row>
    <row r="11" spans="1:12" x14ac:dyDescent="0.3">
      <c r="A11">
        <v>357</v>
      </c>
      <c r="B11" s="65">
        <v>45509.441724536999</v>
      </c>
      <c r="C11" s="65">
        <v>45509.444062499999</v>
      </c>
      <c r="D11" t="s">
        <v>177</v>
      </c>
      <c r="E11" t="s">
        <v>176</v>
      </c>
      <c r="F11" t="s">
        <v>495</v>
      </c>
      <c r="G11" t="s">
        <v>497</v>
      </c>
      <c r="H11" t="s">
        <v>497</v>
      </c>
      <c r="I11" t="s">
        <v>495</v>
      </c>
      <c r="J11" t="s">
        <v>497</v>
      </c>
      <c r="K11" t="s">
        <v>500</v>
      </c>
    </row>
    <row r="12" spans="1:12" x14ac:dyDescent="0.3">
      <c r="A12">
        <v>358</v>
      </c>
      <c r="B12" s="65">
        <v>45509.445416666698</v>
      </c>
      <c r="C12" s="65">
        <v>45509.447152777801</v>
      </c>
      <c r="D12" t="s">
        <v>72</v>
      </c>
      <c r="E12" t="s">
        <v>71</v>
      </c>
      <c r="F12" t="s">
        <v>498</v>
      </c>
      <c r="G12" t="s">
        <v>498</v>
      </c>
      <c r="H12" t="s">
        <v>498</v>
      </c>
      <c r="I12" t="s">
        <v>498</v>
      </c>
      <c r="J12" t="s">
        <v>498</v>
      </c>
    </row>
    <row r="13" spans="1:12" x14ac:dyDescent="0.3">
      <c r="A13">
        <v>359</v>
      </c>
      <c r="B13" s="65">
        <v>45509.455717592602</v>
      </c>
      <c r="C13" s="65">
        <v>45509.456678240698</v>
      </c>
      <c r="D13" t="s">
        <v>345</v>
      </c>
      <c r="E13" t="s">
        <v>501</v>
      </c>
      <c r="F13" t="s">
        <v>494</v>
      </c>
      <c r="G13" t="s">
        <v>495</v>
      </c>
      <c r="H13" t="s">
        <v>495</v>
      </c>
      <c r="I13" t="s">
        <v>498</v>
      </c>
      <c r="J13" t="s">
        <v>497</v>
      </c>
    </row>
    <row r="14" spans="1:12" x14ac:dyDescent="0.3">
      <c r="A14">
        <v>360</v>
      </c>
      <c r="B14" s="65">
        <v>45509.456689814797</v>
      </c>
      <c r="C14" s="65">
        <v>45509.457037036998</v>
      </c>
      <c r="D14" t="s">
        <v>140</v>
      </c>
      <c r="E14" t="s">
        <v>139</v>
      </c>
      <c r="F14" t="s">
        <v>497</v>
      </c>
      <c r="G14" t="s">
        <v>497</v>
      </c>
      <c r="H14" t="s">
        <v>497</v>
      </c>
      <c r="I14" t="s">
        <v>497</v>
      </c>
      <c r="J14" t="s">
        <v>497</v>
      </c>
    </row>
    <row r="15" spans="1:12" x14ac:dyDescent="0.3">
      <c r="A15">
        <v>361</v>
      </c>
      <c r="B15" s="65">
        <v>45509.436759259297</v>
      </c>
      <c r="C15" s="65">
        <v>45509.470937500002</v>
      </c>
      <c r="D15" t="s">
        <v>143</v>
      </c>
      <c r="E15" t="s">
        <v>142</v>
      </c>
      <c r="F15" t="s">
        <v>497</v>
      </c>
      <c r="G15" t="s">
        <v>497</v>
      </c>
      <c r="H15" t="s">
        <v>497</v>
      </c>
      <c r="I15" t="s">
        <v>495</v>
      </c>
      <c r="J15" t="s">
        <v>497</v>
      </c>
    </row>
    <row r="16" spans="1:12" x14ac:dyDescent="0.3">
      <c r="A16">
        <v>362</v>
      </c>
      <c r="B16" s="65">
        <v>45509.470185185201</v>
      </c>
      <c r="C16" s="65">
        <v>45509.471678240698</v>
      </c>
      <c r="D16" t="s">
        <v>227</v>
      </c>
      <c r="E16" t="s">
        <v>226</v>
      </c>
      <c r="F16" t="s">
        <v>495</v>
      </c>
      <c r="G16" t="s">
        <v>495</v>
      </c>
      <c r="H16" t="s">
        <v>495</v>
      </c>
      <c r="I16" t="s">
        <v>495</v>
      </c>
      <c r="J16" t="s">
        <v>495</v>
      </c>
    </row>
    <row r="17" spans="1:11" x14ac:dyDescent="0.3">
      <c r="A17">
        <v>363</v>
      </c>
      <c r="B17" s="65">
        <v>45509.471631944398</v>
      </c>
      <c r="C17" s="65">
        <v>45509.471782407403</v>
      </c>
      <c r="D17" t="s">
        <v>391</v>
      </c>
      <c r="E17" t="s">
        <v>390</v>
      </c>
      <c r="F17" t="s">
        <v>497</v>
      </c>
      <c r="G17" t="s">
        <v>497</v>
      </c>
      <c r="H17" t="s">
        <v>497</v>
      </c>
      <c r="I17" t="s">
        <v>497</v>
      </c>
      <c r="J17" t="s">
        <v>497</v>
      </c>
    </row>
    <row r="18" spans="1:11" x14ac:dyDescent="0.3">
      <c r="A18">
        <v>364</v>
      </c>
      <c r="B18" s="65">
        <v>45509.471354166701</v>
      </c>
      <c r="C18" s="65">
        <v>45509.471828703703</v>
      </c>
      <c r="D18" t="s">
        <v>502</v>
      </c>
      <c r="E18" t="s">
        <v>75</v>
      </c>
      <c r="F18" t="s">
        <v>495</v>
      </c>
      <c r="G18" t="s">
        <v>495</v>
      </c>
      <c r="H18" t="s">
        <v>498</v>
      </c>
      <c r="I18" t="s">
        <v>498</v>
      </c>
      <c r="J18" t="s">
        <v>498</v>
      </c>
      <c r="K18" s="66" t="s">
        <v>503</v>
      </c>
    </row>
    <row r="19" spans="1:11" x14ac:dyDescent="0.3">
      <c r="A19">
        <v>365</v>
      </c>
      <c r="B19" s="65">
        <v>45509.469930555599</v>
      </c>
      <c r="C19" s="65">
        <v>45509.473703703698</v>
      </c>
      <c r="D19" t="s">
        <v>504</v>
      </c>
      <c r="E19" t="s">
        <v>241</v>
      </c>
      <c r="F19" t="s">
        <v>494</v>
      </c>
      <c r="G19" t="s">
        <v>494</v>
      </c>
      <c r="H19" t="s">
        <v>494</v>
      </c>
      <c r="I19" t="s">
        <v>494</v>
      </c>
      <c r="J19" t="s">
        <v>494</v>
      </c>
    </row>
    <row r="20" spans="1:11" x14ac:dyDescent="0.3">
      <c r="A20">
        <v>366</v>
      </c>
      <c r="B20" s="65">
        <v>45509.474398148101</v>
      </c>
      <c r="C20" s="65">
        <v>45509.475185185198</v>
      </c>
      <c r="D20" t="s">
        <v>181</v>
      </c>
      <c r="E20" t="s">
        <v>180</v>
      </c>
      <c r="F20" t="s">
        <v>497</v>
      </c>
      <c r="G20" t="s">
        <v>497</v>
      </c>
      <c r="H20" t="s">
        <v>497</v>
      </c>
      <c r="I20" t="s">
        <v>497</v>
      </c>
      <c r="J20" t="s">
        <v>497</v>
      </c>
      <c r="K20" t="s">
        <v>505</v>
      </c>
    </row>
    <row r="21" spans="1:11" x14ac:dyDescent="0.3">
      <c r="A21">
        <v>367</v>
      </c>
      <c r="B21" s="65">
        <v>45509.4754861111</v>
      </c>
      <c r="C21" s="65">
        <v>45509.4781828704</v>
      </c>
      <c r="D21" t="s">
        <v>299</v>
      </c>
      <c r="E21" t="s">
        <v>298</v>
      </c>
      <c r="F21" t="s">
        <v>495</v>
      </c>
      <c r="G21" t="s">
        <v>497</v>
      </c>
      <c r="H21" t="s">
        <v>497</v>
      </c>
      <c r="I21" t="s">
        <v>495</v>
      </c>
      <c r="J21" t="s">
        <v>497</v>
      </c>
      <c r="K21" t="s">
        <v>506</v>
      </c>
    </row>
    <row r="22" spans="1:11" x14ac:dyDescent="0.3">
      <c r="A22">
        <v>368</v>
      </c>
      <c r="B22" s="65">
        <v>45509.478692129604</v>
      </c>
      <c r="C22" s="65">
        <v>45509.480023148099</v>
      </c>
      <c r="D22" t="s">
        <v>192</v>
      </c>
      <c r="E22" t="s">
        <v>191</v>
      </c>
      <c r="F22" t="s">
        <v>494</v>
      </c>
      <c r="G22" t="s">
        <v>497</v>
      </c>
      <c r="H22" t="s">
        <v>497</v>
      </c>
      <c r="I22" t="s">
        <v>495</v>
      </c>
      <c r="J22" t="s">
        <v>495</v>
      </c>
      <c r="K22" t="s">
        <v>507</v>
      </c>
    </row>
    <row r="23" spans="1:11" x14ac:dyDescent="0.3">
      <c r="A23">
        <v>369</v>
      </c>
      <c r="B23" s="65">
        <v>45509.482349537</v>
      </c>
      <c r="C23" s="65">
        <v>45509.482766203699</v>
      </c>
      <c r="D23" t="s">
        <v>333</v>
      </c>
      <c r="E23" t="s">
        <v>332</v>
      </c>
      <c r="F23" t="s">
        <v>497</v>
      </c>
      <c r="G23" t="s">
        <v>497</v>
      </c>
      <c r="H23" t="s">
        <v>497</v>
      </c>
      <c r="I23" t="s">
        <v>495</v>
      </c>
      <c r="J23" t="s">
        <v>497</v>
      </c>
    </row>
    <row r="24" spans="1:11" x14ac:dyDescent="0.3">
      <c r="A24">
        <v>370</v>
      </c>
      <c r="B24" s="65">
        <v>45509.486053240696</v>
      </c>
      <c r="C24" s="65">
        <v>45509.486736111103</v>
      </c>
      <c r="D24" t="s">
        <v>155</v>
      </c>
      <c r="E24" t="s">
        <v>154</v>
      </c>
      <c r="F24" t="s">
        <v>495</v>
      </c>
      <c r="G24" t="s">
        <v>497</v>
      </c>
      <c r="H24" t="s">
        <v>497</v>
      </c>
      <c r="I24" t="s">
        <v>495</v>
      </c>
      <c r="J24" t="s">
        <v>495</v>
      </c>
    </row>
    <row r="25" spans="1:11" x14ac:dyDescent="0.3">
      <c r="A25">
        <v>371</v>
      </c>
      <c r="B25" s="65">
        <v>45509.479664351798</v>
      </c>
      <c r="C25" s="65">
        <v>45509.490844907399</v>
      </c>
      <c r="D25" t="s">
        <v>331</v>
      </c>
      <c r="E25" t="s">
        <v>330</v>
      </c>
      <c r="F25" t="s">
        <v>494</v>
      </c>
      <c r="G25" t="s">
        <v>497</v>
      </c>
      <c r="H25" t="s">
        <v>497</v>
      </c>
      <c r="I25" t="s">
        <v>497</v>
      </c>
      <c r="J25" t="s">
        <v>497</v>
      </c>
      <c r="K25" t="s">
        <v>508</v>
      </c>
    </row>
    <row r="26" spans="1:11" x14ac:dyDescent="0.3">
      <c r="A26">
        <v>372</v>
      </c>
      <c r="B26" s="65">
        <v>45509.484930555598</v>
      </c>
      <c r="C26" s="65">
        <v>45509.502222222203</v>
      </c>
      <c r="D26" t="s">
        <v>378</v>
      </c>
      <c r="E26" t="s">
        <v>377</v>
      </c>
      <c r="F26" t="s">
        <v>497</v>
      </c>
      <c r="G26" t="s">
        <v>495</v>
      </c>
      <c r="H26" t="s">
        <v>495</v>
      </c>
      <c r="I26" t="s">
        <v>495</v>
      </c>
      <c r="J26" t="s">
        <v>495</v>
      </c>
    </row>
    <row r="27" spans="1:11" x14ac:dyDescent="0.3">
      <c r="A27">
        <v>373</v>
      </c>
      <c r="B27" s="65">
        <v>45509.504016203697</v>
      </c>
      <c r="C27" s="65">
        <v>45509.504618055602</v>
      </c>
      <c r="D27" t="s">
        <v>215</v>
      </c>
      <c r="E27" t="s">
        <v>214</v>
      </c>
      <c r="F27" t="s">
        <v>495</v>
      </c>
      <c r="G27" t="s">
        <v>497</v>
      </c>
      <c r="H27" t="s">
        <v>497</v>
      </c>
      <c r="I27" t="s">
        <v>495</v>
      </c>
      <c r="J27" t="s">
        <v>497</v>
      </c>
    </row>
    <row r="28" spans="1:11" x14ac:dyDescent="0.3">
      <c r="A28">
        <v>374</v>
      </c>
      <c r="B28" s="65">
        <v>45509.505405092597</v>
      </c>
      <c r="C28" s="65">
        <v>45509.507210648102</v>
      </c>
      <c r="D28" t="s">
        <v>256</v>
      </c>
      <c r="E28" t="s">
        <v>255</v>
      </c>
      <c r="F28" t="s">
        <v>497</v>
      </c>
      <c r="G28" t="s">
        <v>497</v>
      </c>
      <c r="H28" t="s">
        <v>497</v>
      </c>
      <c r="I28" t="s">
        <v>497</v>
      </c>
      <c r="J28" t="s">
        <v>497</v>
      </c>
    </row>
    <row r="29" spans="1:11" x14ac:dyDescent="0.3">
      <c r="A29">
        <v>375</v>
      </c>
      <c r="B29" s="65">
        <v>45509.506932870398</v>
      </c>
      <c r="C29" s="65">
        <v>45509.507581018501</v>
      </c>
      <c r="D29" t="s">
        <v>145</v>
      </c>
      <c r="E29" t="s">
        <v>144</v>
      </c>
      <c r="F29" t="s">
        <v>495</v>
      </c>
      <c r="G29" t="s">
        <v>495</v>
      </c>
      <c r="H29" t="s">
        <v>495</v>
      </c>
      <c r="I29" t="s">
        <v>495</v>
      </c>
      <c r="J29" t="s">
        <v>495</v>
      </c>
    </row>
    <row r="30" spans="1:11" x14ac:dyDescent="0.3">
      <c r="A30">
        <v>376</v>
      </c>
      <c r="B30" s="65">
        <v>45509.509039351797</v>
      </c>
      <c r="C30" s="65">
        <v>45509.509687500002</v>
      </c>
      <c r="D30" t="s">
        <v>223</v>
      </c>
      <c r="E30" t="s">
        <v>222</v>
      </c>
      <c r="F30" t="s">
        <v>495</v>
      </c>
      <c r="G30" t="s">
        <v>495</v>
      </c>
      <c r="H30" t="s">
        <v>495</v>
      </c>
      <c r="I30" t="s">
        <v>495</v>
      </c>
      <c r="J30" t="s">
        <v>497</v>
      </c>
      <c r="K30" t="s">
        <v>509</v>
      </c>
    </row>
    <row r="31" spans="1:11" x14ac:dyDescent="0.3">
      <c r="A31">
        <v>377</v>
      </c>
      <c r="B31" s="65">
        <v>45509.495821759301</v>
      </c>
      <c r="C31" s="65">
        <v>45509.511307870402</v>
      </c>
      <c r="D31" t="s">
        <v>89</v>
      </c>
      <c r="E31" t="s">
        <v>88</v>
      </c>
      <c r="F31" t="s">
        <v>495</v>
      </c>
      <c r="G31" t="s">
        <v>495</v>
      </c>
      <c r="H31" t="s">
        <v>495</v>
      </c>
      <c r="I31" t="s">
        <v>497</v>
      </c>
      <c r="J31" t="s">
        <v>495</v>
      </c>
    </row>
    <row r="32" spans="1:11" x14ac:dyDescent="0.3">
      <c r="A32">
        <v>378</v>
      </c>
      <c r="B32" s="65">
        <v>45509.518275463</v>
      </c>
      <c r="C32" s="65">
        <v>45509.518738425897</v>
      </c>
      <c r="D32" t="s">
        <v>510</v>
      </c>
      <c r="E32" t="s">
        <v>433</v>
      </c>
      <c r="F32" t="s">
        <v>497</v>
      </c>
      <c r="G32" t="s">
        <v>497</v>
      </c>
      <c r="H32" t="s">
        <v>497</v>
      </c>
      <c r="I32" t="s">
        <v>497</v>
      </c>
      <c r="J32" t="s">
        <v>497</v>
      </c>
      <c r="K32" t="s">
        <v>511</v>
      </c>
    </row>
    <row r="33" spans="1:11" x14ac:dyDescent="0.3">
      <c r="A33">
        <v>379</v>
      </c>
      <c r="B33" s="65">
        <v>45509.507013888899</v>
      </c>
      <c r="C33" s="65">
        <v>45509.521712962996</v>
      </c>
      <c r="D33" t="s">
        <v>450</v>
      </c>
      <c r="E33" t="s">
        <v>449</v>
      </c>
      <c r="F33" t="s">
        <v>495</v>
      </c>
      <c r="G33" t="s">
        <v>495</v>
      </c>
      <c r="H33" t="s">
        <v>498</v>
      </c>
      <c r="I33" t="s">
        <v>498</v>
      </c>
      <c r="J33" t="s">
        <v>495</v>
      </c>
    </row>
    <row r="34" spans="1:11" x14ac:dyDescent="0.3">
      <c r="A34">
        <v>380</v>
      </c>
      <c r="B34" s="65">
        <v>45509.526747685202</v>
      </c>
      <c r="C34" s="65">
        <v>45509.527083333298</v>
      </c>
      <c r="D34" t="s">
        <v>104</v>
      </c>
      <c r="E34" t="s">
        <v>103</v>
      </c>
      <c r="F34" t="s">
        <v>497</v>
      </c>
      <c r="G34" t="s">
        <v>497</v>
      </c>
      <c r="H34" t="s">
        <v>497</v>
      </c>
      <c r="I34" t="s">
        <v>497</v>
      </c>
      <c r="J34" t="s">
        <v>497</v>
      </c>
      <c r="K34" t="s">
        <v>512</v>
      </c>
    </row>
    <row r="35" spans="1:11" x14ac:dyDescent="0.3">
      <c r="A35">
        <v>381</v>
      </c>
      <c r="B35" s="65">
        <v>45509.491770833301</v>
      </c>
      <c r="C35" s="65">
        <v>45509.533009259299</v>
      </c>
      <c r="D35" t="s">
        <v>68</v>
      </c>
      <c r="E35" t="s">
        <v>67</v>
      </c>
      <c r="F35" t="s">
        <v>497</v>
      </c>
      <c r="G35" t="s">
        <v>495</v>
      </c>
      <c r="H35" t="s">
        <v>495</v>
      </c>
      <c r="I35" t="s">
        <v>495</v>
      </c>
      <c r="J35" t="s">
        <v>497</v>
      </c>
    </row>
    <row r="36" spans="1:11" x14ac:dyDescent="0.3">
      <c r="A36">
        <v>382</v>
      </c>
      <c r="B36" s="65">
        <v>45509.532997685201</v>
      </c>
      <c r="C36" s="65">
        <v>45509.5331828704</v>
      </c>
      <c r="D36" t="s">
        <v>199</v>
      </c>
      <c r="E36" t="s">
        <v>198</v>
      </c>
      <c r="F36" t="s">
        <v>497</v>
      </c>
      <c r="G36" t="s">
        <v>497</v>
      </c>
      <c r="H36" t="s">
        <v>497</v>
      </c>
      <c r="I36" t="s">
        <v>497</v>
      </c>
      <c r="J36" t="s">
        <v>497</v>
      </c>
    </row>
    <row r="37" spans="1:11" x14ac:dyDescent="0.3">
      <c r="A37">
        <v>383</v>
      </c>
      <c r="B37" s="65">
        <v>45509.545821759297</v>
      </c>
      <c r="C37" s="65">
        <v>45509.550381944398</v>
      </c>
      <c r="D37" t="s">
        <v>262</v>
      </c>
      <c r="E37" t="s">
        <v>261</v>
      </c>
      <c r="F37" t="s">
        <v>494</v>
      </c>
      <c r="G37" t="s">
        <v>495</v>
      </c>
      <c r="H37" t="s">
        <v>498</v>
      </c>
      <c r="I37" t="s">
        <v>513</v>
      </c>
      <c r="J37" t="s">
        <v>498</v>
      </c>
      <c r="K37" t="s">
        <v>514</v>
      </c>
    </row>
    <row r="38" spans="1:11" x14ac:dyDescent="0.3">
      <c r="A38">
        <v>384</v>
      </c>
      <c r="B38" s="65">
        <v>45509.547511574099</v>
      </c>
      <c r="C38" s="65">
        <v>45509.552523148101</v>
      </c>
      <c r="D38" t="s">
        <v>454</v>
      </c>
      <c r="E38" t="s">
        <v>453</v>
      </c>
      <c r="F38" t="s">
        <v>494</v>
      </c>
      <c r="G38" t="s">
        <v>497</v>
      </c>
      <c r="H38" t="s">
        <v>497</v>
      </c>
      <c r="I38" t="s">
        <v>497</v>
      </c>
      <c r="J38" t="s">
        <v>497</v>
      </c>
    </row>
    <row r="39" spans="1:11" x14ac:dyDescent="0.3">
      <c r="A39">
        <v>385</v>
      </c>
      <c r="B39" s="65">
        <v>45509.558298611097</v>
      </c>
      <c r="C39" s="65">
        <v>45509.562268518501</v>
      </c>
      <c r="D39" t="s">
        <v>127</v>
      </c>
      <c r="E39" t="s">
        <v>126</v>
      </c>
      <c r="F39" t="s">
        <v>497</v>
      </c>
      <c r="G39" t="s">
        <v>497</v>
      </c>
      <c r="H39" t="s">
        <v>497</v>
      </c>
      <c r="I39" t="s">
        <v>497</v>
      </c>
      <c r="J39" t="s">
        <v>497</v>
      </c>
    </row>
    <row r="40" spans="1:11" x14ac:dyDescent="0.3">
      <c r="A40">
        <v>387</v>
      </c>
      <c r="B40" s="65">
        <v>45509.583749999998</v>
      </c>
      <c r="C40" s="65">
        <v>45509.584803240701</v>
      </c>
      <c r="D40" t="s">
        <v>515</v>
      </c>
      <c r="E40" t="s">
        <v>79</v>
      </c>
      <c r="F40" t="s">
        <v>497</v>
      </c>
      <c r="G40" t="s">
        <v>497</v>
      </c>
      <c r="H40" t="s">
        <v>495</v>
      </c>
      <c r="I40" t="s">
        <v>497</v>
      </c>
      <c r="J40" t="s">
        <v>497</v>
      </c>
    </row>
    <row r="41" spans="1:11" x14ac:dyDescent="0.3">
      <c r="A41">
        <v>388</v>
      </c>
      <c r="B41" s="65">
        <v>45509.585208333301</v>
      </c>
      <c r="C41" s="65">
        <v>45509.585821759298</v>
      </c>
      <c r="D41" t="s">
        <v>225</v>
      </c>
      <c r="E41" t="s">
        <v>224</v>
      </c>
      <c r="F41" t="s">
        <v>497</v>
      </c>
      <c r="G41" t="s">
        <v>497</v>
      </c>
      <c r="H41" t="s">
        <v>497</v>
      </c>
      <c r="I41" t="s">
        <v>497</v>
      </c>
      <c r="J41" t="s">
        <v>497</v>
      </c>
    </row>
    <row r="42" spans="1:11" x14ac:dyDescent="0.3">
      <c r="A42">
        <v>389</v>
      </c>
      <c r="B42" s="65">
        <v>45509.589780092603</v>
      </c>
      <c r="C42" s="65">
        <v>45509.591157407398</v>
      </c>
      <c r="D42" t="s">
        <v>516</v>
      </c>
      <c r="E42" t="s">
        <v>182</v>
      </c>
      <c r="F42" t="s">
        <v>497</v>
      </c>
      <c r="G42" t="s">
        <v>497</v>
      </c>
      <c r="H42" t="s">
        <v>497</v>
      </c>
      <c r="I42" t="s">
        <v>497</v>
      </c>
      <c r="J42" t="s">
        <v>497</v>
      </c>
    </row>
    <row r="43" spans="1:11" x14ac:dyDescent="0.3">
      <c r="A43">
        <v>390</v>
      </c>
      <c r="B43" s="65">
        <v>45509.603657407402</v>
      </c>
      <c r="C43" s="65">
        <v>45509.604039351798</v>
      </c>
      <c r="D43" t="s">
        <v>210</v>
      </c>
      <c r="E43" t="s">
        <v>517</v>
      </c>
      <c r="F43" t="s">
        <v>494</v>
      </c>
      <c r="G43" t="s">
        <v>497</v>
      </c>
      <c r="H43" t="s">
        <v>497</v>
      </c>
      <c r="I43" t="s">
        <v>497</v>
      </c>
      <c r="J43" t="s">
        <v>497</v>
      </c>
      <c r="K43" t="s">
        <v>518</v>
      </c>
    </row>
    <row r="44" spans="1:11" x14ac:dyDescent="0.3">
      <c r="A44">
        <v>391</v>
      </c>
      <c r="B44" s="65">
        <v>45509.605856481503</v>
      </c>
      <c r="C44" s="65">
        <v>45509.606481481504</v>
      </c>
      <c r="D44" t="s">
        <v>208</v>
      </c>
      <c r="E44" t="s">
        <v>207</v>
      </c>
      <c r="F44" t="s">
        <v>495</v>
      </c>
      <c r="G44" t="s">
        <v>497</v>
      </c>
      <c r="H44" t="s">
        <v>497</v>
      </c>
      <c r="I44" t="s">
        <v>497</v>
      </c>
      <c r="J44" t="s">
        <v>497</v>
      </c>
      <c r="K44" t="s">
        <v>519</v>
      </c>
    </row>
    <row r="45" spans="1:11" x14ac:dyDescent="0.3">
      <c r="A45">
        <v>392</v>
      </c>
      <c r="B45" s="65">
        <v>45509.624988425901</v>
      </c>
      <c r="C45" s="65">
        <v>45509.626898148097</v>
      </c>
      <c r="D45" t="s">
        <v>234</v>
      </c>
      <c r="E45" t="s">
        <v>233</v>
      </c>
      <c r="F45" t="s">
        <v>497</v>
      </c>
      <c r="G45" t="s">
        <v>497</v>
      </c>
      <c r="H45" t="s">
        <v>497</v>
      </c>
      <c r="I45" t="s">
        <v>495</v>
      </c>
      <c r="J45" t="s">
        <v>497</v>
      </c>
      <c r="K45" t="s">
        <v>520</v>
      </c>
    </row>
    <row r="46" spans="1:11" x14ac:dyDescent="0.3">
      <c r="A46">
        <v>393</v>
      </c>
      <c r="B46" s="65">
        <v>45509.635532407403</v>
      </c>
      <c r="C46" s="65">
        <v>45509.635856481502</v>
      </c>
      <c r="D46" t="s">
        <v>248</v>
      </c>
      <c r="E46" t="s">
        <v>247</v>
      </c>
      <c r="F46" t="s">
        <v>495</v>
      </c>
      <c r="G46" t="s">
        <v>495</v>
      </c>
      <c r="H46" t="s">
        <v>497</v>
      </c>
      <c r="I46" t="s">
        <v>495</v>
      </c>
      <c r="J46" t="s">
        <v>495</v>
      </c>
    </row>
    <row r="47" spans="1:11" x14ac:dyDescent="0.3">
      <c r="A47">
        <v>394</v>
      </c>
      <c r="B47" s="65">
        <v>45509.639606481498</v>
      </c>
      <c r="C47" s="65">
        <v>45509.640879629602</v>
      </c>
      <c r="D47" t="s">
        <v>122</v>
      </c>
      <c r="E47" t="s">
        <v>121</v>
      </c>
      <c r="F47" t="s">
        <v>494</v>
      </c>
      <c r="G47" t="s">
        <v>497</v>
      </c>
      <c r="H47" t="s">
        <v>494</v>
      </c>
      <c r="I47" t="s">
        <v>495</v>
      </c>
      <c r="J47" t="s">
        <v>497</v>
      </c>
    </row>
    <row r="48" spans="1:11" x14ac:dyDescent="0.3">
      <c r="A48">
        <v>395</v>
      </c>
      <c r="B48" s="65">
        <v>45509.686354166697</v>
      </c>
      <c r="C48" s="65">
        <v>45509.686817129601</v>
      </c>
      <c r="D48" t="s">
        <v>428</v>
      </c>
      <c r="E48" t="s">
        <v>427</v>
      </c>
      <c r="F48" t="s">
        <v>497</v>
      </c>
      <c r="G48" t="s">
        <v>497</v>
      </c>
      <c r="H48" t="s">
        <v>497</v>
      </c>
      <c r="I48" t="s">
        <v>497</v>
      </c>
      <c r="J48" t="s">
        <v>497</v>
      </c>
    </row>
    <row r="49" spans="1:11" x14ac:dyDescent="0.3">
      <c r="A49">
        <v>396</v>
      </c>
      <c r="B49" s="65">
        <v>45509.722442129598</v>
      </c>
      <c r="C49" s="65">
        <v>45509.722592592603</v>
      </c>
      <c r="D49" t="s">
        <v>335</v>
      </c>
      <c r="E49" t="s">
        <v>334</v>
      </c>
      <c r="F49" t="s">
        <v>497</v>
      </c>
      <c r="G49" t="s">
        <v>497</v>
      </c>
      <c r="H49" t="s">
        <v>497</v>
      </c>
      <c r="I49" t="s">
        <v>497</v>
      </c>
      <c r="J49" t="s">
        <v>497</v>
      </c>
      <c r="K49" t="s">
        <v>521</v>
      </c>
    </row>
    <row r="50" spans="1:11" x14ac:dyDescent="0.3">
      <c r="A50">
        <v>397</v>
      </c>
      <c r="B50" s="65">
        <v>45509.725879629601</v>
      </c>
      <c r="C50" s="65">
        <v>45509.726284722201</v>
      </c>
      <c r="D50" t="s">
        <v>341</v>
      </c>
      <c r="E50" t="s">
        <v>340</v>
      </c>
      <c r="F50" t="s">
        <v>497</v>
      </c>
      <c r="G50" t="s">
        <v>497</v>
      </c>
      <c r="H50" t="s">
        <v>497</v>
      </c>
      <c r="I50" t="s">
        <v>497</v>
      </c>
      <c r="J50" t="s">
        <v>497</v>
      </c>
      <c r="K50" t="s">
        <v>522</v>
      </c>
    </row>
    <row r="51" spans="1:11" x14ac:dyDescent="0.3">
      <c r="A51">
        <v>398</v>
      </c>
      <c r="B51" s="65">
        <v>45509.925451388903</v>
      </c>
      <c r="C51" s="65">
        <v>45509.925995370402</v>
      </c>
      <c r="D51" t="s">
        <v>135</v>
      </c>
      <c r="E51" t="s">
        <v>134</v>
      </c>
      <c r="F51" t="s">
        <v>497</v>
      </c>
      <c r="G51" t="s">
        <v>497</v>
      </c>
      <c r="H51" t="s">
        <v>497</v>
      </c>
      <c r="I51" t="s">
        <v>497</v>
      </c>
      <c r="J51" t="s">
        <v>497</v>
      </c>
    </row>
    <row r="52" spans="1:11" x14ac:dyDescent="0.3">
      <c r="A52">
        <v>399</v>
      </c>
      <c r="B52" s="65">
        <v>45509.940011574101</v>
      </c>
      <c r="C52" s="65">
        <v>45509.941122685203</v>
      </c>
      <c r="D52" t="s">
        <v>185</v>
      </c>
      <c r="E52" t="s">
        <v>184</v>
      </c>
      <c r="F52" t="s">
        <v>494</v>
      </c>
      <c r="G52" t="s">
        <v>497</v>
      </c>
      <c r="H52" t="s">
        <v>497</v>
      </c>
      <c r="I52" t="s">
        <v>497</v>
      </c>
      <c r="J52" t="s">
        <v>497</v>
      </c>
    </row>
    <row r="53" spans="1:11" x14ac:dyDescent="0.3">
      <c r="A53">
        <v>400</v>
      </c>
      <c r="B53" s="65">
        <v>45511.329050925902</v>
      </c>
      <c r="C53" s="65">
        <v>45511.330405092602</v>
      </c>
      <c r="D53" t="s">
        <v>387</v>
      </c>
      <c r="E53" t="s">
        <v>386</v>
      </c>
      <c r="F53" t="s">
        <v>494</v>
      </c>
      <c r="G53" t="s">
        <v>495</v>
      </c>
      <c r="H53" t="s">
        <v>498</v>
      </c>
      <c r="I53" t="s">
        <v>498</v>
      </c>
      <c r="J53" t="s">
        <v>495</v>
      </c>
      <c r="K53" t="s">
        <v>523</v>
      </c>
    </row>
    <row r="54" spans="1:11" x14ac:dyDescent="0.3">
      <c r="A54">
        <v>401</v>
      </c>
      <c r="B54" s="65">
        <v>45511.3297453704</v>
      </c>
      <c r="C54" s="65">
        <v>45511.3367476852</v>
      </c>
      <c r="D54" t="s">
        <v>430</v>
      </c>
      <c r="E54" t="s">
        <v>429</v>
      </c>
      <c r="F54" t="s">
        <v>497</v>
      </c>
      <c r="G54" t="s">
        <v>495</v>
      </c>
      <c r="H54" t="s">
        <v>495</v>
      </c>
      <c r="I54" t="s">
        <v>495</v>
      </c>
      <c r="J54" t="s">
        <v>495</v>
      </c>
    </row>
    <row r="55" spans="1:11" x14ac:dyDescent="0.3">
      <c r="A55">
        <v>402</v>
      </c>
      <c r="B55" s="65">
        <v>45511.343854166698</v>
      </c>
      <c r="C55" s="65">
        <v>45511.3445601852</v>
      </c>
      <c r="D55" t="s">
        <v>265</v>
      </c>
      <c r="E55" t="s">
        <v>264</v>
      </c>
      <c r="F55" t="s">
        <v>495</v>
      </c>
      <c r="G55" t="s">
        <v>495</v>
      </c>
      <c r="H55" t="s">
        <v>495</v>
      </c>
      <c r="I55" t="s">
        <v>494</v>
      </c>
      <c r="J55" t="s">
        <v>495</v>
      </c>
      <c r="K55" t="s">
        <v>495</v>
      </c>
    </row>
    <row r="56" spans="1:11" x14ac:dyDescent="0.3">
      <c r="A56">
        <v>403</v>
      </c>
      <c r="B56" s="65">
        <v>45511.362060185202</v>
      </c>
      <c r="C56" s="65">
        <v>45511.363912036999</v>
      </c>
      <c r="D56" t="s">
        <v>354</v>
      </c>
      <c r="E56" t="s">
        <v>353</v>
      </c>
      <c r="F56" t="s">
        <v>494</v>
      </c>
      <c r="G56" t="s">
        <v>497</v>
      </c>
      <c r="H56" t="s">
        <v>495</v>
      </c>
      <c r="I56" t="s">
        <v>494</v>
      </c>
      <c r="J56" t="s">
        <v>497</v>
      </c>
    </row>
    <row r="57" spans="1:11" x14ac:dyDescent="0.3">
      <c r="A57">
        <v>404</v>
      </c>
      <c r="B57" s="65">
        <v>45511.362974536998</v>
      </c>
      <c r="C57" s="65">
        <v>45511.364652777796</v>
      </c>
      <c r="D57" t="s">
        <v>325</v>
      </c>
      <c r="E57" t="s">
        <v>324</v>
      </c>
      <c r="F57" t="s">
        <v>494</v>
      </c>
      <c r="G57" t="s">
        <v>524</v>
      </c>
      <c r="H57" t="s">
        <v>497</v>
      </c>
      <c r="I57" t="s">
        <v>498</v>
      </c>
      <c r="J57" t="s">
        <v>495</v>
      </c>
      <c r="K57" t="s">
        <v>525</v>
      </c>
    </row>
    <row r="58" spans="1:11" x14ac:dyDescent="0.3">
      <c r="A58">
        <v>405</v>
      </c>
      <c r="B58" s="65">
        <v>45511.360752314802</v>
      </c>
      <c r="C58" s="65">
        <v>45511.366770833301</v>
      </c>
      <c r="D58" t="s">
        <v>358</v>
      </c>
      <c r="E58" t="s">
        <v>357</v>
      </c>
      <c r="F58" t="s">
        <v>494</v>
      </c>
      <c r="G58" t="s">
        <v>495</v>
      </c>
      <c r="H58" t="s">
        <v>495</v>
      </c>
      <c r="I58" t="s">
        <v>495</v>
      </c>
      <c r="J58" t="s">
        <v>495</v>
      </c>
    </row>
    <row r="59" spans="1:11" x14ac:dyDescent="0.3">
      <c r="A59">
        <v>406</v>
      </c>
      <c r="B59" s="65">
        <v>45511.399884259299</v>
      </c>
      <c r="C59" s="65">
        <v>45511.4011342593</v>
      </c>
      <c r="D59" t="s">
        <v>297</v>
      </c>
      <c r="E59" t="s">
        <v>296</v>
      </c>
      <c r="F59" t="s">
        <v>494</v>
      </c>
      <c r="G59" t="s">
        <v>495</v>
      </c>
      <c r="H59" t="s">
        <v>495</v>
      </c>
      <c r="I59" t="s">
        <v>498</v>
      </c>
      <c r="J59" t="s">
        <v>497</v>
      </c>
    </row>
    <row r="60" spans="1:11" x14ac:dyDescent="0.3">
      <c r="A60">
        <v>407</v>
      </c>
      <c r="B60" s="65">
        <v>45511.41375</v>
      </c>
      <c r="C60" s="65">
        <v>45511.414293981499</v>
      </c>
      <c r="D60" t="s">
        <v>389</v>
      </c>
      <c r="E60" t="s">
        <v>526</v>
      </c>
      <c r="F60" t="s">
        <v>495</v>
      </c>
      <c r="G60" t="s">
        <v>495</v>
      </c>
      <c r="H60" t="s">
        <v>497</v>
      </c>
      <c r="I60" t="s">
        <v>495</v>
      </c>
      <c r="J60" t="s">
        <v>495</v>
      </c>
    </row>
    <row r="61" spans="1:11" x14ac:dyDescent="0.3">
      <c r="A61">
        <v>408</v>
      </c>
      <c r="B61" s="65">
        <v>45511.416770833297</v>
      </c>
      <c r="C61" s="65">
        <v>45511.416967592602</v>
      </c>
      <c r="D61" t="s">
        <v>343</v>
      </c>
      <c r="E61" t="s">
        <v>342</v>
      </c>
      <c r="F61" t="s">
        <v>497</v>
      </c>
      <c r="G61" t="s">
        <v>497</v>
      </c>
      <c r="H61" t="s">
        <v>497</v>
      </c>
      <c r="I61" t="s">
        <v>497</v>
      </c>
      <c r="J61" t="s">
        <v>497</v>
      </c>
    </row>
    <row r="62" spans="1:11" x14ac:dyDescent="0.3">
      <c r="A62">
        <v>409</v>
      </c>
      <c r="B62" s="65">
        <v>45511.420949074098</v>
      </c>
      <c r="C62" s="65">
        <v>45511.421145833301</v>
      </c>
      <c r="D62" t="s">
        <v>92</v>
      </c>
      <c r="E62" t="s">
        <v>91</v>
      </c>
      <c r="F62" t="s">
        <v>497</v>
      </c>
      <c r="G62" t="s">
        <v>497</v>
      </c>
      <c r="H62" t="s">
        <v>497</v>
      </c>
      <c r="I62" t="s">
        <v>497</v>
      </c>
      <c r="J62" t="s">
        <v>497</v>
      </c>
    </row>
    <row r="63" spans="1:11" x14ac:dyDescent="0.3">
      <c r="A63">
        <v>410</v>
      </c>
      <c r="B63" s="65">
        <v>45511.433368055601</v>
      </c>
      <c r="C63" s="65">
        <v>45511.435590277797</v>
      </c>
      <c r="D63" t="s">
        <v>438</v>
      </c>
      <c r="E63" t="s">
        <v>437</v>
      </c>
      <c r="F63" t="s">
        <v>495</v>
      </c>
      <c r="G63" t="s">
        <v>495</v>
      </c>
      <c r="H63" t="s">
        <v>497</v>
      </c>
      <c r="I63" t="s">
        <v>495</v>
      </c>
      <c r="J63" t="s">
        <v>495</v>
      </c>
      <c r="K63" t="s">
        <v>527</v>
      </c>
    </row>
    <row r="64" spans="1:11" x14ac:dyDescent="0.3">
      <c r="A64">
        <v>412</v>
      </c>
      <c r="B64" s="65">
        <v>45511.476006944402</v>
      </c>
      <c r="C64" s="65">
        <v>45511.478587963</v>
      </c>
      <c r="D64" t="s">
        <v>166</v>
      </c>
      <c r="E64" t="s">
        <v>165</v>
      </c>
      <c r="F64" t="s">
        <v>498</v>
      </c>
      <c r="G64" t="s">
        <v>495</v>
      </c>
      <c r="H64" t="s">
        <v>495</v>
      </c>
      <c r="I64" t="s">
        <v>495</v>
      </c>
      <c r="J64" t="s">
        <v>495</v>
      </c>
      <c r="K64" t="s">
        <v>528</v>
      </c>
    </row>
    <row r="65" spans="1:11" x14ac:dyDescent="0.3">
      <c r="A65">
        <v>413</v>
      </c>
      <c r="B65" s="65">
        <v>45511.489791666703</v>
      </c>
      <c r="C65" s="65">
        <v>45511.490462962996</v>
      </c>
      <c r="D65" t="s">
        <v>320</v>
      </c>
      <c r="E65" t="s">
        <v>319</v>
      </c>
      <c r="F65" t="s">
        <v>494</v>
      </c>
      <c r="G65" t="s">
        <v>497</v>
      </c>
      <c r="H65" t="s">
        <v>497</v>
      </c>
      <c r="I65" t="s">
        <v>497</v>
      </c>
      <c r="J65" t="s">
        <v>497</v>
      </c>
    </row>
    <row r="66" spans="1:11" x14ac:dyDescent="0.3">
      <c r="A66">
        <v>414</v>
      </c>
      <c r="B66" s="65">
        <v>45511.516377314802</v>
      </c>
      <c r="C66" s="65">
        <v>45511.5168865741</v>
      </c>
      <c r="D66" t="s">
        <v>365</v>
      </c>
      <c r="E66" t="s">
        <v>364</v>
      </c>
      <c r="F66" t="s">
        <v>497</v>
      </c>
      <c r="G66" t="s">
        <v>497</v>
      </c>
      <c r="H66" t="s">
        <v>497</v>
      </c>
      <c r="I66" t="s">
        <v>497</v>
      </c>
      <c r="J66" t="s">
        <v>497</v>
      </c>
    </row>
    <row r="67" spans="1:11" x14ac:dyDescent="0.3">
      <c r="A67">
        <v>415</v>
      </c>
      <c r="B67" s="65">
        <v>45511.538240740701</v>
      </c>
      <c r="C67" s="65">
        <v>45511.539745370399</v>
      </c>
      <c r="D67" t="s">
        <v>339</v>
      </c>
      <c r="E67" t="s">
        <v>338</v>
      </c>
      <c r="F67" t="s">
        <v>494</v>
      </c>
      <c r="G67" t="s">
        <v>495</v>
      </c>
      <c r="H67" t="s">
        <v>495</v>
      </c>
      <c r="I67" t="s">
        <v>495</v>
      </c>
      <c r="J67" t="s">
        <v>497</v>
      </c>
      <c r="K67" t="s">
        <v>529</v>
      </c>
    </row>
    <row r="68" spans="1:11" x14ac:dyDescent="0.3">
      <c r="A68">
        <v>416</v>
      </c>
      <c r="B68" s="65">
        <v>45511.540497685201</v>
      </c>
      <c r="C68" s="65">
        <v>45511.541053240697</v>
      </c>
      <c r="D68" t="s">
        <v>120</v>
      </c>
      <c r="E68" t="s">
        <v>119</v>
      </c>
      <c r="F68" t="s">
        <v>497</v>
      </c>
      <c r="G68" t="s">
        <v>497</v>
      </c>
      <c r="H68" t="s">
        <v>495</v>
      </c>
      <c r="I68" t="s">
        <v>495</v>
      </c>
      <c r="J68" t="s">
        <v>497</v>
      </c>
    </row>
    <row r="69" spans="1:11" x14ac:dyDescent="0.3">
      <c r="A69">
        <v>417</v>
      </c>
      <c r="B69" s="65">
        <v>45511.565810185202</v>
      </c>
      <c r="C69" s="65">
        <v>45511.566689814797</v>
      </c>
      <c r="D69" t="s">
        <v>329</v>
      </c>
      <c r="E69" t="s">
        <v>328</v>
      </c>
      <c r="F69" t="s">
        <v>494</v>
      </c>
      <c r="G69" t="s">
        <v>497</v>
      </c>
      <c r="H69" t="s">
        <v>495</v>
      </c>
      <c r="I69" t="s">
        <v>497</v>
      </c>
      <c r="J69" t="s">
        <v>497</v>
      </c>
    </row>
    <row r="70" spans="1:11" x14ac:dyDescent="0.3">
      <c r="A70">
        <v>418</v>
      </c>
      <c r="B70" s="65">
        <v>45511.566666666702</v>
      </c>
      <c r="C70" s="65">
        <v>45511.568460648101</v>
      </c>
      <c r="D70" t="s">
        <v>283</v>
      </c>
      <c r="E70" t="s">
        <v>282</v>
      </c>
      <c r="F70" t="s">
        <v>497</v>
      </c>
      <c r="G70" t="s">
        <v>497</v>
      </c>
      <c r="H70" t="s">
        <v>497</v>
      </c>
      <c r="I70" t="s">
        <v>497</v>
      </c>
      <c r="J70" t="s">
        <v>497</v>
      </c>
      <c r="K70" t="s">
        <v>530</v>
      </c>
    </row>
    <row r="71" spans="1:11" x14ac:dyDescent="0.3">
      <c r="A71">
        <v>419</v>
      </c>
      <c r="B71" s="65">
        <v>45511.606874999998</v>
      </c>
      <c r="C71" s="65">
        <v>45511.615937499999</v>
      </c>
      <c r="D71" t="s">
        <v>291</v>
      </c>
      <c r="E71" t="s">
        <v>290</v>
      </c>
      <c r="F71" t="s">
        <v>498</v>
      </c>
      <c r="G71" t="s">
        <v>495</v>
      </c>
      <c r="H71" t="s">
        <v>495</v>
      </c>
      <c r="I71" t="s">
        <v>498</v>
      </c>
      <c r="J71" t="s">
        <v>498</v>
      </c>
      <c r="K71" t="s">
        <v>531</v>
      </c>
    </row>
    <row r="72" spans="1:11" x14ac:dyDescent="0.3">
      <c r="A72">
        <v>420</v>
      </c>
      <c r="B72" s="65">
        <v>45511.6457407407</v>
      </c>
      <c r="C72" s="65">
        <v>45511.646296296298</v>
      </c>
      <c r="D72" t="s">
        <v>446</v>
      </c>
      <c r="E72" t="s">
        <v>445</v>
      </c>
      <c r="F72" t="s">
        <v>495</v>
      </c>
      <c r="G72" t="s">
        <v>497</v>
      </c>
      <c r="H72" t="s">
        <v>497</v>
      </c>
      <c r="I72" t="s">
        <v>495</v>
      </c>
      <c r="J72" t="s">
        <v>497</v>
      </c>
    </row>
    <row r="73" spans="1:11" x14ac:dyDescent="0.3">
      <c r="A73">
        <v>421</v>
      </c>
      <c r="B73" s="65">
        <v>45511.696203703701</v>
      </c>
      <c r="C73" s="65">
        <v>45511.696446759299</v>
      </c>
      <c r="D73" t="s">
        <v>371</v>
      </c>
      <c r="E73" t="s">
        <v>370</v>
      </c>
      <c r="F73" t="s">
        <v>497</v>
      </c>
      <c r="G73" t="s">
        <v>497</v>
      </c>
      <c r="H73" t="s">
        <v>495</v>
      </c>
      <c r="I73" t="s">
        <v>497</v>
      </c>
      <c r="J73" t="s">
        <v>497</v>
      </c>
    </row>
    <row r="74" spans="1:11" x14ac:dyDescent="0.3">
      <c r="A74">
        <v>422</v>
      </c>
      <c r="B74" s="65">
        <v>45511.8523263889</v>
      </c>
      <c r="C74" s="65">
        <v>45511.855590277803</v>
      </c>
      <c r="D74" t="s">
        <v>195</v>
      </c>
      <c r="E74" t="s">
        <v>194</v>
      </c>
      <c r="F74" t="s">
        <v>495</v>
      </c>
      <c r="G74" t="s">
        <v>495</v>
      </c>
      <c r="H74" t="s">
        <v>495</v>
      </c>
      <c r="I74" t="s">
        <v>495</v>
      </c>
      <c r="J74" t="s">
        <v>497</v>
      </c>
      <c r="K74" t="s">
        <v>532</v>
      </c>
    </row>
    <row r="75" spans="1:11" x14ac:dyDescent="0.3">
      <c r="A75">
        <v>423</v>
      </c>
      <c r="B75" s="65">
        <v>45512.3120023148</v>
      </c>
      <c r="C75" s="65">
        <v>45512.312488425901</v>
      </c>
      <c r="D75" t="s">
        <v>350</v>
      </c>
      <c r="E75" t="s">
        <v>349</v>
      </c>
      <c r="F75" t="s">
        <v>497</v>
      </c>
      <c r="G75" t="s">
        <v>497</v>
      </c>
      <c r="H75" t="s">
        <v>497</v>
      </c>
      <c r="I75" t="s">
        <v>497</v>
      </c>
      <c r="J75" t="s">
        <v>497</v>
      </c>
    </row>
    <row r="76" spans="1:11" x14ac:dyDescent="0.3">
      <c r="A76">
        <v>424</v>
      </c>
      <c r="B76" s="65">
        <v>45512.310960648101</v>
      </c>
      <c r="C76" s="65">
        <v>45512.313344907401</v>
      </c>
      <c r="D76" t="s">
        <v>267</v>
      </c>
      <c r="E76" t="s">
        <v>266</v>
      </c>
      <c r="F76" t="s">
        <v>494</v>
      </c>
      <c r="G76" t="s">
        <v>495</v>
      </c>
      <c r="H76" t="s">
        <v>495</v>
      </c>
      <c r="I76" t="s">
        <v>498</v>
      </c>
      <c r="J76" t="s">
        <v>495</v>
      </c>
    </row>
    <row r="77" spans="1:11" x14ac:dyDescent="0.3">
      <c r="A77">
        <v>425</v>
      </c>
      <c r="B77" s="65">
        <v>45512.314293981501</v>
      </c>
      <c r="C77" s="65">
        <v>45512.316840277803</v>
      </c>
      <c r="D77" t="s">
        <v>212</v>
      </c>
      <c r="E77" t="s">
        <v>211</v>
      </c>
      <c r="F77" t="s">
        <v>497</v>
      </c>
      <c r="G77" t="s">
        <v>497</v>
      </c>
      <c r="H77" t="s">
        <v>497</v>
      </c>
      <c r="I77" t="s">
        <v>497</v>
      </c>
      <c r="J77" t="s">
        <v>497</v>
      </c>
      <c r="K77" t="s">
        <v>533</v>
      </c>
    </row>
    <row r="78" spans="1:11" x14ac:dyDescent="0.3">
      <c r="A78">
        <v>426</v>
      </c>
      <c r="B78" s="65">
        <v>45512.3441550926</v>
      </c>
      <c r="C78" s="65">
        <v>45512.346458333297</v>
      </c>
      <c r="D78" t="s">
        <v>316</v>
      </c>
      <c r="E78" t="s">
        <v>315</v>
      </c>
      <c r="F78" t="s">
        <v>497</v>
      </c>
      <c r="G78" t="s">
        <v>495</v>
      </c>
      <c r="H78" t="s">
        <v>495</v>
      </c>
      <c r="I78" t="s">
        <v>497</v>
      </c>
      <c r="J78" t="s">
        <v>497</v>
      </c>
    </row>
    <row r="79" spans="1:11" x14ac:dyDescent="0.3">
      <c r="A79">
        <v>427</v>
      </c>
      <c r="B79" s="65">
        <v>45512.313229166699</v>
      </c>
      <c r="C79" s="65">
        <v>45512.353159722203</v>
      </c>
      <c r="D79" t="s">
        <v>363</v>
      </c>
      <c r="E79" t="s">
        <v>534</v>
      </c>
      <c r="F79" t="s">
        <v>498</v>
      </c>
      <c r="G79" t="s">
        <v>497</v>
      </c>
      <c r="H79" t="s">
        <v>495</v>
      </c>
      <c r="I79" t="s">
        <v>495</v>
      </c>
      <c r="J79" t="s">
        <v>495</v>
      </c>
      <c r="K79" t="s">
        <v>535</v>
      </c>
    </row>
    <row r="80" spans="1:11" x14ac:dyDescent="0.3">
      <c r="A80">
        <v>428</v>
      </c>
      <c r="B80" s="65">
        <v>45512.3661111111</v>
      </c>
      <c r="C80" s="65">
        <v>45512.3664236111</v>
      </c>
      <c r="D80" t="s">
        <v>260</v>
      </c>
      <c r="E80" t="s">
        <v>259</v>
      </c>
      <c r="F80" t="s">
        <v>495</v>
      </c>
      <c r="G80" t="s">
        <v>495</v>
      </c>
      <c r="H80" t="s">
        <v>495</v>
      </c>
      <c r="I80" t="s">
        <v>495</v>
      </c>
      <c r="J80" t="s">
        <v>495</v>
      </c>
    </row>
    <row r="81" spans="1:11" x14ac:dyDescent="0.3">
      <c r="A81">
        <v>429</v>
      </c>
      <c r="B81" s="65">
        <v>45512.375034722201</v>
      </c>
      <c r="C81" s="65">
        <v>45512.376319444404</v>
      </c>
      <c r="D81" t="s">
        <v>303</v>
      </c>
      <c r="E81" t="s">
        <v>302</v>
      </c>
      <c r="F81" t="s">
        <v>497</v>
      </c>
      <c r="G81" t="s">
        <v>497</v>
      </c>
      <c r="H81" t="s">
        <v>497</v>
      </c>
      <c r="I81" t="s">
        <v>497</v>
      </c>
      <c r="J81" t="s">
        <v>497</v>
      </c>
      <c r="K81" t="s">
        <v>536</v>
      </c>
    </row>
    <row r="82" spans="1:11" x14ac:dyDescent="0.3">
      <c r="A82">
        <v>430</v>
      </c>
      <c r="B82" s="65">
        <v>45512.398518518501</v>
      </c>
      <c r="C82" s="65">
        <v>45512.398773148103</v>
      </c>
      <c r="D82" t="s">
        <v>314</v>
      </c>
      <c r="E82" t="s">
        <v>313</v>
      </c>
      <c r="F82" t="s">
        <v>497</v>
      </c>
      <c r="G82" t="s">
        <v>497</v>
      </c>
      <c r="H82" t="s">
        <v>497</v>
      </c>
      <c r="I82" t="s">
        <v>497</v>
      </c>
      <c r="J82" t="s">
        <v>497</v>
      </c>
    </row>
    <row r="83" spans="1:11" x14ac:dyDescent="0.3">
      <c r="A83">
        <v>431</v>
      </c>
      <c r="B83" s="65">
        <v>45511.5076736111</v>
      </c>
      <c r="C83" s="65">
        <v>45512.399537037003</v>
      </c>
      <c r="D83" t="s">
        <v>436</v>
      </c>
      <c r="E83" t="s">
        <v>435</v>
      </c>
      <c r="F83" t="s">
        <v>495</v>
      </c>
      <c r="G83" t="s">
        <v>495</v>
      </c>
      <c r="H83" t="s">
        <v>495</v>
      </c>
      <c r="I83" t="s">
        <v>495</v>
      </c>
      <c r="J83" t="s">
        <v>495</v>
      </c>
    </row>
    <row r="84" spans="1:11" x14ac:dyDescent="0.3">
      <c r="A84">
        <v>432</v>
      </c>
      <c r="B84" s="65">
        <v>45512.3987962963</v>
      </c>
      <c r="C84" s="65">
        <v>45512.4065162037</v>
      </c>
      <c r="D84" t="s">
        <v>537</v>
      </c>
      <c r="E84" t="s">
        <v>336</v>
      </c>
      <c r="F84" t="s">
        <v>498</v>
      </c>
      <c r="G84" t="s">
        <v>498</v>
      </c>
      <c r="H84" t="s">
        <v>513</v>
      </c>
      <c r="I84" t="s">
        <v>495</v>
      </c>
      <c r="J84" t="s">
        <v>494</v>
      </c>
    </row>
    <row r="85" spans="1:11" x14ac:dyDescent="0.3">
      <c r="A85">
        <v>433</v>
      </c>
      <c r="B85" s="65">
        <v>45512.4059837963</v>
      </c>
      <c r="C85" s="65">
        <v>45512.406782407401</v>
      </c>
      <c r="D85" t="s">
        <v>402</v>
      </c>
      <c r="E85" t="s">
        <v>401</v>
      </c>
      <c r="F85" t="s">
        <v>494</v>
      </c>
      <c r="G85" t="s">
        <v>495</v>
      </c>
      <c r="H85" t="s">
        <v>495</v>
      </c>
      <c r="I85" t="s">
        <v>495</v>
      </c>
      <c r="J85" t="s">
        <v>495</v>
      </c>
    </row>
    <row r="86" spans="1:11" x14ac:dyDescent="0.3">
      <c r="A86">
        <v>434</v>
      </c>
      <c r="B86" s="65">
        <v>45512.414814814802</v>
      </c>
      <c r="C86" s="65">
        <v>45512.415254629603</v>
      </c>
      <c r="D86" t="s">
        <v>87</v>
      </c>
      <c r="E86" t="s">
        <v>86</v>
      </c>
      <c r="F86" t="s">
        <v>494</v>
      </c>
      <c r="G86" t="s">
        <v>495</v>
      </c>
      <c r="H86" t="s">
        <v>495</v>
      </c>
      <c r="I86" t="s">
        <v>494</v>
      </c>
      <c r="J86" t="s">
        <v>494</v>
      </c>
    </row>
    <row r="87" spans="1:11" x14ac:dyDescent="0.3">
      <c r="A87">
        <v>435</v>
      </c>
      <c r="B87" s="65">
        <v>45512.414895833303</v>
      </c>
      <c r="C87" s="65">
        <v>45512.415439814802</v>
      </c>
      <c r="D87" t="s">
        <v>202</v>
      </c>
      <c r="E87" t="s">
        <v>201</v>
      </c>
      <c r="F87" t="s">
        <v>494</v>
      </c>
      <c r="G87" t="s">
        <v>497</v>
      </c>
      <c r="H87" t="s">
        <v>497</v>
      </c>
      <c r="I87" t="s">
        <v>497</v>
      </c>
      <c r="J87" t="s">
        <v>497</v>
      </c>
    </row>
    <row r="88" spans="1:11" x14ac:dyDescent="0.3">
      <c r="A88">
        <v>436</v>
      </c>
      <c r="B88" s="65">
        <v>45512.442476851902</v>
      </c>
      <c r="C88" s="65">
        <v>45512.442731481497</v>
      </c>
      <c r="D88" t="s">
        <v>323</v>
      </c>
      <c r="E88" t="s">
        <v>322</v>
      </c>
      <c r="F88" t="s">
        <v>498</v>
      </c>
      <c r="G88" t="s">
        <v>498</v>
      </c>
      <c r="H88" t="s">
        <v>498</v>
      </c>
      <c r="I88" t="s">
        <v>498</v>
      </c>
      <c r="J88" t="s">
        <v>498</v>
      </c>
    </row>
    <row r="89" spans="1:11" x14ac:dyDescent="0.3">
      <c r="A89">
        <v>437</v>
      </c>
      <c r="B89" s="65">
        <v>45512.599143518499</v>
      </c>
      <c r="C89" s="65">
        <v>45512.599224537</v>
      </c>
      <c r="D89" t="s">
        <v>393</v>
      </c>
      <c r="E89" t="s">
        <v>538</v>
      </c>
      <c r="F89" t="s">
        <v>495</v>
      </c>
      <c r="G89" t="s">
        <v>495</v>
      </c>
      <c r="H89" t="s">
        <v>497</v>
      </c>
      <c r="I89" t="s">
        <v>497</v>
      </c>
      <c r="J89" t="s">
        <v>497</v>
      </c>
    </row>
    <row r="90" spans="1:11" x14ac:dyDescent="0.3">
      <c r="A90">
        <v>438</v>
      </c>
      <c r="B90" s="65">
        <v>45512.604432870401</v>
      </c>
      <c r="C90" s="65">
        <v>45512.604780092603</v>
      </c>
      <c r="D90" t="s">
        <v>539</v>
      </c>
      <c r="E90" t="s">
        <v>284</v>
      </c>
      <c r="F90" t="s">
        <v>497</v>
      </c>
      <c r="G90" t="s">
        <v>497</v>
      </c>
      <c r="H90" t="s">
        <v>497</v>
      </c>
      <c r="I90" t="s">
        <v>497</v>
      </c>
      <c r="J90" t="s">
        <v>497</v>
      </c>
      <c r="K90" t="s">
        <v>540</v>
      </c>
    </row>
    <row r="91" spans="1:11" x14ac:dyDescent="0.3">
      <c r="A91">
        <v>439</v>
      </c>
      <c r="B91" s="65">
        <v>45512.605601851901</v>
      </c>
      <c r="C91" s="65">
        <v>45512.605763888903</v>
      </c>
      <c r="D91" t="s">
        <v>327</v>
      </c>
      <c r="E91" t="s">
        <v>326</v>
      </c>
      <c r="F91" t="s">
        <v>497</v>
      </c>
      <c r="G91" t="s">
        <v>497</v>
      </c>
      <c r="H91" t="s">
        <v>497</v>
      </c>
      <c r="I91" t="s">
        <v>497</v>
      </c>
      <c r="J91" t="s">
        <v>497</v>
      </c>
      <c r="K91" t="s">
        <v>541</v>
      </c>
    </row>
    <row r="92" spans="1:11" x14ac:dyDescent="0.3">
      <c r="A92">
        <v>440</v>
      </c>
      <c r="B92" s="65">
        <v>45512.623043981497</v>
      </c>
      <c r="C92" s="65">
        <v>45512.623796296299</v>
      </c>
      <c r="D92" t="s">
        <v>542</v>
      </c>
      <c r="E92" t="s">
        <v>249</v>
      </c>
      <c r="F92" t="s">
        <v>497</v>
      </c>
      <c r="G92" t="s">
        <v>497</v>
      </c>
      <c r="H92" t="s">
        <v>497</v>
      </c>
      <c r="I92" t="s">
        <v>497</v>
      </c>
      <c r="J92" t="s">
        <v>497</v>
      </c>
    </row>
    <row r="93" spans="1:11" x14ac:dyDescent="0.3">
      <c r="A93">
        <v>441</v>
      </c>
      <c r="B93" s="65">
        <v>45513.320925925902</v>
      </c>
      <c r="C93" s="65">
        <v>45513.3217939815</v>
      </c>
      <c r="D93" t="s">
        <v>398</v>
      </c>
      <c r="E93" t="s">
        <v>397</v>
      </c>
      <c r="F93" t="s">
        <v>495</v>
      </c>
      <c r="G93" t="s">
        <v>495</v>
      </c>
      <c r="H93" t="s">
        <v>495</v>
      </c>
      <c r="I93" t="s">
        <v>495</v>
      </c>
      <c r="J93" t="s">
        <v>495</v>
      </c>
    </row>
    <row r="94" spans="1:11" x14ac:dyDescent="0.3">
      <c r="A94">
        <v>442</v>
      </c>
      <c r="B94" s="65">
        <v>45513.333668981497</v>
      </c>
      <c r="C94" s="65">
        <v>45513.334594907399</v>
      </c>
      <c r="D94" t="s">
        <v>384</v>
      </c>
      <c r="E94" t="s">
        <v>383</v>
      </c>
      <c r="F94" t="s">
        <v>495</v>
      </c>
      <c r="G94" t="s">
        <v>495</v>
      </c>
      <c r="H94" t="s">
        <v>494</v>
      </c>
      <c r="I94" t="s">
        <v>495</v>
      </c>
      <c r="J94" t="s">
        <v>495</v>
      </c>
    </row>
    <row r="95" spans="1:11" x14ac:dyDescent="0.3">
      <c r="A95">
        <v>443</v>
      </c>
      <c r="B95" s="65">
        <v>45513.333020833299</v>
      </c>
      <c r="C95" s="65">
        <v>45513.3354861111</v>
      </c>
      <c r="D95" t="s">
        <v>308</v>
      </c>
      <c r="E95" t="s">
        <v>307</v>
      </c>
      <c r="F95" t="s">
        <v>494</v>
      </c>
      <c r="G95" t="s">
        <v>495</v>
      </c>
      <c r="H95" t="s">
        <v>495</v>
      </c>
      <c r="I95" t="s">
        <v>494</v>
      </c>
      <c r="J95" t="s">
        <v>495</v>
      </c>
    </row>
    <row r="96" spans="1:11" x14ac:dyDescent="0.3">
      <c r="A96">
        <v>444</v>
      </c>
      <c r="B96" s="65">
        <v>45513.345092592601</v>
      </c>
      <c r="C96" s="65">
        <v>45513.345381944397</v>
      </c>
      <c r="D96" t="s">
        <v>162</v>
      </c>
      <c r="E96" t="s">
        <v>161</v>
      </c>
      <c r="F96" t="s">
        <v>495</v>
      </c>
      <c r="G96" t="s">
        <v>495</v>
      </c>
      <c r="H96" t="s">
        <v>495</v>
      </c>
      <c r="I96" t="s">
        <v>495</v>
      </c>
      <c r="J96" t="s">
        <v>495</v>
      </c>
    </row>
    <row r="97" spans="1:11" x14ac:dyDescent="0.3">
      <c r="A97">
        <v>445</v>
      </c>
      <c r="B97" s="65">
        <v>45513.353553240697</v>
      </c>
      <c r="C97" s="65">
        <v>45513.354594907403</v>
      </c>
      <c r="D97" t="s">
        <v>137</v>
      </c>
      <c r="E97" t="s">
        <v>136</v>
      </c>
      <c r="F97" t="s">
        <v>497</v>
      </c>
      <c r="G97" t="s">
        <v>495</v>
      </c>
      <c r="H97" t="s">
        <v>497</v>
      </c>
      <c r="I97" t="s">
        <v>495</v>
      </c>
      <c r="J97" t="s">
        <v>495</v>
      </c>
    </row>
    <row r="98" spans="1:11" x14ac:dyDescent="0.3">
      <c r="A98">
        <v>446</v>
      </c>
      <c r="B98" s="65">
        <v>45513.3656597222</v>
      </c>
      <c r="C98" s="65">
        <v>45513.365960648101</v>
      </c>
      <c r="D98" t="s">
        <v>240</v>
      </c>
      <c r="E98" t="s">
        <v>239</v>
      </c>
      <c r="F98" t="s">
        <v>497</v>
      </c>
      <c r="G98" t="s">
        <v>497</v>
      </c>
      <c r="H98" t="s">
        <v>497</v>
      </c>
      <c r="I98" t="s">
        <v>497</v>
      </c>
      <c r="J98" t="s">
        <v>497</v>
      </c>
      <c r="K98" s="66" t="s">
        <v>543</v>
      </c>
    </row>
    <row r="99" spans="1:11" x14ac:dyDescent="0.3">
      <c r="A99">
        <v>447</v>
      </c>
      <c r="B99" s="65">
        <v>45513.373159722199</v>
      </c>
      <c r="C99" s="65">
        <v>45513.373356481497</v>
      </c>
      <c r="D99" t="s">
        <v>158</v>
      </c>
      <c r="E99" t="s">
        <v>157</v>
      </c>
      <c r="F99" t="s">
        <v>495</v>
      </c>
      <c r="G99" t="s">
        <v>495</v>
      </c>
      <c r="H99" t="s">
        <v>495</v>
      </c>
      <c r="I99" t="s">
        <v>495</v>
      </c>
      <c r="J99" t="s">
        <v>495</v>
      </c>
    </row>
    <row r="100" spans="1:11" x14ac:dyDescent="0.3">
      <c r="A100">
        <v>448</v>
      </c>
      <c r="B100" s="65">
        <v>45513.373043981497</v>
      </c>
      <c r="C100" s="65">
        <v>45513.3733796296</v>
      </c>
      <c r="D100" t="s">
        <v>544</v>
      </c>
      <c r="E100" t="s">
        <v>545</v>
      </c>
      <c r="F100" t="s">
        <v>495</v>
      </c>
      <c r="G100" t="s">
        <v>495</v>
      </c>
      <c r="H100" t="s">
        <v>495</v>
      </c>
      <c r="I100" t="s">
        <v>497</v>
      </c>
      <c r="J100" t="s">
        <v>497</v>
      </c>
    </row>
    <row r="101" spans="1:11" x14ac:dyDescent="0.3">
      <c r="A101">
        <v>449</v>
      </c>
      <c r="B101" s="65">
        <v>45513.375578703701</v>
      </c>
      <c r="C101" s="65">
        <v>45513.376145833303</v>
      </c>
      <c r="D101" t="s">
        <v>312</v>
      </c>
      <c r="E101" t="s">
        <v>311</v>
      </c>
      <c r="F101" t="s">
        <v>494</v>
      </c>
      <c r="G101" t="s">
        <v>495</v>
      </c>
      <c r="H101" t="s">
        <v>494</v>
      </c>
      <c r="I101" t="s">
        <v>495</v>
      </c>
      <c r="J101" t="s">
        <v>495</v>
      </c>
    </row>
    <row r="102" spans="1:11" x14ac:dyDescent="0.3">
      <c r="A102">
        <v>450</v>
      </c>
      <c r="B102" s="65">
        <v>45513.386874999997</v>
      </c>
      <c r="C102" s="65">
        <v>45513.387847222199</v>
      </c>
      <c r="D102" t="s">
        <v>452</v>
      </c>
      <c r="E102" t="s">
        <v>451</v>
      </c>
      <c r="F102" t="s">
        <v>494</v>
      </c>
      <c r="G102" t="s">
        <v>495</v>
      </c>
      <c r="H102" t="s">
        <v>494</v>
      </c>
      <c r="I102" t="s">
        <v>494</v>
      </c>
      <c r="J102" t="s">
        <v>494</v>
      </c>
    </row>
    <row r="103" spans="1:11" x14ac:dyDescent="0.3">
      <c r="A103">
        <v>451</v>
      </c>
      <c r="B103" s="65">
        <v>45513.3217939815</v>
      </c>
      <c r="C103" s="65">
        <v>45513.388067129599</v>
      </c>
      <c r="D103" t="s">
        <v>179</v>
      </c>
      <c r="E103" t="s">
        <v>178</v>
      </c>
      <c r="F103" t="s">
        <v>494</v>
      </c>
      <c r="G103" t="s">
        <v>495</v>
      </c>
      <c r="H103" t="s">
        <v>498</v>
      </c>
      <c r="I103" t="s">
        <v>495</v>
      </c>
      <c r="J103" t="s">
        <v>495</v>
      </c>
    </row>
    <row r="104" spans="1:11" x14ac:dyDescent="0.3">
      <c r="A104">
        <v>452</v>
      </c>
      <c r="B104" s="65">
        <v>45513.385590277801</v>
      </c>
      <c r="C104" s="65">
        <v>45513.388888888898</v>
      </c>
      <c r="D104" t="s">
        <v>151</v>
      </c>
      <c r="E104" t="s">
        <v>150</v>
      </c>
      <c r="F104" t="s">
        <v>494</v>
      </c>
      <c r="G104" t="s">
        <v>495</v>
      </c>
      <c r="H104" t="s">
        <v>495</v>
      </c>
      <c r="I104" t="s">
        <v>495</v>
      </c>
      <c r="J104" t="s">
        <v>495</v>
      </c>
    </row>
    <row r="105" spans="1:11" x14ac:dyDescent="0.3">
      <c r="A105">
        <v>453</v>
      </c>
      <c r="B105" s="65">
        <v>45513.395115740699</v>
      </c>
      <c r="C105" s="65">
        <v>45513.395416666703</v>
      </c>
      <c r="D105" t="s">
        <v>406</v>
      </c>
      <c r="E105" t="s">
        <v>405</v>
      </c>
      <c r="F105" t="s">
        <v>497</v>
      </c>
      <c r="G105" t="s">
        <v>497</v>
      </c>
      <c r="H105" t="s">
        <v>497</v>
      </c>
      <c r="I105" t="s">
        <v>497</v>
      </c>
      <c r="J105" t="s">
        <v>497</v>
      </c>
    </row>
    <row r="106" spans="1:11" x14ac:dyDescent="0.3">
      <c r="A106">
        <v>454</v>
      </c>
      <c r="B106" s="65">
        <v>45513.414386574099</v>
      </c>
      <c r="C106" s="65">
        <v>45513.415011574099</v>
      </c>
      <c r="D106" t="s">
        <v>301</v>
      </c>
      <c r="E106" t="s">
        <v>300</v>
      </c>
      <c r="F106" t="s">
        <v>497</v>
      </c>
      <c r="G106" t="s">
        <v>497</v>
      </c>
      <c r="H106" t="s">
        <v>497</v>
      </c>
      <c r="I106" t="s">
        <v>497</v>
      </c>
      <c r="J106" t="s">
        <v>497</v>
      </c>
    </row>
    <row r="107" spans="1:11" x14ac:dyDescent="0.3">
      <c r="A107">
        <v>455</v>
      </c>
      <c r="B107" s="65">
        <v>45513.422337962998</v>
      </c>
      <c r="C107" s="65">
        <v>45513.423472222203</v>
      </c>
      <c r="D107" t="s">
        <v>95</v>
      </c>
      <c r="E107" t="s">
        <v>94</v>
      </c>
      <c r="F107" t="s">
        <v>495</v>
      </c>
      <c r="G107" t="s">
        <v>497</v>
      </c>
      <c r="H107" t="s">
        <v>497</v>
      </c>
      <c r="I107" t="s">
        <v>498</v>
      </c>
      <c r="J107" t="s">
        <v>497</v>
      </c>
      <c r="K107" t="s">
        <v>546</v>
      </c>
    </row>
    <row r="108" spans="1:11" x14ac:dyDescent="0.3">
      <c r="A108">
        <v>456</v>
      </c>
      <c r="B108" s="65">
        <v>45513.427905092598</v>
      </c>
      <c r="C108" s="65">
        <v>45513.428009259304</v>
      </c>
      <c r="D108" t="s">
        <v>360</v>
      </c>
      <c r="E108" t="s">
        <v>547</v>
      </c>
      <c r="F108" t="s">
        <v>497</v>
      </c>
      <c r="G108" t="s">
        <v>497</v>
      </c>
      <c r="H108" t="s">
        <v>497</v>
      </c>
      <c r="I108" t="s">
        <v>497</v>
      </c>
      <c r="J108" t="s">
        <v>497</v>
      </c>
    </row>
    <row r="109" spans="1:11" x14ac:dyDescent="0.3">
      <c r="A109">
        <v>457</v>
      </c>
      <c r="B109" s="65">
        <v>45513.437025462998</v>
      </c>
      <c r="C109" s="65">
        <v>45513.4371412037</v>
      </c>
      <c r="D109" t="s">
        <v>109</v>
      </c>
      <c r="E109" t="s">
        <v>108</v>
      </c>
      <c r="F109" t="s">
        <v>497</v>
      </c>
      <c r="G109" t="s">
        <v>497</v>
      </c>
      <c r="H109" t="s">
        <v>497</v>
      </c>
      <c r="I109" t="s">
        <v>497</v>
      </c>
      <c r="J109" t="s">
        <v>497</v>
      </c>
    </row>
    <row r="110" spans="1:11" x14ac:dyDescent="0.3">
      <c r="A110">
        <v>458</v>
      </c>
      <c r="B110" s="65">
        <v>45513.438425925902</v>
      </c>
      <c r="C110" s="65">
        <v>45513.440601851798</v>
      </c>
      <c r="D110" t="s">
        <v>287</v>
      </c>
      <c r="E110" t="s">
        <v>286</v>
      </c>
      <c r="F110" t="s">
        <v>494</v>
      </c>
      <c r="G110" t="s">
        <v>495</v>
      </c>
      <c r="H110" t="s">
        <v>495</v>
      </c>
      <c r="I110" t="s">
        <v>494</v>
      </c>
      <c r="J110" t="s">
        <v>495</v>
      </c>
    </row>
    <row r="111" spans="1:11" x14ac:dyDescent="0.3">
      <c r="A111">
        <v>459</v>
      </c>
      <c r="B111" s="65">
        <v>45513.517569444397</v>
      </c>
      <c r="C111" s="65">
        <v>45513.517754629604</v>
      </c>
      <c r="D111" t="s">
        <v>130</v>
      </c>
      <c r="E111" t="s">
        <v>129</v>
      </c>
      <c r="F111" t="s">
        <v>495</v>
      </c>
      <c r="G111" t="s">
        <v>495</v>
      </c>
      <c r="H111" t="s">
        <v>495</v>
      </c>
      <c r="I111" t="s">
        <v>495</v>
      </c>
      <c r="J111" t="s">
        <v>495</v>
      </c>
    </row>
    <row r="112" spans="1:11" x14ac:dyDescent="0.3">
      <c r="A112">
        <v>460</v>
      </c>
      <c r="B112" s="65">
        <v>45513.877187500002</v>
      </c>
      <c r="C112" s="65">
        <v>45513.8780555556</v>
      </c>
      <c r="D112" t="s">
        <v>106</v>
      </c>
      <c r="E112" t="s">
        <v>105</v>
      </c>
      <c r="F112" t="s">
        <v>497</v>
      </c>
      <c r="G112" t="s">
        <v>497</v>
      </c>
      <c r="H112" t="s">
        <v>497</v>
      </c>
      <c r="I112" t="s">
        <v>497</v>
      </c>
      <c r="J112" t="s">
        <v>497</v>
      </c>
    </row>
    <row r="113" spans="1:11" x14ac:dyDescent="0.3">
      <c r="A113">
        <v>461</v>
      </c>
      <c r="B113" s="65">
        <v>45514.402395833298</v>
      </c>
      <c r="C113" s="65">
        <v>45514.403229166703</v>
      </c>
      <c r="D113" t="s">
        <v>258</v>
      </c>
      <c r="E113" t="s">
        <v>257</v>
      </c>
      <c r="F113" t="s">
        <v>495</v>
      </c>
      <c r="G113" t="s">
        <v>495</v>
      </c>
      <c r="H113" t="s">
        <v>497</v>
      </c>
      <c r="I113" t="s">
        <v>495</v>
      </c>
      <c r="J113" t="s">
        <v>495</v>
      </c>
    </row>
    <row r="114" spans="1:11" x14ac:dyDescent="0.3">
      <c r="A114">
        <v>462</v>
      </c>
      <c r="B114" s="65">
        <v>45514.4288310185</v>
      </c>
      <c r="C114" s="65">
        <v>45514.429456018501</v>
      </c>
      <c r="D114" t="s">
        <v>160</v>
      </c>
      <c r="E114" t="s">
        <v>159</v>
      </c>
      <c r="F114" t="s">
        <v>497</v>
      </c>
      <c r="G114" t="s">
        <v>497</v>
      </c>
      <c r="H114" t="s">
        <v>497</v>
      </c>
      <c r="I114" t="s">
        <v>497</v>
      </c>
      <c r="J114" t="s">
        <v>497</v>
      </c>
      <c r="K114" t="s">
        <v>548</v>
      </c>
    </row>
    <row r="115" spans="1:11" x14ac:dyDescent="0.3">
      <c r="A115">
        <v>463</v>
      </c>
      <c r="B115" s="65">
        <v>45514.621435185203</v>
      </c>
      <c r="C115" s="65">
        <v>45514.623310185198</v>
      </c>
      <c r="D115" t="s">
        <v>376</v>
      </c>
      <c r="E115" t="s">
        <v>375</v>
      </c>
      <c r="F115" t="s">
        <v>497</v>
      </c>
      <c r="G115" t="s">
        <v>497</v>
      </c>
      <c r="H115" t="s">
        <v>497</v>
      </c>
      <c r="I115" t="s">
        <v>497</v>
      </c>
      <c r="J115" t="s">
        <v>497</v>
      </c>
      <c r="K115" t="s">
        <v>549</v>
      </c>
    </row>
    <row r="116" spans="1:11" x14ac:dyDescent="0.3">
      <c r="A116">
        <v>464</v>
      </c>
      <c r="B116" s="65">
        <v>45514.653043981503</v>
      </c>
      <c r="C116" s="65">
        <v>45514.653437499997</v>
      </c>
      <c r="D116" t="s">
        <v>380</v>
      </c>
      <c r="E116" t="s">
        <v>379</v>
      </c>
      <c r="F116" t="s">
        <v>495</v>
      </c>
      <c r="G116" t="s">
        <v>495</v>
      </c>
      <c r="H116" t="s">
        <v>495</v>
      </c>
      <c r="I116" t="s">
        <v>495</v>
      </c>
      <c r="J116" t="s">
        <v>495</v>
      </c>
    </row>
    <row r="117" spans="1:11" x14ac:dyDescent="0.3">
      <c r="A117">
        <v>465</v>
      </c>
      <c r="B117" s="65">
        <v>45515.3450578704</v>
      </c>
      <c r="C117" s="65">
        <v>45515.345567129603</v>
      </c>
      <c r="D117" t="s">
        <v>125</v>
      </c>
      <c r="E117" t="s">
        <v>550</v>
      </c>
      <c r="F117" t="s">
        <v>497</v>
      </c>
      <c r="G117" t="s">
        <v>497</v>
      </c>
      <c r="H117" t="s">
        <v>497</v>
      </c>
      <c r="I117" t="s">
        <v>494</v>
      </c>
      <c r="J117" t="s">
        <v>495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onvertirATabla">
                <anchor moveWithCells="1" sizeWithCells="1">
                  <from>
                    <xdr:col>15</xdr:col>
                    <xdr:colOff>167640</xdr:colOff>
                    <xdr:row>7</xdr:row>
                    <xdr:rowOff>60960</xdr:rowOff>
                  </from>
                  <to>
                    <xdr:col>17</xdr:col>
                    <xdr:colOff>312420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BI72"/>
  <sheetViews>
    <sheetView workbookViewId="0">
      <selection activeCell="M15" sqref="M15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40" width="5.33203125" bestFit="1" customWidth="1"/>
    <col min="41" max="44" width="7.33203125" bestFit="1" customWidth="1"/>
    <col min="45" max="46" width="5.3320312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61" ht="18" x14ac:dyDescent="0.35">
      <c r="B2" s="67" t="s">
        <v>551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61" x14ac:dyDescent="0.3">
      <c r="J3" t="s">
        <v>524</v>
      </c>
      <c r="K3" t="s">
        <v>513</v>
      </c>
      <c r="L3" t="s">
        <v>498</v>
      </c>
      <c r="M3" t="s">
        <v>495</v>
      </c>
      <c r="N3" t="s">
        <v>497</v>
      </c>
      <c r="O3" t="s">
        <v>552</v>
      </c>
    </row>
    <row r="4" spans="2:61" x14ac:dyDescent="0.3">
      <c r="B4" s="136" t="s">
        <v>553</v>
      </c>
      <c r="C4" s="136" t="s">
        <v>5</v>
      </c>
      <c r="D4" s="136" t="s">
        <v>554</v>
      </c>
      <c r="E4" s="135" t="s">
        <v>555</v>
      </c>
      <c r="F4" s="135"/>
      <c r="G4" s="135"/>
      <c r="H4" s="135"/>
      <c r="I4" s="138" t="s">
        <v>556</v>
      </c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AQ4" s="138"/>
      <c r="AR4" s="138"/>
      <c r="AS4" s="138"/>
      <c r="AT4" s="138"/>
      <c r="AU4" s="138"/>
      <c r="AV4" s="138"/>
      <c r="AW4" s="138"/>
      <c r="AX4" s="138"/>
      <c r="AY4" s="138"/>
      <c r="AZ4" s="138"/>
      <c r="BA4" s="138"/>
      <c r="BB4" s="138"/>
      <c r="BC4" s="138"/>
      <c r="BD4" s="138"/>
      <c r="BE4" s="138"/>
    </row>
    <row r="5" spans="2:61" x14ac:dyDescent="0.3">
      <c r="B5" s="136"/>
      <c r="C5" s="136"/>
      <c r="D5" s="136"/>
      <c r="E5" s="135" t="s">
        <v>557</v>
      </c>
      <c r="F5" s="135"/>
      <c r="G5" s="68" t="s">
        <v>558</v>
      </c>
      <c r="H5" s="68"/>
      <c r="I5" s="139" t="s">
        <v>559</v>
      </c>
      <c r="J5" s="140" t="s">
        <v>560</v>
      </c>
      <c r="K5" s="141"/>
      <c r="L5" s="141"/>
      <c r="M5" s="141"/>
      <c r="N5" s="141"/>
      <c r="O5" s="141"/>
      <c r="P5" s="141" t="s">
        <v>561</v>
      </c>
      <c r="Q5" s="141"/>
      <c r="R5" s="141"/>
      <c r="S5" s="141"/>
      <c r="T5" s="141"/>
      <c r="U5" s="141"/>
      <c r="V5" s="141" t="s">
        <v>562</v>
      </c>
      <c r="W5" s="141"/>
      <c r="X5" s="141"/>
      <c r="Y5" s="141"/>
      <c r="Z5" s="141"/>
      <c r="AA5" s="141"/>
      <c r="AB5" s="141" t="s">
        <v>563</v>
      </c>
      <c r="AC5" s="141"/>
      <c r="AD5" s="141"/>
      <c r="AE5" s="141"/>
      <c r="AF5" s="141"/>
      <c r="AG5" s="141"/>
      <c r="AH5" s="141" t="s">
        <v>564</v>
      </c>
      <c r="AI5" s="141"/>
      <c r="AJ5" s="141"/>
      <c r="AK5" s="141"/>
      <c r="AL5" s="141"/>
      <c r="AM5" s="141"/>
      <c r="AN5" s="141" t="s">
        <v>565</v>
      </c>
      <c r="AO5" s="141"/>
      <c r="AP5" s="141"/>
      <c r="AQ5" s="141"/>
      <c r="AR5" s="141"/>
      <c r="AS5" s="141"/>
      <c r="AT5" s="141" t="s">
        <v>566</v>
      </c>
      <c r="AU5" s="141"/>
      <c r="AV5" s="141"/>
      <c r="AW5" s="141"/>
      <c r="AX5" s="141"/>
      <c r="AY5" s="141"/>
      <c r="AZ5" s="141" t="s">
        <v>567</v>
      </c>
      <c r="BA5" s="141"/>
      <c r="BB5" s="141"/>
      <c r="BC5" s="141"/>
      <c r="BD5" s="141"/>
      <c r="BE5" s="142"/>
      <c r="BG5" s="135" t="s">
        <v>568</v>
      </c>
      <c r="BH5" s="135"/>
      <c r="BI5" s="135"/>
    </row>
    <row r="6" spans="2:61" x14ac:dyDescent="0.3">
      <c r="B6" s="137"/>
      <c r="C6" s="137"/>
      <c r="D6" s="137"/>
      <c r="E6" s="69" t="s">
        <v>559</v>
      </c>
      <c r="F6" s="69" t="s">
        <v>569</v>
      </c>
      <c r="G6" s="69" t="s">
        <v>559</v>
      </c>
      <c r="H6" s="69" t="s">
        <v>569</v>
      </c>
      <c r="I6" s="139"/>
      <c r="J6" s="70" t="s">
        <v>570</v>
      </c>
      <c r="K6" s="71" t="s">
        <v>571</v>
      </c>
      <c r="L6" s="71" t="s">
        <v>572</v>
      </c>
      <c r="M6" s="71" t="s">
        <v>573</v>
      </c>
      <c r="N6" s="71" t="s">
        <v>574</v>
      </c>
      <c r="O6" s="71" t="s">
        <v>575</v>
      </c>
      <c r="P6" s="71" t="s">
        <v>570</v>
      </c>
      <c r="Q6" s="71" t="s">
        <v>571</v>
      </c>
      <c r="R6" s="71" t="s">
        <v>572</v>
      </c>
      <c r="S6" s="71" t="s">
        <v>573</v>
      </c>
      <c r="T6" s="71" t="s">
        <v>574</v>
      </c>
      <c r="U6" s="71" t="s">
        <v>575</v>
      </c>
      <c r="V6" s="71" t="s">
        <v>570</v>
      </c>
      <c r="W6" s="71" t="s">
        <v>571</v>
      </c>
      <c r="X6" s="71" t="s">
        <v>572</v>
      </c>
      <c r="Y6" s="71" t="s">
        <v>573</v>
      </c>
      <c r="Z6" s="71" t="s">
        <v>574</v>
      </c>
      <c r="AA6" s="71" t="s">
        <v>575</v>
      </c>
      <c r="AB6" s="71" t="s">
        <v>570</v>
      </c>
      <c r="AC6" s="71" t="s">
        <v>571</v>
      </c>
      <c r="AD6" s="71" t="s">
        <v>572</v>
      </c>
      <c r="AE6" s="71" t="s">
        <v>573</v>
      </c>
      <c r="AF6" s="71" t="s">
        <v>574</v>
      </c>
      <c r="AG6" s="71" t="s">
        <v>575</v>
      </c>
      <c r="AH6" s="71" t="s">
        <v>570</v>
      </c>
      <c r="AI6" s="71" t="s">
        <v>571</v>
      </c>
      <c r="AJ6" s="71" t="s">
        <v>572</v>
      </c>
      <c r="AK6" s="71" t="s">
        <v>573</v>
      </c>
      <c r="AL6" s="71" t="s">
        <v>574</v>
      </c>
      <c r="AM6" s="71" t="s">
        <v>575</v>
      </c>
      <c r="AN6" s="71" t="s">
        <v>570</v>
      </c>
      <c r="AO6" s="71" t="s">
        <v>571</v>
      </c>
      <c r="AP6" s="71" t="s">
        <v>572</v>
      </c>
      <c r="AQ6" s="71" t="s">
        <v>573</v>
      </c>
      <c r="AR6" s="71" t="s">
        <v>574</v>
      </c>
      <c r="AS6" s="71" t="s">
        <v>575</v>
      </c>
      <c r="AT6" s="71" t="s">
        <v>570</v>
      </c>
      <c r="AU6" s="71" t="s">
        <v>571</v>
      </c>
      <c r="AV6" s="71" t="s">
        <v>572</v>
      </c>
      <c r="AW6" s="71" t="s">
        <v>573</v>
      </c>
      <c r="AX6" s="71" t="s">
        <v>574</v>
      </c>
      <c r="AY6" s="71" t="s">
        <v>575</v>
      </c>
      <c r="AZ6" s="71" t="s">
        <v>570</v>
      </c>
      <c r="BA6" s="71" t="s">
        <v>571</v>
      </c>
      <c r="BB6" s="71" t="s">
        <v>572</v>
      </c>
      <c r="BC6" s="71" t="s">
        <v>573</v>
      </c>
      <c r="BD6" s="71" t="s">
        <v>574</v>
      </c>
      <c r="BE6" s="72" t="s">
        <v>575</v>
      </c>
      <c r="BG6" s="73" t="s">
        <v>576</v>
      </c>
      <c r="BH6" s="73" t="s">
        <v>577</v>
      </c>
      <c r="BI6" s="73" t="s">
        <v>578</v>
      </c>
    </row>
    <row r="7" spans="2:61" x14ac:dyDescent="0.3">
      <c r="B7" s="74">
        <v>1</v>
      </c>
      <c r="C7" s="75" t="s">
        <v>232</v>
      </c>
      <c r="D7" s="76">
        <f>114+6</f>
        <v>120</v>
      </c>
      <c r="E7" s="77">
        <v>114</v>
      </c>
      <c r="F7" s="78">
        <f>E7/$D7</f>
        <v>0.95</v>
      </c>
      <c r="G7" s="77">
        <f>D7-E7</f>
        <v>6</v>
      </c>
      <c r="H7" s="78">
        <f>G7/$D7</f>
        <v>0.05</v>
      </c>
      <c r="I7" s="79">
        <v>5</v>
      </c>
      <c r="J7" s="80"/>
      <c r="L7">
        <v>6</v>
      </c>
      <c r="M7">
        <v>30</v>
      </c>
      <c r="N7">
        <v>45</v>
      </c>
      <c r="O7">
        <v>33</v>
      </c>
      <c r="P7" s="80">
        <v>1</v>
      </c>
      <c r="R7">
        <v>3</v>
      </c>
      <c r="S7">
        <v>48</v>
      </c>
      <c r="T7">
        <v>60</v>
      </c>
      <c r="U7" s="81">
        <v>2</v>
      </c>
      <c r="V7" s="80"/>
      <c r="W7">
        <v>1</v>
      </c>
      <c r="X7">
        <v>7</v>
      </c>
      <c r="Y7">
        <v>40</v>
      </c>
      <c r="Z7">
        <v>60</v>
      </c>
      <c r="AA7" s="81">
        <v>6</v>
      </c>
      <c r="AB7" s="80"/>
      <c r="AC7">
        <v>1</v>
      </c>
      <c r="AD7">
        <v>12</v>
      </c>
      <c r="AE7">
        <v>43</v>
      </c>
      <c r="AF7">
        <v>48</v>
      </c>
      <c r="AG7" s="81">
        <v>10</v>
      </c>
      <c r="AH7" s="80"/>
      <c r="AJ7">
        <v>7</v>
      </c>
      <c r="AK7">
        <v>36</v>
      </c>
      <c r="AL7">
        <v>65</v>
      </c>
      <c r="AM7" s="81">
        <v>6</v>
      </c>
      <c r="AN7" s="80"/>
      <c r="AS7" s="81"/>
      <c r="AT7" s="80"/>
      <c r="AY7" s="81"/>
      <c r="AZ7" s="80"/>
      <c r="BE7" s="81"/>
      <c r="BG7" s="82" t="s">
        <v>570</v>
      </c>
      <c r="BH7" s="82" t="s">
        <v>524</v>
      </c>
      <c r="BI7" s="83">
        <v>1</v>
      </c>
    </row>
    <row r="8" spans="2:61" x14ac:dyDescent="0.3">
      <c r="B8" s="84">
        <v>2</v>
      </c>
      <c r="C8" s="85" t="s">
        <v>579</v>
      </c>
      <c r="D8" s="86">
        <f>51+89</f>
        <v>140</v>
      </c>
      <c r="E8" s="87">
        <v>89</v>
      </c>
      <c r="F8" s="88">
        <f t="shared" ref="F8:H18" si="0">E8/$D8</f>
        <v>0.63571428571428568</v>
      </c>
      <c r="G8" s="87">
        <f t="shared" ref="G8:G17" si="1">D8-E8</f>
        <v>51</v>
      </c>
      <c r="H8" s="88">
        <f t="shared" si="0"/>
        <v>0.36428571428571427</v>
      </c>
      <c r="I8" s="79">
        <v>5</v>
      </c>
      <c r="J8" s="80"/>
      <c r="P8" s="80"/>
      <c r="U8" s="81"/>
      <c r="V8" s="80"/>
      <c r="AA8" s="81"/>
      <c r="AB8" s="80"/>
      <c r="AG8" s="81"/>
      <c r="AH8" s="80"/>
      <c r="AM8" s="81"/>
      <c r="AN8" s="80"/>
      <c r="AS8" s="81"/>
      <c r="AT8" s="80"/>
      <c r="AY8" s="81"/>
      <c r="AZ8" s="80"/>
      <c r="BE8" s="81"/>
      <c r="BG8" s="82" t="s">
        <v>571</v>
      </c>
      <c r="BH8" s="82" t="s">
        <v>513</v>
      </c>
      <c r="BI8" s="83">
        <v>2</v>
      </c>
    </row>
    <row r="9" spans="2:61" x14ac:dyDescent="0.3">
      <c r="B9" s="84">
        <v>3</v>
      </c>
      <c r="C9" s="85" t="s">
        <v>74</v>
      </c>
      <c r="D9" s="86">
        <v>75</v>
      </c>
      <c r="E9" s="87">
        <v>75</v>
      </c>
      <c r="F9" s="88">
        <f t="shared" si="0"/>
        <v>1</v>
      </c>
      <c r="G9" s="87">
        <f t="shared" si="1"/>
        <v>0</v>
      </c>
      <c r="H9" s="88">
        <f t="shared" si="0"/>
        <v>0</v>
      </c>
      <c r="I9" s="79">
        <v>4</v>
      </c>
      <c r="J9" s="80"/>
      <c r="P9" s="80"/>
      <c r="U9" s="81"/>
      <c r="V9" s="80"/>
      <c r="AA9" s="81"/>
      <c r="AB9" s="80"/>
      <c r="AG9" s="81"/>
      <c r="AH9" s="80"/>
      <c r="AM9" s="81"/>
      <c r="AN9" s="80"/>
      <c r="AS9" s="81"/>
      <c r="AT9" s="80"/>
      <c r="AY9" s="81"/>
      <c r="AZ9" s="80"/>
      <c r="BE9" s="81"/>
      <c r="BG9" s="82" t="s">
        <v>572</v>
      </c>
      <c r="BH9" s="82" t="s">
        <v>498</v>
      </c>
      <c r="BI9" s="83">
        <v>3</v>
      </c>
    </row>
    <row r="10" spans="2:61" x14ac:dyDescent="0.3">
      <c r="B10" s="84">
        <v>4</v>
      </c>
      <c r="C10" s="85" t="s">
        <v>49</v>
      </c>
      <c r="D10" s="86">
        <f>7+64</f>
        <v>71</v>
      </c>
      <c r="E10" s="87">
        <v>64</v>
      </c>
      <c r="F10" s="88">
        <f t="shared" si="0"/>
        <v>0.90140845070422537</v>
      </c>
      <c r="G10" s="87">
        <f t="shared" si="1"/>
        <v>7</v>
      </c>
      <c r="H10" s="88">
        <f t="shared" si="0"/>
        <v>9.8591549295774641E-2</v>
      </c>
      <c r="I10" s="79">
        <v>8</v>
      </c>
      <c r="J10" s="80"/>
      <c r="P10" s="80"/>
      <c r="U10" s="81"/>
      <c r="V10" s="80"/>
      <c r="AA10" s="81"/>
      <c r="AB10" s="80"/>
      <c r="AG10" s="81"/>
      <c r="AH10" s="80"/>
      <c r="AM10" s="81"/>
      <c r="AN10" s="80"/>
      <c r="AS10" s="81"/>
      <c r="AT10" s="80"/>
      <c r="AY10" s="81"/>
      <c r="AZ10" s="80"/>
      <c r="BE10" s="81"/>
      <c r="BG10" s="82" t="s">
        <v>573</v>
      </c>
      <c r="BH10" s="82" t="s">
        <v>495</v>
      </c>
      <c r="BI10" s="83">
        <v>4</v>
      </c>
    </row>
    <row r="11" spans="2:61" x14ac:dyDescent="0.3">
      <c r="B11" s="84">
        <v>5</v>
      </c>
      <c r="C11" s="85" t="s">
        <v>43</v>
      </c>
      <c r="D11" s="86">
        <f>7+51</f>
        <v>58</v>
      </c>
      <c r="E11" s="87">
        <v>51</v>
      </c>
      <c r="F11" s="88">
        <f t="shared" si="0"/>
        <v>0.87931034482758619</v>
      </c>
      <c r="G11" s="87">
        <f t="shared" si="1"/>
        <v>7</v>
      </c>
      <c r="H11" s="88">
        <f t="shared" si="0"/>
        <v>0.1206896551724138</v>
      </c>
      <c r="I11" s="79">
        <v>5</v>
      </c>
      <c r="J11" s="80"/>
      <c r="P11" s="80"/>
      <c r="U11" s="81"/>
      <c r="V11" s="80"/>
      <c r="AA11" s="81"/>
      <c r="AB11" s="80"/>
      <c r="AG11" s="81"/>
      <c r="AH11" s="80"/>
      <c r="AM11" s="81"/>
      <c r="AN11" s="80"/>
      <c r="AS11" s="81"/>
      <c r="AT11" s="80"/>
      <c r="AY11" s="81"/>
      <c r="AZ11" s="80"/>
      <c r="BE11" s="81"/>
      <c r="BG11" s="82" t="s">
        <v>574</v>
      </c>
      <c r="BH11" s="82" t="s">
        <v>497</v>
      </c>
      <c r="BI11" s="83">
        <v>5</v>
      </c>
    </row>
    <row r="12" spans="2:61" x14ac:dyDescent="0.3">
      <c r="B12" s="84">
        <v>6</v>
      </c>
      <c r="C12" s="85" t="s">
        <v>18</v>
      </c>
      <c r="D12" s="86">
        <v>47</v>
      </c>
      <c r="E12" s="87">
        <v>47</v>
      </c>
      <c r="F12" s="88">
        <f t="shared" si="0"/>
        <v>1</v>
      </c>
      <c r="G12" s="87">
        <f t="shared" si="1"/>
        <v>0</v>
      </c>
      <c r="H12" s="88">
        <f t="shared" si="0"/>
        <v>0</v>
      </c>
      <c r="I12" s="79">
        <v>8</v>
      </c>
      <c r="J12" s="80"/>
      <c r="P12" s="80"/>
      <c r="U12" s="81"/>
      <c r="V12" s="80"/>
      <c r="AA12" s="81"/>
      <c r="AB12" s="80"/>
      <c r="AG12" s="81"/>
      <c r="AH12" s="80"/>
      <c r="AM12" s="81"/>
      <c r="AN12" s="80"/>
      <c r="AS12" s="81"/>
      <c r="AT12" s="80"/>
      <c r="AY12" s="81"/>
      <c r="AZ12" s="80"/>
      <c r="BE12" s="81"/>
      <c r="BG12" s="82" t="s">
        <v>575</v>
      </c>
      <c r="BH12" s="82" t="s">
        <v>552</v>
      </c>
      <c r="BI12" s="83">
        <v>0</v>
      </c>
    </row>
    <row r="13" spans="2:61" x14ac:dyDescent="0.3">
      <c r="B13" s="84">
        <v>7</v>
      </c>
      <c r="C13" s="85" t="s">
        <v>7</v>
      </c>
      <c r="D13" s="86">
        <f>10+88</f>
        <v>98</v>
      </c>
      <c r="E13" s="87">
        <v>88</v>
      </c>
      <c r="F13" s="88">
        <f t="shared" si="0"/>
        <v>0.89795918367346939</v>
      </c>
      <c r="G13" s="87">
        <f t="shared" si="1"/>
        <v>10</v>
      </c>
      <c r="H13" s="88">
        <f t="shared" si="0"/>
        <v>0.10204081632653061</v>
      </c>
      <c r="I13" s="79">
        <v>4</v>
      </c>
      <c r="J13" s="80"/>
      <c r="P13" s="80"/>
      <c r="U13" s="81"/>
      <c r="V13" s="80"/>
      <c r="AA13" s="81"/>
      <c r="AB13" s="80"/>
      <c r="AG13" s="81"/>
      <c r="AH13" s="80"/>
      <c r="AM13" s="81"/>
      <c r="AN13" s="80"/>
      <c r="AS13" s="81"/>
      <c r="AT13" s="80"/>
      <c r="AY13" s="81"/>
      <c r="AZ13" s="80"/>
      <c r="BE13" s="81"/>
    </row>
    <row r="14" spans="2:61" x14ac:dyDescent="0.3">
      <c r="B14" s="84">
        <v>8</v>
      </c>
      <c r="C14" s="85" t="s">
        <v>12</v>
      </c>
      <c r="D14" s="86">
        <f>42+80</f>
        <v>122</v>
      </c>
      <c r="E14" s="87">
        <v>80</v>
      </c>
      <c r="F14" s="88">
        <f t="shared" si="0"/>
        <v>0.65573770491803274</v>
      </c>
      <c r="G14" s="87">
        <f t="shared" si="1"/>
        <v>42</v>
      </c>
      <c r="H14" s="88">
        <f t="shared" si="0"/>
        <v>0.34426229508196721</v>
      </c>
      <c r="I14" s="79">
        <v>5</v>
      </c>
      <c r="J14" s="80"/>
      <c r="P14" s="80"/>
      <c r="U14" s="81"/>
      <c r="V14" s="80"/>
      <c r="AA14" s="81"/>
      <c r="AB14" s="80"/>
      <c r="AG14" s="81"/>
      <c r="AH14" s="80"/>
      <c r="AM14" s="81"/>
      <c r="AN14" s="80"/>
      <c r="AS14" s="81"/>
      <c r="AT14" s="80"/>
      <c r="AY14" s="81"/>
      <c r="AZ14" s="80"/>
      <c r="BE14" s="81"/>
    </row>
    <row r="15" spans="2:61" x14ac:dyDescent="0.3">
      <c r="B15" s="84">
        <v>9</v>
      </c>
      <c r="C15" s="85" t="s">
        <v>100</v>
      </c>
      <c r="D15" s="86">
        <f>3+105</f>
        <v>108</v>
      </c>
      <c r="E15" s="87">
        <v>105</v>
      </c>
      <c r="F15" s="88">
        <f t="shared" si="0"/>
        <v>0.97222222222222221</v>
      </c>
      <c r="G15" s="87">
        <f t="shared" si="1"/>
        <v>3</v>
      </c>
      <c r="H15" s="88">
        <f t="shared" si="0"/>
        <v>2.7777777777777776E-2</v>
      </c>
      <c r="I15" s="79">
        <v>4</v>
      </c>
      <c r="J15" s="80"/>
      <c r="P15" s="80"/>
      <c r="U15" s="81"/>
      <c r="V15" s="80"/>
      <c r="AA15" s="81"/>
      <c r="AB15" s="80"/>
      <c r="AG15" s="81"/>
      <c r="AH15" s="80"/>
      <c r="AM15" s="81"/>
      <c r="AN15" s="80"/>
      <c r="AS15" s="81"/>
      <c r="AT15" s="80"/>
      <c r="AY15" s="81"/>
      <c r="AZ15" s="80"/>
      <c r="BE15" s="81"/>
    </row>
    <row r="16" spans="2:61" x14ac:dyDescent="0.3">
      <c r="B16" s="84">
        <v>10</v>
      </c>
      <c r="C16" s="85" t="s">
        <v>50</v>
      </c>
      <c r="D16" s="86">
        <f>23+54</f>
        <v>77</v>
      </c>
      <c r="E16" s="87">
        <v>54</v>
      </c>
      <c r="F16" s="88">
        <f t="shared" si="0"/>
        <v>0.70129870129870131</v>
      </c>
      <c r="G16" s="87">
        <f t="shared" si="1"/>
        <v>23</v>
      </c>
      <c r="H16" s="88">
        <f t="shared" si="0"/>
        <v>0.29870129870129869</v>
      </c>
      <c r="I16" s="79">
        <v>7</v>
      </c>
      <c r="J16" s="80"/>
      <c r="P16" s="80"/>
      <c r="U16" s="81"/>
      <c r="V16" s="80"/>
      <c r="AA16" s="81"/>
      <c r="AB16" s="80"/>
      <c r="AG16" s="81"/>
      <c r="AH16" s="80"/>
      <c r="AM16" s="81"/>
      <c r="AN16" s="80"/>
      <c r="AS16" s="81"/>
      <c r="AT16" s="80"/>
      <c r="AY16" s="81"/>
      <c r="AZ16" s="80"/>
      <c r="BE16" s="81"/>
    </row>
    <row r="17" spans="2:57" x14ac:dyDescent="0.3">
      <c r="B17" s="89">
        <v>11</v>
      </c>
      <c r="C17" s="90" t="s">
        <v>218</v>
      </c>
      <c r="D17" s="91">
        <f>1+86</f>
        <v>87</v>
      </c>
      <c r="E17" s="92">
        <v>86</v>
      </c>
      <c r="F17" s="93">
        <f t="shared" si="0"/>
        <v>0.9885057471264368</v>
      </c>
      <c r="G17" s="92">
        <f t="shared" si="1"/>
        <v>1</v>
      </c>
      <c r="H17" s="93">
        <f t="shared" si="0"/>
        <v>1.1494252873563218E-2</v>
      </c>
      <c r="I17" s="94">
        <v>5</v>
      </c>
      <c r="J17" s="95"/>
      <c r="K17" s="96"/>
      <c r="L17" s="96"/>
      <c r="M17" s="96"/>
      <c r="N17" s="96"/>
      <c r="O17" s="96"/>
      <c r="P17" s="95"/>
      <c r="Q17" s="96"/>
      <c r="R17" s="96"/>
      <c r="S17" s="96"/>
      <c r="T17" s="96"/>
      <c r="U17" s="97"/>
      <c r="V17" s="95"/>
      <c r="W17" s="96"/>
      <c r="X17" s="96"/>
      <c r="Y17" s="96"/>
      <c r="Z17" s="96"/>
      <c r="AA17" s="97"/>
      <c r="AB17" s="95"/>
      <c r="AC17" s="96"/>
      <c r="AD17" s="96"/>
      <c r="AE17" s="96"/>
      <c r="AF17" s="96"/>
      <c r="AG17" s="97"/>
      <c r="AH17" s="95"/>
      <c r="AI17" s="96"/>
      <c r="AJ17" s="96"/>
      <c r="AK17" s="96"/>
      <c r="AL17" s="96"/>
      <c r="AM17" s="97"/>
      <c r="AN17" s="95"/>
      <c r="AO17" s="96"/>
      <c r="AP17" s="96"/>
      <c r="AQ17" s="96"/>
      <c r="AR17" s="96"/>
      <c r="AS17" s="97"/>
      <c r="AT17" s="95"/>
      <c r="AU17" s="96"/>
      <c r="AV17" s="96"/>
      <c r="AW17" s="96"/>
      <c r="AX17" s="96"/>
      <c r="AY17" s="97"/>
      <c r="AZ17" s="95"/>
      <c r="BA17" s="96"/>
      <c r="BB17" s="96"/>
      <c r="BC17" s="96"/>
      <c r="BD17" s="96"/>
      <c r="BE17" s="97"/>
    </row>
    <row r="18" spans="2:57" x14ac:dyDescent="0.3">
      <c r="D18" s="98">
        <f>SUM(D7:D17)</f>
        <v>1003</v>
      </c>
      <c r="E18" s="98">
        <f>SUM(E7:E17)</f>
        <v>853</v>
      </c>
      <c r="F18" s="99">
        <f t="shared" si="0"/>
        <v>0.85044865403788639</v>
      </c>
      <c r="G18" s="98">
        <f>SUM(G7:G17)</f>
        <v>150</v>
      </c>
      <c r="H18" s="99">
        <f t="shared" si="0"/>
        <v>0.14955134596211367</v>
      </c>
      <c r="I18" s="98">
        <f>SUM(I7:I17)</f>
        <v>60</v>
      </c>
    </row>
    <row r="19" spans="2:57" x14ac:dyDescent="0.3">
      <c r="D19" s="98"/>
      <c r="E19" s="98"/>
      <c r="F19" s="99"/>
      <c r="G19" s="98"/>
      <c r="H19" s="99"/>
      <c r="I19" s="98"/>
    </row>
    <row r="20" spans="2:57" ht="15.6" x14ac:dyDescent="0.3">
      <c r="B20" s="100" t="s">
        <v>580</v>
      </c>
      <c r="C20" s="101"/>
      <c r="E20" s="99"/>
      <c r="F20" s="99"/>
      <c r="G20" s="99"/>
      <c r="H20" s="99"/>
    </row>
    <row r="22" spans="2:57" x14ac:dyDescent="0.3">
      <c r="B22" s="136" t="s">
        <v>553</v>
      </c>
      <c r="C22" s="136" t="s">
        <v>5</v>
      </c>
      <c r="D22" s="136" t="s">
        <v>554</v>
      </c>
      <c r="E22" s="135" t="s">
        <v>555</v>
      </c>
      <c r="F22" s="135"/>
      <c r="G22" s="135"/>
      <c r="H22" s="135"/>
      <c r="I22" s="138" t="s">
        <v>556</v>
      </c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</row>
    <row r="23" spans="2:57" x14ac:dyDescent="0.3">
      <c r="B23" s="136"/>
      <c r="C23" s="136"/>
      <c r="D23" s="136"/>
      <c r="E23" s="135" t="s">
        <v>557</v>
      </c>
      <c r="F23" s="135"/>
      <c r="G23" s="68" t="s">
        <v>558</v>
      </c>
      <c r="H23" s="68"/>
      <c r="I23" s="139" t="s">
        <v>559</v>
      </c>
      <c r="J23" s="140" t="s">
        <v>560</v>
      </c>
      <c r="K23" s="141"/>
      <c r="L23" s="141"/>
      <c r="M23" s="141"/>
      <c r="N23" s="141"/>
      <c r="O23" s="141"/>
      <c r="P23" s="141" t="s">
        <v>561</v>
      </c>
      <c r="Q23" s="141"/>
      <c r="R23" s="141"/>
      <c r="S23" s="141"/>
      <c r="T23" s="141"/>
      <c r="U23" s="141"/>
      <c r="V23" s="141" t="s">
        <v>562</v>
      </c>
      <c r="W23" s="141"/>
      <c r="X23" s="141"/>
      <c r="Y23" s="141"/>
      <c r="Z23" s="141"/>
      <c r="AA23" s="141"/>
      <c r="AB23" s="141" t="s">
        <v>563</v>
      </c>
      <c r="AC23" s="141"/>
      <c r="AD23" s="141"/>
      <c r="AE23" s="141"/>
      <c r="AF23" s="141"/>
      <c r="AG23" s="141"/>
      <c r="AH23" s="141" t="s">
        <v>564</v>
      </c>
      <c r="AI23" s="141"/>
      <c r="AJ23" s="141"/>
      <c r="AK23" s="141"/>
      <c r="AL23" s="141"/>
      <c r="AM23" s="141"/>
      <c r="AN23" s="141" t="s">
        <v>565</v>
      </c>
      <c r="AO23" s="141"/>
      <c r="AP23" s="141"/>
      <c r="AQ23" s="141"/>
      <c r="AR23" s="141"/>
      <c r="AS23" s="141"/>
      <c r="AT23" s="141" t="s">
        <v>566</v>
      </c>
      <c r="AU23" s="141"/>
      <c r="AV23" s="141"/>
      <c r="AW23" s="141"/>
      <c r="AX23" s="141"/>
      <c r="AY23" s="141"/>
      <c r="AZ23" s="141" t="s">
        <v>567</v>
      </c>
      <c r="BA23" s="141"/>
      <c r="BB23" s="141"/>
      <c r="BC23" s="141"/>
      <c r="BD23" s="141"/>
      <c r="BE23" s="142"/>
    </row>
    <row r="24" spans="2:57" x14ac:dyDescent="0.3">
      <c r="B24" s="137"/>
      <c r="C24" s="137"/>
      <c r="D24" s="137"/>
      <c r="E24" s="69" t="s">
        <v>559</v>
      </c>
      <c r="F24" s="69" t="s">
        <v>569</v>
      </c>
      <c r="G24" s="69" t="s">
        <v>559</v>
      </c>
      <c r="H24" s="69" t="s">
        <v>569</v>
      </c>
      <c r="I24" s="139"/>
      <c r="J24" s="102" t="s">
        <v>570</v>
      </c>
      <c r="K24" s="103" t="s">
        <v>571</v>
      </c>
      <c r="L24" s="103" t="s">
        <v>572</v>
      </c>
      <c r="M24" s="103" t="s">
        <v>573</v>
      </c>
      <c r="N24" s="103" t="s">
        <v>574</v>
      </c>
      <c r="O24" s="103" t="s">
        <v>575</v>
      </c>
      <c r="P24" s="71" t="s">
        <v>570</v>
      </c>
      <c r="Q24" s="71" t="s">
        <v>571</v>
      </c>
      <c r="R24" s="71" t="s">
        <v>572</v>
      </c>
      <c r="S24" s="71" t="s">
        <v>573</v>
      </c>
      <c r="T24" s="71" t="s">
        <v>574</v>
      </c>
      <c r="U24" s="71" t="s">
        <v>575</v>
      </c>
      <c r="V24" s="71" t="s">
        <v>570</v>
      </c>
      <c r="W24" s="71" t="s">
        <v>571</v>
      </c>
      <c r="X24" s="71" t="s">
        <v>572</v>
      </c>
      <c r="Y24" s="71" t="s">
        <v>573</v>
      </c>
      <c r="Z24" s="71" t="s">
        <v>574</v>
      </c>
      <c r="AA24" s="71" t="s">
        <v>575</v>
      </c>
      <c r="AB24" s="71" t="s">
        <v>570</v>
      </c>
      <c r="AC24" s="71" t="s">
        <v>571</v>
      </c>
      <c r="AD24" s="71" t="s">
        <v>572</v>
      </c>
      <c r="AE24" s="71" t="s">
        <v>573</v>
      </c>
      <c r="AF24" s="71" t="s">
        <v>574</v>
      </c>
      <c r="AG24" s="71" t="s">
        <v>575</v>
      </c>
      <c r="AH24" s="71" t="s">
        <v>570</v>
      </c>
      <c r="AI24" s="71" t="s">
        <v>571</v>
      </c>
      <c r="AJ24" s="71" t="s">
        <v>572</v>
      </c>
      <c r="AK24" s="71" t="s">
        <v>573</v>
      </c>
      <c r="AL24" s="71" t="s">
        <v>574</v>
      </c>
      <c r="AM24" s="71" t="s">
        <v>575</v>
      </c>
      <c r="AN24" s="71" t="s">
        <v>570</v>
      </c>
      <c r="AO24" s="71" t="s">
        <v>571</v>
      </c>
      <c r="AP24" s="71" t="s">
        <v>572</v>
      </c>
      <c r="AQ24" s="71" t="s">
        <v>573</v>
      </c>
      <c r="AR24" s="71" t="s">
        <v>574</v>
      </c>
      <c r="AS24" s="71" t="s">
        <v>575</v>
      </c>
      <c r="AT24" s="71" t="s">
        <v>570</v>
      </c>
      <c r="AU24" s="71" t="s">
        <v>571</v>
      </c>
      <c r="AV24" s="71" t="s">
        <v>572</v>
      </c>
      <c r="AW24" s="71" t="s">
        <v>573</v>
      </c>
      <c r="AX24" s="71" t="s">
        <v>574</v>
      </c>
      <c r="AY24" s="71" t="s">
        <v>575</v>
      </c>
      <c r="AZ24" s="71" t="s">
        <v>570</v>
      </c>
      <c r="BA24" s="71" t="s">
        <v>571</v>
      </c>
      <c r="BB24" s="71" t="s">
        <v>572</v>
      </c>
      <c r="BC24" s="71" t="s">
        <v>573</v>
      </c>
      <c r="BD24" s="71" t="s">
        <v>574</v>
      </c>
      <c r="BE24" s="72" t="s">
        <v>575</v>
      </c>
    </row>
    <row r="25" spans="2:57" x14ac:dyDescent="0.3">
      <c r="B25" s="74">
        <v>1</v>
      </c>
      <c r="C25" s="75" t="s">
        <v>232</v>
      </c>
      <c r="D25" s="76">
        <f>D7</f>
        <v>120</v>
      </c>
      <c r="E25" s="77">
        <f t="shared" ref="E25:I25" si="2">E7</f>
        <v>114</v>
      </c>
      <c r="F25" s="78">
        <f t="shared" si="2"/>
        <v>0.95</v>
      </c>
      <c r="G25" s="77">
        <f t="shared" si="2"/>
        <v>6</v>
      </c>
      <c r="H25" s="78">
        <f t="shared" si="2"/>
        <v>0.05</v>
      </c>
      <c r="I25" s="79">
        <f t="shared" si="2"/>
        <v>5</v>
      </c>
      <c r="J25" s="104">
        <f>IF(AND(J7&lt;&gt;"",J7&gt;0),(VLOOKUP(J$6,$BG$6:$BI$12,3,0)*J7)/SUM($J7:$N7),0)</f>
        <v>0</v>
      </c>
      <c r="K25" s="105">
        <f>IF(AND(K7&lt;&gt;"",K7&gt;0),(VLOOKUP(K$6,$BG$6:$BI$12,3,0)*K7)/SUM($J7:$N7),0)</f>
        <v>0</v>
      </c>
      <c r="L25" s="105">
        <f t="shared" ref="L25:N25" si="3">IF(AND(L7&lt;&gt;"",L7&gt;0),(VLOOKUP(L$6,$BG$6:$BI$12,3,0)*L7)/SUM($J7:$N7),0)</f>
        <v>0.22222222222222221</v>
      </c>
      <c r="M25" s="105">
        <f t="shared" si="3"/>
        <v>1.4814814814814814</v>
      </c>
      <c r="N25" s="105">
        <f t="shared" si="3"/>
        <v>2.7777777777777777</v>
      </c>
      <c r="O25" s="105">
        <f>IF(AND(O7&lt;&gt;"",O7&gt;0),(VLOOKUP(O$6,$BG$6:$BI$12,3,0)*O7)/SUM($J7:$N7),0)</f>
        <v>0</v>
      </c>
      <c r="P25" s="104">
        <f>IF(AND(P7&lt;&gt;"",P7&gt;0),(VLOOKUP(P$6,$BG$6:$BI$12,3,0)*P7)/SUM($P7:$T7),0)</f>
        <v>8.9285714285714281E-3</v>
      </c>
      <c r="Q25" s="105">
        <f t="shared" ref="Q25:U25" si="4">IF(AND(Q7&lt;&gt;"",Q7&gt;0),(VLOOKUP(Q$6,$BG$6:$BI$12,3,0)*Q7)/SUM($P7:$T7),0)</f>
        <v>0</v>
      </c>
      <c r="R25" s="105">
        <f t="shared" si="4"/>
        <v>8.0357142857142863E-2</v>
      </c>
      <c r="S25" s="105">
        <f t="shared" si="4"/>
        <v>1.7142857142857142</v>
      </c>
      <c r="T25" s="105">
        <f t="shared" si="4"/>
        <v>2.6785714285714284</v>
      </c>
      <c r="U25" s="105">
        <f t="shared" si="4"/>
        <v>0</v>
      </c>
      <c r="V25" s="104">
        <f>IF(AND(V7&lt;&gt;"",V7&gt;0),(VLOOKUP(V$6,$BG$6:$BI$12,3,0)*V7)/SUM($V7:$Z7),0)</f>
        <v>0</v>
      </c>
      <c r="W25" s="105">
        <f t="shared" ref="W25:Z25" si="5">IF(AND(W7&lt;&gt;"",W7&gt;0),(VLOOKUP(W$6,$BG$6:$BI$12,3,0)*W7)/SUM($V7:$Z7),0)</f>
        <v>1.8518518518518517E-2</v>
      </c>
      <c r="X25" s="105">
        <f t="shared" si="5"/>
        <v>0.19444444444444445</v>
      </c>
      <c r="Y25" s="105">
        <f t="shared" si="5"/>
        <v>1.4814814814814814</v>
      </c>
      <c r="Z25" s="105">
        <f t="shared" si="5"/>
        <v>2.7777777777777777</v>
      </c>
      <c r="AA25" s="105">
        <f>IF(AND(AA7&lt;&gt;"",AA7&gt;0),(VLOOKUP(AA$6,$BG$6:$BI$12,3,0)*AA7)/SUM($V7:$Z7),0)</f>
        <v>0</v>
      </c>
      <c r="AB25" s="104">
        <f>IF(AND(AB7&lt;&gt;"",AB7&gt;0),(VLOOKUP(AB$6,$BG$6:$BI$12,3,0)*AB7)/SUM($AB7:$AF7),0)</f>
        <v>0</v>
      </c>
      <c r="AC25" s="105">
        <f t="shared" ref="AC25:AG25" si="6">IF(AND(AC7&lt;&gt;"",AC7&gt;0),(VLOOKUP(AC$6,$BG$6:$BI$12,3,0)*AC7)/SUM($AB7:$AF7),0)</f>
        <v>1.9230769230769232E-2</v>
      </c>
      <c r="AD25" s="105">
        <f t="shared" si="6"/>
        <v>0.34615384615384615</v>
      </c>
      <c r="AE25" s="105">
        <f t="shared" si="6"/>
        <v>1.6538461538461537</v>
      </c>
      <c r="AF25" s="105">
        <f t="shared" si="6"/>
        <v>2.3076923076923075</v>
      </c>
      <c r="AG25" s="105">
        <f t="shared" si="6"/>
        <v>0</v>
      </c>
      <c r="AH25" s="104">
        <f>IF(AND(AH7&lt;&gt;"",AH7&gt;0),(VLOOKUP(AH$6,$BG$6:$BI$12,3,0)*AH7)/SUM($AH7:$AL7),0)</f>
        <v>0</v>
      </c>
      <c r="AI25" s="105">
        <f t="shared" ref="AI25:AM25" si="7">IF(AND(AI7&lt;&gt;"",AI7&gt;0),(VLOOKUP(AI$6,$BG$6:$BI$12,3,0)*AI7)/SUM($AH7:$AL7),0)</f>
        <v>0</v>
      </c>
      <c r="AJ25" s="105">
        <f t="shared" si="7"/>
        <v>0.19444444444444445</v>
      </c>
      <c r="AK25" s="105">
        <f t="shared" si="7"/>
        <v>1.3333333333333333</v>
      </c>
      <c r="AL25" s="105">
        <f t="shared" si="7"/>
        <v>3.0092592592592591</v>
      </c>
      <c r="AM25" s="105">
        <f t="shared" si="7"/>
        <v>0</v>
      </c>
      <c r="AN25" s="104">
        <f>IF(AND(AN7&lt;&gt;"",AN7&gt;0),(VLOOKUP(AN$6,$BG$6:$BI$12,3,0)*AN7)/SUM($AN7:$AR7),0)</f>
        <v>0</v>
      </c>
      <c r="AO25" s="105">
        <f t="shared" ref="AO25:AS25" si="8">IF(AND(AO7&lt;&gt;"",AO7&gt;0),(VLOOKUP(AO$6,$BG$6:$BI$12,3,0)*AO7)/SUM($AN7:$AR7),0)</f>
        <v>0</v>
      </c>
      <c r="AP25" s="105">
        <f t="shared" si="8"/>
        <v>0</v>
      </c>
      <c r="AQ25" s="105">
        <f t="shared" si="8"/>
        <v>0</v>
      </c>
      <c r="AR25" s="105">
        <f t="shared" si="8"/>
        <v>0</v>
      </c>
      <c r="AS25" s="105">
        <f t="shared" si="8"/>
        <v>0</v>
      </c>
      <c r="AT25" s="104">
        <f>IF(AND(AT7&lt;&gt;"",AT7&gt;0),(VLOOKUP(AT$6,$BG$6:$BI$12,3,0)*AT7)/SUM($AT7:$AX7),0)</f>
        <v>0</v>
      </c>
      <c r="AU25" s="105">
        <f t="shared" ref="AU25:AY25" si="9">IF(AND(AU7&lt;&gt;"",AU7&gt;0),(VLOOKUP(AU$6,$BG$6:$BI$12,3,0)*AU7)/SUM($AT7:$AX7),0)</f>
        <v>0</v>
      </c>
      <c r="AV25" s="105">
        <f t="shared" si="9"/>
        <v>0</v>
      </c>
      <c r="AW25" s="105">
        <f t="shared" si="9"/>
        <v>0</v>
      </c>
      <c r="AX25" s="105">
        <f t="shared" si="9"/>
        <v>0</v>
      </c>
      <c r="AY25" s="105">
        <f t="shared" si="9"/>
        <v>0</v>
      </c>
      <c r="AZ25" s="104">
        <f>IF(AND(AZ7&lt;&gt;"",AZ7&gt;0),(VLOOKUP(AZ$6,$BG$6:$BI$12,3,0)*AZ7)/SUM($AZ7:$BD7),0)</f>
        <v>0</v>
      </c>
      <c r="BA25" s="105">
        <f t="shared" ref="BA25:BE25" si="10">IF(AND(BA7&lt;&gt;"",BA7&gt;0),(VLOOKUP(BA$6,$BG$6:$BI$12,3,0)*BA7)/SUM($AZ7:$BD7),0)</f>
        <v>0</v>
      </c>
      <c r="BB25" s="105">
        <f t="shared" si="10"/>
        <v>0</v>
      </c>
      <c r="BC25" s="105">
        <f t="shared" si="10"/>
        <v>0</v>
      </c>
      <c r="BD25" s="105">
        <f t="shared" si="10"/>
        <v>0</v>
      </c>
      <c r="BE25" s="105">
        <f t="shared" si="10"/>
        <v>0</v>
      </c>
    </row>
    <row r="26" spans="2:57" x14ac:dyDescent="0.3">
      <c r="B26" s="84">
        <v>2</v>
      </c>
      <c r="C26" s="85" t="s">
        <v>579</v>
      </c>
      <c r="D26" s="86">
        <f t="shared" ref="D26:I36" si="11">D8</f>
        <v>140</v>
      </c>
      <c r="E26" s="87">
        <f t="shared" si="11"/>
        <v>89</v>
      </c>
      <c r="F26" s="88">
        <f t="shared" si="11"/>
        <v>0.63571428571428568</v>
      </c>
      <c r="G26" s="87">
        <f t="shared" si="11"/>
        <v>51</v>
      </c>
      <c r="H26" s="88">
        <f t="shared" si="11"/>
        <v>0.36428571428571427</v>
      </c>
      <c r="I26" s="79">
        <f t="shared" si="11"/>
        <v>5</v>
      </c>
      <c r="J26" s="104">
        <f t="shared" ref="J26:O35" si="12">IF(AND(J8&lt;&gt;"",J8&gt;0),(VLOOKUP(J$6,$BG$6:$BI$12,3,0)*J8)/SUM($J8:$N8),0)</f>
        <v>0</v>
      </c>
      <c r="K26" s="105">
        <f t="shared" si="12"/>
        <v>0</v>
      </c>
      <c r="L26" s="105">
        <f t="shared" si="12"/>
        <v>0</v>
      </c>
      <c r="M26" s="105">
        <f t="shared" si="12"/>
        <v>0</v>
      </c>
      <c r="N26" s="105">
        <f t="shared" si="12"/>
        <v>0</v>
      </c>
      <c r="O26" s="105">
        <f t="shared" si="12"/>
        <v>0</v>
      </c>
      <c r="P26" s="104">
        <f t="shared" ref="P26:U35" si="13">IF(AND(P8&lt;&gt;"",P8&gt;0),(VLOOKUP(P$6,$BG$6:$BI$12,3,0)*P8)/SUM($P8:$T8),0)</f>
        <v>0</v>
      </c>
      <c r="Q26" s="105">
        <f t="shared" si="13"/>
        <v>0</v>
      </c>
      <c r="R26" s="105">
        <f t="shared" si="13"/>
        <v>0</v>
      </c>
      <c r="S26" s="105">
        <f t="shared" si="13"/>
        <v>0</v>
      </c>
      <c r="T26" s="105">
        <f t="shared" si="13"/>
        <v>0</v>
      </c>
      <c r="U26" s="105">
        <f t="shared" si="13"/>
        <v>0</v>
      </c>
      <c r="V26" s="104">
        <f t="shared" ref="V26:AA35" si="14">IF(AND(V8&lt;&gt;"",V8&gt;0),(VLOOKUP(V$6,$BG$6:$BI$12,3,0)*V8)/SUM($V8:$Z8),0)</f>
        <v>0</v>
      </c>
      <c r="W26" s="105">
        <f t="shared" si="14"/>
        <v>0</v>
      </c>
      <c r="X26" s="105">
        <f t="shared" si="14"/>
        <v>0</v>
      </c>
      <c r="Y26" s="105">
        <f t="shared" si="14"/>
        <v>0</v>
      </c>
      <c r="Z26" s="105">
        <f t="shared" si="14"/>
        <v>0</v>
      </c>
      <c r="AA26" s="105">
        <f t="shared" si="14"/>
        <v>0</v>
      </c>
      <c r="AB26" s="104">
        <f t="shared" ref="AB26:AG35" si="15">IF(AND(AB8&lt;&gt;"",AB8&gt;0),(VLOOKUP(AB$6,$BG$6:$BI$12,3,0)*AB8)/SUM($AB8:$AF8),0)</f>
        <v>0</v>
      </c>
      <c r="AC26" s="105">
        <f t="shared" si="15"/>
        <v>0</v>
      </c>
      <c r="AD26" s="105">
        <f t="shared" si="15"/>
        <v>0</v>
      </c>
      <c r="AE26" s="105">
        <f t="shared" si="15"/>
        <v>0</v>
      </c>
      <c r="AF26" s="105">
        <f t="shared" si="15"/>
        <v>0</v>
      </c>
      <c r="AG26" s="105">
        <f t="shared" si="15"/>
        <v>0</v>
      </c>
      <c r="AH26" s="104">
        <f t="shared" ref="AH26:AM35" si="16">IF(AND(AH8&lt;&gt;"",AH8&gt;0),(VLOOKUP(AH$6,$BG$6:$BI$12,3,0)*AH8)/SUM($AH8:$AL8),0)</f>
        <v>0</v>
      </c>
      <c r="AI26" s="105">
        <f t="shared" si="16"/>
        <v>0</v>
      </c>
      <c r="AJ26" s="105">
        <f t="shared" si="16"/>
        <v>0</v>
      </c>
      <c r="AK26" s="105">
        <f t="shared" si="16"/>
        <v>0</v>
      </c>
      <c r="AL26" s="105">
        <f t="shared" si="16"/>
        <v>0</v>
      </c>
      <c r="AM26" s="105">
        <f t="shared" si="16"/>
        <v>0</v>
      </c>
      <c r="AN26" s="104">
        <f t="shared" ref="AN26:AS35" si="17">IF(AND(AN8&lt;&gt;"",AN8&gt;0),(VLOOKUP(AN$6,$BG$6:$BI$12,3,0)*AN8)/SUM($AN8:$AR8),0)</f>
        <v>0</v>
      </c>
      <c r="AO26" s="105">
        <f t="shared" si="17"/>
        <v>0</v>
      </c>
      <c r="AP26" s="105">
        <f t="shared" si="17"/>
        <v>0</v>
      </c>
      <c r="AQ26" s="105">
        <f t="shared" si="17"/>
        <v>0</v>
      </c>
      <c r="AR26" s="105">
        <f t="shared" si="17"/>
        <v>0</v>
      </c>
      <c r="AS26" s="105">
        <f t="shared" si="17"/>
        <v>0</v>
      </c>
      <c r="AT26" s="104">
        <f t="shared" ref="AT26:AY35" si="18">IF(AND(AT8&lt;&gt;"",AT8&gt;0),(VLOOKUP(AT$6,$BG$6:$BI$12,3,0)*AT8)/SUM($AT8:$AX8),0)</f>
        <v>0</v>
      </c>
      <c r="AU26" s="105">
        <f t="shared" si="18"/>
        <v>0</v>
      </c>
      <c r="AV26" s="105">
        <f t="shared" si="18"/>
        <v>0</v>
      </c>
      <c r="AW26" s="105">
        <f t="shared" si="18"/>
        <v>0</v>
      </c>
      <c r="AX26" s="105">
        <f t="shared" si="18"/>
        <v>0</v>
      </c>
      <c r="AY26" s="105">
        <f t="shared" si="18"/>
        <v>0</v>
      </c>
      <c r="AZ26" s="104">
        <f t="shared" ref="AZ26:BE35" si="19">IF(AND(AZ8&lt;&gt;"",AZ8&gt;0),(VLOOKUP(AZ$6,$BG$6:$BI$12,3,0)*AZ8)/SUM($AZ8:$BD8),0)</f>
        <v>0</v>
      </c>
      <c r="BA26" s="105">
        <f t="shared" si="19"/>
        <v>0</v>
      </c>
      <c r="BB26" s="105">
        <f t="shared" si="19"/>
        <v>0</v>
      </c>
      <c r="BC26" s="105">
        <f t="shared" si="19"/>
        <v>0</v>
      </c>
      <c r="BD26" s="105">
        <f t="shared" si="19"/>
        <v>0</v>
      </c>
      <c r="BE26" s="105">
        <f t="shared" si="19"/>
        <v>0</v>
      </c>
    </row>
    <row r="27" spans="2:57" x14ac:dyDescent="0.3">
      <c r="B27" s="84">
        <v>3</v>
      </c>
      <c r="C27" s="85" t="s">
        <v>74</v>
      </c>
      <c r="D27" s="86">
        <f t="shared" si="11"/>
        <v>75</v>
      </c>
      <c r="E27" s="87">
        <f t="shared" si="11"/>
        <v>75</v>
      </c>
      <c r="F27" s="88">
        <f t="shared" si="11"/>
        <v>1</v>
      </c>
      <c r="G27" s="87">
        <f t="shared" si="11"/>
        <v>0</v>
      </c>
      <c r="H27" s="88">
        <f t="shared" si="11"/>
        <v>0</v>
      </c>
      <c r="I27" s="79">
        <f t="shared" si="11"/>
        <v>4</v>
      </c>
      <c r="J27" s="104">
        <f t="shared" si="12"/>
        <v>0</v>
      </c>
      <c r="K27" s="105">
        <f t="shared" si="12"/>
        <v>0</v>
      </c>
      <c r="L27" s="105">
        <f t="shared" si="12"/>
        <v>0</v>
      </c>
      <c r="M27" s="105">
        <f t="shared" si="12"/>
        <v>0</v>
      </c>
      <c r="N27" s="105">
        <f t="shared" si="12"/>
        <v>0</v>
      </c>
      <c r="O27" s="105">
        <f t="shared" si="12"/>
        <v>0</v>
      </c>
      <c r="P27" s="104">
        <f t="shared" si="13"/>
        <v>0</v>
      </c>
      <c r="Q27" s="105">
        <f t="shared" si="13"/>
        <v>0</v>
      </c>
      <c r="R27" s="105">
        <f t="shared" si="13"/>
        <v>0</v>
      </c>
      <c r="S27" s="105">
        <f t="shared" si="13"/>
        <v>0</v>
      </c>
      <c r="T27" s="105">
        <f t="shared" si="13"/>
        <v>0</v>
      </c>
      <c r="U27" s="105">
        <f t="shared" si="13"/>
        <v>0</v>
      </c>
      <c r="V27" s="104">
        <f t="shared" si="14"/>
        <v>0</v>
      </c>
      <c r="W27" s="105">
        <f t="shared" si="14"/>
        <v>0</v>
      </c>
      <c r="X27" s="105">
        <f t="shared" si="14"/>
        <v>0</v>
      </c>
      <c r="Y27" s="105">
        <f t="shared" si="14"/>
        <v>0</v>
      </c>
      <c r="Z27" s="105">
        <f t="shared" si="14"/>
        <v>0</v>
      </c>
      <c r="AA27" s="105">
        <f t="shared" si="14"/>
        <v>0</v>
      </c>
      <c r="AB27" s="104">
        <f t="shared" si="15"/>
        <v>0</v>
      </c>
      <c r="AC27" s="105">
        <f t="shared" si="15"/>
        <v>0</v>
      </c>
      <c r="AD27" s="105">
        <f t="shared" si="15"/>
        <v>0</v>
      </c>
      <c r="AE27" s="105">
        <f t="shared" si="15"/>
        <v>0</v>
      </c>
      <c r="AF27" s="105">
        <f t="shared" si="15"/>
        <v>0</v>
      </c>
      <c r="AG27" s="105">
        <f t="shared" si="15"/>
        <v>0</v>
      </c>
      <c r="AH27" s="104">
        <f t="shared" si="16"/>
        <v>0</v>
      </c>
      <c r="AI27" s="105">
        <f t="shared" si="16"/>
        <v>0</v>
      </c>
      <c r="AJ27" s="105">
        <f t="shared" si="16"/>
        <v>0</v>
      </c>
      <c r="AK27" s="105">
        <f t="shared" si="16"/>
        <v>0</v>
      </c>
      <c r="AL27" s="105">
        <f t="shared" si="16"/>
        <v>0</v>
      </c>
      <c r="AM27" s="105">
        <f t="shared" si="16"/>
        <v>0</v>
      </c>
      <c r="AN27" s="104">
        <f t="shared" si="17"/>
        <v>0</v>
      </c>
      <c r="AO27" s="105">
        <f t="shared" si="17"/>
        <v>0</v>
      </c>
      <c r="AP27" s="105">
        <f t="shared" si="17"/>
        <v>0</v>
      </c>
      <c r="AQ27" s="105">
        <f t="shared" si="17"/>
        <v>0</v>
      </c>
      <c r="AR27" s="105">
        <f t="shared" si="17"/>
        <v>0</v>
      </c>
      <c r="AS27" s="105">
        <f t="shared" si="17"/>
        <v>0</v>
      </c>
      <c r="AT27" s="104">
        <f t="shared" si="18"/>
        <v>0</v>
      </c>
      <c r="AU27" s="105">
        <f t="shared" si="18"/>
        <v>0</v>
      </c>
      <c r="AV27" s="105">
        <f t="shared" si="18"/>
        <v>0</v>
      </c>
      <c r="AW27" s="105">
        <f t="shared" si="18"/>
        <v>0</v>
      </c>
      <c r="AX27" s="105">
        <f t="shared" si="18"/>
        <v>0</v>
      </c>
      <c r="AY27" s="105">
        <f t="shared" si="18"/>
        <v>0</v>
      </c>
      <c r="AZ27" s="104">
        <f t="shared" si="19"/>
        <v>0</v>
      </c>
      <c r="BA27" s="105">
        <f t="shared" si="19"/>
        <v>0</v>
      </c>
      <c r="BB27" s="105">
        <f t="shared" si="19"/>
        <v>0</v>
      </c>
      <c r="BC27" s="105">
        <f t="shared" si="19"/>
        <v>0</v>
      </c>
      <c r="BD27" s="105">
        <f t="shared" si="19"/>
        <v>0</v>
      </c>
      <c r="BE27" s="105">
        <f t="shared" si="19"/>
        <v>0</v>
      </c>
    </row>
    <row r="28" spans="2:57" x14ac:dyDescent="0.3">
      <c r="B28" s="84">
        <v>4</v>
      </c>
      <c r="C28" s="85" t="s">
        <v>49</v>
      </c>
      <c r="D28" s="86">
        <f t="shared" si="11"/>
        <v>71</v>
      </c>
      <c r="E28" s="87">
        <f t="shared" si="11"/>
        <v>64</v>
      </c>
      <c r="F28" s="88">
        <f t="shared" si="11"/>
        <v>0.90140845070422537</v>
      </c>
      <c r="G28" s="87">
        <f t="shared" si="11"/>
        <v>7</v>
      </c>
      <c r="H28" s="88">
        <f t="shared" si="11"/>
        <v>9.8591549295774641E-2</v>
      </c>
      <c r="I28" s="79">
        <f t="shared" si="11"/>
        <v>8</v>
      </c>
      <c r="J28" s="104">
        <f t="shared" si="12"/>
        <v>0</v>
      </c>
      <c r="K28" s="105">
        <f t="shared" si="12"/>
        <v>0</v>
      </c>
      <c r="L28" s="105">
        <f t="shared" si="12"/>
        <v>0</v>
      </c>
      <c r="M28" s="105">
        <f t="shared" si="12"/>
        <v>0</v>
      </c>
      <c r="N28" s="105">
        <f t="shared" si="12"/>
        <v>0</v>
      </c>
      <c r="O28" s="105">
        <f t="shared" si="12"/>
        <v>0</v>
      </c>
      <c r="P28" s="104">
        <f t="shared" si="13"/>
        <v>0</v>
      </c>
      <c r="Q28" s="105">
        <f t="shared" si="13"/>
        <v>0</v>
      </c>
      <c r="R28" s="105">
        <f t="shared" si="13"/>
        <v>0</v>
      </c>
      <c r="S28" s="105">
        <f t="shared" si="13"/>
        <v>0</v>
      </c>
      <c r="T28" s="105">
        <f t="shared" si="13"/>
        <v>0</v>
      </c>
      <c r="U28" s="105">
        <f t="shared" si="13"/>
        <v>0</v>
      </c>
      <c r="V28" s="104">
        <f t="shared" si="14"/>
        <v>0</v>
      </c>
      <c r="W28" s="105">
        <f t="shared" si="14"/>
        <v>0</v>
      </c>
      <c r="X28" s="105">
        <f t="shared" si="14"/>
        <v>0</v>
      </c>
      <c r="Y28" s="105">
        <f t="shared" si="14"/>
        <v>0</v>
      </c>
      <c r="Z28" s="105">
        <f t="shared" si="14"/>
        <v>0</v>
      </c>
      <c r="AA28" s="105">
        <f t="shared" si="14"/>
        <v>0</v>
      </c>
      <c r="AB28" s="104">
        <f t="shared" si="15"/>
        <v>0</v>
      </c>
      <c r="AC28" s="105">
        <f t="shared" si="15"/>
        <v>0</v>
      </c>
      <c r="AD28" s="105">
        <f t="shared" si="15"/>
        <v>0</v>
      </c>
      <c r="AE28" s="105">
        <f t="shared" si="15"/>
        <v>0</v>
      </c>
      <c r="AF28" s="105">
        <f t="shared" si="15"/>
        <v>0</v>
      </c>
      <c r="AG28" s="105">
        <f t="shared" si="15"/>
        <v>0</v>
      </c>
      <c r="AH28" s="104">
        <f t="shared" si="16"/>
        <v>0</v>
      </c>
      <c r="AI28" s="105">
        <f t="shared" si="16"/>
        <v>0</v>
      </c>
      <c r="AJ28" s="105">
        <f t="shared" si="16"/>
        <v>0</v>
      </c>
      <c r="AK28" s="105">
        <f t="shared" si="16"/>
        <v>0</v>
      </c>
      <c r="AL28" s="105">
        <f t="shared" si="16"/>
        <v>0</v>
      </c>
      <c r="AM28" s="105">
        <f t="shared" si="16"/>
        <v>0</v>
      </c>
      <c r="AN28" s="104">
        <f t="shared" si="17"/>
        <v>0</v>
      </c>
      <c r="AO28" s="105">
        <f t="shared" si="17"/>
        <v>0</v>
      </c>
      <c r="AP28" s="105">
        <f t="shared" si="17"/>
        <v>0</v>
      </c>
      <c r="AQ28" s="105">
        <f t="shared" si="17"/>
        <v>0</v>
      </c>
      <c r="AR28" s="105">
        <f t="shared" si="17"/>
        <v>0</v>
      </c>
      <c r="AS28" s="105">
        <f t="shared" si="17"/>
        <v>0</v>
      </c>
      <c r="AT28" s="104">
        <f t="shared" si="18"/>
        <v>0</v>
      </c>
      <c r="AU28" s="105">
        <f t="shared" si="18"/>
        <v>0</v>
      </c>
      <c r="AV28" s="105">
        <f t="shared" si="18"/>
        <v>0</v>
      </c>
      <c r="AW28" s="105">
        <f t="shared" si="18"/>
        <v>0</v>
      </c>
      <c r="AX28" s="105">
        <f t="shared" si="18"/>
        <v>0</v>
      </c>
      <c r="AY28" s="105">
        <f t="shared" si="18"/>
        <v>0</v>
      </c>
      <c r="AZ28" s="104">
        <f t="shared" si="19"/>
        <v>0</v>
      </c>
      <c r="BA28" s="105">
        <f t="shared" si="19"/>
        <v>0</v>
      </c>
      <c r="BB28" s="105">
        <f t="shared" si="19"/>
        <v>0</v>
      </c>
      <c r="BC28" s="105">
        <f t="shared" si="19"/>
        <v>0</v>
      </c>
      <c r="BD28" s="105">
        <f t="shared" si="19"/>
        <v>0</v>
      </c>
      <c r="BE28" s="105">
        <f t="shared" si="19"/>
        <v>0</v>
      </c>
    </row>
    <row r="29" spans="2:57" x14ac:dyDescent="0.3">
      <c r="B29" s="84">
        <v>5</v>
      </c>
      <c r="C29" s="85" t="s">
        <v>43</v>
      </c>
      <c r="D29" s="86">
        <f t="shared" si="11"/>
        <v>58</v>
      </c>
      <c r="E29" s="87">
        <f t="shared" si="11"/>
        <v>51</v>
      </c>
      <c r="F29" s="88">
        <f t="shared" si="11"/>
        <v>0.87931034482758619</v>
      </c>
      <c r="G29" s="87">
        <f t="shared" si="11"/>
        <v>7</v>
      </c>
      <c r="H29" s="88">
        <f t="shared" si="11"/>
        <v>0.1206896551724138</v>
      </c>
      <c r="I29" s="79">
        <f t="shared" si="11"/>
        <v>5</v>
      </c>
      <c r="J29" s="104">
        <f t="shared" si="12"/>
        <v>0</v>
      </c>
      <c r="K29" s="105">
        <f t="shared" si="12"/>
        <v>0</v>
      </c>
      <c r="L29" s="105">
        <f t="shared" si="12"/>
        <v>0</v>
      </c>
      <c r="M29" s="105">
        <f t="shared" si="12"/>
        <v>0</v>
      </c>
      <c r="N29" s="105">
        <f t="shared" si="12"/>
        <v>0</v>
      </c>
      <c r="O29" s="105">
        <f t="shared" si="12"/>
        <v>0</v>
      </c>
      <c r="P29" s="104">
        <f t="shared" si="13"/>
        <v>0</v>
      </c>
      <c r="Q29" s="105">
        <f t="shared" si="13"/>
        <v>0</v>
      </c>
      <c r="R29" s="105">
        <f t="shared" si="13"/>
        <v>0</v>
      </c>
      <c r="S29" s="105">
        <f t="shared" si="13"/>
        <v>0</v>
      </c>
      <c r="T29" s="105">
        <f t="shared" si="13"/>
        <v>0</v>
      </c>
      <c r="U29" s="105">
        <f t="shared" si="13"/>
        <v>0</v>
      </c>
      <c r="V29" s="104">
        <f t="shared" si="14"/>
        <v>0</v>
      </c>
      <c r="W29" s="105">
        <f t="shared" si="14"/>
        <v>0</v>
      </c>
      <c r="X29" s="105">
        <f t="shared" si="14"/>
        <v>0</v>
      </c>
      <c r="Y29" s="105">
        <f t="shared" si="14"/>
        <v>0</v>
      </c>
      <c r="Z29" s="105">
        <f t="shared" si="14"/>
        <v>0</v>
      </c>
      <c r="AA29" s="105">
        <f t="shared" si="14"/>
        <v>0</v>
      </c>
      <c r="AB29" s="104">
        <f t="shared" si="15"/>
        <v>0</v>
      </c>
      <c r="AC29" s="105">
        <f t="shared" si="15"/>
        <v>0</v>
      </c>
      <c r="AD29" s="105">
        <f t="shared" si="15"/>
        <v>0</v>
      </c>
      <c r="AE29" s="105">
        <f t="shared" si="15"/>
        <v>0</v>
      </c>
      <c r="AF29" s="105">
        <f t="shared" si="15"/>
        <v>0</v>
      </c>
      <c r="AG29" s="105">
        <f t="shared" si="15"/>
        <v>0</v>
      </c>
      <c r="AH29" s="104">
        <f t="shared" si="16"/>
        <v>0</v>
      </c>
      <c r="AI29" s="105">
        <f t="shared" si="16"/>
        <v>0</v>
      </c>
      <c r="AJ29" s="105">
        <f t="shared" si="16"/>
        <v>0</v>
      </c>
      <c r="AK29" s="105">
        <f t="shared" si="16"/>
        <v>0</v>
      </c>
      <c r="AL29" s="105">
        <f t="shared" si="16"/>
        <v>0</v>
      </c>
      <c r="AM29" s="105">
        <f t="shared" si="16"/>
        <v>0</v>
      </c>
      <c r="AN29" s="104">
        <f t="shared" si="17"/>
        <v>0</v>
      </c>
      <c r="AO29" s="105">
        <f t="shared" si="17"/>
        <v>0</v>
      </c>
      <c r="AP29" s="105">
        <f t="shared" si="17"/>
        <v>0</v>
      </c>
      <c r="AQ29" s="105">
        <f t="shared" si="17"/>
        <v>0</v>
      </c>
      <c r="AR29" s="105">
        <f t="shared" si="17"/>
        <v>0</v>
      </c>
      <c r="AS29" s="105">
        <f t="shared" si="17"/>
        <v>0</v>
      </c>
      <c r="AT29" s="104">
        <f t="shared" si="18"/>
        <v>0</v>
      </c>
      <c r="AU29" s="105">
        <f t="shared" si="18"/>
        <v>0</v>
      </c>
      <c r="AV29" s="105">
        <f t="shared" si="18"/>
        <v>0</v>
      </c>
      <c r="AW29" s="105">
        <f t="shared" si="18"/>
        <v>0</v>
      </c>
      <c r="AX29" s="105">
        <f t="shared" si="18"/>
        <v>0</v>
      </c>
      <c r="AY29" s="105">
        <f t="shared" si="18"/>
        <v>0</v>
      </c>
      <c r="AZ29" s="104">
        <f t="shared" si="19"/>
        <v>0</v>
      </c>
      <c r="BA29" s="105">
        <f t="shared" si="19"/>
        <v>0</v>
      </c>
      <c r="BB29" s="105">
        <f t="shared" si="19"/>
        <v>0</v>
      </c>
      <c r="BC29" s="105">
        <f t="shared" si="19"/>
        <v>0</v>
      </c>
      <c r="BD29" s="105">
        <f t="shared" si="19"/>
        <v>0</v>
      </c>
      <c r="BE29" s="105">
        <f t="shared" si="19"/>
        <v>0</v>
      </c>
    </row>
    <row r="30" spans="2:57" x14ac:dyDescent="0.3">
      <c r="B30" s="84">
        <v>6</v>
      </c>
      <c r="C30" s="85" t="s">
        <v>18</v>
      </c>
      <c r="D30" s="86">
        <f t="shared" si="11"/>
        <v>47</v>
      </c>
      <c r="E30" s="87">
        <f t="shared" si="11"/>
        <v>47</v>
      </c>
      <c r="F30" s="88">
        <f t="shared" si="11"/>
        <v>1</v>
      </c>
      <c r="G30" s="87">
        <f t="shared" si="11"/>
        <v>0</v>
      </c>
      <c r="H30" s="88">
        <f t="shared" si="11"/>
        <v>0</v>
      </c>
      <c r="I30" s="79">
        <f t="shared" si="11"/>
        <v>8</v>
      </c>
      <c r="J30" s="104">
        <f t="shared" si="12"/>
        <v>0</v>
      </c>
      <c r="K30" s="105">
        <f t="shared" si="12"/>
        <v>0</v>
      </c>
      <c r="L30" s="105">
        <f t="shared" si="12"/>
        <v>0</v>
      </c>
      <c r="M30" s="105">
        <f t="shared" si="12"/>
        <v>0</v>
      </c>
      <c r="N30" s="105">
        <f t="shared" si="12"/>
        <v>0</v>
      </c>
      <c r="O30" s="105">
        <f t="shared" si="12"/>
        <v>0</v>
      </c>
      <c r="P30" s="104">
        <f t="shared" si="13"/>
        <v>0</v>
      </c>
      <c r="Q30" s="105">
        <f t="shared" si="13"/>
        <v>0</v>
      </c>
      <c r="R30" s="105">
        <f t="shared" si="13"/>
        <v>0</v>
      </c>
      <c r="S30" s="105">
        <f t="shared" si="13"/>
        <v>0</v>
      </c>
      <c r="T30" s="105">
        <f t="shared" si="13"/>
        <v>0</v>
      </c>
      <c r="U30" s="105">
        <f t="shared" si="13"/>
        <v>0</v>
      </c>
      <c r="V30" s="104">
        <f t="shared" si="14"/>
        <v>0</v>
      </c>
      <c r="W30" s="105">
        <f t="shared" si="14"/>
        <v>0</v>
      </c>
      <c r="X30" s="105">
        <f t="shared" si="14"/>
        <v>0</v>
      </c>
      <c r="Y30" s="105">
        <f t="shared" si="14"/>
        <v>0</v>
      </c>
      <c r="Z30" s="105">
        <f t="shared" si="14"/>
        <v>0</v>
      </c>
      <c r="AA30" s="105">
        <f t="shared" si="14"/>
        <v>0</v>
      </c>
      <c r="AB30" s="104">
        <f t="shared" si="15"/>
        <v>0</v>
      </c>
      <c r="AC30" s="105">
        <f t="shared" si="15"/>
        <v>0</v>
      </c>
      <c r="AD30" s="105">
        <f t="shared" si="15"/>
        <v>0</v>
      </c>
      <c r="AE30" s="105">
        <f t="shared" si="15"/>
        <v>0</v>
      </c>
      <c r="AF30" s="105">
        <f t="shared" si="15"/>
        <v>0</v>
      </c>
      <c r="AG30" s="105">
        <f t="shared" si="15"/>
        <v>0</v>
      </c>
      <c r="AH30" s="104">
        <f t="shared" si="16"/>
        <v>0</v>
      </c>
      <c r="AI30" s="105">
        <f t="shared" si="16"/>
        <v>0</v>
      </c>
      <c r="AJ30" s="105">
        <f t="shared" si="16"/>
        <v>0</v>
      </c>
      <c r="AK30" s="105">
        <f t="shared" si="16"/>
        <v>0</v>
      </c>
      <c r="AL30" s="105">
        <f t="shared" si="16"/>
        <v>0</v>
      </c>
      <c r="AM30" s="105">
        <f t="shared" si="16"/>
        <v>0</v>
      </c>
      <c r="AN30" s="104">
        <f t="shared" si="17"/>
        <v>0</v>
      </c>
      <c r="AO30" s="105">
        <f t="shared" si="17"/>
        <v>0</v>
      </c>
      <c r="AP30" s="105">
        <f t="shared" si="17"/>
        <v>0</v>
      </c>
      <c r="AQ30" s="105">
        <f t="shared" si="17"/>
        <v>0</v>
      </c>
      <c r="AR30" s="105">
        <f t="shared" si="17"/>
        <v>0</v>
      </c>
      <c r="AS30" s="105">
        <f t="shared" si="17"/>
        <v>0</v>
      </c>
      <c r="AT30" s="104">
        <f t="shared" si="18"/>
        <v>0</v>
      </c>
      <c r="AU30" s="105">
        <f t="shared" si="18"/>
        <v>0</v>
      </c>
      <c r="AV30" s="105">
        <f t="shared" si="18"/>
        <v>0</v>
      </c>
      <c r="AW30" s="105">
        <f t="shared" si="18"/>
        <v>0</v>
      </c>
      <c r="AX30" s="105">
        <f t="shared" si="18"/>
        <v>0</v>
      </c>
      <c r="AY30" s="105">
        <f t="shared" si="18"/>
        <v>0</v>
      </c>
      <c r="AZ30" s="104">
        <f t="shared" si="19"/>
        <v>0</v>
      </c>
      <c r="BA30" s="105">
        <f t="shared" si="19"/>
        <v>0</v>
      </c>
      <c r="BB30" s="105">
        <f t="shared" si="19"/>
        <v>0</v>
      </c>
      <c r="BC30" s="105">
        <f t="shared" si="19"/>
        <v>0</v>
      </c>
      <c r="BD30" s="105">
        <f t="shared" si="19"/>
        <v>0</v>
      </c>
      <c r="BE30" s="105">
        <f t="shared" si="19"/>
        <v>0</v>
      </c>
    </row>
    <row r="31" spans="2:57" x14ac:dyDescent="0.3">
      <c r="B31" s="84">
        <v>7</v>
      </c>
      <c r="C31" s="85" t="s">
        <v>7</v>
      </c>
      <c r="D31" s="86">
        <f t="shared" si="11"/>
        <v>98</v>
      </c>
      <c r="E31" s="87">
        <f t="shared" si="11"/>
        <v>88</v>
      </c>
      <c r="F31" s="88">
        <f t="shared" si="11"/>
        <v>0.89795918367346939</v>
      </c>
      <c r="G31" s="87">
        <f t="shared" si="11"/>
        <v>10</v>
      </c>
      <c r="H31" s="88">
        <f t="shared" si="11"/>
        <v>0.10204081632653061</v>
      </c>
      <c r="I31" s="79">
        <f t="shared" si="11"/>
        <v>4</v>
      </c>
      <c r="J31" s="104">
        <f t="shared" si="12"/>
        <v>0</v>
      </c>
      <c r="K31" s="105">
        <f t="shared" si="12"/>
        <v>0</v>
      </c>
      <c r="L31" s="105">
        <f t="shared" si="12"/>
        <v>0</v>
      </c>
      <c r="M31" s="105">
        <f t="shared" si="12"/>
        <v>0</v>
      </c>
      <c r="N31" s="105">
        <f t="shared" si="12"/>
        <v>0</v>
      </c>
      <c r="O31" s="105">
        <f t="shared" si="12"/>
        <v>0</v>
      </c>
      <c r="P31" s="104">
        <f t="shared" si="13"/>
        <v>0</v>
      </c>
      <c r="Q31" s="105">
        <f t="shared" si="13"/>
        <v>0</v>
      </c>
      <c r="R31" s="105">
        <f t="shared" si="13"/>
        <v>0</v>
      </c>
      <c r="S31" s="105">
        <f t="shared" si="13"/>
        <v>0</v>
      </c>
      <c r="T31" s="105">
        <f t="shared" si="13"/>
        <v>0</v>
      </c>
      <c r="U31" s="105">
        <f t="shared" si="13"/>
        <v>0</v>
      </c>
      <c r="V31" s="104">
        <f t="shared" si="14"/>
        <v>0</v>
      </c>
      <c r="W31" s="105">
        <f t="shared" si="14"/>
        <v>0</v>
      </c>
      <c r="X31" s="105">
        <f t="shared" si="14"/>
        <v>0</v>
      </c>
      <c r="Y31" s="105">
        <f t="shared" si="14"/>
        <v>0</v>
      </c>
      <c r="Z31" s="105">
        <f t="shared" si="14"/>
        <v>0</v>
      </c>
      <c r="AA31" s="105">
        <f t="shared" si="14"/>
        <v>0</v>
      </c>
      <c r="AB31" s="104">
        <f t="shared" si="15"/>
        <v>0</v>
      </c>
      <c r="AC31" s="105">
        <f t="shared" si="15"/>
        <v>0</v>
      </c>
      <c r="AD31" s="105">
        <f t="shared" si="15"/>
        <v>0</v>
      </c>
      <c r="AE31" s="105">
        <f t="shared" si="15"/>
        <v>0</v>
      </c>
      <c r="AF31" s="105">
        <f t="shared" si="15"/>
        <v>0</v>
      </c>
      <c r="AG31" s="105">
        <f t="shared" si="15"/>
        <v>0</v>
      </c>
      <c r="AH31" s="104">
        <f t="shared" si="16"/>
        <v>0</v>
      </c>
      <c r="AI31" s="105">
        <f t="shared" si="16"/>
        <v>0</v>
      </c>
      <c r="AJ31" s="105">
        <f t="shared" si="16"/>
        <v>0</v>
      </c>
      <c r="AK31" s="105">
        <f t="shared" si="16"/>
        <v>0</v>
      </c>
      <c r="AL31" s="105">
        <f t="shared" si="16"/>
        <v>0</v>
      </c>
      <c r="AM31" s="105">
        <f t="shared" si="16"/>
        <v>0</v>
      </c>
      <c r="AN31" s="104">
        <f t="shared" si="17"/>
        <v>0</v>
      </c>
      <c r="AO31" s="105">
        <f t="shared" si="17"/>
        <v>0</v>
      </c>
      <c r="AP31" s="105">
        <f t="shared" si="17"/>
        <v>0</v>
      </c>
      <c r="AQ31" s="105">
        <f t="shared" si="17"/>
        <v>0</v>
      </c>
      <c r="AR31" s="105">
        <f t="shared" si="17"/>
        <v>0</v>
      </c>
      <c r="AS31" s="105">
        <f t="shared" si="17"/>
        <v>0</v>
      </c>
      <c r="AT31" s="104">
        <f t="shared" si="18"/>
        <v>0</v>
      </c>
      <c r="AU31" s="105">
        <f t="shared" si="18"/>
        <v>0</v>
      </c>
      <c r="AV31" s="105">
        <f t="shared" si="18"/>
        <v>0</v>
      </c>
      <c r="AW31" s="105">
        <f t="shared" si="18"/>
        <v>0</v>
      </c>
      <c r="AX31" s="105">
        <f t="shared" si="18"/>
        <v>0</v>
      </c>
      <c r="AY31" s="105">
        <f t="shared" si="18"/>
        <v>0</v>
      </c>
      <c r="AZ31" s="104">
        <f t="shared" si="19"/>
        <v>0</v>
      </c>
      <c r="BA31" s="105">
        <f t="shared" si="19"/>
        <v>0</v>
      </c>
      <c r="BB31" s="105">
        <f t="shared" si="19"/>
        <v>0</v>
      </c>
      <c r="BC31" s="105">
        <f t="shared" si="19"/>
        <v>0</v>
      </c>
      <c r="BD31" s="105">
        <f t="shared" si="19"/>
        <v>0</v>
      </c>
      <c r="BE31" s="105">
        <f t="shared" si="19"/>
        <v>0</v>
      </c>
    </row>
    <row r="32" spans="2:57" x14ac:dyDescent="0.3">
      <c r="B32" s="84">
        <v>8</v>
      </c>
      <c r="C32" s="85" t="s">
        <v>12</v>
      </c>
      <c r="D32" s="86">
        <f t="shared" si="11"/>
        <v>122</v>
      </c>
      <c r="E32" s="87">
        <f t="shared" si="11"/>
        <v>80</v>
      </c>
      <c r="F32" s="88">
        <f t="shared" si="11"/>
        <v>0.65573770491803274</v>
      </c>
      <c r="G32" s="87">
        <f t="shared" si="11"/>
        <v>42</v>
      </c>
      <c r="H32" s="88">
        <f t="shared" si="11"/>
        <v>0.34426229508196721</v>
      </c>
      <c r="I32" s="79">
        <f t="shared" si="11"/>
        <v>5</v>
      </c>
      <c r="J32" s="104">
        <f t="shared" si="12"/>
        <v>0</v>
      </c>
      <c r="K32" s="105">
        <f t="shared" si="12"/>
        <v>0</v>
      </c>
      <c r="L32" s="105">
        <f t="shared" si="12"/>
        <v>0</v>
      </c>
      <c r="M32" s="105">
        <f t="shared" si="12"/>
        <v>0</v>
      </c>
      <c r="N32" s="105">
        <f t="shared" si="12"/>
        <v>0</v>
      </c>
      <c r="O32" s="105">
        <f t="shared" si="12"/>
        <v>0</v>
      </c>
      <c r="P32" s="104">
        <f t="shared" si="13"/>
        <v>0</v>
      </c>
      <c r="Q32" s="105">
        <f t="shared" si="13"/>
        <v>0</v>
      </c>
      <c r="R32" s="105">
        <f t="shared" si="13"/>
        <v>0</v>
      </c>
      <c r="S32" s="105">
        <f t="shared" si="13"/>
        <v>0</v>
      </c>
      <c r="T32" s="105">
        <f t="shared" si="13"/>
        <v>0</v>
      </c>
      <c r="U32" s="105">
        <f t="shared" si="13"/>
        <v>0</v>
      </c>
      <c r="V32" s="104">
        <f t="shared" si="14"/>
        <v>0</v>
      </c>
      <c r="W32" s="105">
        <f t="shared" si="14"/>
        <v>0</v>
      </c>
      <c r="X32" s="105">
        <f t="shared" si="14"/>
        <v>0</v>
      </c>
      <c r="Y32" s="105">
        <f t="shared" si="14"/>
        <v>0</v>
      </c>
      <c r="Z32" s="105">
        <f t="shared" si="14"/>
        <v>0</v>
      </c>
      <c r="AA32" s="105">
        <f t="shared" si="14"/>
        <v>0</v>
      </c>
      <c r="AB32" s="104">
        <f t="shared" si="15"/>
        <v>0</v>
      </c>
      <c r="AC32" s="105">
        <f t="shared" si="15"/>
        <v>0</v>
      </c>
      <c r="AD32" s="105">
        <f t="shared" si="15"/>
        <v>0</v>
      </c>
      <c r="AE32" s="105">
        <f t="shared" si="15"/>
        <v>0</v>
      </c>
      <c r="AF32" s="105">
        <f t="shared" si="15"/>
        <v>0</v>
      </c>
      <c r="AG32" s="105">
        <f t="shared" si="15"/>
        <v>0</v>
      </c>
      <c r="AH32" s="104">
        <f t="shared" si="16"/>
        <v>0</v>
      </c>
      <c r="AI32" s="105">
        <f t="shared" si="16"/>
        <v>0</v>
      </c>
      <c r="AJ32" s="105">
        <f t="shared" si="16"/>
        <v>0</v>
      </c>
      <c r="AK32" s="105">
        <f t="shared" si="16"/>
        <v>0</v>
      </c>
      <c r="AL32" s="105">
        <f t="shared" si="16"/>
        <v>0</v>
      </c>
      <c r="AM32" s="105">
        <f t="shared" si="16"/>
        <v>0</v>
      </c>
      <c r="AN32" s="104">
        <f t="shared" si="17"/>
        <v>0</v>
      </c>
      <c r="AO32" s="105">
        <f t="shared" si="17"/>
        <v>0</v>
      </c>
      <c r="AP32" s="105">
        <f t="shared" si="17"/>
        <v>0</v>
      </c>
      <c r="AQ32" s="105">
        <f t="shared" si="17"/>
        <v>0</v>
      </c>
      <c r="AR32" s="105">
        <f t="shared" si="17"/>
        <v>0</v>
      </c>
      <c r="AS32" s="105">
        <f t="shared" si="17"/>
        <v>0</v>
      </c>
      <c r="AT32" s="104">
        <f t="shared" si="18"/>
        <v>0</v>
      </c>
      <c r="AU32" s="105">
        <f t="shared" si="18"/>
        <v>0</v>
      </c>
      <c r="AV32" s="105">
        <f t="shared" si="18"/>
        <v>0</v>
      </c>
      <c r="AW32" s="105">
        <f t="shared" si="18"/>
        <v>0</v>
      </c>
      <c r="AX32" s="105">
        <f t="shared" si="18"/>
        <v>0</v>
      </c>
      <c r="AY32" s="105">
        <f t="shared" si="18"/>
        <v>0</v>
      </c>
      <c r="AZ32" s="104">
        <f t="shared" si="19"/>
        <v>0</v>
      </c>
      <c r="BA32" s="105">
        <f t="shared" si="19"/>
        <v>0</v>
      </c>
      <c r="BB32" s="105">
        <f t="shared" si="19"/>
        <v>0</v>
      </c>
      <c r="BC32" s="105">
        <f t="shared" si="19"/>
        <v>0</v>
      </c>
      <c r="BD32" s="105">
        <f t="shared" si="19"/>
        <v>0</v>
      </c>
      <c r="BE32" s="105">
        <f t="shared" si="19"/>
        <v>0</v>
      </c>
    </row>
    <row r="33" spans="2:57" x14ac:dyDescent="0.3">
      <c r="B33" s="84">
        <v>9</v>
      </c>
      <c r="C33" s="85" t="s">
        <v>100</v>
      </c>
      <c r="D33" s="86">
        <f t="shared" si="11"/>
        <v>108</v>
      </c>
      <c r="E33" s="87">
        <f t="shared" si="11"/>
        <v>105</v>
      </c>
      <c r="F33" s="88">
        <f t="shared" si="11"/>
        <v>0.97222222222222221</v>
      </c>
      <c r="G33" s="87">
        <f t="shared" si="11"/>
        <v>3</v>
      </c>
      <c r="H33" s="88">
        <f t="shared" si="11"/>
        <v>2.7777777777777776E-2</v>
      </c>
      <c r="I33" s="79">
        <f t="shared" si="11"/>
        <v>4</v>
      </c>
      <c r="J33" s="104">
        <f t="shared" si="12"/>
        <v>0</v>
      </c>
      <c r="K33" s="105">
        <f t="shared" si="12"/>
        <v>0</v>
      </c>
      <c r="L33" s="105">
        <f t="shared" si="12"/>
        <v>0</v>
      </c>
      <c r="M33" s="105">
        <f t="shared" si="12"/>
        <v>0</v>
      </c>
      <c r="N33" s="105">
        <f t="shared" si="12"/>
        <v>0</v>
      </c>
      <c r="O33" s="105">
        <f t="shared" si="12"/>
        <v>0</v>
      </c>
      <c r="P33" s="104">
        <f t="shared" si="13"/>
        <v>0</v>
      </c>
      <c r="Q33" s="105">
        <f t="shared" si="13"/>
        <v>0</v>
      </c>
      <c r="R33" s="105">
        <f t="shared" si="13"/>
        <v>0</v>
      </c>
      <c r="S33" s="105">
        <f t="shared" si="13"/>
        <v>0</v>
      </c>
      <c r="T33" s="105">
        <f t="shared" si="13"/>
        <v>0</v>
      </c>
      <c r="U33" s="105">
        <f t="shared" si="13"/>
        <v>0</v>
      </c>
      <c r="V33" s="104">
        <f t="shared" si="14"/>
        <v>0</v>
      </c>
      <c r="W33" s="105">
        <f t="shared" si="14"/>
        <v>0</v>
      </c>
      <c r="X33" s="105">
        <f t="shared" si="14"/>
        <v>0</v>
      </c>
      <c r="Y33" s="105">
        <f t="shared" si="14"/>
        <v>0</v>
      </c>
      <c r="Z33" s="105">
        <f t="shared" si="14"/>
        <v>0</v>
      </c>
      <c r="AA33" s="105">
        <f t="shared" si="14"/>
        <v>0</v>
      </c>
      <c r="AB33" s="104">
        <f t="shared" si="15"/>
        <v>0</v>
      </c>
      <c r="AC33" s="105">
        <f t="shared" si="15"/>
        <v>0</v>
      </c>
      <c r="AD33" s="105">
        <f t="shared" si="15"/>
        <v>0</v>
      </c>
      <c r="AE33" s="105">
        <f t="shared" si="15"/>
        <v>0</v>
      </c>
      <c r="AF33" s="105">
        <f t="shared" si="15"/>
        <v>0</v>
      </c>
      <c r="AG33" s="105">
        <f t="shared" si="15"/>
        <v>0</v>
      </c>
      <c r="AH33" s="104">
        <f t="shared" si="16"/>
        <v>0</v>
      </c>
      <c r="AI33" s="105">
        <f t="shared" si="16"/>
        <v>0</v>
      </c>
      <c r="AJ33" s="105">
        <f t="shared" si="16"/>
        <v>0</v>
      </c>
      <c r="AK33" s="105">
        <f t="shared" si="16"/>
        <v>0</v>
      </c>
      <c r="AL33" s="105">
        <f t="shared" si="16"/>
        <v>0</v>
      </c>
      <c r="AM33" s="105">
        <f t="shared" si="16"/>
        <v>0</v>
      </c>
      <c r="AN33" s="104">
        <f t="shared" si="17"/>
        <v>0</v>
      </c>
      <c r="AO33" s="105">
        <f t="shared" si="17"/>
        <v>0</v>
      </c>
      <c r="AP33" s="105">
        <f t="shared" si="17"/>
        <v>0</v>
      </c>
      <c r="AQ33" s="105">
        <f t="shared" si="17"/>
        <v>0</v>
      </c>
      <c r="AR33" s="105">
        <f t="shared" si="17"/>
        <v>0</v>
      </c>
      <c r="AS33" s="105">
        <f t="shared" si="17"/>
        <v>0</v>
      </c>
      <c r="AT33" s="104">
        <f t="shared" si="18"/>
        <v>0</v>
      </c>
      <c r="AU33" s="105">
        <f t="shared" si="18"/>
        <v>0</v>
      </c>
      <c r="AV33" s="105">
        <f t="shared" si="18"/>
        <v>0</v>
      </c>
      <c r="AW33" s="105">
        <f t="shared" si="18"/>
        <v>0</v>
      </c>
      <c r="AX33" s="105">
        <f t="shared" si="18"/>
        <v>0</v>
      </c>
      <c r="AY33" s="105">
        <f t="shared" si="18"/>
        <v>0</v>
      </c>
      <c r="AZ33" s="104">
        <f t="shared" si="19"/>
        <v>0</v>
      </c>
      <c r="BA33" s="105">
        <f t="shared" si="19"/>
        <v>0</v>
      </c>
      <c r="BB33" s="105">
        <f t="shared" si="19"/>
        <v>0</v>
      </c>
      <c r="BC33" s="105">
        <f t="shared" si="19"/>
        <v>0</v>
      </c>
      <c r="BD33" s="105">
        <f t="shared" si="19"/>
        <v>0</v>
      </c>
      <c r="BE33" s="105">
        <f t="shared" si="19"/>
        <v>0</v>
      </c>
    </row>
    <row r="34" spans="2:57" x14ac:dyDescent="0.3">
      <c r="B34" s="84">
        <v>10</v>
      </c>
      <c r="C34" s="85" t="s">
        <v>50</v>
      </c>
      <c r="D34" s="86">
        <f t="shared" si="11"/>
        <v>77</v>
      </c>
      <c r="E34" s="87">
        <f t="shared" si="11"/>
        <v>54</v>
      </c>
      <c r="F34" s="88">
        <f t="shared" si="11"/>
        <v>0.70129870129870131</v>
      </c>
      <c r="G34" s="87">
        <f t="shared" si="11"/>
        <v>23</v>
      </c>
      <c r="H34" s="88">
        <f t="shared" si="11"/>
        <v>0.29870129870129869</v>
      </c>
      <c r="I34" s="79">
        <f t="shared" si="11"/>
        <v>7</v>
      </c>
      <c r="J34" s="104">
        <f t="shared" si="12"/>
        <v>0</v>
      </c>
      <c r="K34" s="105">
        <f t="shared" si="12"/>
        <v>0</v>
      </c>
      <c r="L34" s="105">
        <f t="shared" si="12"/>
        <v>0</v>
      </c>
      <c r="M34" s="105">
        <f t="shared" si="12"/>
        <v>0</v>
      </c>
      <c r="N34" s="105">
        <f t="shared" si="12"/>
        <v>0</v>
      </c>
      <c r="O34" s="105">
        <f t="shared" si="12"/>
        <v>0</v>
      </c>
      <c r="P34" s="104">
        <f t="shared" si="13"/>
        <v>0</v>
      </c>
      <c r="Q34" s="105">
        <f t="shared" si="13"/>
        <v>0</v>
      </c>
      <c r="R34" s="105">
        <f t="shared" si="13"/>
        <v>0</v>
      </c>
      <c r="S34" s="105">
        <f t="shared" si="13"/>
        <v>0</v>
      </c>
      <c r="T34" s="105">
        <f t="shared" si="13"/>
        <v>0</v>
      </c>
      <c r="U34" s="105">
        <f t="shared" si="13"/>
        <v>0</v>
      </c>
      <c r="V34" s="104">
        <f t="shared" si="14"/>
        <v>0</v>
      </c>
      <c r="W34" s="105">
        <f t="shared" si="14"/>
        <v>0</v>
      </c>
      <c r="X34" s="105">
        <f t="shared" si="14"/>
        <v>0</v>
      </c>
      <c r="Y34" s="105">
        <f t="shared" si="14"/>
        <v>0</v>
      </c>
      <c r="Z34" s="105">
        <f t="shared" si="14"/>
        <v>0</v>
      </c>
      <c r="AA34" s="105">
        <f t="shared" si="14"/>
        <v>0</v>
      </c>
      <c r="AB34" s="104">
        <f t="shared" si="15"/>
        <v>0</v>
      </c>
      <c r="AC34" s="105">
        <f t="shared" si="15"/>
        <v>0</v>
      </c>
      <c r="AD34" s="105">
        <f t="shared" si="15"/>
        <v>0</v>
      </c>
      <c r="AE34" s="105">
        <f t="shared" si="15"/>
        <v>0</v>
      </c>
      <c r="AF34" s="105">
        <f t="shared" si="15"/>
        <v>0</v>
      </c>
      <c r="AG34" s="105">
        <f t="shared" si="15"/>
        <v>0</v>
      </c>
      <c r="AH34" s="104">
        <f t="shared" si="16"/>
        <v>0</v>
      </c>
      <c r="AI34" s="105">
        <f t="shared" si="16"/>
        <v>0</v>
      </c>
      <c r="AJ34" s="105">
        <f t="shared" si="16"/>
        <v>0</v>
      </c>
      <c r="AK34" s="105">
        <f t="shared" si="16"/>
        <v>0</v>
      </c>
      <c r="AL34" s="105">
        <f t="shared" si="16"/>
        <v>0</v>
      </c>
      <c r="AM34" s="105">
        <f t="shared" si="16"/>
        <v>0</v>
      </c>
      <c r="AN34" s="104">
        <f t="shared" si="17"/>
        <v>0</v>
      </c>
      <c r="AO34" s="105">
        <f t="shared" si="17"/>
        <v>0</v>
      </c>
      <c r="AP34" s="105">
        <f t="shared" si="17"/>
        <v>0</v>
      </c>
      <c r="AQ34" s="105">
        <f t="shared" si="17"/>
        <v>0</v>
      </c>
      <c r="AR34" s="105">
        <f t="shared" si="17"/>
        <v>0</v>
      </c>
      <c r="AS34" s="105">
        <f t="shared" si="17"/>
        <v>0</v>
      </c>
      <c r="AT34" s="104">
        <f t="shared" si="18"/>
        <v>0</v>
      </c>
      <c r="AU34" s="105">
        <f t="shared" si="18"/>
        <v>0</v>
      </c>
      <c r="AV34" s="105">
        <f t="shared" si="18"/>
        <v>0</v>
      </c>
      <c r="AW34" s="105">
        <f t="shared" si="18"/>
        <v>0</v>
      </c>
      <c r="AX34" s="105">
        <f t="shared" si="18"/>
        <v>0</v>
      </c>
      <c r="AY34" s="105">
        <f t="shared" si="18"/>
        <v>0</v>
      </c>
      <c r="AZ34" s="104">
        <f t="shared" si="19"/>
        <v>0</v>
      </c>
      <c r="BA34" s="105">
        <f t="shared" si="19"/>
        <v>0</v>
      </c>
      <c r="BB34" s="105">
        <f t="shared" si="19"/>
        <v>0</v>
      </c>
      <c r="BC34" s="105">
        <f t="shared" si="19"/>
        <v>0</v>
      </c>
      <c r="BD34" s="105">
        <f t="shared" si="19"/>
        <v>0</v>
      </c>
      <c r="BE34" s="105">
        <f t="shared" si="19"/>
        <v>0</v>
      </c>
    </row>
    <row r="35" spans="2:57" x14ac:dyDescent="0.3">
      <c r="B35" s="89">
        <v>11</v>
      </c>
      <c r="C35" s="90" t="s">
        <v>218</v>
      </c>
      <c r="D35" s="91">
        <f t="shared" si="11"/>
        <v>87</v>
      </c>
      <c r="E35" s="92">
        <f t="shared" si="11"/>
        <v>86</v>
      </c>
      <c r="F35" s="93">
        <f t="shared" si="11"/>
        <v>0.9885057471264368</v>
      </c>
      <c r="G35" s="92">
        <f t="shared" si="11"/>
        <v>1</v>
      </c>
      <c r="H35" s="93">
        <f t="shared" si="11"/>
        <v>1.1494252873563218E-2</v>
      </c>
      <c r="I35" s="94">
        <f t="shared" si="11"/>
        <v>5</v>
      </c>
      <c r="J35" s="106">
        <f t="shared" si="12"/>
        <v>0</v>
      </c>
      <c r="K35" s="107">
        <f t="shared" si="12"/>
        <v>0</v>
      </c>
      <c r="L35" s="107">
        <f t="shared" si="12"/>
        <v>0</v>
      </c>
      <c r="M35" s="107">
        <f t="shared" si="12"/>
        <v>0</v>
      </c>
      <c r="N35" s="107">
        <f t="shared" si="12"/>
        <v>0</v>
      </c>
      <c r="O35" s="107">
        <f t="shared" si="12"/>
        <v>0</v>
      </c>
      <c r="P35" s="106">
        <f t="shared" si="13"/>
        <v>0</v>
      </c>
      <c r="Q35" s="107">
        <f t="shared" si="13"/>
        <v>0</v>
      </c>
      <c r="R35" s="107">
        <f t="shared" si="13"/>
        <v>0</v>
      </c>
      <c r="S35" s="107">
        <f t="shared" si="13"/>
        <v>0</v>
      </c>
      <c r="T35" s="107">
        <f t="shared" si="13"/>
        <v>0</v>
      </c>
      <c r="U35" s="108">
        <f t="shared" si="13"/>
        <v>0</v>
      </c>
      <c r="V35" s="106">
        <f t="shared" si="14"/>
        <v>0</v>
      </c>
      <c r="W35" s="107">
        <f t="shared" si="14"/>
        <v>0</v>
      </c>
      <c r="X35" s="107">
        <f t="shared" si="14"/>
        <v>0</v>
      </c>
      <c r="Y35" s="107">
        <f t="shared" si="14"/>
        <v>0</v>
      </c>
      <c r="Z35" s="107">
        <f t="shared" si="14"/>
        <v>0</v>
      </c>
      <c r="AA35" s="108">
        <f t="shared" si="14"/>
        <v>0</v>
      </c>
      <c r="AB35" s="106">
        <f t="shared" si="15"/>
        <v>0</v>
      </c>
      <c r="AC35" s="107">
        <f t="shared" si="15"/>
        <v>0</v>
      </c>
      <c r="AD35" s="107">
        <f t="shared" si="15"/>
        <v>0</v>
      </c>
      <c r="AE35" s="107">
        <f t="shared" si="15"/>
        <v>0</v>
      </c>
      <c r="AF35" s="107">
        <f t="shared" si="15"/>
        <v>0</v>
      </c>
      <c r="AG35" s="108">
        <f t="shared" si="15"/>
        <v>0</v>
      </c>
      <c r="AH35" s="106">
        <f t="shared" si="16"/>
        <v>0</v>
      </c>
      <c r="AI35" s="107">
        <f t="shared" si="16"/>
        <v>0</v>
      </c>
      <c r="AJ35" s="107">
        <f t="shared" si="16"/>
        <v>0</v>
      </c>
      <c r="AK35" s="107">
        <f t="shared" si="16"/>
        <v>0</v>
      </c>
      <c r="AL35" s="107">
        <f t="shared" si="16"/>
        <v>0</v>
      </c>
      <c r="AM35" s="108">
        <f t="shared" si="16"/>
        <v>0</v>
      </c>
      <c r="AN35" s="106">
        <f t="shared" si="17"/>
        <v>0</v>
      </c>
      <c r="AO35" s="107">
        <f t="shared" si="17"/>
        <v>0</v>
      </c>
      <c r="AP35" s="107">
        <f t="shared" si="17"/>
        <v>0</v>
      </c>
      <c r="AQ35" s="107">
        <f t="shared" si="17"/>
        <v>0</v>
      </c>
      <c r="AR35" s="107">
        <f t="shared" si="17"/>
        <v>0</v>
      </c>
      <c r="AS35" s="108">
        <f t="shared" si="17"/>
        <v>0</v>
      </c>
      <c r="AT35" s="106">
        <f t="shared" si="18"/>
        <v>0</v>
      </c>
      <c r="AU35" s="107">
        <f t="shared" si="18"/>
        <v>0</v>
      </c>
      <c r="AV35" s="107">
        <f t="shared" si="18"/>
        <v>0</v>
      </c>
      <c r="AW35" s="107">
        <f t="shared" si="18"/>
        <v>0</v>
      </c>
      <c r="AX35" s="107">
        <f t="shared" si="18"/>
        <v>0</v>
      </c>
      <c r="AY35" s="108">
        <f t="shared" si="18"/>
        <v>0</v>
      </c>
      <c r="AZ35" s="106">
        <f t="shared" si="19"/>
        <v>0</v>
      </c>
      <c r="BA35" s="107">
        <f t="shared" si="19"/>
        <v>0</v>
      </c>
      <c r="BB35" s="107">
        <f t="shared" si="19"/>
        <v>0</v>
      </c>
      <c r="BC35" s="107">
        <f t="shared" si="19"/>
        <v>0</v>
      </c>
      <c r="BD35" s="107">
        <f t="shared" si="19"/>
        <v>0</v>
      </c>
      <c r="BE35" s="108">
        <f t="shared" si="19"/>
        <v>0</v>
      </c>
    </row>
    <row r="36" spans="2:57" x14ac:dyDescent="0.3">
      <c r="D36" s="98">
        <f t="shared" si="11"/>
        <v>1003</v>
      </c>
      <c r="E36" s="98">
        <f t="shared" si="11"/>
        <v>853</v>
      </c>
      <c r="F36" s="99">
        <f t="shared" si="11"/>
        <v>0.85044865403788639</v>
      </c>
      <c r="G36" s="98">
        <f t="shared" si="11"/>
        <v>150</v>
      </c>
      <c r="H36" s="99">
        <f t="shared" si="11"/>
        <v>0.14955134596211367</v>
      </c>
      <c r="I36" s="98">
        <f t="shared" si="11"/>
        <v>60</v>
      </c>
    </row>
    <row r="37" spans="2:57" x14ac:dyDescent="0.3">
      <c r="D37" s="98"/>
      <c r="E37" s="98"/>
      <c r="F37" s="99"/>
      <c r="G37" s="98"/>
      <c r="H37" s="99"/>
      <c r="I37" s="98"/>
    </row>
    <row r="38" spans="2:57" x14ac:dyDescent="0.3">
      <c r="D38" s="98"/>
      <c r="E38" s="98"/>
      <c r="F38" s="99"/>
      <c r="G38" s="98"/>
      <c r="H38" s="99"/>
      <c r="I38" s="98"/>
      <c r="J38" s="109"/>
    </row>
    <row r="39" spans="2:57" ht="15.6" x14ac:dyDescent="0.3">
      <c r="D39" s="98"/>
      <c r="E39" s="98"/>
      <c r="F39" s="99"/>
      <c r="G39" s="98"/>
      <c r="H39" s="99"/>
      <c r="I39" s="98"/>
      <c r="K39" s="110" t="s">
        <v>581</v>
      </c>
    </row>
    <row r="40" spans="2:57" x14ac:dyDescent="0.3">
      <c r="D40" s="98"/>
      <c r="E40" s="98"/>
      <c r="F40" s="99"/>
      <c r="G40" s="98"/>
      <c r="H40" s="99"/>
      <c r="I40" s="98"/>
    </row>
    <row r="41" spans="2:57" x14ac:dyDescent="0.3">
      <c r="D41" s="98"/>
      <c r="E41" s="98"/>
      <c r="F41" s="99"/>
      <c r="G41" s="98"/>
      <c r="H41" s="99"/>
      <c r="I41" s="98"/>
    </row>
    <row r="42" spans="2:57" x14ac:dyDescent="0.3">
      <c r="U42" s="111"/>
    </row>
    <row r="43" spans="2:57" x14ac:dyDescent="0.3">
      <c r="E43" s="143" t="s">
        <v>553</v>
      </c>
      <c r="F43" s="145" t="s">
        <v>5</v>
      </c>
      <c r="G43" s="146"/>
      <c r="H43" s="146"/>
      <c r="I43" s="147"/>
      <c r="J43" s="151" t="s">
        <v>582</v>
      </c>
      <c r="K43" s="152"/>
      <c r="L43" s="152"/>
      <c r="M43" s="152"/>
      <c r="N43" s="152"/>
      <c r="O43" s="152"/>
      <c r="P43" s="152"/>
      <c r="Q43" s="152"/>
      <c r="R43" s="152"/>
    </row>
    <row r="44" spans="2:57" x14ac:dyDescent="0.3">
      <c r="E44" s="144"/>
      <c r="F44" s="148"/>
      <c r="G44" s="149"/>
      <c r="H44" s="149"/>
      <c r="I44" s="150"/>
      <c r="J44" s="112">
        <v>1</v>
      </c>
      <c r="K44" s="113">
        <v>2</v>
      </c>
      <c r="L44" s="113">
        <v>3</v>
      </c>
      <c r="M44" s="113">
        <v>4</v>
      </c>
      <c r="N44" s="113">
        <v>5</v>
      </c>
      <c r="O44" s="113">
        <v>6</v>
      </c>
      <c r="P44" s="113">
        <v>7</v>
      </c>
      <c r="Q44" s="113">
        <v>8</v>
      </c>
      <c r="R44" s="114" t="s">
        <v>583</v>
      </c>
      <c r="T44" s="114" t="s">
        <v>584</v>
      </c>
    </row>
    <row r="45" spans="2:57" x14ac:dyDescent="0.3">
      <c r="E45" s="74">
        <v>1</v>
      </c>
      <c r="F45" s="115" t="s">
        <v>232</v>
      </c>
      <c r="G45" s="116"/>
      <c r="H45" s="116"/>
      <c r="I45" s="117"/>
      <c r="J45" s="118">
        <f t="shared" ref="J45:J55" si="20">SUM(J25:O25)</f>
        <v>4.481481481481481</v>
      </c>
      <c r="K45" s="118">
        <f t="shared" ref="K45:K55" si="21">SUM(P25:U25)</f>
        <v>4.4821428571428568</v>
      </c>
      <c r="L45" s="118">
        <f t="shared" ref="L45:L55" si="22">SUM(V25:AA25)</f>
        <v>4.4722222222222223</v>
      </c>
      <c r="M45" s="118">
        <f t="shared" ref="M45:M55" si="23">SUM(AB25:AG25)</f>
        <v>4.3269230769230766</v>
      </c>
      <c r="N45" s="118">
        <f t="shared" ref="N45:N55" si="24">SUM(AH25:AM25)</f>
        <v>4.5370370370370363</v>
      </c>
      <c r="O45" s="118">
        <f t="shared" ref="O45:O55" si="25">SUM(AN25:AS25)</f>
        <v>0</v>
      </c>
      <c r="P45" s="118">
        <f t="shared" ref="P45:P55" si="26">SUM(AT25:AY25)</f>
        <v>0</v>
      </c>
      <c r="Q45" s="118">
        <f t="shared" ref="Q45:Q55" si="27">SUM(AZ25:BE25)</f>
        <v>0</v>
      </c>
      <c r="R45" s="119">
        <f t="shared" ref="R45:R48" si="28">IFERROR(AVERAGEIF(J45:Q45,"&gt;0",J45:Q45),0)</f>
        <v>4.459961334961335</v>
      </c>
      <c r="T45" s="119">
        <v>4.4600389863547756</v>
      </c>
      <c r="U45" s="120"/>
      <c r="V45" s="120"/>
    </row>
    <row r="46" spans="2:57" x14ac:dyDescent="0.3">
      <c r="E46" s="84">
        <v>2</v>
      </c>
      <c r="F46" s="121" t="s">
        <v>579</v>
      </c>
      <c r="I46" s="122"/>
      <c r="J46" s="123">
        <f t="shared" si="20"/>
        <v>0</v>
      </c>
      <c r="K46" s="123">
        <f t="shared" si="21"/>
        <v>0</v>
      </c>
      <c r="L46" s="123">
        <f t="shared" si="22"/>
        <v>0</v>
      </c>
      <c r="M46" s="123">
        <f t="shared" si="23"/>
        <v>0</v>
      </c>
      <c r="N46" s="123">
        <f t="shared" si="24"/>
        <v>0</v>
      </c>
      <c r="O46" s="123">
        <f t="shared" si="25"/>
        <v>0</v>
      </c>
      <c r="P46" s="123">
        <f t="shared" si="26"/>
        <v>0</v>
      </c>
      <c r="Q46" s="123">
        <f t="shared" si="27"/>
        <v>0</v>
      </c>
      <c r="R46" s="124">
        <f t="shared" si="28"/>
        <v>0</v>
      </c>
      <c r="T46" s="125">
        <v>4.1269999999999998</v>
      </c>
      <c r="U46" s="120"/>
      <c r="V46" s="120"/>
    </row>
    <row r="47" spans="2:57" x14ac:dyDescent="0.3">
      <c r="E47" s="84">
        <v>3</v>
      </c>
      <c r="F47" s="121" t="s">
        <v>74</v>
      </c>
      <c r="I47" s="122"/>
      <c r="J47" s="123">
        <f t="shared" si="20"/>
        <v>0</v>
      </c>
      <c r="K47" s="123">
        <f t="shared" si="21"/>
        <v>0</v>
      </c>
      <c r="L47" s="123">
        <f t="shared" si="22"/>
        <v>0</v>
      </c>
      <c r="M47" s="123">
        <f t="shared" si="23"/>
        <v>0</v>
      </c>
      <c r="N47" s="123">
        <f t="shared" si="24"/>
        <v>0</v>
      </c>
      <c r="O47" s="123">
        <f t="shared" si="25"/>
        <v>0</v>
      </c>
      <c r="P47" s="123">
        <f t="shared" si="26"/>
        <v>0</v>
      </c>
      <c r="Q47" s="123">
        <f t="shared" si="27"/>
        <v>0</v>
      </c>
      <c r="R47" s="124">
        <f t="shared" si="28"/>
        <v>0</v>
      </c>
      <c r="T47" s="125">
        <v>4.0410000000000004</v>
      </c>
      <c r="U47" s="120"/>
      <c r="V47" s="120"/>
    </row>
    <row r="48" spans="2:57" x14ac:dyDescent="0.3">
      <c r="E48" s="84">
        <v>4</v>
      </c>
      <c r="F48" s="121" t="s">
        <v>49</v>
      </c>
      <c r="I48" s="122"/>
      <c r="J48" s="123">
        <f t="shared" si="20"/>
        <v>0</v>
      </c>
      <c r="K48" s="123">
        <f t="shared" si="21"/>
        <v>0</v>
      </c>
      <c r="L48" s="123">
        <f t="shared" si="22"/>
        <v>0</v>
      </c>
      <c r="M48" s="123">
        <f t="shared" si="23"/>
        <v>0</v>
      </c>
      <c r="N48" s="123">
        <f t="shared" si="24"/>
        <v>0</v>
      </c>
      <c r="O48" s="123">
        <f t="shared" si="25"/>
        <v>0</v>
      </c>
      <c r="P48" s="123">
        <f t="shared" si="26"/>
        <v>0</v>
      </c>
      <c r="Q48" s="123">
        <f t="shared" si="27"/>
        <v>0</v>
      </c>
      <c r="R48" s="124">
        <f t="shared" si="28"/>
        <v>0</v>
      </c>
      <c r="T48" s="125">
        <v>4.1500000000000004</v>
      </c>
      <c r="U48" s="120"/>
      <c r="V48" s="120"/>
    </row>
    <row r="49" spans="5:22" x14ac:dyDescent="0.3">
      <c r="E49" s="84">
        <v>5</v>
      </c>
      <c r="F49" s="121" t="s">
        <v>43</v>
      </c>
      <c r="I49" s="122"/>
      <c r="J49" s="123">
        <f t="shared" si="20"/>
        <v>0</v>
      </c>
      <c r="K49" s="123">
        <f t="shared" si="21"/>
        <v>0</v>
      </c>
      <c r="L49" s="123">
        <f t="shared" si="22"/>
        <v>0</v>
      </c>
      <c r="M49" s="123">
        <f t="shared" si="23"/>
        <v>0</v>
      </c>
      <c r="N49" s="123">
        <f t="shared" si="24"/>
        <v>0</v>
      </c>
      <c r="O49" s="123">
        <f t="shared" si="25"/>
        <v>0</v>
      </c>
      <c r="P49" s="123">
        <f t="shared" si="26"/>
        <v>0</v>
      </c>
      <c r="Q49" s="123">
        <f t="shared" si="27"/>
        <v>0</v>
      </c>
      <c r="R49" s="126">
        <f>IFERROR(AVERAGEIF(J49:Q49,"&gt;0",J49:Q49),0)</f>
        <v>0</v>
      </c>
      <c r="T49" s="126">
        <v>4.5289999999999999</v>
      </c>
      <c r="U49" s="120"/>
      <c r="V49" s="120"/>
    </row>
    <row r="50" spans="5:22" x14ac:dyDescent="0.3">
      <c r="E50" s="84">
        <v>6</v>
      </c>
      <c r="F50" s="121" t="s">
        <v>18</v>
      </c>
      <c r="I50" s="122"/>
      <c r="J50" s="123">
        <f t="shared" si="20"/>
        <v>0</v>
      </c>
      <c r="K50" s="123">
        <f t="shared" si="21"/>
        <v>0</v>
      </c>
      <c r="L50" s="123">
        <f t="shared" si="22"/>
        <v>0</v>
      </c>
      <c r="M50" s="123">
        <f t="shared" si="23"/>
        <v>0</v>
      </c>
      <c r="N50" s="123">
        <f t="shared" si="24"/>
        <v>0</v>
      </c>
      <c r="O50" s="123">
        <f t="shared" si="25"/>
        <v>0</v>
      </c>
      <c r="P50" s="123">
        <f t="shared" si="26"/>
        <v>0</v>
      </c>
      <c r="Q50" s="123">
        <f t="shared" si="27"/>
        <v>0</v>
      </c>
      <c r="R50" s="124">
        <f t="shared" ref="R50:R55" si="29">IFERROR(AVERAGEIF(J50:Q50,"&gt;0",J50:Q50),0)</f>
        <v>0</v>
      </c>
      <c r="T50" s="125">
        <v>4.0529999999999999</v>
      </c>
      <c r="U50" s="120"/>
      <c r="V50" s="120"/>
    </row>
    <row r="51" spans="5:22" x14ac:dyDescent="0.3">
      <c r="E51" s="84">
        <v>7</v>
      </c>
      <c r="F51" s="121" t="s">
        <v>7</v>
      </c>
      <c r="I51" s="122"/>
      <c r="J51" s="123">
        <f t="shared" si="20"/>
        <v>0</v>
      </c>
      <c r="K51" s="123">
        <f t="shared" si="21"/>
        <v>0</v>
      </c>
      <c r="L51" s="123">
        <f t="shared" si="22"/>
        <v>0</v>
      </c>
      <c r="M51" s="123">
        <f t="shared" si="23"/>
        <v>0</v>
      </c>
      <c r="N51" s="123">
        <f t="shared" si="24"/>
        <v>0</v>
      </c>
      <c r="O51" s="123">
        <f t="shared" si="25"/>
        <v>0</v>
      </c>
      <c r="P51" s="123">
        <f t="shared" si="26"/>
        <v>0</v>
      </c>
      <c r="Q51" s="123">
        <f t="shared" si="27"/>
        <v>0</v>
      </c>
      <c r="R51" s="124">
        <f t="shared" si="29"/>
        <v>0</v>
      </c>
      <c r="T51" s="125">
        <v>4.2709999999999999</v>
      </c>
      <c r="U51" s="120"/>
      <c r="V51" s="120"/>
    </row>
    <row r="52" spans="5:22" x14ac:dyDescent="0.3">
      <c r="E52" s="84">
        <v>8</v>
      </c>
      <c r="F52" s="121" t="s">
        <v>12</v>
      </c>
      <c r="I52" s="122"/>
      <c r="J52" s="127">
        <f t="shared" si="20"/>
        <v>0</v>
      </c>
      <c r="K52" s="127">
        <f t="shared" si="21"/>
        <v>0</v>
      </c>
      <c r="L52" s="127">
        <f t="shared" si="22"/>
        <v>0</v>
      </c>
      <c r="M52" s="127">
        <f t="shared" si="23"/>
        <v>0</v>
      </c>
      <c r="N52" s="127">
        <f t="shared" si="24"/>
        <v>0</v>
      </c>
      <c r="O52" s="127">
        <f t="shared" si="25"/>
        <v>0</v>
      </c>
      <c r="P52" s="127">
        <f t="shared" si="26"/>
        <v>0</v>
      </c>
      <c r="Q52" s="127">
        <f t="shared" si="27"/>
        <v>0</v>
      </c>
      <c r="R52" s="124">
        <f t="shared" si="29"/>
        <v>0</v>
      </c>
      <c r="T52" s="125">
        <v>4.1929999999999996</v>
      </c>
      <c r="U52" s="120"/>
      <c r="V52" s="120"/>
    </row>
    <row r="53" spans="5:22" x14ac:dyDescent="0.3">
      <c r="E53" s="84">
        <v>9</v>
      </c>
      <c r="F53" s="121" t="s">
        <v>100</v>
      </c>
      <c r="I53" s="122"/>
      <c r="J53" s="123">
        <f t="shared" si="20"/>
        <v>0</v>
      </c>
      <c r="K53" s="123">
        <f t="shared" si="21"/>
        <v>0</v>
      </c>
      <c r="L53" s="123">
        <f t="shared" si="22"/>
        <v>0</v>
      </c>
      <c r="M53" s="123">
        <f t="shared" si="23"/>
        <v>0</v>
      </c>
      <c r="N53" s="123">
        <f t="shared" si="24"/>
        <v>0</v>
      </c>
      <c r="O53" s="123">
        <f t="shared" si="25"/>
        <v>0</v>
      </c>
      <c r="P53" s="123">
        <f t="shared" si="26"/>
        <v>0</v>
      </c>
      <c r="Q53" s="123">
        <f t="shared" si="27"/>
        <v>0</v>
      </c>
      <c r="R53" s="126">
        <f t="shared" si="29"/>
        <v>0</v>
      </c>
      <c r="T53" s="126">
        <v>4.407</v>
      </c>
      <c r="U53" s="120"/>
      <c r="V53" s="120"/>
    </row>
    <row r="54" spans="5:22" x14ac:dyDescent="0.3">
      <c r="E54" s="84">
        <v>10</v>
      </c>
      <c r="F54" s="121" t="s">
        <v>50</v>
      </c>
      <c r="I54" s="122"/>
      <c r="J54" s="123">
        <f t="shared" si="20"/>
        <v>0</v>
      </c>
      <c r="K54" s="123">
        <f t="shared" si="21"/>
        <v>0</v>
      </c>
      <c r="L54" s="123">
        <f t="shared" si="22"/>
        <v>0</v>
      </c>
      <c r="M54" s="123">
        <f t="shared" si="23"/>
        <v>0</v>
      </c>
      <c r="N54" s="123">
        <f t="shared" si="24"/>
        <v>0</v>
      </c>
      <c r="O54" s="123">
        <f t="shared" si="25"/>
        <v>0</v>
      </c>
      <c r="P54" s="123">
        <f t="shared" si="26"/>
        <v>0</v>
      </c>
      <c r="Q54" s="123">
        <f t="shared" si="27"/>
        <v>0</v>
      </c>
      <c r="R54" s="124">
        <f t="shared" si="29"/>
        <v>0</v>
      </c>
      <c r="T54" s="125">
        <v>3.5390000000000001</v>
      </c>
      <c r="U54" s="120"/>
      <c r="V54" s="120"/>
    </row>
    <row r="55" spans="5:22" x14ac:dyDescent="0.3">
      <c r="E55" s="89">
        <v>11</v>
      </c>
      <c r="F55" s="128" t="s">
        <v>218</v>
      </c>
      <c r="G55" s="129"/>
      <c r="H55" s="129"/>
      <c r="I55" s="130"/>
      <c r="J55" s="131">
        <f t="shared" si="20"/>
        <v>0</v>
      </c>
      <c r="K55" s="131">
        <f t="shared" si="21"/>
        <v>0</v>
      </c>
      <c r="L55" s="131">
        <f t="shared" si="22"/>
        <v>0</v>
      </c>
      <c r="M55" s="131">
        <f t="shared" si="23"/>
        <v>0</v>
      </c>
      <c r="N55" s="131">
        <f t="shared" si="24"/>
        <v>0</v>
      </c>
      <c r="O55" s="131">
        <f t="shared" si="25"/>
        <v>0</v>
      </c>
      <c r="P55" s="131">
        <f t="shared" si="26"/>
        <v>0</v>
      </c>
      <c r="Q55" s="131">
        <f t="shared" si="27"/>
        <v>0</v>
      </c>
      <c r="R55" s="132">
        <f t="shared" si="29"/>
        <v>0</v>
      </c>
      <c r="T55" s="133">
        <v>4.2439999999999998</v>
      </c>
      <c r="U55" s="120"/>
      <c r="V55" s="120"/>
    </row>
    <row r="57" spans="5:22" ht="15.6" x14ac:dyDescent="0.3">
      <c r="J57" s="135" t="s">
        <v>568</v>
      </c>
      <c r="K57" s="135"/>
      <c r="L57" s="135"/>
      <c r="O57" s="110"/>
    </row>
    <row r="58" spans="5:22" x14ac:dyDescent="0.3">
      <c r="J58" s="73" t="s">
        <v>576</v>
      </c>
      <c r="K58" s="73" t="s">
        <v>577</v>
      </c>
      <c r="L58" s="73" t="s">
        <v>578</v>
      </c>
    </row>
    <row r="59" spans="5:22" x14ac:dyDescent="0.3">
      <c r="J59" s="82" t="s">
        <v>570</v>
      </c>
      <c r="K59" s="82" t="s">
        <v>524</v>
      </c>
      <c r="L59" s="83">
        <v>1</v>
      </c>
    </row>
    <row r="60" spans="5:22" x14ac:dyDescent="0.3">
      <c r="J60" s="82" t="s">
        <v>571</v>
      </c>
      <c r="K60" s="82" t="s">
        <v>513</v>
      </c>
      <c r="L60" s="83">
        <v>2</v>
      </c>
    </row>
    <row r="61" spans="5:22" x14ac:dyDescent="0.3">
      <c r="J61" s="82" t="s">
        <v>572</v>
      </c>
      <c r="K61" s="82" t="s">
        <v>498</v>
      </c>
      <c r="L61" s="83">
        <v>3</v>
      </c>
    </row>
    <row r="62" spans="5:22" x14ac:dyDescent="0.3">
      <c r="J62" s="82" t="s">
        <v>573</v>
      </c>
      <c r="K62" s="82" t="s">
        <v>495</v>
      </c>
      <c r="L62" s="83">
        <v>4</v>
      </c>
    </row>
    <row r="63" spans="5:22" x14ac:dyDescent="0.3">
      <c r="J63" s="82" t="s">
        <v>574</v>
      </c>
      <c r="K63" s="82" t="s">
        <v>497</v>
      </c>
      <c r="L63" s="83">
        <v>5</v>
      </c>
    </row>
    <row r="64" spans="5:22" x14ac:dyDescent="0.3">
      <c r="J64" s="82" t="s">
        <v>575</v>
      </c>
      <c r="K64" s="82" t="s">
        <v>552</v>
      </c>
      <c r="L64" s="83">
        <v>0</v>
      </c>
    </row>
    <row r="72" spans="10:10" ht="18" x14ac:dyDescent="0.4">
      <c r="J72" t="s">
        <v>585</v>
      </c>
    </row>
  </sheetData>
  <mergeCells count="35">
    <mergeCell ref="J57:L57"/>
    <mergeCell ref="AB23:AG23"/>
    <mergeCell ref="AH23:AM23"/>
    <mergeCell ref="AN23:AS23"/>
    <mergeCell ref="AT23:AY23"/>
    <mergeCell ref="AZ23:BE23"/>
    <mergeCell ref="E43:E44"/>
    <mergeCell ref="F43:I44"/>
    <mergeCell ref="J43:R43"/>
    <mergeCell ref="B22:B24"/>
    <mergeCell ref="C22:C24"/>
    <mergeCell ref="D22:D24"/>
    <mergeCell ref="E22:H22"/>
    <mergeCell ref="I22:BE22"/>
    <mergeCell ref="E23:F23"/>
    <mergeCell ref="I23:I24"/>
    <mergeCell ref="J23:O23"/>
    <mergeCell ref="P23:U23"/>
    <mergeCell ref="V23:AA23"/>
    <mergeCell ref="BG5:BI5"/>
    <mergeCell ref="B4:B6"/>
    <mergeCell ref="C4:C6"/>
    <mergeCell ref="D4:D6"/>
    <mergeCell ref="E4:H4"/>
    <mergeCell ref="I4:BE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</mergeCells>
  <conditionalFormatting sqref="J7:BE17">
    <cfRule type="expression" dxfId="3" priority="2">
      <formula>J7=""</formula>
    </cfRule>
  </conditionalFormatting>
  <conditionalFormatting sqref="J25:BE35">
    <cfRule type="expression" dxfId="2" priority="1">
      <formula>J25=0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85CF1-2B5F-4464-8F37-B752FFA087CD}">
  <sheetPr codeName="Hoja3"/>
  <dimension ref="A1:L37"/>
  <sheetViews>
    <sheetView workbookViewId="0">
      <pane ySplit="1" topLeftCell="A2" activePane="bottomLeft" state="frozenSplit"/>
      <selection pane="bottomLeft" sqref="A1:A1048497"/>
    </sheetView>
  </sheetViews>
  <sheetFormatPr baseColWidth="10" defaultRowHeight="14.4" x14ac:dyDescent="0.3"/>
  <cols>
    <col min="1" max="1" width="194.33203125" bestFit="1" customWidth="1"/>
  </cols>
  <sheetData>
    <row r="1" spans="1:12" x14ac:dyDescent="0.3">
      <c r="A1" s="159" t="s">
        <v>586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</row>
    <row r="3" spans="1:12" x14ac:dyDescent="0.3">
      <c r="A3" t="s">
        <v>496</v>
      </c>
    </row>
    <row r="4" spans="1:12" x14ac:dyDescent="0.3">
      <c r="A4" t="s">
        <v>499</v>
      </c>
    </row>
    <row r="5" spans="1:12" x14ac:dyDescent="0.3">
      <c r="A5" t="s">
        <v>500</v>
      </c>
    </row>
    <row r="6" spans="1:12" x14ac:dyDescent="0.3">
      <c r="A6" s="66" t="s">
        <v>503</v>
      </c>
    </row>
    <row r="7" spans="1:12" x14ac:dyDescent="0.3">
      <c r="A7" t="s">
        <v>505</v>
      </c>
    </row>
    <row r="8" spans="1:12" x14ac:dyDescent="0.3">
      <c r="A8" t="s">
        <v>506</v>
      </c>
    </row>
    <row r="9" spans="1:12" x14ac:dyDescent="0.3">
      <c r="A9" t="s">
        <v>507</v>
      </c>
    </row>
    <row r="10" spans="1:12" x14ac:dyDescent="0.3">
      <c r="A10" t="s">
        <v>508</v>
      </c>
    </row>
    <row r="11" spans="1:12" x14ac:dyDescent="0.3">
      <c r="A11" t="s">
        <v>509</v>
      </c>
    </row>
    <row r="12" spans="1:12" x14ac:dyDescent="0.3">
      <c r="A12" t="s">
        <v>511</v>
      </c>
    </row>
    <row r="13" spans="1:12" x14ac:dyDescent="0.3">
      <c r="A13" t="s">
        <v>512</v>
      </c>
    </row>
    <row r="14" spans="1:12" x14ac:dyDescent="0.3">
      <c r="A14" t="s">
        <v>514</v>
      </c>
    </row>
    <row r="15" spans="1:12" x14ac:dyDescent="0.3">
      <c r="A15" t="s">
        <v>518</v>
      </c>
    </row>
    <row r="16" spans="1:12" x14ac:dyDescent="0.3">
      <c r="A16" t="s">
        <v>519</v>
      </c>
    </row>
    <row r="17" spans="1:1" x14ac:dyDescent="0.3">
      <c r="A17" t="s">
        <v>520</v>
      </c>
    </row>
    <row r="18" spans="1:1" x14ac:dyDescent="0.3">
      <c r="A18" t="s">
        <v>521</v>
      </c>
    </row>
    <row r="19" spans="1:1" x14ac:dyDescent="0.3">
      <c r="A19" t="s">
        <v>522</v>
      </c>
    </row>
    <row r="20" spans="1:1" x14ac:dyDescent="0.3">
      <c r="A20" t="s">
        <v>523</v>
      </c>
    </row>
    <row r="21" spans="1:1" x14ac:dyDescent="0.3">
      <c r="A21" t="s">
        <v>495</v>
      </c>
    </row>
    <row r="22" spans="1:1" x14ac:dyDescent="0.3">
      <c r="A22" t="s">
        <v>525</v>
      </c>
    </row>
    <row r="23" spans="1:1" x14ac:dyDescent="0.3">
      <c r="A23" t="s">
        <v>527</v>
      </c>
    </row>
    <row r="24" spans="1:1" x14ac:dyDescent="0.3">
      <c r="A24" t="s">
        <v>528</v>
      </c>
    </row>
    <row r="25" spans="1:1" x14ac:dyDescent="0.3">
      <c r="A25" t="s">
        <v>529</v>
      </c>
    </row>
    <row r="26" spans="1:1" x14ac:dyDescent="0.3">
      <c r="A26" t="s">
        <v>530</v>
      </c>
    </row>
    <row r="27" spans="1:1" x14ac:dyDescent="0.3">
      <c r="A27" t="s">
        <v>531</v>
      </c>
    </row>
    <row r="28" spans="1:1" x14ac:dyDescent="0.3">
      <c r="A28" t="s">
        <v>532</v>
      </c>
    </row>
    <row r="29" spans="1:1" x14ac:dyDescent="0.3">
      <c r="A29" t="s">
        <v>533</v>
      </c>
    </row>
    <row r="30" spans="1:1" x14ac:dyDescent="0.3">
      <c r="A30" t="s">
        <v>535</v>
      </c>
    </row>
    <row r="31" spans="1:1" x14ac:dyDescent="0.3">
      <c r="A31" t="s">
        <v>536</v>
      </c>
    </row>
    <row r="32" spans="1:1" x14ac:dyDescent="0.3">
      <c r="A32" t="s">
        <v>540</v>
      </c>
    </row>
    <row r="33" spans="1:1" x14ac:dyDescent="0.3">
      <c r="A33" t="s">
        <v>541</v>
      </c>
    </row>
    <row r="34" spans="1:1" x14ac:dyDescent="0.3">
      <c r="A34" s="66" t="s">
        <v>543</v>
      </c>
    </row>
    <row r="35" spans="1:1" x14ac:dyDescent="0.3">
      <c r="A35" t="s">
        <v>546</v>
      </c>
    </row>
    <row r="36" spans="1:1" x14ac:dyDescent="0.3">
      <c r="A36" t="s">
        <v>548</v>
      </c>
    </row>
    <row r="37" spans="1:1" x14ac:dyDescent="0.3">
      <c r="A37" t="s">
        <v>549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5601-362C-41A5-AF77-F5911748B660}">
  <sheetPr codeName="Hoja4"/>
  <dimension ref="A1:G571"/>
  <sheetViews>
    <sheetView workbookViewId="0">
      <selection activeCell="E1" sqref="E1"/>
    </sheetView>
  </sheetViews>
  <sheetFormatPr baseColWidth="10" defaultRowHeight="14.4" x14ac:dyDescent="0.3"/>
  <cols>
    <col min="1" max="1" width="18.33203125" customWidth="1"/>
  </cols>
  <sheetData>
    <row r="1" spans="1:7" x14ac:dyDescent="0.3">
      <c r="A1" t="s">
        <v>486</v>
      </c>
      <c r="B1" t="s">
        <v>468</v>
      </c>
      <c r="C1" t="s">
        <v>589</v>
      </c>
      <c r="D1" t="s">
        <v>65</v>
      </c>
      <c r="E1" t="s">
        <v>5</v>
      </c>
    </row>
    <row r="2" spans="1:7" x14ac:dyDescent="0.3">
      <c r="A2" s="153" t="s">
        <v>373</v>
      </c>
      <c r="B2" t="s">
        <v>0</v>
      </c>
      <c r="C2" s="154" t="s">
        <v>587</v>
      </c>
      <c r="D2" t="str">
        <f>VLOOKUP(A2,DataUsuario!B:D,2,FALSE)</f>
        <v>Operaciones</v>
      </c>
      <c r="E2" t="str">
        <f>VLOOKUP(A2,DataUsuario!B:D,3,FALSE)</f>
        <v>Gerencia de Operaciones</v>
      </c>
    </row>
    <row r="3" spans="1:7" x14ac:dyDescent="0.3">
      <c r="A3" s="156" t="s">
        <v>318</v>
      </c>
      <c r="B3" t="s">
        <v>0</v>
      </c>
      <c r="C3" s="157" t="s">
        <v>587</v>
      </c>
      <c r="D3" t="str">
        <f>VLOOKUP(A3,DataUsuario!B:D,2,FALSE)</f>
        <v>Industrial y de Mantenimiento</v>
      </c>
      <c r="E3" t="str">
        <f>VLOOKUP(A3,DataUsuario!B:D,3,FALSE)</f>
        <v>Producción</v>
      </c>
    </row>
    <row r="4" spans="1:7" x14ac:dyDescent="0.3">
      <c r="A4" s="153" t="s">
        <v>102</v>
      </c>
      <c r="B4" t="s">
        <v>0</v>
      </c>
      <c r="C4" s="154" t="s">
        <v>587</v>
      </c>
      <c r="D4" t="str">
        <f>VLOOKUP(A4,DataUsuario!B:D,2,FALSE)</f>
        <v>Administración y Finanzas</v>
      </c>
      <c r="E4" t="str">
        <f>VLOOKUP(A4,DataUsuario!B:D,3,FALSE)</f>
        <v>Legal</v>
      </c>
      <c r="G4" t="s">
        <v>0</v>
      </c>
    </row>
    <row r="5" spans="1:7" x14ac:dyDescent="0.3">
      <c r="A5" s="156" t="s">
        <v>424</v>
      </c>
      <c r="B5" t="s">
        <v>0</v>
      </c>
      <c r="C5" s="157">
        <v>4</v>
      </c>
      <c r="D5" t="str">
        <f>VLOOKUP(A5,DataUsuario!B:D,2,FALSE)</f>
        <v>Agrícola</v>
      </c>
      <c r="E5" t="str">
        <f>VLOOKUP(A5,DataUsuario!B:D,3,FALSE)</f>
        <v>Fundo Lobo</v>
      </c>
      <c r="G5" t="s">
        <v>1</v>
      </c>
    </row>
    <row r="6" spans="1:7" x14ac:dyDescent="0.3">
      <c r="A6" s="153" t="s">
        <v>153</v>
      </c>
      <c r="B6" t="s">
        <v>0</v>
      </c>
      <c r="C6" s="154" t="s">
        <v>587</v>
      </c>
      <c r="D6" t="str">
        <f>VLOOKUP(A6,DataUsuario!B:D,2,FALSE)</f>
        <v>Administración y Finanzas</v>
      </c>
      <c r="E6" t="str">
        <f>VLOOKUP(A6,DataUsuario!B:D,3,FALSE)</f>
        <v>Legal</v>
      </c>
      <c r="G6" t="s">
        <v>2</v>
      </c>
    </row>
    <row r="7" spans="1:7" x14ac:dyDescent="0.3">
      <c r="A7" s="156" t="s">
        <v>99</v>
      </c>
      <c r="B7" t="s">
        <v>0</v>
      </c>
      <c r="C7" s="157" t="s">
        <v>587</v>
      </c>
      <c r="D7" t="str">
        <f>VLOOKUP(A7,DataUsuario!B:D,2,FALSE)</f>
        <v>Administración y Finanzas</v>
      </c>
      <c r="E7" t="str">
        <f>VLOOKUP(A7,DataUsuario!B:D,3,FALSE)</f>
        <v>Control de Gestión</v>
      </c>
      <c r="G7" t="s">
        <v>3</v>
      </c>
    </row>
    <row r="8" spans="1:7" x14ac:dyDescent="0.3">
      <c r="A8" s="153" t="s">
        <v>269</v>
      </c>
      <c r="B8" t="s">
        <v>0</v>
      </c>
      <c r="C8" s="154" t="s">
        <v>587</v>
      </c>
      <c r="D8" t="str">
        <f>VLOOKUP(A8,DataUsuario!B:D,2,FALSE)</f>
        <v>Operaciones</v>
      </c>
      <c r="E8" t="str">
        <f>VLOOKUP(A8,DataUsuario!B:D,3,FALSE)</f>
        <v>Calidad</v>
      </c>
      <c r="G8" t="s">
        <v>4</v>
      </c>
    </row>
    <row r="9" spans="1:7" x14ac:dyDescent="0.3">
      <c r="A9" s="156" t="s">
        <v>177</v>
      </c>
      <c r="B9" t="s">
        <v>0</v>
      </c>
      <c r="C9" s="157">
        <v>4</v>
      </c>
      <c r="D9" t="str">
        <f>VLOOKUP(A9,DataUsuario!B:D,2,FALSE)</f>
        <v>Gestión Humana y Sostenibilidad</v>
      </c>
      <c r="E9" t="str">
        <f>VLOOKUP(A9,DataUsuario!B:D,3,FALSE)</f>
        <v>Seguridad</v>
      </c>
    </row>
    <row r="10" spans="1:7" x14ac:dyDescent="0.3">
      <c r="A10" s="153" t="s">
        <v>72</v>
      </c>
      <c r="B10" t="s">
        <v>0</v>
      </c>
      <c r="C10" s="154">
        <v>3</v>
      </c>
      <c r="D10" t="str">
        <f>VLOOKUP(A10,DataUsuario!B:D,2,FALSE)</f>
        <v>Administración y Finanzas</v>
      </c>
      <c r="E10" t="str">
        <f>VLOOKUP(A10,DataUsuario!B:D,3,FALSE)</f>
        <v>Finanzas y Tesorería</v>
      </c>
    </row>
    <row r="11" spans="1:7" x14ac:dyDescent="0.3">
      <c r="A11" s="156" t="s">
        <v>345</v>
      </c>
      <c r="B11" t="s">
        <v>0</v>
      </c>
      <c r="C11" s="157" t="s">
        <v>587</v>
      </c>
      <c r="D11" t="str">
        <f>VLOOKUP(A11,DataUsuario!B:D,2,FALSE)</f>
        <v>Agrícola</v>
      </c>
      <c r="E11" t="str">
        <f>VLOOKUP(A11,DataUsuario!B:D,3,FALSE)</f>
        <v>Gerencia Agrícola</v>
      </c>
    </row>
    <row r="12" spans="1:7" x14ac:dyDescent="0.3">
      <c r="A12" s="153" t="s">
        <v>140</v>
      </c>
      <c r="B12" t="s">
        <v>0</v>
      </c>
      <c r="C12" s="154">
        <v>5</v>
      </c>
      <c r="D12" t="str">
        <f>VLOOKUP(A12,DataUsuario!B:D,2,FALSE)</f>
        <v>Industrial y de Mantenimiento</v>
      </c>
      <c r="E12" t="str">
        <f>VLOOKUP(A12,DataUsuario!B:D,3,FALSE)</f>
        <v>Electricidad</v>
      </c>
    </row>
    <row r="13" spans="1:7" x14ac:dyDescent="0.3">
      <c r="A13" s="156" t="s">
        <v>143</v>
      </c>
      <c r="B13" t="s">
        <v>0</v>
      </c>
      <c r="C13" s="157">
        <v>5</v>
      </c>
      <c r="D13" t="str">
        <f>VLOOKUP(A13,DataUsuario!B:D,2,FALSE)</f>
        <v>Operaciones</v>
      </c>
      <c r="E13" t="str">
        <f>VLOOKUP(A13,DataUsuario!B:D,3,FALSE)</f>
        <v>Comercial</v>
      </c>
    </row>
    <row r="14" spans="1:7" x14ac:dyDescent="0.3">
      <c r="A14" s="153" t="s">
        <v>227</v>
      </c>
      <c r="B14" t="s">
        <v>0</v>
      </c>
      <c r="C14" s="154">
        <v>4</v>
      </c>
      <c r="D14" t="str">
        <f>VLOOKUP(A14,DataUsuario!B:D,2,FALSE)</f>
        <v>Agrícola</v>
      </c>
      <c r="E14" t="str">
        <f>VLOOKUP(A14,DataUsuario!B:D,3,FALSE)</f>
        <v>Mantenimiento de Riego y Bombas</v>
      </c>
    </row>
    <row r="15" spans="1:7" x14ac:dyDescent="0.3">
      <c r="A15" s="156" t="s">
        <v>391</v>
      </c>
      <c r="B15" t="s">
        <v>0</v>
      </c>
      <c r="C15" s="157">
        <v>5</v>
      </c>
      <c r="D15" t="str">
        <f>VLOOKUP(A15,DataUsuario!B:D,2,FALSE)</f>
        <v>Administración y Finanzas</v>
      </c>
      <c r="E15" t="str">
        <f>VLOOKUP(A15,DataUsuario!B:D,3,FALSE)</f>
        <v>Control de Gestión</v>
      </c>
    </row>
    <row r="16" spans="1:7" x14ac:dyDescent="0.3">
      <c r="A16" s="153" t="s">
        <v>502</v>
      </c>
      <c r="B16" t="s">
        <v>0</v>
      </c>
      <c r="C16" s="154">
        <v>4</v>
      </c>
      <c r="D16" t="str">
        <f>VLOOKUP(A16,DataUsuario!B:D,2,FALSE)</f>
        <v>Operaciones</v>
      </c>
      <c r="E16" t="str">
        <f>VLOOKUP(A16,DataUsuario!B:D,3,FALSE)</f>
        <v>Almacenes y Distribución PT</v>
      </c>
    </row>
    <row r="17" spans="1:5" x14ac:dyDescent="0.3">
      <c r="A17" s="156" t="s">
        <v>504</v>
      </c>
      <c r="B17" t="s">
        <v>0</v>
      </c>
      <c r="C17" s="157" t="s">
        <v>587</v>
      </c>
      <c r="D17" t="str">
        <f>VLOOKUP(A17,DataUsuario!B:D,2,FALSE)</f>
        <v>Agrícola</v>
      </c>
      <c r="E17" t="str">
        <f>VLOOKUP(A17,DataUsuario!B:D,3,FALSE)</f>
        <v>Mantenimiento de Riego y Bombas</v>
      </c>
    </row>
    <row r="18" spans="1:5" x14ac:dyDescent="0.3">
      <c r="A18" s="153" t="s">
        <v>181</v>
      </c>
      <c r="B18" t="s">
        <v>0</v>
      </c>
      <c r="C18" s="154">
        <v>5</v>
      </c>
      <c r="D18" t="str">
        <f>VLOOKUP(A18,DataUsuario!B:D,2,FALSE)</f>
        <v>Gestión Humana y Sostenibilidad</v>
      </c>
      <c r="E18" t="str">
        <f>VLOOKUP(A18,DataUsuario!B:D,3,FALSE)</f>
        <v>Gestor de Recursos Humanos</v>
      </c>
    </row>
    <row r="19" spans="1:5" x14ac:dyDescent="0.3">
      <c r="A19" s="156" t="s">
        <v>299</v>
      </c>
      <c r="B19" t="s">
        <v>0</v>
      </c>
      <c r="C19" s="157">
        <v>4</v>
      </c>
      <c r="D19" t="str">
        <f>VLOOKUP(A19,DataUsuario!B:D,2,FALSE)</f>
        <v>Operaciones</v>
      </c>
      <c r="E19" t="str">
        <f>VLOOKUP(A19,DataUsuario!B:D,3,FALSE)</f>
        <v>Calidad</v>
      </c>
    </row>
    <row r="20" spans="1:5" x14ac:dyDescent="0.3">
      <c r="A20" s="153" t="s">
        <v>192</v>
      </c>
      <c r="B20" t="s">
        <v>0</v>
      </c>
      <c r="C20" s="154" t="s">
        <v>587</v>
      </c>
      <c r="D20" t="str">
        <f>VLOOKUP(A20,DataUsuario!B:D,2,FALSE)</f>
        <v>Agrícola</v>
      </c>
      <c r="E20" t="str">
        <f>VLOOKUP(A20,DataUsuario!B:D,3,FALSE)</f>
        <v>Planificador Agrícola</v>
      </c>
    </row>
    <row r="21" spans="1:5" x14ac:dyDescent="0.3">
      <c r="A21" s="156" t="s">
        <v>333</v>
      </c>
      <c r="B21" t="s">
        <v>0</v>
      </c>
      <c r="C21" s="157">
        <v>5</v>
      </c>
      <c r="D21" t="str">
        <f>VLOOKUP(A21,DataUsuario!B:D,2,FALSE)</f>
        <v>Gestión Humana y Sostenibilidad</v>
      </c>
      <c r="E21" t="str">
        <f>VLOOKUP(A21,DataUsuario!B:D,3,FALSE)</f>
        <v>Sostenibilidad</v>
      </c>
    </row>
    <row r="22" spans="1:5" x14ac:dyDescent="0.3">
      <c r="A22" s="153" t="s">
        <v>155</v>
      </c>
      <c r="B22" t="s">
        <v>0</v>
      </c>
      <c r="C22" s="154">
        <v>4</v>
      </c>
      <c r="D22" t="str">
        <f>VLOOKUP(A22,DataUsuario!B:D,2,FALSE)</f>
        <v>Gestión Humana y Sostenibilidad</v>
      </c>
      <c r="E22" t="str">
        <f>VLOOKUP(A22,DataUsuario!B:D,3,FALSE)</f>
        <v>Sostenibilidad</v>
      </c>
    </row>
    <row r="23" spans="1:5" x14ac:dyDescent="0.3">
      <c r="A23" s="156" t="s">
        <v>331</v>
      </c>
      <c r="B23" t="s">
        <v>0</v>
      </c>
      <c r="C23" s="157" t="s">
        <v>587</v>
      </c>
      <c r="D23" t="str">
        <f>VLOOKUP(A23,DataUsuario!B:D,2,FALSE)</f>
        <v>Operaciones</v>
      </c>
      <c r="E23" t="str">
        <f>VLOOKUP(A23,DataUsuario!B:D,3,FALSE)</f>
        <v>Cosecha</v>
      </c>
    </row>
    <row r="24" spans="1:5" x14ac:dyDescent="0.3">
      <c r="A24" s="153" t="s">
        <v>378</v>
      </c>
      <c r="B24" t="s">
        <v>0</v>
      </c>
      <c r="C24" s="154">
        <v>5</v>
      </c>
      <c r="D24" t="str">
        <f>VLOOKUP(A24,DataUsuario!B:D,2,FALSE)</f>
        <v>Operaciones</v>
      </c>
      <c r="E24" t="str">
        <f>VLOOKUP(A24,DataUsuario!B:D,3,FALSE)</f>
        <v>Mantenimiento CAT</v>
      </c>
    </row>
    <row r="25" spans="1:5" x14ac:dyDescent="0.3">
      <c r="A25" s="156" t="s">
        <v>215</v>
      </c>
      <c r="B25" t="s">
        <v>0</v>
      </c>
      <c r="C25" s="157">
        <v>4</v>
      </c>
      <c r="D25" t="str">
        <f>VLOOKUP(A25,DataUsuario!B:D,2,FALSE)</f>
        <v>Operaciones</v>
      </c>
      <c r="E25" t="str">
        <f>VLOOKUP(A25,DataUsuario!B:D,3,FALSE)</f>
        <v>Almacenes y Distribución PT</v>
      </c>
    </row>
    <row r="26" spans="1:5" x14ac:dyDescent="0.3">
      <c r="A26" s="153" t="s">
        <v>256</v>
      </c>
      <c r="B26" t="s">
        <v>0</v>
      </c>
      <c r="C26" s="154">
        <v>5</v>
      </c>
      <c r="D26" t="str">
        <f>VLOOKUP(A26,DataUsuario!B:D,2,FALSE)</f>
        <v>Gestión Humana y Sostenibilidad</v>
      </c>
      <c r="E26" t="str">
        <f>VLOOKUP(A26,DataUsuario!B:D,3,FALSE)</f>
        <v>Compensación y Nóminas</v>
      </c>
    </row>
    <row r="27" spans="1:5" x14ac:dyDescent="0.3">
      <c r="A27" s="156" t="s">
        <v>145</v>
      </c>
      <c r="B27" t="s">
        <v>0</v>
      </c>
      <c r="C27" s="157">
        <v>4</v>
      </c>
      <c r="D27" t="str">
        <f>VLOOKUP(A27,DataUsuario!B:D,2,FALSE)</f>
        <v>Gestión Humana y Sostenibilidad</v>
      </c>
      <c r="E27" t="str">
        <f>VLOOKUP(A27,DataUsuario!B:D,3,FALSE)</f>
        <v>Gestion del Talento</v>
      </c>
    </row>
    <row r="28" spans="1:5" x14ac:dyDescent="0.3">
      <c r="A28" s="153" t="s">
        <v>223</v>
      </c>
      <c r="B28" t="s">
        <v>0</v>
      </c>
      <c r="C28" s="154">
        <v>4</v>
      </c>
      <c r="D28" t="str">
        <f>VLOOKUP(A28,DataUsuario!B:D,2,FALSE)</f>
        <v>Gestión Humana y Sostenibilidad</v>
      </c>
      <c r="E28" t="str">
        <f>VLOOKUP(A28,DataUsuario!B:D,3,FALSE)</f>
        <v>Seguridad</v>
      </c>
    </row>
    <row r="29" spans="1:5" x14ac:dyDescent="0.3">
      <c r="A29" s="156" t="s">
        <v>89</v>
      </c>
      <c r="B29" t="s">
        <v>0</v>
      </c>
      <c r="C29" s="157">
        <v>4</v>
      </c>
      <c r="D29" t="str">
        <f>VLOOKUP(A29,DataUsuario!B:D,2,FALSE)</f>
        <v>Industrial y de Mantenimiento</v>
      </c>
      <c r="E29" t="str">
        <f>VLOOKUP(A29,DataUsuario!B:D,3,FALSE)</f>
        <v>Producción</v>
      </c>
    </row>
    <row r="30" spans="1:5" x14ac:dyDescent="0.3">
      <c r="A30" s="153" t="s">
        <v>510</v>
      </c>
      <c r="B30" t="s">
        <v>0</v>
      </c>
      <c r="C30" s="154">
        <v>5</v>
      </c>
      <c r="D30" t="str">
        <f>VLOOKUP(A30,DataUsuario!B:D,2,FALSE)</f>
        <v>Gestión Humana y Sostenibilidad</v>
      </c>
      <c r="E30" t="str">
        <f>VLOOKUP(A30,DataUsuario!B:D,3,FALSE)</f>
        <v>Gestor de Recursos Humanos</v>
      </c>
    </row>
    <row r="31" spans="1:5" x14ac:dyDescent="0.3">
      <c r="A31" s="156" t="s">
        <v>450</v>
      </c>
      <c r="B31" t="s">
        <v>0</v>
      </c>
      <c r="C31" s="157">
        <v>4</v>
      </c>
      <c r="D31" t="str">
        <f>VLOOKUP(A31,DataUsuario!B:D,2,FALSE)</f>
        <v>Operaciones</v>
      </c>
      <c r="E31" t="str">
        <f>VLOOKUP(A31,DataUsuario!B:D,3,FALSE)</f>
        <v>Almacenes y Distribución PT</v>
      </c>
    </row>
    <row r="32" spans="1:5" x14ac:dyDescent="0.3">
      <c r="A32" s="153" t="s">
        <v>104</v>
      </c>
      <c r="B32" t="s">
        <v>0</v>
      </c>
      <c r="C32" s="154">
        <v>5</v>
      </c>
      <c r="D32" t="str">
        <f>VLOOKUP(A32,DataUsuario!B:D,2,FALSE)</f>
        <v>Gestión Humana y Sostenibilidad</v>
      </c>
      <c r="E32" t="str">
        <f>VLOOKUP(A32,DataUsuario!B:D,3,FALSE)</f>
        <v>Compensación y Nóminas</v>
      </c>
    </row>
    <row r="33" spans="1:5" x14ac:dyDescent="0.3">
      <c r="A33" s="156" t="s">
        <v>68</v>
      </c>
      <c r="B33" t="s">
        <v>0</v>
      </c>
      <c r="C33" s="157">
        <v>5</v>
      </c>
      <c r="D33" t="str">
        <f>VLOOKUP(A33,DataUsuario!B:D,2,FALSE)</f>
        <v>Gestión Humana y Sostenibilidad</v>
      </c>
      <c r="E33" t="str">
        <f>VLOOKUP(A33,DataUsuario!B:D,3,FALSE)</f>
        <v>Compensación y Nóminas</v>
      </c>
    </row>
    <row r="34" spans="1:5" x14ac:dyDescent="0.3">
      <c r="A34" s="153" t="s">
        <v>199</v>
      </c>
      <c r="B34" t="s">
        <v>0</v>
      </c>
      <c r="C34" s="154">
        <v>5</v>
      </c>
      <c r="D34" t="str">
        <f>VLOOKUP(A34,DataUsuario!B:D,2,FALSE)</f>
        <v>Gestión Humana y Sostenibilidad</v>
      </c>
      <c r="E34" t="str">
        <f>VLOOKUP(A34,DataUsuario!B:D,3,FALSE)</f>
        <v>Relaciones Laborales</v>
      </c>
    </row>
    <row r="35" spans="1:5" x14ac:dyDescent="0.3">
      <c r="A35" s="156" t="s">
        <v>262</v>
      </c>
      <c r="B35" t="s">
        <v>0</v>
      </c>
      <c r="C35" s="157" t="s">
        <v>587</v>
      </c>
      <c r="D35" t="str">
        <f>VLOOKUP(A35,DataUsuario!B:D,2,FALSE)</f>
        <v>Industrial y de Mantenimiento</v>
      </c>
      <c r="E35" t="str">
        <f>VLOOKUP(A35,DataUsuario!B:D,3,FALSE)</f>
        <v>Automatización</v>
      </c>
    </row>
    <row r="36" spans="1:5" x14ac:dyDescent="0.3">
      <c r="A36" s="153" t="s">
        <v>454</v>
      </c>
      <c r="B36" t="s">
        <v>0</v>
      </c>
      <c r="C36" s="154" t="s">
        <v>587</v>
      </c>
      <c r="D36" t="str">
        <f>VLOOKUP(A36,DataUsuario!B:D,2,FALSE)</f>
        <v>Operaciones</v>
      </c>
      <c r="E36" t="str">
        <f>VLOOKUP(A36,DataUsuario!B:D,3,FALSE)</f>
        <v>Comercial</v>
      </c>
    </row>
    <row r="37" spans="1:5" x14ac:dyDescent="0.3">
      <c r="A37" s="156" t="s">
        <v>127</v>
      </c>
      <c r="B37" t="s">
        <v>0</v>
      </c>
      <c r="C37" s="157">
        <v>5</v>
      </c>
      <c r="D37" t="str">
        <f>VLOOKUP(A37,DataUsuario!B:D,2,FALSE)</f>
        <v>Agrícola</v>
      </c>
      <c r="E37" t="str">
        <f>VLOOKUP(A37,DataUsuario!B:D,3,FALSE)</f>
        <v>Fundo Montelima</v>
      </c>
    </row>
    <row r="38" spans="1:5" x14ac:dyDescent="0.3">
      <c r="A38" s="153" t="s">
        <v>515</v>
      </c>
      <c r="B38" t="s">
        <v>0</v>
      </c>
      <c r="C38" s="154">
        <v>5</v>
      </c>
      <c r="D38" t="str">
        <f>VLOOKUP(A38,DataUsuario!B:D,2,FALSE)</f>
        <v>Industrial y de Mantenimiento</v>
      </c>
      <c r="E38" t="str">
        <f>VLOOKUP(A38,DataUsuario!B:D,3,FALSE)</f>
        <v>Mantenimiento Industrial</v>
      </c>
    </row>
    <row r="39" spans="1:5" x14ac:dyDescent="0.3">
      <c r="A39" s="156" t="s">
        <v>225</v>
      </c>
      <c r="B39" t="s">
        <v>0</v>
      </c>
      <c r="C39" s="157">
        <v>5</v>
      </c>
      <c r="D39" t="str">
        <f>VLOOKUP(A39,DataUsuario!B:D,2,FALSE)</f>
        <v>Gestión Humana y Sostenibilidad</v>
      </c>
      <c r="E39" t="str">
        <f>VLOOKUP(A39,DataUsuario!B:D,3,FALSE)</f>
        <v>Seguridad</v>
      </c>
    </row>
    <row r="40" spans="1:5" x14ac:dyDescent="0.3">
      <c r="A40" s="153" t="s">
        <v>516</v>
      </c>
      <c r="B40" t="s">
        <v>0</v>
      </c>
      <c r="C40" s="154">
        <v>5</v>
      </c>
      <c r="D40" t="str">
        <f>VLOOKUP(A40,DataUsuario!B:D,2,FALSE)</f>
        <v>Gestión Humana y Sostenibilidad</v>
      </c>
      <c r="E40" t="str">
        <f>VLOOKUP(A40,DataUsuario!B:D,3,FALSE)</f>
        <v>Gestor de Recursos Humanos</v>
      </c>
    </row>
    <row r="41" spans="1:5" x14ac:dyDescent="0.3">
      <c r="A41" s="156" t="s">
        <v>210</v>
      </c>
      <c r="B41" t="s">
        <v>0</v>
      </c>
      <c r="C41" s="157" t="s">
        <v>587</v>
      </c>
      <c r="D41" t="str">
        <f>VLOOKUP(A41,DataUsuario!B:D,2,FALSE)</f>
        <v>Industrial y de Mantenimiento</v>
      </c>
      <c r="E41" t="str">
        <f>VLOOKUP(A41,DataUsuario!B:D,3,FALSE)</f>
        <v>Electricidad</v>
      </c>
    </row>
    <row r="42" spans="1:5" x14ac:dyDescent="0.3">
      <c r="A42" s="153" t="s">
        <v>208</v>
      </c>
      <c r="B42" t="s">
        <v>0</v>
      </c>
      <c r="C42" s="154">
        <v>4</v>
      </c>
      <c r="D42" t="str">
        <f>VLOOKUP(A42,DataUsuario!B:D,2,FALSE)</f>
        <v>Agrícola</v>
      </c>
      <c r="E42" t="str">
        <f>VLOOKUP(A42,DataUsuario!B:D,3,FALSE)</f>
        <v>Fundo Lobo</v>
      </c>
    </row>
    <row r="43" spans="1:5" x14ac:dyDescent="0.3">
      <c r="A43" s="156" t="s">
        <v>234</v>
      </c>
      <c r="B43" t="s">
        <v>0</v>
      </c>
      <c r="C43" s="157">
        <v>5</v>
      </c>
      <c r="D43" t="str">
        <f>VLOOKUP(A43,DataUsuario!B:D,2,FALSE)</f>
        <v>Agrícola</v>
      </c>
      <c r="E43" t="str">
        <f>VLOOKUP(A43,DataUsuario!B:D,3,FALSE)</f>
        <v>Laboratorio e Investigación Agricola</v>
      </c>
    </row>
    <row r="44" spans="1:5" x14ac:dyDescent="0.3">
      <c r="A44" s="153" t="s">
        <v>248</v>
      </c>
      <c r="B44" t="s">
        <v>0</v>
      </c>
      <c r="C44" s="154">
        <v>4</v>
      </c>
      <c r="D44" t="str">
        <f>VLOOKUP(A44,DataUsuario!B:D,2,FALSE)</f>
        <v>Industrial y de Mantenimiento</v>
      </c>
      <c r="E44" t="str">
        <f>VLOOKUP(A44,DataUsuario!B:D,3,FALSE)</f>
        <v>Producción</v>
      </c>
    </row>
    <row r="45" spans="1:5" x14ac:dyDescent="0.3">
      <c r="A45" s="156" t="s">
        <v>122</v>
      </c>
      <c r="B45" t="s">
        <v>0</v>
      </c>
      <c r="C45" s="157" t="s">
        <v>587</v>
      </c>
      <c r="D45" t="str">
        <f>VLOOKUP(A45,DataUsuario!B:D,2,FALSE)</f>
        <v>Industrial y de Mantenimiento</v>
      </c>
      <c r="E45" t="str">
        <f>VLOOKUP(A45,DataUsuario!B:D,3,FALSE)</f>
        <v>Mantenimiento de Transportes</v>
      </c>
    </row>
    <row r="46" spans="1:5" x14ac:dyDescent="0.3">
      <c r="A46" s="153" t="s">
        <v>428</v>
      </c>
      <c r="B46" t="s">
        <v>0</v>
      </c>
      <c r="C46" s="154">
        <v>5</v>
      </c>
      <c r="D46" t="str">
        <f>VLOOKUP(A46,DataUsuario!B:D,2,FALSE)</f>
        <v>Administración y Finanzas</v>
      </c>
      <c r="E46" t="str">
        <f>VLOOKUP(A46,DataUsuario!B:D,3,FALSE)</f>
        <v>Contabilidad Tributaria</v>
      </c>
    </row>
    <row r="47" spans="1:5" x14ac:dyDescent="0.3">
      <c r="A47" s="156" t="s">
        <v>335</v>
      </c>
      <c r="B47" t="s">
        <v>0</v>
      </c>
      <c r="C47" s="157">
        <v>5</v>
      </c>
      <c r="D47" t="str">
        <f>VLOOKUP(A47,DataUsuario!B:D,2,FALSE)</f>
        <v>Administración y Finanzas</v>
      </c>
      <c r="E47" t="str">
        <f>VLOOKUP(A47,DataUsuario!B:D,3,FALSE)</f>
        <v>Finanzas y Tesorería</v>
      </c>
    </row>
    <row r="48" spans="1:5" x14ac:dyDescent="0.3">
      <c r="A48" s="153" t="s">
        <v>341</v>
      </c>
      <c r="B48" t="s">
        <v>0</v>
      </c>
      <c r="C48" s="154">
        <v>5</v>
      </c>
      <c r="D48" t="str">
        <f>VLOOKUP(A48,DataUsuario!B:D,2,FALSE)</f>
        <v>Administración y Finanzas</v>
      </c>
      <c r="E48" t="str">
        <f>VLOOKUP(A48,DataUsuario!B:D,3,FALSE)</f>
        <v>Administración</v>
      </c>
    </row>
    <row r="49" spans="1:5" x14ac:dyDescent="0.3">
      <c r="A49" s="156" t="s">
        <v>135</v>
      </c>
      <c r="B49" t="s">
        <v>0</v>
      </c>
      <c r="C49" s="157">
        <v>5</v>
      </c>
      <c r="D49" t="str">
        <f>VLOOKUP(A49,DataUsuario!B:D,2,FALSE)</f>
        <v>Agrícola</v>
      </c>
      <c r="E49" t="str">
        <f>VLOOKUP(A49,DataUsuario!B:D,3,FALSE)</f>
        <v>Fundo Lobo</v>
      </c>
    </row>
    <row r="50" spans="1:5" x14ac:dyDescent="0.3">
      <c r="A50" s="153" t="s">
        <v>185</v>
      </c>
      <c r="B50" t="s">
        <v>0</v>
      </c>
      <c r="C50" s="154" t="s">
        <v>587</v>
      </c>
      <c r="D50" t="str">
        <f>VLOOKUP(A50,DataUsuario!B:D,2,FALSE)</f>
        <v>Administración y Finanzas</v>
      </c>
      <c r="E50" t="str">
        <f>VLOOKUP(A50,DataUsuario!B:D,3,FALSE)</f>
        <v>Cadenas Productivas</v>
      </c>
    </row>
    <row r="51" spans="1:5" x14ac:dyDescent="0.3">
      <c r="A51" s="156" t="s">
        <v>387</v>
      </c>
      <c r="B51" t="s">
        <v>0</v>
      </c>
      <c r="C51" s="157" t="s">
        <v>587</v>
      </c>
      <c r="D51" t="str">
        <f>VLOOKUP(A51,DataUsuario!B:D,2,FALSE)</f>
        <v>Agrícola</v>
      </c>
      <c r="E51" t="str">
        <f>VLOOKUP(A51,DataUsuario!B:D,3,FALSE)</f>
        <v>Laboratorio e Investigación Agricola</v>
      </c>
    </row>
    <row r="52" spans="1:5" x14ac:dyDescent="0.3">
      <c r="A52" s="153" t="s">
        <v>430</v>
      </c>
      <c r="B52" t="s">
        <v>0</v>
      </c>
      <c r="C52" s="154">
        <v>5</v>
      </c>
      <c r="D52" t="str">
        <f>VLOOKUP(A52,DataUsuario!B:D,2,FALSE)</f>
        <v>Administración y Finanzas</v>
      </c>
      <c r="E52" t="str">
        <f>VLOOKUP(A52,DataUsuario!B:D,3,FALSE)</f>
        <v>Administración</v>
      </c>
    </row>
    <row r="53" spans="1:5" x14ac:dyDescent="0.3">
      <c r="A53" s="156" t="s">
        <v>265</v>
      </c>
      <c r="B53" t="s">
        <v>0</v>
      </c>
      <c r="C53" s="157">
        <v>4</v>
      </c>
      <c r="D53" t="str">
        <f>VLOOKUP(A53,DataUsuario!B:D,2,FALSE)</f>
        <v>Administración y Finanzas</v>
      </c>
      <c r="E53" t="str">
        <f>VLOOKUP(A53,DataUsuario!B:D,3,FALSE)</f>
        <v>Administración</v>
      </c>
    </row>
    <row r="54" spans="1:5" x14ac:dyDescent="0.3">
      <c r="A54" s="153" t="s">
        <v>354</v>
      </c>
      <c r="B54" t="s">
        <v>0</v>
      </c>
      <c r="C54" s="154" t="s">
        <v>587</v>
      </c>
      <c r="D54" t="str">
        <f>VLOOKUP(A54,DataUsuario!B:D,2,FALSE)</f>
        <v>Administración y Finanzas</v>
      </c>
      <c r="E54" t="str">
        <f>VLOOKUP(A54,DataUsuario!B:D,3,FALSE)</f>
        <v>Contabilidad Tributaria</v>
      </c>
    </row>
    <row r="55" spans="1:5" x14ac:dyDescent="0.3">
      <c r="A55" s="156" t="s">
        <v>325</v>
      </c>
      <c r="B55" t="s">
        <v>0</v>
      </c>
      <c r="C55" s="157" t="s">
        <v>587</v>
      </c>
      <c r="D55" t="str">
        <f>VLOOKUP(A55,DataUsuario!B:D,2,FALSE)</f>
        <v>Operaciones</v>
      </c>
      <c r="E55" t="str">
        <f>VLOOKUP(A55,DataUsuario!B:D,3,FALSE)</f>
        <v>Calidad</v>
      </c>
    </row>
    <row r="56" spans="1:5" x14ac:dyDescent="0.3">
      <c r="A56" s="153" t="s">
        <v>358</v>
      </c>
      <c r="B56" t="s">
        <v>0</v>
      </c>
      <c r="C56" s="154" t="s">
        <v>587</v>
      </c>
      <c r="D56" t="str">
        <f>VLOOKUP(A56,DataUsuario!B:D,2,FALSE)</f>
        <v>Agrícola</v>
      </c>
      <c r="E56" t="str">
        <f>VLOOKUP(A56,DataUsuario!B:D,3,FALSE)</f>
        <v>Mantenimiento de Riego y Bombas</v>
      </c>
    </row>
    <row r="57" spans="1:5" x14ac:dyDescent="0.3">
      <c r="A57" s="156" t="s">
        <v>297</v>
      </c>
      <c r="B57" t="s">
        <v>0</v>
      </c>
      <c r="C57" s="157" t="s">
        <v>587</v>
      </c>
      <c r="D57" t="str">
        <f>VLOOKUP(A57,DataUsuario!B:D,2,FALSE)</f>
        <v>Operaciones</v>
      </c>
      <c r="E57" t="str">
        <f>VLOOKUP(A57,DataUsuario!B:D,3,FALSE)</f>
        <v>Comercial</v>
      </c>
    </row>
    <row r="58" spans="1:5" x14ac:dyDescent="0.3">
      <c r="A58" s="153" t="s">
        <v>389</v>
      </c>
      <c r="B58" t="s">
        <v>0</v>
      </c>
      <c r="C58" s="154">
        <v>4</v>
      </c>
      <c r="D58" t="str">
        <f>VLOOKUP(A58,DataUsuario!B:D,2,FALSE)</f>
        <v>Agrícola</v>
      </c>
      <c r="E58" t="str">
        <f>VLOOKUP(A58,DataUsuario!B:D,3,FALSE)</f>
        <v>Mantenimiento de Riego y Bombas</v>
      </c>
    </row>
    <row r="59" spans="1:5" x14ac:dyDescent="0.3">
      <c r="A59" s="156" t="s">
        <v>343</v>
      </c>
      <c r="B59" t="s">
        <v>0</v>
      </c>
      <c r="C59" s="157">
        <v>5</v>
      </c>
      <c r="D59" t="str">
        <f>VLOOKUP(A59,DataUsuario!B:D,2,FALSE)</f>
        <v>Gestión Humana y Sostenibilidad</v>
      </c>
      <c r="E59" t="str">
        <f>VLOOKUP(A59,DataUsuario!B:D,3,FALSE)</f>
        <v>Relaciones Laborales</v>
      </c>
    </row>
    <row r="60" spans="1:5" x14ac:dyDescent="0.3">
      <c r="A60" s="153" t="s">
        <v>92</v>
      </c>
      <c r="B60" t="s">
        <v>0</v>
      </c>
      <c r="C60" s="154">
        <v>5</v>
      </c>
      <c r="D60" t="str">
        <f>VLOOKUP(A60,DataUsuario!B:D,2,FALSE)</f>
        <v>Operaciones</v>
      </c>
      <c r="E60" t="str">
        <f>VLOOKUP(A60,DataUsuario!B:D,3,FALSE)</f>
        <v>Comercial</v>
      </c>
    </row>
    <row r="61" spans="1:5" x14ac:dyDescent="0.3">
      <c r="A61" s="156" t="s">
        <v>438</v>
      </c>
      <c r="B61" t="s">
        <v>0</v>
      </c>
      <c r="C61" s="157">
        <v>4</v>
      </c>
      <c r="D61" t="str">
        <f>VLOOKUP(A61,DataUsuario!B:D,2,FALSE)</f>
        <v>Industrial y de Mantenimiento</v>
      </c>
      <c r="E61" t="str">
        <f>VLOOKUP(A61,DataUsuario!B:D,3,FALSE)</f>
        <v>Producción</v>
      </c>
    </row>
    <row r="62" spans="1:5" x14ac:dyDescent="0.3">
      <c r="A62" s="153" t="s">
        <v>166</v>
      </c>
      <c r="B62" t="s">
        <v>0</v>
      </c>
      <c r="C62" s="154">
        <v>3</v>
      </c>
      <c r="D62" t="str">
        <f>VLOOKUP(A62,DataUsuario!B:D,2,FALSE)</f>
        <v>Operaciones</v>
      </c>
      <c r="E62" t="str">
        <f>VLOOKUP(A62,DataUsuario!B:D,3,FALSE)</f>
        <v>Calidad</v>
      </c>
    </row>
    <row r="63" spans="1:5" x14ac:dyDescent="0.3">
      <c r="A63" s="156" t="s">
        <v>320</v>
      </c>
      <c r="B63" t="s">
        <v>0</v>
      </c>
      <c r="C63" s="157" t="s">
        <v>587</v>
      </c>
      <c r="D63" t="str">
        <f>VLOOKUP(A63,DataUsuario!B:D,2,FALSE)</f>
        <v>Gestión Humana y Sostenibilidad</v>
      </c>
      <c r="E63" t="str">
        <f>VLOOKUP(A63,DataUsuario!B:D,3,FALSE)</f>
        <v>Comunicaciones y Responsabilidad Social</v>
      </c>
    </row>
    <row r="64" spans="1:5" x14ac:dyDescent="0.3">
      <c r="A64" s="153" t="s">
        <v>365</v>
      </c>
      <c r="B64" t="s">
        <v>0</v>
      </c>
      <c r="C64" s="154">
        <v>5</v>
      </c>
      <c r="D64" t="str">
        <f>VLOOKUP(A64,DataUsuario!B:D,2,FALSE)</f>
        <v>Gestión Humana y Sostenibilidad</v>
      </c>
      <c r="E64" t="str">
        <f>VLOOKUP(A64,DataUsuario!B:D,3,FALSE)</f>
        <v>Compensación y Nóminas</v>
      </c>
    </row>
    <row r="65" spans="1:5" x14ac:dyDescent="0.3">
      <c r="A65" s="156" t="s">
        <v>339</v>
      </c>
      <c r="B65" t="s">
        <v>0</v>
      </c>
      <c r="C65" s="157" t="s">
        <v>587</v>
      </c>
      <c r="D65" t="str">
        <f>VLOOKUP(A65,DataUsuario!B:D,2,FALSE)</f>
        <v>Operaciones</v>
      </c>
      <c r="E65" t="str">
        <f>VLOOKUP(A65,DataUsuario!B:D,3,FALSE)</f>
        <v>Calidad</v>
      </c>
    </row>
    <row r="66" spans="1:5" x14ac:dyDescent="0.3">
      <c r="A66" s="153" t="s">
        <v>120</v>
      </c>
      <c r="B66" t="s">
        <v>0</v>
      </c>
      <c r="C66" s="154">
        <v>5</v>
      </c>
      <c r="D66" t="str">
        <f>VLOOKUP(A66,DataUsuario!B:D,2,FALSE)</f>
        <v>Industrial y de Mantenimiento</v>
      </c>
      <c r="E66" t="str">
        <f>VLOOKUP(A66,DataUsuario!B:D,3,FALSE)</f>
        <v>Mantenimiento Industrial</v>
      </c>
    </row>
    <row r="67" spans="1:5" x14ac:dyDescent="0.3">
      <c r="A67" s="156" t="s">
        <v>329</v>
      </c>
      <c r="B67" t="s">
        <v>0</v>
      </c>
      <c r="C67" s="157" t="s">
        <v>587</v>
      </c>
      <c r="D67" t="str">
        <f>VLOOKUP(A67,DataUsuario!B:D,2,FALSE)</f>
        <v>Administración y Finanzas</v>
      </c>
      <c r="E67" t="str">
        <f>VLOOKUP(A67,DataUsuario!B:D,3,FALSE)</f>
        <v>Compras</v>
      </c>
    </row>
    <row r="68" spans="1:5" x14ac:dyDescent="0.3">
      <c r="A68" s="153" t="s">
        <v>283</v>
      </c>
      <c r="B68" t="s">
        <v>0</v>
      </c>
      <c r="C68" s="154">
        <v>5</v>
      </c>
      <c r="D68" t="str">
        <f>VLOOKUP(A68,DataUsuario!B:D,2,FALSE)</f>
        <v>Operaciones</v>
      </c>
      <c r="E68" t="str">
        <f>VLOOKUP(A68,DataUsuario!B:D,3,FALSE)</f>
        <v>Calidad</v>
      </c>
    </row>
    <row r="69" spans="1:5" x14ac:dyDescent="0.3">
      <c r="A69" s="156" t="s">
        <v>291</v>
      </c>
      <c r="B69" t="s">
        <v>0</v>
      </c>
      <c r="C69" s="157">
        <v>3</v>
      </c>
      <c r="D69" t="str">
        <f>VLOOKUP(A69,DataUsuario!B:D,2,FALSE)</f>
        <v>Operaciones</v>
      </c>
      <c r="E69" t="str">
        <f>VLOOKUP(A69,DataUsuario!B:D,3,FALSE)</f>
        <v>Transporte</v>
      </c>
    </row>
    <row r="70" spans="1:5" x14ac:dyDescent="0.3">
      <c r="A70" s="153" t="s">
        <v>446</v>
      </c>
      <c r="B70" t="s">
        <v>0</v>
      </c>
      <c r="C70" s="154">
        <v>4</v>
      </c>
      <c r="D70" t="str">
        <f>VLOOKUP(A70,DataUsuario!B:D,2,FALSE)</f>
        <v>Agrícola</v>
      </c>
      <c r="E70" t="str">
        <f>VLOOKUP(A70,DataUsuario!B:D,3,FALSE)</f>
        <v>Fundo San Vicente</v>
      </c>
    </row>
    <row r="71" spans="1:5" x14ac:dyDescent="0.3">
      <c r="A71" s="156" t="s">
        <v>371</v>
      </c>
      <c r="B71" t="s">
        <v>0</v>
      </c>
      <c r="C71" s="157">
        <v>5</v>
      </c>
      <c r="D71" t="str">
        <f>VLOOKUP(A71,DataUsuario!B:D,2,FALSE)</f>
        <v>Administración y Finanzas</v>
      </c>
      <c r="E71" t="str">
        <f>VLOOKUP(A71,DataUsuario!B:D,3,FALSE)</f>
        <v>Compras</v>
      </c>
    </row>
    <row r="72" spans="1:5" x14ac:dyDescent="0.3">
      <c r="A72" s="153" t="s">
        <v>195</v>
      </c>
      <c r="B72" t="s">
        <v>0</v>
      </c>
      <c r="C72" s="154">
        <v>4</v>
      </c>
      <c r="D72" t="str">
        <f>VLOOKUP(A72,DataUsuario!B:D,2,FALSE)</f>
        <v>Operaciones</v>
      </c>
      <c r="E72" t="str">
        <f>VLOOKUP(A72,DataUsuario!B:D,3,FALSE)</f>
        <v>Calidad</v>
      </c>
    </row>
    <row r="73" spans="1:5" x14ac:dyDescent="0.3">
      <c r="A73" s="156" t="s">
        <v>350</v>
      </c>
      <c r="B73" t="s">
        <v>0</v>
      </c>
      <c r="C73" s="157">
        <v>5</v>
      </c>
      <c r="D73" t="str">
        <f>VLOOKUP(A73,DataUsuario!B:D,2,FALSE)</f>
        <v>Agrícola</v>
      </c>
      <c r="E73" t="str">
        <f>VLOOKUP(A73,DataUsuario!B:D,3,FALSE)</f>
        <v>Fundo San Vicente</v>
      </c>
    </row>
    <row r="74" spans="1:5" x14ac:dyDescent="0.3">
      <c r="A74" s="153" t="s">
        <v>267</v>
      </c>
      <c r="B74" t="s">
        <v>0</v>
      </c>
      <c r="C74" s="154" t="s">
        <v>587</v>
      </c>
      <c r="D74" t="str">
        <f>VLOOKUP(A74,DataUsuario!B:D,2,FALSE)</f>
        <v>Agrícola</v>
      </c>
      <c r="E74" t="str">
        <f>VLOOKUP(A74,DataUsuario!B:D,3,FALSE)</f>
        <v>Fundo Montelima</v>
      </c>
    </row>
    <row r="75" spans="1:5" x14ac:dyDescent="0.3">
      <c r="A75" s="156" t="s">
        <v>212</v>
      </c>
      <c r="B75" t="s">
        <v>0</v>
      </c>
      <c r="C75" s="157">
        <v>5</v>
      </c>
      <c r="D75" t="str">
        <f>VLOOKUP(A75,DataUsuario!B:D,2,FALSE)</f>
        <v>Agrícola</v>
      </c>
      <c r="E75" t="str">
        <f>VLOOKUP(A75,DataUsuario!B:D,3,FALSE)</f>
        <v>Fundo La Huaca</v>
      </c>
    </row>
    <row r="76" spans="1:5" x14ac:dyDescent="0.3">
      <c r="A76" s="153" t="s">
        <v>316</v>
      </c>
      <c r="B76" t="s">
        <v>0</v>
      </c>
      <c r="C76" s="154">
        <v>5</v>
      </c>
      <c r="D76" t="str">
        <f>VLOOKUP(A76,DataUsuario!B:D,2,FALSE)</f>
        <v>Administración y Finanzas</v>
      </c>
      <c r="E76" t="str">
        <f>VLOOKUP(A76,DataUsuario!B:D,3,FALSE)</f>
        <v>Control de Gestión</v>
      </c>
    </row>
    <row r="77" spans="1:5" x14ac:dyDescent="0.3">
      <c r="A77" s="156" t="s">
        <v>363</v>
      </c>
      <c r="B77" t="s">
        <v>0</v>
      </c>
      <c r="C77" s="157">
        <v>3</v>
      </c>
      <c r="D77" t="str">
        <f>VLOOKUP(A77,DataUsuario!B:D,2,FALSE)</f>
        <v>Agrícola</v>
      </c>
      <c r="E77" t="str">
        <f>VLOOKUP(A77,DataUsuario!B:D,3,FALSE)</f>
        <v>Planificador Agrícola</v>
      </c>
    </row>
    <row r="78" spans="1:5" x14ac:dyDescent="0.3">
      <c r="A78" s="153" t="s">
        <v>260</v>
      </c>
      <c r="B78" t="s">
        <v>0</v>
      </c>
      <c r="C78" s="154">
        <v>4</v>
      </c>
      <c r="D78" t="str">
        <f>VLOOKUP(A78,DataUsuario!B:D,2,FALSE)</f>
        <v>Administración y Finanzas</v>
      </c>
      <c r="E78" t="str">
        <f>VLOOKUP(A78,DataUsuario!B:D,3,FALSE)</f>
        <v>Compras</v>
      </c>
    </row>
    <row r="79" spans="1:5" x14ac:dyDescent="0.3">
      <c r="A79" s="156" t="s">
        <v>303</v>
      </c>
      <c r="B79" t="s">
        <v>0</v>
      </c>
      <c r="C79" s="157">
        <v>5</v>
      </c>
      <c r="D79" t="str">
        <f>VLOOKUP(A79,DataUsuario!B:D,2,FALSE)</f>
        <v>Gestión Humana y Sostenibilidad</v>
      </c>
      <c r="E79" t="str">
        <f>VLOOKUP(A79,DataUsuario!B:D,3,FALSE)</f>
        <v>Gerencia Gestión Humana y Sostenibilidad</v>
      </c>
    </row>
    <row r="80" spans="1:5" x14ac:dyDescent="0.3">
      <c r="A80" s="153" t="s">
        <v>314</v>
      </c>
      <c r="B80" t="s">
        <v>0</v>
      </c>
      <c r="C80" s="154">
        <v>5</v>
      </c>
      <c r="D80" t="str">
        <f>VLOOKUP(A80,DataUsuario!B:D,2,FALSE)</f>
        <v>Administración y Finanzas</v>
      </c>
      <c r="E80" t="str">
        <f>VLOOKUP(A80,DataUsuario!B:D,3,FALSE)</f>
        <v>Contabilidad Tributaria</v>
      </c>
    </row>
    <row r="81" spans="1:5" x14ac:dyDescent="0.3">
      <c r="A81" s="156" t="s">
        <v>436</v>
      </c>
      <c r="B81" t="s">
        <v>0</v>
      </c>
      <c r="C81" s="157">
        <v>4</v>
      </c>
      <c r="D81" t="str">
        <f>VLOOKUP(A81,DataUsuario!B:D,2,FALSE)</f>
        <v>Operaciones</v>
      </c>
      <c r="E81" t="str">
        <f>VLOOKUP(A81,DataUsuario!B:D,3,FALSE)</f>
        <v>Cosecha</v>
      </c>
    </row>
    <row r="82" spans="1:5" x14ac:dyDescent="0.3">
      <c r="A82" s="153" t="s">
        <v>537</v>
      </c>
      <c r="B82" t="s">
        <v>0</v>
      </c>
      <c r="C82" s="154">
        <v>3</v>
      </c>
      <c r="D82" t="str">
        <f>VLOOKUP(A82,DataUsuario!B:D,2,FALSE)</f>
        <v>Administración y Finanzas</v>
      </c>
      <c r="E82" t="str">
        <f>VLOOKUP(A82,DataUsuario!B:D,3,FALSE)</f>
        <v>Finanzas y Tesorería</v>
      </c>
    </row>
    <row r="83" spans="1:5" x14ac:dyDescent="0.3">
      <c r="A83" s="156" t="s">
        <v>402</v>
      </c>
      <c r="B83" t="s">
        <v>0</v>
      </c>
      <c r="C83" s="157" t="s">
        <v>587</v>
      </c>
      <c r="D83" t="str">
        <f>VLOOKUP(A83,DataUsuario!B:D,2,FALSE)</f>
        <v>Administración y Finanzas</v>
      </c>
      <c r="E83" t="str">
        <f>VLOOKUP(A83,DataUsuario!B:D,3,FALSE)</f>
        <v>Contabilidad Tributaria</v>
      </c>
    </row>
    <row r="84" spans="1:5" x14ac:dyDescent="0.3">
      <c r="A84" s="153" t="s">
        <v>87</v>
      </c>
      <c r="B84" t="s">
        <v>0</v>
      </c>
      <c r="C84" s="154" t="s">
        <v>587</v>
      </c>
      <c r="D84" t="str">
        <f>VLOOKUP(A84,DataUsuario!B:D,2,FALSE)</f>
        <v>Administración y Finanzas</v>
      </c>
      <c r="E84" t="str">
        <f>VLOOKUP(A84,DataUsuario!B:D,3,FALSE)</f>
        <v>Compras</v>
      </c>
    </row>
    <row r="85" spans="1:5" x14ac:dyDescent="0.3">
      <c r="A85" s="156" t="s">
        <v>202</v>
      </c>
      <c r="B85" t="s">
        <v>0</v>
      </c>
      <c r="C85" s="157" t="s">
        <v>587</v>
      </c>
      <c r="D85" t="str">
        <f>VLOOKUP(A85,DataUsuario!B:D,2,FALSE)</f>
        <v>Agrícola</v>
      </c>
      <c r="E85" t="str">
        <f>VLOOKUP(A85,DataUsuario!B:D,3,FALSE)</f>
        <v>Mantenimiento de Riego y Bombas</v>
      </c>
    </row>
    <row r="86" spans="1:5" x14ac:dyDescent="0.3">
      <c r="A86" s="153" t="s">
        <v>323</v>
      </c>
      <c r="B86" t="s">
        <v>0</v>
      </c>
      <c r="C86" s="154">
        <v>3</v>
      </c>
      <c r="D86" t="str">
        <f>VLOOKUP(A86,DataUsuario!B:D,2,FALSE)</f>
        <v>Operaciones</v>
      </c>
      <c r="E86" t="str">
        <f>VLOOKUP(A86,DataUsuario!B:D,3,FALSE)</f>
        <v>Mantenimiento CAT</v>
      </c>
    </row>
    <row r="87" spans="1:5" x14ac:dyDescent="0.3">
      <c r="A87" s="156" t="s">
        <v>393</v>
      </c>
      <c r="B87" t="s">
        <v>0</v>
      </c>
      <c r="C87" s="157">
        <v>4</v>
      </c>
      <c r="D87" t="str">
        <f>VLOOKUP(A87,DataUsuario!B:D,2,FALSE)</f>
        <v>Industrial y de Mantenimiento</v>
      </c>
      <c r="E87" t="str">
        <f>VLOOKUP(A87,DataUsuario!B:D,3,FALSE)</f>
        <v>Gerencia industrial y de Mantenimiento</v>
      </c>
    </row>
    <row r="88" spans="1:5" x14ac:dyDescent="0.3">
      <c r="A88" s="153" t="s">
        <v>539</v>
      </c>
      <c r="B88" t="s">
        <v>0</v>
      </c>
      <c r="C88" s="154">
        <v>5</v>
      </c>
      <c r="D88" t="str">
        <f>VLOOKUP(A88,DataUsuario!B:D,2,FALSE)</f>
        <v>Industrial y de Mantenimiento</v>
      </c>
      <c r="E88" t="str">
        <f>VLOOKUP(A88,DataUsuario!B:D,3,FALSE)</f>
        <v>Mantenimiento Industrial</v>
      </c>
    </row>
    <row r="89" spans="1:5" x14ac:dyDescent="0.3">
      <c r="A89" s="156" t="s">
        <v>327</v>
      </c>
      <c r="B89" t="s">
        <v>0</v>
      </c>
      <c r="C89" s="157">
        <v>5</v>
      </c>
      <c r="D89" t="str">
        <f>VLOOKUP(A89,DataUsuario!B:D,2,FALSE)</f>
        <v>Industrial y de Mantenimiento</v>
      </c>
      <c r="E89" t="str">
        <f>VLOOKUP(A89,DataUsuario!B:D,3,FALSE)</f>
        <v>Mantenimiento Industrial</v>
      </c>
    </row>
    <row r="90" spans="1:5" x14ac:dyDescent="0.3">
      <c r="A90" s="153" t="s">
        <v>542</v>
      </c>
      <c r="B90" t="s">
        <v>0</v>
      </c>
      <c r="C90" s="154">
        <v>5</v>
      </c>
      <c r="D90" t="str">
        <f>VLOOKUP(A90,DataUsuario!B:D,2,FALSE)</f>
        <v>Gestión Humana y Sostenibilidad</v>
      </c>
      <c r="E90" t="str">
        <f>VLOOKUP(A90,DataUsuario!B:D,3,FALSE)</f>
        <v>Seguridad</v>
      </c>
    </row>
    <row r="91" spans="1:5" x14ac:dyDescent="0.3">
      <c r="A91" s="156" t="s">
        <v>398</v>
      </c>
      <c r="B91" t="s">
        <v>0</v>
      </c>
      <c r="C91" s="157">
        <v>4</v>
      </c>
      <c r="D91" t="str">
        <f>VLOOKUP(A91,DataUsuario!B:D,2,FALSE)</f>
        <v>Agrícola</v>
      </c>
      <c r="E91" t="str">
        <f>VLOOKUP(A91,DataUsuario!B:D,3,FALSE)</f>
        <v>Fundo Lobo</v>
      </c>
    </row>
    <row r="92" spans="1:5" x14ac:dyDescent="0.3">
      <c r="A92" s="153" t="s">
        <v>384</v>
      </c>
      <c r="B92" t="s">
        <v>0</v>
      </c>
      <c r="C92" s="154">
        <v>4</v>
      </c>
      <c r="D92" t="str">
        <f>VLOOKUP(A92,DataUsuario!B:D,2,FALSE)</f>
        <v>Agrícola</v>
      </c>
      <c r="E92" t="str">
        <f>VLOOKUP(A92,DataUsuario!B:D,3,FALSE)</f>
        <v>Sistema Integral de Gestión</v>
      </c>
    </row>
    <row r="93" spans="1:5" x14ac:dyDescent="0.3">
      <c r="A93" s="156" t="s">
        <v>308</v>
      </c>
      <c r="B93" t="s">
        <v>0</v>
      </c>
      <c r="C93" s="157" t="s">
        <v>587</v>
      </c>
      <c r="D93" t="str">
        <f>VLOOKUP(A93,DataUsuario!B:D,2,FALSE)</f>
        <v>Administración y Finanzas</v>
      </c>
      <c r="E93" t="str">
        <f>VLOOKUP(A93,DataUsuario!B:D,3,FALSE)</f>
        <v>Compras</v>
      </c>
    </row>
    <row r="94" spans="1:5" x14ac:dyDescent="0.3">
      <c r="A94" s="153" t="s">
        <v>162</v>
      </c>
      <c r="B94" t="s">
        <v>0</v>
      </c>
      <c r="C94" s="154">
        <v>4</v>
      </c>
      <c r="D94" t="str">
        <f>VLOOKUP(A94,DataUsuario!B:D,2,FALSE)</f>
        <v>Industrial y de Mantenimiento</v>
      </c>
      <c r="E94" t="str">
        <f>VLOOKUP(A94,DataUsuario!B:D,3,FALSE)</f>
        <v>Mantenimiento Industrial</v>
      </c>
    </row>
    <row r="95" spans="1:5" x14ac:dyDescent="0.3">
      <c r="A95" s="156" t="s">
        <v>137</v>
      </c>
      <c r="B95" t="s">
        <v>0</v>
      </c>
      <c r="C95" s="157">
        <v>5</v>
      </c>
      <c r="D95" t="str">
        <f>VLOOKUP(A95,DataUsuario!B:D,2,FALSE)</f>
        <v>Agrícola</v>
      </c>
      <c r="E95" t="str">
        <f>VLOOKUP(A95,DataUsuario!B:D,3,FALSE)</f>
        <v>Mantenimiento de Riego y Bombas</v>
      </c>
    </row>
    <row r="96" spans="1:5" x14ac:dyDescent="0.3">
      <c r="A96" s="153" t="s">
        <v>240</v>
      </c>
      <c r="B96" t="s">
        <v>0</v>
      </c>
      <c r="C96" s="154">
        <v>5</v>
      </c>
      <c r="D96" t="str">
        <f>VLOOKUP(A96,DataUsuario!B:D,2,FALSE)</f>
        <v>Agrícola</v>
      </c>
      <c r="E96" t="str">
        <f>VLOOKUP(A96,DataUsuario!B:D,3,FALSE)</f>
        <v>Fundo Lobo</v>
      </c>
    </row>
    <row r="97" spans="1:5" x14ac:dyDescent="0.3">
      <c r="A97" s="156" t="s">
        <v>158</v>
      </c>
      <c r="B97" t="s">
        <v>0</v>
      </c>
      <c r="C97" s="157">
        <v>4</v>
      </c>
      <c r="D97" t="str">
        <f>VLOOKUP(A97,DataUsuario!B:D,2,FALSE)</f>
        <v>Industrial y de Mantenimiento</v>
      </c>
      <c r="E97" t="str">
        <f>VLOOKUP(A97,DataUsuario!B:D,3,FALSE)</f>
        <v>Producción</v>
      </c>
    </row>
    <row r="98" spans="1:5" x14ac:dyDescent="0.3">
      <c r="A98" s="153" t="s">
        <v>544</v>
      </c>
      <c r="B98" t="s">
        <v>0</v>
      </c>
      <c r="C98" s="154">
        <v>4</v>
      </c>
      <c r="D98" t="str">
        <f>VLOOKUP(A98,DataUsuario!B:D,2,FALSE)</f>
        <v>Agrícola</v>
      </c>
      <c r="E98" t="str">
        <f>VLOOKUP(A98,DataUsuario!B:D,3,FALSE)</f>
        <v>Fundo San Vicente</v>
      </c>
    </row>
    <row r="99" spans="1:5" x14ac:dyDescent="0.3">
      <c r="A99" s="156" t="s">
        <v>312</v>
      </c>
      <c r="B99" t="s">
        <v>0</v>
      </c>
      <c r="C99" s="157" t="s">
        <v>587</v>
      </c>
      <c r="D99" t="str">
        <f>VLOOKUP(A99,DataUsuario!B:D,2,FALSE)</f>
        <v>Administración y Finanzas</v>
      </c>
      <c r="E99" t="str">
        <f>VLOOKUP(A99,DataUsuario!B:D,3,FALSE)</f>
        <v>Legal</v>
      </c>
    </row>
    <row r="100" spans="1:5" x14ac:dyDescent="0.3">
      <c r="A100" s="153" t="s">
        <v>452</v>
      </c>
      <c r="B100" t="s">
        <v>0</v>
      </c>
      <c r="C100" s="154" t="s">
        <v>587</v>
      </c>
      <c r="D100" t="str">
        <f>VLOOKUP(A100,DataUsuario!B:D,2,FALSE)</f>
        <v>Gestión Humana y Sostenibilidad</v>
      </c>
      <c r="E100" t="str">
        <f>VLOOKUP(A100,DataUsuario!B:D,3,FALSE)</f>
        <v>Compensación y Nóminas</v>
      </c>
    </row>
    <row r="101" spans="1:5" x14ac:dyDescent="0.3">
      <c r="A101" s="156" t="s">
        <v>179</v>
      </c>
      <c r="B101" t="s">
        <v>0</v>
      </c>
      <c r="C101" s="157" t="s">
        <v>587</v>
      </c>
      <c r="D101" t="str">
        <f>VLOOKUP(A101,DataUsuario!B:D,2,FALSE)</f>
        <v>Operaciones</v>
      </c>
      <c r="E101" t="str">
        <f>VLOOKUP(A101,DataUsuario!B:D,3,FALSE)</f>
        <v>Mantenimiento CAT</v>
      </c>
    </row>
    <row r="102" spans="1:5" x14ac:dyDescent="0.3">
      <c r="A102" s="153" t="s">
        <v>151</v>
      </c>
      <c r="B102" t="s">
        <v>0</v>
      </c>
      <c r="C102" s="154" t="s">
        <v>587</v>
      </c>
      <c r="D102" t="str">
        <f>VLOOKUP(A102,DataUsuario!B:D,2,FALSE)</f>
        <v>Operaciones</v>
      </c>
      <c r="E102" t="str">
        <f>VLOOKUP(A102,DataUsuario!B:D,3,FALSE)</f>
        <v>Transporte</v>
      </c>
    </row>
    <row r="103" spans="1:5" x14ac:dyDescent="0.3">
      <c r="A103" s="156" t="s">
        <v>406</v>
      </c>
      <c r="B103" t="s">
        <v>0</v>
      </c>
      <c r="C103" s="157">
        <v>5</v>
      </c>
      <c r="D103" t="str">
        <f>VLOOKUP(A103,DataUsuario!B:D,2,FALSE)</f>
        <v>Administración y Finanzas</v>
      </c>
      <c r="E103" t="str">
        <f>VLOOKUP(A103,DataUsuario!B:D,3,FALSE)</f>
        <v>Finanzas y Tesorería</v>
      </c>
    </row>
    <row r="104" spans="1:5" x14ac:dyDescent="0.3">
      <c r="A104" s="153" t="s">
        <v>301</v>
      </c>
      <c r="B104" t="s">
        <v>0</v>
      </c>
      <c r="C104" s="154">
        <v>5</v>
      </c>
      <c r="D104" t="str">
        <f>VLOOKUP(A104,DataUsuario!B:D,2,FALSE)</f>
        <v>Agrícola</v>
      </c>
      <c r="E104" t="str">
        <f>VLOOKUP(A104,DataUsuario!B:D,3,FALSE)</f>
        <v>Mantenimiento de Riego y Bombas</v>
      </c>
    </row>
    <row r="105" spans="1:5" x14ac:dyDescent="0.3">
      <c r="A105" s="156" t="s">
        <v>95</v>
      </c>
      <c r="B105" t="s">
        <v>0</v>
      </c>
      <c r="C105" s="157">
        <v>4</v>
      </c>
      <c r="D105" t="str">
        <f>VLOOKUP(A105,DataUsuario!B:D,2,FALSE)</f>
        <v>Agrícola</v>
      </c>
      <c r="E105" t="str">
        <f>VLOOKUP(A105,DataUsuario!B:D,3,FALSE)</f>
        <v>Fundo Lobo</v>
      </c>
    </row>
    <row r="106" spans="1:5" x14ac:dyDescent="0.3">
      <c r="A106" s="153" t="s">
        <v>360</v>
      </c>
      <c r="B106" t="s">
        <v>0</v>
      </c>
      <c r="C106" s="154">
        <v>5</v>
      </c>
      <c r="D106" t="str">
        <f>VLOOKUP(A106,DataUsuario!B:D,2,FALSE)</f>
        <v>Operaciones</v>
      </c>
      <c r="E106" t="str">
        <f>VLOOKUP(A106,DataUsuario!B:D,3,FALSE)</f>
        <v>Almacenes y Distribución PT</v>
      </c>
    </row>
    <row r="107" spans="1:5" x14ac:dyDescent="0.3">
      <c r="A107" s="156" t="s">
        <v>109</v>
      </c>
      <c r="B107" t="s">
        <v>0</v>
      </c>
      <c r="C107" s="157">
        <v>5</v>
      </c>
      <c r="D107" t="str">
        <f>VLOOKUP(A107,DataUsuario!B:D,2,FALSE)</f>
        <v>Operaciones</v>
      </c>
      <c r="E107" t="str">
        <f>VLOOKUP(A107,DataUsuario!B:D,3,FALSE)</f>
        <v>Almacenes y Distribución PT</v>
      </c>
    </row>
    <row r="108" spans="1:5" x14ac:dyDescent="0.3">
      <c r="A108" s="153" t="s">
        <v>287</v>
      </c>
      <c r="B108" t="s">
        <v>0</v>
      </c>
      <c r="C108" s="154" t="s">
        <v>587</v>
      </c>
      <c r="D108" t="str">
        <f>VLOOKUP(A108,DataUsuario!B:D,2,FALSE)</f>
        <v>Administración y Finanzas</v>
      </c>
      <c r="E108" t="str">
        <f>VLOOKUP(A108,DataUsuario!B:D,3,FALSE)</f>
        <v>Compras</v>
      </c>
    </row>
    <row r="109" spans="1:5" x14ac:dyDescent="0.3">
      <c r="A109" s="156" t="s">
        <v>130</v>
      </c>
      <c r="B109" t="s">
        <v>0</v>
      </c>
      <c r="C109" s="157">
        <v>4</v>
      </c>
      <c r="D109" t="str">
        <f>VLOOKUP(A109,DataUsuario!B:D,2,FALSE)</f>
        <v>Administración y Finanzas</v>
      </c>
      <c r="E109" t="str">
        <f>VLOOKUP(A109,DataUsuario!B:D,3,FALSE)</f>
        <v>Gerencia Administración y Finanzas</v>
      </c>
    </row>
    <row r="110" spans="1:5" x14ac:dyDescent="0.3">
      <c r="A110" s="153" t="s">
        <v>106</v>
      </c>
      <c r="B110" t="s">
        <v>0</v>
      </c>
      <c r="C110" s="154">
        <v>5</v>
      </c>
      <c r="D110" t="str">
        <f>VLOOKUP(A110,DataUsuario!B:D,2,FALSE)</f>
        <v>Gestión Humana y Sostenibilidad</v>
      </c>
      <c r="E110" t="str">
        <f>VLOOKUP(A110,DataUsuario!B:D,3,FALSE)</f>
        <v>Gestor de Recursos Humanos</v>
      </c>
    </row>
    <row r="111" spans="1:5" x14ac:dyDescent="0.3">
      <c r="A111" s="156" t="s">
        <v>258</v>
      </c>
      <c r="B111" t="s">
        <v>0</v>
      </c>
      <c r="C111" s="157">
        <v>4</v>
      </c>
      <c r="D111" t="str">
        <f>VLOOKUP(A111,DataUsuario!B:D,2,FALSE)</f>
        <v>Industrial y de Mantenimiento</v>
      </c>
      <c r="E111" t="str">
        <f>VLOOKUP(A111,DataUsuario!B:D,3,FALSE)</f>
        <v>Mantenimiento Industrial</v>
      </c>
    </row>
    <row r="112" spans="1:5" x14ac:dyDescent="0.3">
      <c r="A112" s="153" t="s">
        <v>160</v>
      </c>
      <c r="B112" t="s">
        <v>0</v>
      </c>
      <c r="C112" s="154">
        <v>5</v>
      </c>
      <c r="D112" t="str">
        <f>VLOOKUP(A112,DataUsuario!B:D,2,FALSE)</f>
        <v>Operaciones</v>
      </c>
      <c r="E112" t="str">
        <f>VLOOKUP(A112,DataUsuario!B:D,3,FALSE)</f>
        <v>Almacenes y Distribución PT</v>
      </c>
    </row>
    <row r="113" spans="1:5" x14ac:dyDescent="0.3">
      <c r="A113" s="156" t="s">
        <v>376</v>
      </c>
      <c r="B113" t="s">
        <v>0</v>
      </c>
      <c r="C113" s="157">
        <v>5</v>
      </c>
      <c r="D113" t="str">
        <f>VLOOKUP(A113,DataUsuario!B:D,2,FALSE)</f>
        <v>Agrícola</v>
      </c>
      <c r="E113" t="str">
        <f>VLOOKUP(A113,DataUsuario!B:D,3,FALSE)</f>
        <v>Fundo Lobo</v>
      </c>
    </row>
    <row r="114" spans="1:5" x14ac:dyDescent="0.3">
      <c r="A114" s="153" t="s">
        <v>380</v>
      </c>
      <c r="B114" t="s">
        <v>0</v>
      </c>
      <c r="C114" s="154">
        <v>4</v>
      </c>
      <c r="D114" t="str">
        <f>VLOOKUP(A114,DataUsuario!B:D,2,FALSE)</f>
        <v>Operaciones</v>
      </c>
      <c r="E114" t="str">
        <f>VLOOKUP(A114,DataUsuario!B:D,3,FALSE)</f>
        <v>Cosecha</v>
      </c>
    </row>
    <row r="115" spans="1:5" x14ac:dyDescent="0.3">
      <c r="A115" s="161" t="s">
        <v>125</v>
      </c>
      <c r="B115" t="s">
        <v>0</v>
      </c>
      <c r="C115" s="162">
        <v>5</v>
      </c>
      <c r="D115" t="str">
        <f>VLOOKUP(A115,DataUsuario!B:D,2,FALSE)</f>
        <v>Agrícola</v>
      </c>
      <c r="E115" t="str">
        <f>VLOOKUP(A115,DataUsuario!B:D,3,FALSE)</f>
        <v>Fundo Lobo</v>
      </c>
    </row>
    <row r="116" spans="1:5" x14ac:dyDescent="0.3">
      <c r="A116" s="153" t="s">
        <v>373</v>
      </c>
      <c r="B116" t="s">
        <v>1</v>
      </c>
      <c r="C116" s="154">
        <v>4</v>
      </c>
      <c r="D116" t="str">
        <f>VLOOKUP(A116,DataUsuario!B:D,2,FALSE)</f>
        <v>Operaciones</v>
      </c>
      <c r="E116" t="str">
        <f>VLOOKUP(A116,DataUsuario!B:D,3,FALSE)</f>
        <v>Gerencia de Operaciones</v>
      </c>
    </row>
    <row r="117" spans="1:5" x14ac:dyDescent="0.3">
      <c r="A117" s="156" t="s">
        <v>318</v>
      </c>
      <c r="B117" t="s">
        <v>1</v>
      </c>
      <c r="C117" s="157" t="s">
        <v>587</v>
      </c>
      <c r="D117" t="str">
        <f>VLOOKUP(A117,DataUsuario!B:D,2,FALSE)</f>
        <v>Industrial y de Mantenimiento</v>
      </c>
      <c r="E117" t="str">
        <f>VLOOKUP(A117,DataUsuario!B:D,3,FALSE)</f>
        <v>Producción</v>
      </c>
    </row>
    <row r="118" spans="1:5" x14ac:dyDescent="0.3">
      <c r="A118" s="153" t="s">
        <v>102</v>
      </c>
      <c r="B118" t="s">
        <v>1</v>
      </c>
      <c r="C118" s="154">
        <v>4</v>
      </c>
      <c r="D118" t="str">
        <f>VLOOKUP(A118,DataUsuario!B:D,2,FALSE)</f>
        <v>Administración y Finanzas</v>
      </c>
      <c r="E118" t="str">
        <f>VLOOKUP(A118,DataUsuario!B:D,3,FALSE)</f>
        <v>Legal</v>
      </c>
    </row>
    <row r="119" spans="1:5" x14ac:dyDescent="0.3">
      <c r="A119" s="156" t="s">
        <v>424</v>
      </c>
      <c r="B119" t="s">
        <v>1</v>
      </c>
      <c r="C119" s="157">
        <v>4</v>
      </c>
      <c r="D119" t="str">
        <f>VLOOKUP(A119,DataUsuario!B:D,2,FALSE)</f>
        <v>Agrícola</v>
      </c>
      <c r="E119" t="str">
        <f>VLOOKUP(A119,DataUsuario!B:D,3,FALSE)</f>
        <v>Fundo Lobo</v>
      </c>
    </row>
    <row r="120" spans="1:5" x14ac:dyDescent="0.3">
      <c r="A120" s="153" t="s">
        <v>153</v>
      </c>
      <c r="B120" t="s">
        <v>1</v>
      </c>
      <c r="C120" s="154">
        <v>5</v>
      </c>
      <c r="D120" t="str">
        <f>VLOOKUP(A120,DataUsuario!B:D,2,FALSE)</f>
        <v>Administración y Finanzas</v>
      </c>
      <c r="E120" t="str">
        <f>VLOOKUP(A120,DataUsuario!B:D,3,FALSE)</f>
        <v>Legal</v>
      </c>
    </row>
    <row r="121" spans="1:5" x14ac:dyDescent="0.3">
      <c r="A121" s="156" t="s">
        <v>99</v>
      </c>
      <c r="B121" t="s">
        <v>1</v>
      </c>
      <c r="C121" s="157">
        <v>5</v>
      </c>
      <c r="D121" t="str">
        <f>VLOOKUP(A121,DataUsuario!B:D,2,FALSE)</f>
        <v>Administración y Finanzas</v>
      </c>
      <c r="E121" t="str">
        <f>VLOOKUP(A121,DataUsuario!B:D,3,FALSE)</f>
        <v>Control de Gestión</v>
      </c>
    </row>
    <row r="122" spans="1:5" x14ac:dyDescent="0.3">
      <c r="A122" s="153" t="s">
        <v>269</v>
      </c>
      <c r="B122" t="s">
        <v>1</v>
      </c>
      <c r="C122" s="154">
        <v>4</v>
      </c>
      <c r="D122" t="str">
        <f>VLOOKUP(A122,DataUsuario!B:D,2,FALSE)</f>
        <v>Operaciones</v>
      </c>
      <c r="E122" t="str">
        <f>VLOOKUP(A122,DataUsuario!B:D,3,FALSE)</f>
        <v>Calidad</v>
      </c>
    </row>
    <row r="123" spans="1:5" x14ac:dyDescent="0.3">
      <c r="A123" s="156" t="s">
        <v>177</v>
      </c>
      <c r="B123" t="s">
        <v>1</v>
      </c>
      <c r="C123" s="157">
        <v>5</v>
      </c>
      <c r="D123" t="str">
        <f>VLOOKUP(A123,DataUsuario!B:D,2,FALSE)</f>
        <v>Gestión Humana y Sostenibilidad</v>
      </c>
      <c r="E123" t="str">
        <f>VLOOKUP(A123,DataUsuario!B:D,3,FALSE)</f>
        <v>Seguridad</v>
      </c>
    </row>
    <row r="124" spans="1:5" x14ac:dyDescent="0.3">
      <c r="A124" s="153" t="s">
        <v>72</v>
      </c>
      <c r="B124" t="s">
        <v>1</v>
      </c>
      <c r="C124" s="154">
        <v>3</v>
      </c>
      <c r="D124" t="str">
        <f>VLOOKUP(A124,DataUsuario!B:D,2,FALSE)</f>
        <v>Administración y Finanzas</v>
      </c>
      <c r="E124" t="str">
        <f>VLOOKUP(A124,DataUsuario!B:D,3,FALSE)</f>
        <v>Finanzas y Tesorería</v>
      </c>
    </row>
    <row r="125" spans="1:5" x14ac:dyDescent="0.3">
      <c r="A125" s="156" t="s">
        <v>345</v>
      </c>
      <c r="B125" t="s">
        <v>1</v>
      </c>
      <c r="C125" s="157">
        <v>4</v>
      </c>
      <c r="D125" t="str">
        <f>VLOOKUP(A125,DataUsuario!B:D,2,FALSE)</f>
        <v>Agrícola</v>
      </c>
      <c r="E125" t="str">
        <f>VLOOKUP(A125,DataUsuario!B:D,3,FALSE)</f>
        <v>Gerencia Agrícola</v>
      </c>
    </row>
    <row r="126" spans="1:5" x14ac:dyDescent="0.3">
      <c r="A126" s="153" t="s">
        <v>140</v>
      </c>
      <c r="B126" t="s">
        <v>1</v>
      </c>
      <c r="C126" s="154">
        <v>5</v>
      </c>
      <c r="D126" t="str">
        <f>VLOOKUP(A126,DataUsuario!B:D,2,FALSE)</f>
        <v>Industrial y de Mantenimiento</v>
      </c>
      <c r="E126" t="str">
        <f>VLOOKUP(A126,DataUsuario!B:D,3,FALSE)</f>
        <v>Electricidad</v>
      </c>
    </row>
    <row r="127" spans="1:5" x14ac:dyDescent="0.3">
      <c r="A127" s="156" t="s">
        <v>143</v>
      </c>
      <c r="B127" t="s">
        <v>1</v>
      </c>
      <c r="C127" s="157">
        <v>5</v>
      </c>
      <c r="D127" t="str">
        <f>VLOOKUP(A127,DataUsuario!B:D,2,FALSE)</f>
        <v>Operaciones</v>
      </c>
      <c r="E127" t="str">
        <f>VLOOKUP(A127,DataUsuario!B:D,3,FALSE)</f>
        <v>Comercial</v>
      </c>
    </row>
    <row r="128" spans="1:5" x14ac:dyDescent="0.3">
      <c r="A128" s="153" t="s">
        <v>227</v>
      </c>
      <c r="B128" t="s">
        <v>1</v>
      </c>
      <c r="C128" s="154">
        <v>4</v>
      </c>
      <c r="D128" t="str">
        <f>VLOOKUP(A128,DataUsuario!B:D,2,FALSE)</f>
        <v>Agrícola</v>
      </c>
      <c r="E128" t="str">
        <f>VLOOKUP(A128,DataUsuario!B:D,3,FALSE)</f>
        <v>Mantenimiento de Riego y Bombas</v>
      </c>
    </row>
    <row r="129" spans="1:5" x14ac:dyDescent="0.3">
      <c r="A129" s="156" t="s">
        <v>391</v>
      </c>
      <c r="B129" t="s">
        <v>1</v>
      </c>
      <c r="C129" s="157">
        <v>5</v>
      </c>
      <c r="D129" t="str">
        <f>VLOOKUP(A129,DataUsuario!B:D,2,FALSE)</f>
        <v>Administración y Finanzas</v>
      </c>
      <c r="E129" t="str">
        <f>VLOOKUP(A129,DataUsuario!B:D,3,FALSE)</f>
        <v>Control de Gestión</v>
      </c>
    </row>
    <row r="130" spans="1:5" x14ac:dyDescent="0.3">
      <c r="A130" s="153" t="s">
        <v>502</v>
      </c>
      <c r="B130" t="s">
        <v>1</v>
      </c>
      <c r="C130" s="154">
        <v>4</v>
      </c>
      <c r="D130" t="str">
        <f>VLOOKUP(A130,DataUsuario!B:D,2,FALSE)</f>
        <v>Operaciones</v>
      </c>
      <c r="E130" t="str">
        <f>VLOOKUP(A130,DataUsuario!B:D,3,FALSE)</f>
        <v>Almacenes y Distribución PT</v>
      </c>
    </row>
    <row r="131" spans="1:5" x14ac:dyDescent="0.3">
      <c r="A131" s="156" t="s">
        <v>504</v>
      </c>
      <c r="B131" t="s">
        <v>1</v>
      </c>
      <c r="C131" s="157" t="s">
        <v>587</v>
      </c>
      <c r="D131" t="str">
        <f>VLOOKUP(A131,DataUsuario!B:D,2,FALSE)</f>
        <v>Agrícola</v>
      </c>
      <c r="E131" t="str">
        <f>VLOOKUP(A131,DataUsuario!B:D,3,FALSE)</f>
        <v>Mantenimiento de Riego y Bombas</v>
      </c>
    </row>
    <row r="132" spans="1:5" x14ac:dyDescent="0.3">
      <c r="A132" s="153" t="s">
        <v>181</v>
      </c>
      <c r="B132" t="s">
        <v>1</v>
      </c>
      <c r="C132" s="154">
        <v>5</v>
      </c>
      <c r="D132" t="str">
        <f>VLOOKUP(A132,DataUsuario!B:D,2,FALSE)</f>
        <v>Gestión Humana y Sostenibilidad</v>
      </c>
      <c r="E132" t="str">
        <f>VLOOKUP(A132,DataUsuario!B:D,3,FALSE)</f>
        <v>Gestor de Recursos Humanos</v>
      </c>
    </row>
    <row r="133" spans="1:5" x14ac:dyDescent="0.3">
      <c r="A133" s="156" t="s">
        <v>299</v>
      </c>
      <c r="B133" t="s">
        <v>1</v>
      </c>
      <c r="C133" s="157">
        <v>5</v>
      </c>
      <c r="D133" t="str">
        <f>VLOOKUP(A133,DataUsuario!B:D,2,FALSE)</f>
        <v>Operaciones</v>
      </c>
      <c r="E133" t="str">
        <f>VLOOKUP(A133,DataUsuario!B:D,3,FALSE)</f>
        <v>Calidad</v>
      </c>
    </row>
    <row r="134" spans="1:5" x14ac:dyDescent="0.3">
      <c r="A134" s="153" t="s">
        <v>192</v>
      </c>
      <c r="B134" t="s">
        <v>1</v>
      </c>
      <c r="C134" s="154">
        <v>5</v>
      </c>
      <c r="D134" t="str">
        <f>VLOOKUP(A134,DataUsuario!B:D,2,FALSE)</f>
        <v>Agrícola</v>
      </c>
      <c r="E134" t="str">
        <f>VLOOKUP(A134,DataUsuario!B:D,3,FALSE)</f>
        <v>Planificador Agrícola</v>
      </c>
    </row>
    <row r="135" spans="1:5" x14ac:dyDescent="0.3">
      <c r="A135" s="156" t="s">
        <v>333</v>
      </c>
      <c r="B135" t="s">
        <v>1</v>
      </c>
      <c r="C135" s="157">
        <v>5</v>
      </c>
      <c r="D135" t="str">
        <f>VLOOKUP(A135,DataUsuario!B:D,2,FALSE)</f>
        <v>Gestión Humana y Sostenibilidad</v>
      </c>
      <c r="E135" t="str">
        <f>VLOOKUP(A135,DataUsuario!B:D,3,FALSE)</f>
        <v>Sostenibilidad</v>
      </c>
    </row>
    <row r="136" spans="1:5" x14ac:dyDescent="0.3">
      <c r="A136" s="153" t="s">
        <v>155</v>
      </c>
      <c r="B136" t="s">
        <v>1</v>
      </c>
      <c r="C136" s="154">
        <v>5</v>
      </c>
      <c r="D136" t="str">
        <f>VLOOKUP(A136,DataUsuario!B:D,2,FALSE)</f>
        <v>Gestión Humana y Sostenibilidad</v>
      </c>
      <c r="E136" t="str">
        <f>VLOOKUP(A136,DataUsuario!B:D,3,FALSE)</f>
        <v>Sostenibilidad</v>
      </c>
    </row>
    <row r="137" spans="1:5" x14ac:dyDescent="0.3">
      <c r="A137" s="156" t="s">
        <v>331</v>
      </c>
      <c r="B137" t="s">
        <v>1</v>
      </c>
      <c r="C137" s="157">
        <v>5</v>
      </c>
      <c r="D137" t="str">
        <f>VLOOKUP(A137,DataUsuario!B:D,2,FALSE)</f>
        <v>Operaciones</v>
      </c>
      <c r="E137" t="str">
        <f>VLOOKUP(A137,DataUsuario!B:D,3,FALSE)</f>
        <v>Cosecha</v>
      </c>
    </row>
    <row r="138" spans="1:5" x14ac:dyDescent="0.3">
      <c r="A138" s="153" t="s">
        <v>378</v>
      </c>
      <c r="B138" t="s">
        <v>1</v>
      </c>
      <c r="C138" s="154">
        <v>4</v>
      </c>
      <c r="D138" t="str">
        <f>VLOOKUP(A138,DataUsuario!B:D,2,FALSE)</f>
        <v>Operaciones</v>
      </c>
      <c r="E138" t="str">
        <f>VLOOKUP(A138,DataUsuario!B:D,3,FALSE)</f>
        <v>Mantenimiento CAT</v>
      </c>
    </row>
    <row r="139" spans="1:5" x14ac:dyDescent="0.3">
      <c r="A139" s="156" t="s">
        <v>215</v>
      </c>
      <c r="B139" t="s">
        <v>1</v>
      </c>
      <c r="C139" s="157">
        <v>5</v>
      </c>
      <c r="D139" t="str">
        <f>VLOOKUP(A139,DataUsuario!B:D,2,FALSE)</f>
        <v>Operaciones</v>
      </c>
      <c r="E139" t="str">
        <f>VLOOKUP(A139,DataUsuario!B:D,3,FALSE)</f>
        <v>Almacenes y Distribución PT</v>
      </c>
    </row>
    <row r="140" spans="1:5" x14ac:dyDescent="0.3">
      <c r="A140" s="153" t="s">
        <v>256</v>
      </c>
      <c r="B140" t="s">
        <v>1</v>
      </c>
      <c r="C140" s="154">
        <v>5</v>
      </c>
      <c r="D140" t="str">
        <f>VLOOKUP(A140,DataUsuario!B:D,2,FALSE)</f>
        <v>Gestión Humana y Sostenibilidad</v>
      </c>
      <c r="E140" t="str">
        <f>VLOOKUP(A140,DataUsuario!B:D,3,FALSE)</f>
        <v>Compensación y Nóminas</v>
      </c>
    </row>
    <row r="141" spans="1:5" x14ac:dyDescent="0.3">
      <c r="A141" s="156" t="s">
        <v>145</v>
      </c>
      <c r="B141" t="s">
        <v>1</v>
      </c>
      <c r="C141" s="157">
        <v>4</v>
      </c>
      <c r="D141" t="str">
        <f>VLOOKUP(A141,DataUsuario!B:D,2,FALSE)</f>
        <v>Gestión Humana y Sostenibilidad</v>
      </c>
      <c r="E141" t="str">
        <f>VLOOKUP(A141,DataUsuario!B:D,3,FALSE)</f>
        <v>Gestion del Talento</v>
      </c>
    </row>
    <row r="142" spans="1:5" x14ac:dyDescent="0.3">
      <c r="A142" s="153" t="s">
        <v>223</v>
      </c>
      <c r="B142" t="s">
        <v>1</v>
      </c>
      <c r="C142" s="154">
        <v>4</v>
      </c>
      <c r="D142" t="str">
        <f>VLOOKUP(A142,DataUsuario!B:D,2,FALSE)</f>
        <v>Gestión Humana y Sostenibilidad</v>
      </c>
      <c r="E142" t="str">
        <f>VLOOKUP(A142,DataUsuario!B:D,3,FALSE)</f>
        <v>Seguridad</v>
      </c>
    </row>
    <row r="143" spans="1:5" x14ac:dyDescent="0.3">
      <c r="A143" s="156" t="s">
        <v>89</v>
      </c>
      <c r="B143" t="s">
        <v>1</v>
      </c>
      <c r="C143" s="157">
        <v>4</v>
      </c>
      <c r="D143" t="str">
        <f>VLOOKUP(A143,DataUsuario!B:D,2,FALSE)</f>
        <v>Industrial y de Mantenimiento</v>
      </c>
      <c r="E143" t="str">
        <f>VLOOKUP(A143,DataUsuario!B:D,3,FALSE)</f>
        <v>Producción</v>
      </c>
    </row>
    <row r="144" spans="1:5" x14ac:dyDescent="0.3">
      <c r="A144" s="153" t="s">
        <v>510</v>
      </c>
      <c r="B144" t="s">
        <v>1</v>
      </c>
      <c r="C144" s="154">
        <v>5</v>
      </c>
      <c r="D144" t="str">
        <f>VLOOKUP(A144,DataUsuario!B:D,2,FALSE)</f>
        <v>Gestión Humana y Sostenibilidad</v>
      </c>
      <c r="E144" t="str">
        <f>VLOOKUP(A144,DataUsuario!B:D,3,FALSE)</f>
        <v>Gestor de Recursos Humanos</v>
      </c>
    </row>
    <row r="145" spans="1:5" x14ac:dyDescent="0.3">
      <c r="A145" s="156" t="s">
        <v>450</v>
      </c>
      <c r="B145" t="s">
        <v>1</v>
      </c>
      <c r="C145" s="157">
        <v>4</v>
      </c>
      <c r="D145" t="str">
        <f>VLOOKUP(A145,DataUsuario!B:D,2,FALSE)</f>
        <v>Operaciones</v>
      </c>
      <c r="E145" t="str">
        <f>VLOOKUP(A145,DataUsuario!B:D,3,FALSE)</f>
        <v>Almacenes y Distribución PT</v>
      </c>
    </row>
    <row r="146" spans="1:5" x14ac:dyDescent="0.3">
      <c r="A146" s="153" t="s">
        <v>104</v>
      </c>
      <c r="B146" t="s">
        <v>1</v>
      </c>
      <c r="C146" s="154">
        <v>5</v>
      </c>
      <c r="D146" t="str">
        <f>VLOOKUP(A146,DataUsuario!B:D,2,FALSE)</f>
        <v>Gestión Humana y Sostenibilidad</v>
      </c>
      <c r="E146" t="str">
        <f>VLOOKUP(A146,DataUsuario!B:D,3,FALSE)</f>
        <v>Compensación y Nóminas</v>
      </c>
    </row>
    <row r="147" spans="1:5" x14ac:dyDescent="0.3">
      <c r="A147" s="156" t="s">
        <v>68</v>
      </c>
      <c r="B147" t="s">
        <v>1</v>
      </c>
      <c r="C147" s="157">
        <v>4</v>
      </c>
      <c r="D147" t="str">
        <f>VLOOKUP(A147,DataUsuario!B:D,2,FALSE)</f>
        <v>Gestión Humana y Sostenibilidad</v>
      </c>
      <c r="E147" t="str">
        <f>VLOOKUP(A147,DataUsuario!B:D,3,FALSE)</f>
        <v>Compensación y Nóminas</v>
      </c>
    </row>
    <row r="148" spans="1:5" x14ac:dyDescent="0.3">
      <c r="A148" s="153" t="s">
        <v>199</v>
      </c>
      <c r="B148" t="s">
        <v>1</v>
      </c>
      <c r="C148" s="154">
        <v>5</v>
      </c>
      <c r="D148" t="str">
        <f>VLOOKUP(A148,DataUsuario!B:D,2,FALSE)</f>
        <v>Gestión Humana y Sostenibilidad</v>
      </c>
      <c r="E148" t="str">
        <f>VLOOKUP(A148,DataUsuario!B:D,3,FALSE)</f>
        <v>Relaciones Laborales</v>
      </c>
    </row>
    <row r="149" spans="1:5" x14ac:dyDescent="0.3">
      <c r="A149" s="156" t="s">
        <v>262</v>
      </c>
      <c r="B149" t="s">
        <v>1</v>
      </c>
      <c r="C149" s="157">
        <v>4</v>
      </c>
      <c r="D149" t="str">
        <f>VLOOKUP(A149,DataUsuario!B:D,2,FALSE)</f>
        <v>Industrial y de Mantenimiento</v>
      </c>
      <c r="E149" t="str">
        <f>VLOOKUP(A149,DataUsuario!B:D,3,FALSE)</f>
        <v>Automatización</v>
      </c>
    </row>
    <row r="150" spans="1:5" x14ac:dyDescent="0.3">
      <c r="A150" s="153" t="s">
        <v>454</v>
      </c>
      <c r="B150" t="s">
        <v>1</v>
      </c>
      <c r="C150" s="154">
        <v>5</v>
      </c>
      <c r="D150" t="str">
        <f>VLOOKUP(A150,DataUsuario!B:D,2,FALSE)</f>
        <v>Operaciones</v>
      </c>
      <c r="E150" t="str">
        <f>VLOOKUP(A150,DataUsuario!B:D,3,FALSE)</f>
        <v>Comercial</v>
      </c>
    </row>
    <row r="151" spans="1:5" x14ac:dyDescent="0.3">
      <c r="A151" s="156" t="s">
        <v>127</v>
      </c>
      <c r="B151" t="s">
        <v>1</v>
      </c>
      <c r="C151" s="157">
        <v>5</v>
      </c>
      <c r="D151" t="str">
        <f>VLOOKUP(A151,DataUsuario!B:D,2,FALSE)</f>
        <v>Agrícola</v>
      </c>
      <c r="E151" t="str">
        <f>VLOOKUP(A151,DataUsuario!B:D,3,FALSE)</f>
        <v>Fundo Montelima</v>
      </c>
    </row>
    <row r="152" spans="1:5" x14ac:dyDescent="0.3">
      <c r="A152" s="153" t="s">
        <v>515</v>
      </c>
      <c r="B152" t="s">
        <v>1</v>
      </c>
      <c r="C152" s="154">
        <v>5</v>
      </c>
      <c r="D152" t="str">
        <f>VLOOKUP(A152,DataUsuario!B:D,2,FALSE)</f>
        <v>Industrial y de Mantenimiento</v>
      </c>
      <c r="E152" t="str">
        <f>VLOOKUP(A152,DataUsuario!B:D,3,FALSE)</f>
        <v>Mantenimiento Industrial</v>
      </c>
    </row>
    <row r="153" spans="1:5" x14ac:dyDescent="0.3">
      <c r="A153" s="156" t="s">
        <v>225</v>
      </c>
      <c r="B153" t="s">
        <v>1</v>
      </c>
      <c r="C153" s="157">
        <v>5</v>
      </c>
      <c r="D153" t="str">
        <f>VLOOKUP(A153,DataUsuario!B:D,2,FALSE)</f>
        <v>Gestión Humana y Sostenibilidad</v>
      </c>
      <c r="E153" t="str">
        <f>VLOOKUP(A153,DataUsuario!B:D,3,FALSE)</f>
        <v>Seguridad</v>
      </c>
    </row>
    <row r="154" spans="1:5" x14ac:dyDescent="0.3">
      <c r="A154" s="153" t="s">
        <v>516</v>
      </c>
      <c r="B154" t="s">
        <v>1</v>
      </c>
      <c r="C154" s="154">
        <v>5</v>
      </c>
      <c r="D154" t="str">
        <f>VLOOKUP(A154,DataUsuario!B:D,2,FALSE)</f>
        <v>Gestión Humana y Sostenibilidad</v>
      </c>
      <c r="E154" t="str">
        <f>VLOOKUP(A154,DataUsuario!B:D,3,FALSE)</f>
        <v>Gestor de Recursos Humanos</v>
      </c>
    </row>
    <row r="155" spans="1:5" x14ac:dyDescent="0.3">
      <c r="A155" s="156" t="s">
        <v>210</v>
      </c>
      <c r="B155" t="s">
        <v>1</v>
      </c>
      <c r="C155" s="157">
        <v>5</v>
      </c>
      <c r="D155" t="str">
        <f>VLOOKUP(A155,DataUsuario!B:D,2,FALSE)</f>
        <v>Industrial y de Mantenimiento</v>
      </c>
      <c r="E155" t="str">
        <f>VLOOKUP(A155,DataUsuario!B:D,3,FALSE)</f>
        <v>Electricidad</v>
      </c>
    </row>
    <row r="156" spans="1:5" x14ac:dyDescent="0.3">
      <c r="A156" s="153" t="s">
        <v>208</v>
      </c>
      <c r="B156" t="s">
        <v>1</v>
      </c>
      <c r="C156" s="154">
        <v>5</v>
      </c>
      <c r="D156" t="str">
        <f>VLOOKUP(A156,DataUsuario!B:D,2,FALSE)</f>
        <v>Agrícola</v>
      </c>
      <c r="E156" t="str">
        <f>VLOOKUP(A156,DataUsuario!B:D,3,FALSE)</f>
        <v>Fundo Lobo</v>
      </c>
    </row>
    <row r="157" spans="1:5" x14ac:dyDescent="0.3">
      <c r="A157" s="156" t="s">
        <v>234</v>
      </c>
      <c r="B157" t="s">
        <v>1</v>
      </c>
      <c r="C157" s="157">
        <v>5</v>
      </c>
      <c r="D157" t="str">
        <f>VLOOKUP(A157,DataUsuario!B:D,2,FALSE)</f>
        <v>Agrícola</v>
      </c>
      <c r="E157" t="str">
        <f>VLOOKUP(A157,DataUsuario!B:D,3,FALSE)</f>
        <v>Laboratorio e Investigación Agricola</v>
      </c>
    </row>
    <row r="158" spans="1:5" x14ac:dyDescent="0.3">
      <c r="A158" s="153" t="s">
        <v>248</v>
      </c>
      <c r="B158" t="s">
        <v>1</v>
      </c>
      <c r="C158" s="154">
        <v>4</v>
      </c>
      <c r="D158" t="str">
        <f>VLOOKUP(A158,DataUsuario!B:D,2,FALSE)</f>
        <v>Industrial y de Mantenimiento</v>
      </c>
      <c r="E158" t="str">
        <f>VLOOKUP(A158,DataUsuario!B:D,3,FALSE)</f>
        <v>Producción</v>
      </c>
    </row>
    <row r="159" spans="1:5" x14ac:dyDescent="0.3">
      <c r="A159" s="156" t="s">
        <v>122</v>
      </c>
      <c r="B159" t="s">
        <v>1</v>
      </c>
      <c r="C159" s="157">
        <v>5</v>
      </c>
      <c r="D159" t="str">
        <f>VLOOKUP(A159,DataUsuario!B:D,2,FALSE)</f>
        <v>Industrial y de Mantenimiento</v>
      </c>
      <c r="E159" t="str">
        <f>VLOOKUP(A159,DataUsuario!B:D,3,FALSE)</f>
        <v>Mantenimiento de Transportes</v>
      </c>
    </row>
    <row r="160" spans="1:5" x14ac:dyDescent="0.3">
      <c r="A160" s="153" t="s">
        <v>428</v>
      </c>
      <c r="B160" t="s">
        <v>1</v>
      </c>
      <c r="C160" s="154">
        <v>5</v>
      </c>
      <c r="D160" t="str">
        <f>VLOOKUP(A160,DataUsuario!B:D,2,FALSE)</f>
        <v>Administración y Finanzas</v>
      </c>
      <c r="E160" t="str">
        <f>VLOOKUP(A160,DataUsuario!B:D,3,FALSE)</f>
        <v>Contabilidad Tributaria</v>
      </c>
    </row>
    <row r="161" spans="1:5" x14ac:dyDescent="0.3">
      <c r="A161" s="156" t="s">
        <v>335</v>
      </c>
      <c r="B161" t="s">
        <v>1</v>
      </c>
      <c r="C161" s="157">
        <v>5</v>
      </c>
      <c r="D161" t="str">
        <f>VLOOKUP(A161,DataUsuario!B:D,2,FALSE)</f>
        <v>Administración y Finanzas</v>
      </c>
      <c r="E161" t="str">
        <f>VLOOKUP(A161,DataUsuario!B:D,3,FALSE)</f>
        <v>Finanzas y Tesorería</v>
      </c>
    </row>
    <row r="162" spans="1:5" x14ac:dyDescent="0.3">
      <c r="A162" s="153" t="s">
        <v>341</v>
      </c>
      <c r="B162" t="s">
        <v>1</v>
      </c>
      <c r="C162" s="154">
        <v>5</v>
      </c>
      <c r="D162" t="str">
        <f>VLOOKUP(A162,DataUsuario!B:D,2,FALSE)</f>
        <v>Administración y Finanzas</v>
      </c>
      <c r="E162" t="str">
        <f>VLOOKUP(A162,DataUsuario!B:D,3,FALSE)</f>
        <v>Administración</v>
      </c>
    </row>
    <row r="163" spans="1:5" x14ac:dyDescent="0.3">
      <c r="A163" s="156" t="s">
        <v>135</v>
      </c>
      <c r="B163" t="s">
        <v>1</v>
      </c>
      <c r="C163" s="157">
        <v>5</v>
      </c>
      <c r="D163" t="str">
        <f>VLOOKUP(A163,DataUsuario!B:D,2,FALSE)</f>
        <v>Agrícola</v>
      </c>
      <c r="E163" t="str">
        <f>VLOOKUP(A163,DataUsuario!B:D,3,FALSE)</f>
        <v>Fundo Lobo</v>
      </c>
    </row>
    <row r="164" spans="1:5" x14ac:dyDescent="0.3">
      <c r="A164" s="153" t="s">
        <v>185</v>
      </c>
      <c r="B164" t="s">
        <v>1</v>
      </c>
      <c r="C164" s="154">
        <v>5</v>
      </c>
      <c r="D164" t="str">
        <f>VLOOKUP(A164,DataUsuario!B:D,2,FALSE)</f>
        <v>Administración y Finanzas</v>
      </c>
      <c r="E164" t="str">
        <f>VLOOKUP(A164,DataUsuario!B:D,3,FALSE)</f>
        <v>Cadenas Productivas</v>
      </c>
    </row>
    <row r="165" spans="1:5" x14ac:dyDescent="0.3">
      <c r="A165" s="156" t="s">
        <v>387</v>
      </c>
      <c r="B165" t="s">
        <v>1</v>
      </c>
      <c r="C165" s="157">
        <v>4</v>
      </c>
      <c r="D165" t="str">
        <f>VLOOKUP(A165,DataUsuario!B:D,2,FALSE)</f>
        <v>Agrícola</v>
      </c>
      <c r="E165" t="str">
        <f>VLOOKUP(A165,DataUsuario!B:D,3,FALSE)</f>
        <v>Laboratorio e Investigación Agricola</v>
      </c>
    </row>
    <row r="166" spans="1:5" x14ac:dyDescent="0.3">
      <c r="A166" s="153" t="s">
        <v>430</v>
      </c>
      <c r="B166" t="s">
        <v>1</v>
      </c>
      <c r="C166" s="154">
        <v>4</v>
      </c>
      <c r="D166" t="str">
        <f>VLOOKUP(A166,DataUsuario!B:D,2,FALSE)</f>
        <v>Administración y Finanzas</v>
      </c>
      <c r="E166" t="str">
        <f>VLOOKUP(A166,DataUsuario!B:D,3,FALSE)</f>
        <v>Administración</v>
      </c>
    </row>
    <row r="167" spans="1:5" x14ac:dyDescent="0.3">
      <c r="A167" s="156" t="s">
        <v>265</v>
      </c>
      <c r="B167" t="s">
        <v>1</v>
      </c>
      <c r="C167" s="157">
        <v>4</v>
      </c>
      <c r="D167" t="str">
        <f>VLOOKUP(A167,DataUsuario!B:D,2,FALSE)</f>
        <v>Administración y Finanzas</v>
      </c>
      <c r="E167" t="str">
        <f>VLOOKUP(A167,DataUsuario!B:D,3,FALSE)</f>
        <v>Administración</v>
      </c>
    </row>
    <row r="168" spans="1:5" x14ac:dyDescent="0.3">
      <c r="A168" s="153" t="s">
        <v>354</v>
      </c>
      <c r="B168" t="s">
        <v>1</v>
      </c>
      <c r="C168" s="154">
        <v>5</v>
      </c>
      <c r="D168" t="str">
        <f>VLOOKUP(A168,DataUsuario!B:D,2,FALSE)</f>
        <v>Administración y Finanzas</v>
      </c>
      <c r="E168" t="str">
        <f>VLOOKUP(A168,DataUsuario!B:D,3,FALSE)</f>
        <v>Contabilidad Tributaria</v>
      </c>
    </row>
    <row r="169" spans="1:5" x14ac:dyDescent="0.3">
      <c r="A169" s="156" t="s">
        <v>325</v>
      </c>
      <c r="B169" t="s">
        <v>1</v>
      </c>
      <c r="C169" s="157">
        <v>1</v>
      </c>
      <c r="D169" t="str">
        <f>VLOOKUP(A169,DataUsuario!B:D,2,FALSE)</f>
        <v>Operaciones</v>
      </c>
      <c r="E169" t="str">
        <f>VLOOKUP(A169,DataUsuario!B:D,3,FALSE)</f>
        <v>Calidad</v>
      </c>
    </row>
    <row r="170" spans="1:5" x14ac:dyDescent="0.3">
      <c r="A170" s="153" t="s">
        <v>358</v>
      </c>
      <c r="B170" t="s">
        <v>1</v>
      </c>
      <c r="C170" s="154">
        <v>4</v>
      </c>
      <c r="D170" t="str">
        <f>VLOOKUP(A170,DataUsuario!B:D,2,FALSE)</f>
        <v>Agrícola</v>
      </c>
      <c r="E170" t="str">
        <f>VLOOKUP(A170,DataUsuario!B:D,3,FALSE)</f>
        <v>Mantenimiento de Riego y Bombas</v>
      </c>
    </row>
    <row r="171" spans="1:5" x14ac:dyDescent="0.3">
      <c r="A171" s="156" t="s">
        <v>297</v>
      </c>
      <c r="B171" t="s">
        <v>1</v>
      </c>
      <c r="C171" s="157">
        <v>4</v>
      </c>
      <c r="D171" t="str">
        <f>VLOOKUP(A171,DataUsuario!B:D,2,FALSE)</f>
        <v>Operaciones</v>
      </c>
      <c r="E171" t="str">
        <f>VLOOKUP(A171,DataUsuario!B:D,3,FALSE)</f>
        <v>Comercial</v>
      </c>
    </row>
    <row r="172" spans="1:5" x14ac:dyDescent="0.3">
      <c r="A172" s="153" t="s">
        <v>389</v>
      </c>
      <c r="B172" t="s">
        <v>1</v>
      </c>
      <c r="C172" s="154">
        <v>4</v>
      </c>
      <c r="D172" t="str">
        <f>VLOOKUP(A172,DataUsuario!B:D,2,FALSE)</f>
        <v>Agrícola</v>
      </c>
      <c r="E172" t="str">
        <f>VLOOKUP(A172,DataUsuario!B:D,3,FALSE)</f>
        <v>Mantenimiento de Riego y Bombas</v>
      </c>
    </row>
    <row r="173" spans="1:5" x14ac:dyDescent="0.3">
      <c r="A173" s="156" t="s">
        <v>343</v>
      </c>
      <c r="B173" t="s">
        <v>1</v>
      </c>
      <c r="C173" s="157">
        <v>5</v>
      </c>
      <c r="D173" t="str">
        <f>VLOOKUP(A173,DataUsuario!B:D,2,FALSE)</f>
        <v>Gestión Humana y Sostenibilidad</v>
      </c>
      <c r="E173" t="str">
        <f>VLOOKUP(A173,DataUsuario!B:D,3,FALSE)</f>
        <v>Relaciones Laborales</v>
      </c>
    </row>
    <row r="174" spans="1:5" x14ac:dyDescent="0.3">
      <c r="A174" s="153" t="s">
        <v>92</v>
      </c>
      <c r="B174" t="s">
        <v>1</v>
      </c>
      <c r="C174" s="154">
        <v>5</v>
      </c>
      <c r="D174" t="str">
        <f>VLOOKUP(A174,DataUsuario!B:D,2,FALSE)</f>
        <v>Operaciones</v>
      </c>
      <c r="E174" t="str">
        <f>VLOOKUP(A174,DataUsuario!B:D,3,FALSE)</f>
        <v>Comercial</v>
      </c>
    </row>
    <row r="175" spans="1:5" x14ac:dyDescent="0.3">
      <c r="A175" s="156" t="s">
        <v>438</v>
      </c>
      <c r="B175" t="s">
        <v>1</v>
      </c>
      <c r="C175" s="157">
        <v>4</v>
      </c>
      <c r="D175" t="str">
        <f>VLOOKUP(A175,DataUsuario!B:D,2,FALSE)</f>
        <v>Industrial y de Mantenimiento</v>
      </c>
      <c r="E175" t="str">
        <f>VLOOKUP(A175,DataUsuario!B:D,3,FALSE)</f>
        <v>Producción</v>
      </c>
    </row>
    <row r="176" spans="1:5" x14ac:dyDescent="0.3">
      <c r="A176" s="153" t="s">
        <v>166</v>
      </c>
      <c r="B176" t="s">
        <v>1</v>
      </c>
      <c r="C176" s="154">
        <v>4</v>
      </c>
      <c r="D176" t="str">
        <f>VLOOKUP(A176,DataUsuario!B:D,2,FALSE)</f>
        <v>Operaciones</v>
      </c>
      <c r="E176" t="str">
        <f>VLOOKUP(A176,DataUsuario!B:D,3,FALSE)</f>
        <v>Calidad</v>
      </c>
    </row>
    <row r="177" spans="1:5" x14ac:dyDescent="0.3">
      <c r="A177" s="156" t="s">
        <v>320</v>
      </c>
      <c r="B177" t="s">
        <v>1</v>
      </c>
      <c r="C177" s="157">
        <v>5</v>
      </c>
      <c r="D177" t="str">
        <f>VLOOKUP(A177,DataUsuario!B:D,2,FALSE)</f>
        <v>Gestión Humana y Sostenibilidad</v>
      </c>
      <c r="E177" t="str">
        <f>VLOOKUP(A177,DataUsuario!B:D,3,FALSE)</f>
        <v>Comunicaciones y Responsabilidad Social</v>
      </c>
    </row>
    <row r="178" spans="1:5" x14ac:dyDescent="0.3">
      <c r="A178" s="153" t="s">
        <v>365</v>
      </c>
      <c r="B178" t="s">
        <v>1</v>
      </c>
      <c r="C178" s="154">
        <v>5</v>
      </c>
      <c r="D178" t="str">
        <f>VLOOKUP(A178,DataUsuario!B:D,2,FALSE)</f>
        <v>Gestión Humana y Sostenibilidad</v>
      </c>
      <c r="E178" t="str">
        <f>VLOOKUP(A178,DataUsuario!B:D,3,FALSE)</f>
        <v>Compensación y Nóminas</v>
      </c>
    </row>
    <row r="179" spans="1:5" x14ac:dyDescent="0.3">
      <c r="A179" s="156" t="s">
        <v>339</v>
      </c>
      <c r="B179" t="s">
        <v>1</v>
      </c>
      <c r="C179" s="157">
        <v>4</v>
      </c>
      <c r="D179" t="str">
        <f>VLOOKUP(A179,DataUsuario!B:D,2,FALSE)</f>
        <v>Operaciones</v>
      </c>
      <c r="E179" t="str">
        <f>VLOOKUP(A179,DataUsuario!B:D,3,FALSE)</f>
        <v>Calidad</v>
      </c>
    </row>
    <row r="180" spans="1:5" x14ac:dyDescent="0.3">
      <c r="A180" s="153" t="s">
        <v>120</v>
      </c>
      <c r="B180" t="s">
        <v>1</v>
      </c>
      <c r="C180" s="154">
        <v>5</v>
      </c>
      <c r="D180" t="str">
        <f>VLOOKUP(A180,DataUsuario!B:D,2,FALSE)</f>
        <v>Industrial y de Mantenimiento</v>
      </c>
      <c r="E180" t="str">
        <f>VLOOKUP(A180,DataUsuario!B:D,3,FALSE)</f>
        <v>Mantenimiento Industrial</v>
      </c>
    </row>
    <row r="181" spans="1:5" x14ac:dyDescent="0.3">
      <c r="A181" s="156" t="s">
        <v>329</v>
      </c>
      <c r="B181" t="s">
        <v>1</v>
      </c>
      <c r="C181" s="157">
        <v>5</v>
      </c>
      <c r="D181" t="str">
        <f>VLOOKUP(A181,DataUsuario!B:D,2,FALSE)</f>
        <v>Administración y Finanzas</v>
      </c>
      <c r="E181" t="str">
        <f>VLOOKUP(A181,DataUsuario!B:D,3,FALSE)</f>
        <v>Compras</v>
      </c>
    </row>
    <row r="182" spans="1:5" x14ac:dyDescent="0.3">
      <c r="A182" s="153" t="s">
        <v>283</v>
      </c>
      <c r="B182" t="s">
        <v>1</v>
      </c>
      <c r="C182" s="154">
        <v>5</v>
      </c>
      <c r="D182" t="str">
        <f>VLOOKUP(A182,DataUsuario!B:D,2,FALSE)</f>
        <v>Operaciones</v>
      </c>
      <c r="E182" t="str">
        <f>VLOOKUP(A182,DataUsuario!B:D,3,FALSE)</f>
        <v>Calidad</v>
      </c>
    </row>
    <row r="183" spans="1:5" x14ac:dyDescent="0.3">
      <c r="A183" s="156" t="s">
        <v>291</v>
      </c>
      <c r="B183" t="s">
        <v>1</v>
      </c>
      <c r="C183" s="157">
        <v>4</v>
      </c>
      <c r="D183" t="str">
        <f>VLOOKUP(A183,DataUsuario!B:D,2,FALSE)</f>
        <v>Operaciones</v>
      </c>
      <c r="E183" t="str">
        <f>VLOOKUP(A183,DataUsuario!B:D,3,FALSE)</f>
        <v>Transporte</v>
      </c>
    </row>
    <row r="184" spans="1:5" x14ac:dyDescent="0.3">
      <c r="A184" s="153" t="s">
        <v>446</v>
      </c>
      <c r="B184" t="s">
        <v>1</v>
      </c>
      <c r="C184" s="154">
        <v>5</v>
      </c>
      <c r="D184" t="str">
        <f>VLOOKUP(A184,DataUsuario!B:D,2,FALSE)</f>
        <v>Agrícola</v>
      </c>
      <c r="E184" t="str">
        <f>VLOOKUP(A184,DataUsuario!B:D,3,FALSE)</f>
        <v>Fundo San Vicente</v>
      </c>
    </row>
    <row r="185" spans="1:5" x14ac:dyDescent="0.3">
      <c r="A185" s="156" t="s">
        <v>371</v>
      </c>
      <c r="B185" t="s">
        <v>1</v>
      </c>
      <c r="C185" s="157">
        <v>5</v>
      </c>
      <c r="D185" t="str">
        <f>VLOOKUP(A185,DataUsuario!B:D,2,FALSE)</f>
        <v>Administración y Finanzas</v>
      </c>
      <c r="E185" t="str">
        <f>VLOOKUP(A185,DataUsuario!B:D,3,FALSE)</f>
        <v>Compras</v>
      </c>
    </row>
    <row r="186" spans="1:5" x14ac:dyDescent="0.3">
      <c r="A186" s="153" t="s">
        <v>195</v>
      </c>
      <c r="B186" t="s">
        <v>1</v>
      </c>
      <c r="C186" s="154">
        <v>4</v>
      </c>
      <c r="D186" t="str">
        <f>VLOOKUP(A186,DataUsuario!B:D,2,FALSE)</f>
        <v>Operaciones</v>
      </c>
      <c r="E186" t="str">
        <f>VLOOKUP(A186,DataUsuario!B:D,3,FALSE)</f>
        <v>Calidad</v>
      </c>
    </row>
    <row r="187" spans="1:5" x14ac:dyDescent="0.3">
      <c r="A187" s="156" t="s">
        <v>350</v>
      </c>
      <c r="B187" t="s">
        <v>1</v>
      </c>
      <c r="C187" s="157">
        <v>5</v>
      </c>
      <c r="D187" t="str">
        <f>VLOOKUP(A187,DataUsuario!B:D,2,FALSE)</f>
        <v>Agrícola</v>
      </c>
      <c r="E187" t="str">
        <f>VLOOKUP(A187,DataUsuario!B:D,3,FALSE)</f>
        <v>Fundo San Vicente</v>
      </c>
    </row>
    <row r="188" spans="1:5" x14ac:dyDescent="0.3">
      <c r="A188" s="153" t="s">
        <v>267</v>
      </c>
      <c r="B188" t="s">
        <v>1</v>
      </c>
      <c r="C188" s="154">
        <v>4</v>
      </c>
      <c r="D188" t="str">
        <f>VLOOKUP(A188,DataUsuario!B:D,2,FALSE)</f>
        <v>Agrícola</v>
      </c>
      <c r="E188" t="str">
        <f>VLOOKUP(A188,DataUsuario!B:D,3,FALSE)</f>
        <v>Fundo Montelima</v>
      </c>
    </row>
    <row r="189" spans="1:5" x14ac:dyDescent="0.3">
      <c r="A189" s="156" t="s">
        <v>212</v>
      </c>
      <c r="B189" t="s">
        <v>1</v>
      </c>
      <c r="C189" s="157">
        <v>5</v>
      </c>
      <c r="D189" t="str">
        <f>VLOOKUP(A189,DataUsuario!B:D,2,FALSE)</f>
        <v>Agrícola</v>
      </c>
      <c r="E189" t="str">
        <f>VLOOKUP(A189,DataUsuario!B:D,3,FALSE)</f>
        <v>Fundo La Huaca</v>
      </c>
    </row>
    <row r="190" spans="1:5" x14ac:dyDescent="0.3">
      <c r="A190" s="153" t="s">
        <v>316</v>
      </c>
      <c r="B190" t="s">
        <v>1</v>
      </c>
      <c r="C190" s="154">
        <v>4</v>
      </c>
      <c r="D190" t="str">
        <f>VLOOKUP(A190,DataUsuario!B:D,2,FALSE)</f>
        <v>Administración y Finanzas</v>
      </c>
      <c r="E190" t="str">
        <f>VLOOKUP(A190,DataUsuario!B:D,3,FALSE)</f>
        <v>Control de Gestión</v>
      </c>
    </row>
    <row r="191" spans="1:5" x14ac:dyDescent="0.3">
      <c r="A191" s="156" t="s">
        <v>363</v>
      </c>
      <c r="B191" t="s">
        <v>1</v>
      </c>
      <c r="C191" s="157">
        <v>5</v>
      </c>
      <c r="D191" t="str">
        <f>VLOOKUP(A191,DataUsuario!B:D,2,FALSE)</f>
        <v>Agrícola</v>
      </c>
      <c r="E191" t="str">
        <f>VLOOKUP(A191,DataUsuario!B:D,3,FALSE)</f>
        <v>Planificador Agrícola</v>
      </c>
    </row>
    <row r="192" spans="1:5" x14ac:dyDescent="0.3">
      <c r="A192" s="153" t="s">
        <v>260</v>
      </c>
      <c r="B192" t="s">
        <v>1</v>
      </c>
      <c r="C192" s="154">
        <v>4</v>
      </c>
      <c r="D192" t="str">
        <f>VLOOKUP(A192,DataUsuario!B:D,2,FALSE)</f>
        <v>Administración y Finanzas</v>
      </c>
      <c r="E192" t="str">
        <f>VLOOKUP(A192,DataUsuario!B:D,3,FALSE)</f>
        <v>Compras</v>
      </c>
    </row>
    <row r="193" spans="1:5" x14ac:dyDescent="0.3">
      <c r="A193" s="156" t="s">
        <v>303</v>
      </c>
      <c r="B193" t="s">
        <v>1</v>
      </c>
      <c r="C193" s="157">
        <v>5</v>
      </c>
      <c r="D193" t="str">
        <f>VLOOKUP(A193,DataUsuario!B:D,2,FALSE)</f>
        <v>Gestión Humana y Sostenibilidad</v>
      </c>
      <c r="E193" t="str">
        <f>VLOOKUP(A193,DataUsuario!B:D,3,FALSE)</f>
        <v>Gerencia Gestión Humana y Sostenibilidad</v>
      </c>
    </row>
    <row r="194" spans="1:5" x14ac:dyDescent="0.3">
      <c r="A194" s="153" t="s">
        <v>314</v>
      </c>
      <c r="B194" t="s">
        <v>1</v>
      </c>
      <c r="C194" s="154">
        <v>5</v>
      </c>
      <c r="D194" t="str">
        <f>VLOOKUP(A194,DataUsuario!B:D,2,FALSE)</f>
        <v>Administración y Finanzas</v>
      </c>
      <c r="E194" t="str">
        <f>VLOOKUP(A194,DataUsuario!B:D,3,FALSE)</f>
        <v>Contabilidad Tributaria</v>
      </c>
    </row>
    <row r="195" spans="1:5" x14ac:dyDescent="0.3">
      <c r="A195" s="156" t="s">
        <v>436</v>
      </c>
      <c r="B195" t="s">
        <v>1</v>
      </c>
      <c r="C195" s="157">
        <v>4</v>
      </c>
      <c r="D195" t="str">
        <f>VLOOKUP(A195,DataUsuario!B:D,2,FALSE)</f>
        <v>Operaciones</v>
      </c>
      <c r="E195" t="str">
        <f>VLOOKUP(A195,DataUsuario!B:D,3,FALSE)</f>
        <v>Cosecha</v>
      </c>
    </row>
    <row r="196" spans="1:5" x14ac:dyDescent="0.3">
      <c r="A196" s="153" t="s">
        <v>537</v>
      </c>
      <c r="B196" t="s">
        <v>1</v>
      </c>
      <c r="C196" s="154">
        <v>3</v>
      </c>
      <c r="D196" t="str">
        <f>VLOOKUP(A196,DataUsuario!B:D,2,FALSE)</f>
        <v>Administración y Finanzas</v>
      </c>
      <c r="E196" t="str">
        <f>VLOOKUP(A196,DataUsuario!B:D,3,FALSE)</f>
        <v>Finanzas y Tesorería</v>
      </c>
    </row>
    <row r="197" spans="1:5" x14ac:dyDescent="0.3">
      <c r="A197" s="156" t="s">
        <v>402</v>
      </c>
      <c r="B197" t="s">
        <v>1</v>
      </c>
      <c r="C197" s="157">
        <v>4</v>
      </c>
      <c r="D197" t="str">
        <f>VLOOKUP(A197,DataUsuario!B:D,2,FALSE)</f>
        <v>Administración y Finanzas</v>
      </c>
      <c r="E197" t="str">
        <f>VLOOKUP(A197,DataUsuario!B:D,3,FALSE)</f>
        <v>Contabilidad Tributaria</v>
      </c>
    </row>
    <row r="198" spans="1:5" x14ac:dyDescent="0.3">
      <c r="A198" s="153" t="s">
        <v>87</v>
      </c>
      <c r="B198" t="s">
        <v>1</v>
      </c>
      <c r="C198" s="154">
        <v>4</v>
      </c>
      <c r="D198" t="str">
        <f>VLOOKUP(A198,DataUsuario!B:D,2,FALSE)</f>
        <v>Administración y Finanzas</v>
      </c>
      <c r="E198" t="str">
        <f>VLOOKUP(A198,DataUsuario!B:D,3,FALSE)</f>
        <v>Compras</v>
      </c>
    </row>
    <row r="199" spans="1:5" x14ac:dyDescent="0.3">
      <c r="A199" s="156" t="s">
        <v>202</v>
      </c>
      <c r="B199" t="s">
        <v>1</v>
      </c>
      <c r="C199" s="157">
        <v>5</v>
      </c>
      <c r="D199" t="str">
        <f>VLOOKUP(A199,DataUsuario!B:D,2,FALSE)</f>
        <v>Agrícola</v>
      </c>
      <c r="E199" t="str">
        <f>VLOOKUP(A199,DataUsuario!B:D,3,FALSE)</f>
        <v>Mantenimiento de Riego y Bombas</v>
      </c>
    </row>
    <row r="200" spans="1:5" x14ac:dyDescent="0.3">
      <c r="A200" s="153" t="s">
        <v>323</v>
      </c>
      <c r="B200" t="s">
        <v>1</v>
      </c>
      <c r="C200" s="154">
        <v>3</v>
      </c>
      <c r="D200" t="str">
        <f>VLOOKUP(A200,DataUsuario!B:D,2,FALSE)</f>
        <v>Operaciones</v>
      </c>
      <c r="E200" t="str">
        <f>VLOOKUP(A200,DataUsuario!B:D,3,FALSE)</f>
        <v>Mantenimiento CAT</v>
      </c>
    </row>
    <row r="201" spans="1:5" x14ac:dyDescent="0.3">
      <c r="A201" s="156" t="s">
        <v>393</v>
      </c>
      <c r="B201" t="s">
        <v>1</v>
      </c>
      <c r="C201" s="157">
        <v>4</v>
      </c>
      <c r="D201" t="str">
        <f>VLOOKUP(A201,DataUsuario!B:D,2,FALSE)</f>
        <v>Industrial y de Mantenimiento</v>
      </c>
      <c r="E201" t="str">
        <f>VLOOKUP(A201,DataUsuario!B:D,3,FALSE)</f>
        <v>Gerencia industrial y de Mantenimiento</v>
      </c>
    </row>
    <row r="202" spans="1:5" x14ac:dyDescent="0.3">
      <c r="A202" s="153" t="s">
        <v>539</v>
      </c>
      <c r="B202" t="s">
        <v>1</v>
      </c>
      <c r="C202" s="154">
        <v>5</v>
      </c>
      <c r="D202" t="str">
        <f>VLOOKUP(A202,DataUsuario!B:D,2,FALSE)</f>
        <v>Industrial y de Mantenimiento</v>
      </c>
      <c r="E202" t="str">
        <f>VLOOKUP(A202,DataUsuario!B:D,3,FALSE)</f>
        <v>Mantenimiento Industrial</v>
      </c>
    </row>
    <row r="203" spans="1:5" x14ac:dyDescent="0.3">
      <c r="A203" s="156" t="s">
        <v>327</v>
      </c>
      <c r="B203" t="s">
        <v>1</v>
      </c>
      <c r="C203" s="157">
        <v>5</v>
      </c>
      <c r="D203" t="str">
        <f>VLOOKUP(A203,DataUsuario!B:D,2,FALSE)</f>
        <v>Industrial y de Mantenimiento</v>
      </c>
      <c r="E203" t="str">
        <f>VLOOKUP(A203,DataUsuario!B:D,3,FALSE)</f>
        <v>Mantenimiento Industrial</v>
      </c>
    </row>
    <row r="204" spans="1:5" x14ac:dyDescent="0.3">
      <c r="A204" s="153" t="s">
        <v>542</v>
      </c>
      <c r="B204" t="s">
        <v>1</v>
      </c>
      <c r="C204" s="154">
        <v>5</v>
      </c>
      <c r="D204" t="str">
        <f>VLOOKUP(A204,DataUsuario!B:D,2,FALSE)</f>
        <v>Gestión Humana y Sostenibilidad</v>
      </c>
      <c r="E204" t="str">
        <f>VLOOKUP(A204,DataUsuario!B:D,3,FALSE)</f>
        <v>Seguridad</v>
      </c>
    </row>
    <row r="205" spans="1:5" x14ac:dyDescent="0.3">
      <c r="A205" s="156" t="s">
        <v>398</v>
      </c>
      <c r="B205" t="s">
        <v>1</v>
      </c>
      <c r="C205" s="157">
        <v>4</v>
      </c>
      <c r="D205" t="str">
        <f>VLOOKUP(A205,DataUsuario!B:D,2,FALSE)</f>
        <v>Agrícola</v>
      </c>
      <c r="E205" t="str">
        <f>VLOOKUP(A205,DataUsuario!B:D,3,FALSE)</f>
        <v>Fundo Lobo</v>
      </c>
    </row>
    <row r="206" spans="1:5" x14ac:dyDescent="0.3">
      <c r="A206" s="153" t="s">
        <v>384</v>
      </c>
      <c r="B206" t="s">
        <v>1</v>
      </c>
      <c r="C206" s="154">
        <v>4</v>
      </c>
      <c r="D206" t="str">
        <f>VLOOKUP(A206,DataUsuario!B:D,2,FALSE)</f>
        <v>Agrícola</v>
      </c>
      <c r="E206" t="str">
        <f>VLOOKUP(A206,DataUsuario!B:D,3,FALSE)</f>
        <v>Sistema Integral de Gestión</v>
      </c>
    </row>
    <row r="207" spans="1:5" x14ac:dyDescent="0.3">
      <c r="A207" s="156" t="s">
        <v>308</v>
      </c>
      <c r="B207" t="s">
        <v>1</v>
      </c>
      <c r="C207" s="157">
        <v>4</v>
      </c>
      <c r="D207" t="str">
        <f>VLOOKUP(A207,DataUsuario!B:D,2,FALSE)</f>
        <v>Administración y Finanzas</v>
      </c>
      <c r="E207" t="str">
        <f>VLOOKUP(A207,DataUsuario!B:D,3,FALSE)</f>
        <v>Compras</v>
      </c>
    </row>
    <row r="208" spans="1:5" x14ac:dyDescent="0.3">
      <c r="A208" s="153" t="s">
        <v>162</v>
      </c>
      <c r="B208" t="s">
        <v>1</v>
      </c>
      <c r="C208" s="154">
        <v>4</v>
      </c>
      <c r="D208" t="str">
        <f>VLOOKUP(A208,DataUsuario!B:D,2,FALSE)</f>
        <v>Industrial y de Mantenimiento</v>
      </c>
      <c r="E208" t="str">
        <f>VLOOKUP(A208,DataUsuario!B:D,3,FALSE)</f>
        <v>Mantenimiento Industrial</v>
      </c>
    </row>
    <row r="209" spans="1:5" x14ac:dyDescent="0.3">
      <c r="A209" s="156" t="s">
        <v>137</v>
      </c>
      <c r="B209" t="s">
        <v>1</v>
      </c>
      <c r="C209" s="157">
        <v>4</v>
      </c>
      <c r="D209" t="str">
        <f>VLOOKUP(A209,DataUsuario!B:D,2,FALSE)</f>
        <v>Agrícola</v>
      </c>
      <c r="E209" t="str">
        <f>VLOOKUP(A209,DataUsuario!B:D,3,FALSE)</f>
        <v>Mantenimiento de Riego y Bombas</v>
      </c>
    </row>
    <row r="210" spans="1:5" x14ac:dyDescent="0.3">
      <c r="A210" s="153" t="s">
        <v>240</v>
      </c>
      <c r="B210" t="s">
        <v>1</v>
      </c>
      <c r="C210" s="154">
        <v>5</v>
      </c>
      <c r="D210" t="str">
        <f>VLOOKUP(A210,DataUsuario!B:D,2,FALSE)</f>
        <v>Agrícola</v>
      </c>
      <c r="E210" t="str">
        <f>VLOOKUP(A210,DataUsuario!B:D,3,FALSE)</f>
        <v>Fundo Lobo</v>
      </c>
    </row>
    <row r="211" spans="1:5" x14ac:dyDescent="0.3">
      <c r="A211" s="156" t="s">
        <v>158</v>
      </c>
      <c r="B211" t="s">
        <v>1</v>
      </c>
      <c r="C211" s="157">
        <v>4</v>
      </c>
      <c r="D211" t="str">
        <f>VLOOKUP(A211,DataUsuario!B:D,2,FALSE)</f>
        <v>Industrial y de Mantenimiento</v>
      </c>
      <c r="E211" t="str">
        <f>VLOOKUP(A211,DataUsuario!B:D,3,FALSE)</f>
        <v>Producción</v>
      </c>
    </row>
    <row r="212" spans="1:5" x14ac:dyDescent="0.3">
      <c r="A212" s="153" t="s">
        <v>544</v>
      </c>
      <c r="B212" t="s">
        <v>1</v>
      </c>
      <c r="C212" s="154">
        <v>4</v>
      </c>
      <c r="D212" t="str">
        <f>VLOOKUP(A212,DataUsuario!B:D,2,FALSE)</f>
        <v>Agrícola</v>
      </c>
      <c r="E212" t="str">
        <f>VLOOKUP(A212,DataUsuario!B:D,3,FALSE)</f>
        <v>Fundo San Vicente</v>
      </c>
    </row>
    <row r="213" spans="1:5" x14ac:dyDescent="0.3">
      <c r="A213" s="156" t="s">
        <v>312</v>
      </c>
      <c r="B213" t="s">
        <v>1</v>
      </c>
      <c r="C213" s="157">
        <v>4</v>
      </c>
      <c r="D213" t="str">
        <f>VLOOKUP(A213,DataUsuario!B:D,2,FALSE)</f>
        <v>Administración y Finanzas</v>
      </c>
      <c r="E213" t="str">
        <f>VLOOKUP(A213,DataUsuario!B:D,3,FALSE)</f>
        <v>Legal</v>
      </c>
    </row>
    <row r="214" spans="1:5" x14ac:dyDescent="0.3">
      <c r="A214" s="153" t="s">
        <v>452</v>
      </c>
      <c r="B214" t="s">
        <v>1</v>
      </c>
      <c r="C214" s="154">
        <v>4</v>
      </c>
      <c r="D214" t="str">
        <f>VLOOKUP(A214,DataUsuario!B:D,2,FALSE)</f>
        <v>Gestión Humana y Sostenibilidad</v>
      </c>
      <c r="E214" t="str">
        <f>VLOOKUP(A214,DataUsuario!B:D,3,FALSE)</f>
        <v>Compensación y Nóminas</v>
      </c>
    </row>
    <row r="215" spans="1:5" x14ac:dyDescent="0.3">
      <c r="A215" s="156" t="s">
        <v>179</v>
      </c>
      <c r="B215" t="s">
        <v>1</v>
      </c>
      <c r="C215" s="157">
        <v>4</v>
      </c>
      <c r="D215" t="str">
        <f>VLOOKUP(A215,DataUsuario!B:D,2,FALSE)</f>
        <v>Operaciones</v>
      </c>
      <c r="E215" t="str">
        <f>VLOOKUP(A215,DataUsuario!B:D,3,FALSE)</f>
        <v>Mantenimiento CAT</v>
      </c>
    </row>
    <row r="216" spans="1:5" x14ac:dyDescent="0.3">
      <c r="A216" s="153" t="s">
        <v>151</v>
      </c>
      <c r="B216" t="s">
        <v>1</v>
      </c>
      <c r="C216" s="154">
        <v>4</v>
      </c>
      <c r="D216" t="str">
        <f>VLOOKUP(A216,DataUsuario!B:D,2,FALSE)</f>
        <v>Operaciones</v>
      </c>
      <c r="E216" t="str">
        <f>VLOOKUP(A216,DataUsuario!B:D,3,FALSE)</f>
        <v>Transporte</v>
      </c>
    </row>
    <row r="217" spans="1:5" x14ac:dyDescent="0.3">
      <c r="A217" s="156" t="s">
        <v>406</v>
      </c>
      <c r="B217" t="s">
        <v>1</v>
      </c>
      <c r="C217" s="157">
        <v>5</v>
      </c>
      <c r="D217" t="str">
        <f>VLOOKUP(A217,DataUsuario!B:D,2,FALSE)</f>
        <v>Administración y Finanzas</v>
      </c>
      <c r="E217" t="str">
        <f>VLOOKUP(A217,DataUsuario!B:D,3,FALSE)</f>
        <v>Finanzas y Tesorería</v>
      </c>
    </row>
    <row r="218" spans="1:5" x14ac:dyDescent="0.3">
      <c r="A218" s="153" t="s">
        <v>301</v>
      </c>
      <c r="B218" t="s">
        <v>1</v>
      </c>
      <c r="C218" s="154">
        <v>5</v>
      </c>
      <c r="D218" t="str">
        <f>VLOOKUP(A218,DataUsuario!B:D,2,FALSE)</f>
        <v>Agrícola</v>
      </c>
      <c r="E218" t="str">
        <f>VLOOKUP(A218,DataUsuario!B:D,3,FALSE)</f>
        <v>Mantenimiento de Riego y Bombas</v>
      </c>
    </row>
    <row r="219" spans="1:5" x14ac:dyDescent="0.3">
      <c r="A219" s="156" t="s">
        <v>95</v>
      </c>
      <c r="B219" t="s">
        <v>1</v>
      </c>
      <c r="C219" s="157">
        <v>5</v>
      </c>
      <c r="D219" t="str">
        <f>VLOOKUP(A219,DataUsuario!B:D,2,FALSE)</f>
        <v>Agrícola</v>
      </c>
      <c r="E219" t="str">
        <f>VLOOKUP(A219,DataUsuario!B:D,3,FALSE)</f>
        <v>Fundo Lobo</v>
      </c>
    </row>
    <row r="220" spans="1:5" x14ac:dyDescent="0.3">
      <c r="A220" s="153" t="s">
        <v>360</v>
      </c>
      <c r="B220" t="s">
        <v>1</v>
      </c>
      <c r="C220" s="154">
        <v>5</v>
      </c>
      <c r="D220" t="str">
        <f>VLOOKUP(A220,DataUsuario!B:D,2,FALSE)</f>
        <v>Operaciones</v>
      </c>
      <c r="E220" t="str">
        <f>VLOOKUP(A220,DataUsuario!B:D,3,FALSE)</f>
        <v>Almacenes y Distribución PT</v>
      </c>
    </row>
    <row r="221" spans="1:5" x14ac:dyDescent="0.3">
      <c r="A221" s="156" t="s">
        <v>109</v>
      </c>
      <c r="B221" t="s">
        <v>1</v>
      </c>
      <c r="C221" s="157">
        <v>5</v>
      </c>
      <c r="D221" t="str">
        <f>VLOOKUP(A221,DataUsuario!B:D,2,FALSE)</f>
        <v>Operaciones</v>
      </c>
      <c r="E221" t="str">
        <f>VLOOKUP(A221,DataUsuario!B:D,3,FALSE)</f>
        <v>Almacenes y Distribución PT</v>
      </c>
    </row>
    <row r="222" spans="1:5" x14ac:dyDescent="0.3">
      <c r="A222" s="153" t="s">
        <v>287</v>
      </c>
      <c r="B222" t="s">
        <v>1</v>
      </c>
      <c r="C222" s="154">
        <v>4</v>
      </c>
      <c r="D222" t="str">
        <f>VLOOKUP(A222,DataUsuario!B:D,2,FALSE)</f>
        <v>Administración y Finanzas</v>
      </c>
      <c r="E222" t="str">
        <f>VLOOKUP(A222,DataUsuario!B:D,3,FALSE)</f>
        <v>Compras</v>
      </c>
    </row>
    <row r="223" spans="1:5" x14ac:dyDescent="0.3">
      <c r="A223" s="156" t="s">
        <v>130</v>
      </c>
      <c r="B223" t="s">
        <v>1</v>
      </c>
      <c r="C223" s="157">
        <v>4</v>
      </c>
      <c r="D223" t="str">
        <f>VLOOKUP(A223,DataUsuario!B:D,2,FALSE)</f>
        <v>Administración y Finanzas</v>
      </c>
      <c r="E223" t="str">
        <f>VLOOKUP(A223,DataUsuario!B:D,3,FALSE)</f>
        <v>Gerencia Administración y Finanzas</v>
      </c>
    </row>
    <row r="224" spans="1:5" x14ac:dyDescent="0.3">
      <c r="A224" s="153" t="s">
        <v>106</v>
      </c>
      <c r="B224" t="s">
        <v>1</v>
      </c>
      <c r="C224" s="154">
        <v>5</v>
      </c>
      <c r="D224" t="str">
        <f>VLOOKUP(A224,DataUsuario!B:D,2,FALSE)</f>
        <v>Gestión Humana y Sostenibilidad</v>
      </c>
      <c r="E224" t="str">
        <f>VLOOKUP(A224,DataUsuario!B:D,3,FALSE)</f>
        <v>Gestor de Recursos Humanos</v>
      </c>
    </row>
    <row r="225" spans="1:5" x14ac:dyDescent="0.3">
      <c r="A225" s="156" t="s">
        <v>258</v>
      </c>
      <c r="B225" t="s">
        <v>1</v>
      </c>
      <c r="C225" s="157">
        <v>4</v>
      </c>
      <c r="D225" t="str">
        <f>VLOOKUP(A225,DataUsuario!B:D,2,FALSE)</f>
        <v>Industrial y de Mantenimiento</v>
      </c>
      <c r="E225" t="str">
        <f>VLOOKUP(A225,DataUsuario!B:D,3,FALSE)</f>
        <v>Mantenimiento Industrial</v>
      </c>
    </row>
    <row r="226" spans="1:5" x14ac:dyDescent="0.3">
      <c r="A226" s="153" t="s">
        <v>160</v>
      </c>
      <c r="B226" t="s">
        <v>1</v>
      </c>
      <c r="C226" s="154">
        <v>5</v>
      </c>
      <c r="D226" t="str">
        <f>VLOOKUP(A226,DataUsuario!B:D,2,FALSE)</f>
        <v>Operaciones</v>
      </c>
      <c r="E226" t="str">
        <f>VLOOKUP(A226,DataUsuario!B:D,3,FALSE)</f>
        <v>Almacenes y Distribución PT</v>
      </c>
    </row>
    <row r="227" spans="1:5" x14ac:dyDescent="0.3">
      <c r="A227" s="156" t="s">
        <v>376</v>
      </c>
      <c r="B227" t="s">
        <v>1</v>
      </c>
      <c r="C227" s="157">
        <v>5</v>
      </c>
      <c r="D227" t="str">
        <f>VLOOKUP(A227,DataUsuario!B:D,2,FALSE)</f>
        <v>Agrícola</v>
      </c>
      <c r="E227" t="str">
        <f>VLOOKUP(A227,DataUsuario!B:D,3,FALSE)</f>
        <v>Fundo Lobo</v>
      </c>
    </row>
    <row r="228" spans="1:5" x14ac:dyDescent="0.3">
      <c r="A228" s="153" t="s">
        <v>380</v>
      </c>
      <c r="B228" t="s">
        <v>1</v>
      </c>
      <c r="C228" s="154">
        <v>4</v>
      </c>
      <c r="D228" t="str">
        <f>VLOOKUP(A228,DataUsuario!B:D,2,FALSE)</f>
        <v>Operaciones</v>
      </c>
      <c r="E228" t="str">
        <f>VLOOKUP(A228,DataUsuario!B:D,3,FALSE)</f>
        <v>Cosecha</v>
      </c>
    </row>
    <row r="229" spans="1:5" x14ac:dyDescent="0.3">
      <c r="A229" s="161" t="s">
        <v>125</v>
      </c>
      <c r="B229" t="s">
        <v>1</v>
      </c>
      <c r="C229" s="162">
        <v>5</v>
      </c>
      <c r="D229" t="str">
        <f>VLOOKUP(A229,DataUsuario!B:D,2,FALSE)</f>
        <v>Agrícola</v>
      </c>
      <c r="E229" t="str">
        <f>VLOOKUP(A229,DataUsuario!B:D,3,FALSE)</f>
        <v>Fundo Lobo</v>
      </c>
    </row>
    <row r="230" spans="1:5" x14ac:dyDescent="0.3">
      <c r="A230" s="153" t="s">
        <v>373</v>
      </c>
      <c r="B230" t="s">
        <v>2</v>
      </c>
      <c r="C230" s="154">
        <v>4</v>
      </c>
      <c r="D230" t="str">
        <f>VLOOKUP(A230,DataUsuario!B:D,2,FALSE)</f>
        <v>Operaciones</v>
      </c>
      <c r="E230" t="str">
        <f>VLOOKUP(A230,DataUsuario!B:D,3,FALSE)</f>
        <v>Gerencia de Operaciones</v>
      </c>
    </row>
    <row r="231" spans="1:5" x14ac:dyDescent="0.3">
      <c r="A231" s="156" t="s">
        <v>318</v>
      </c>
      <c r="B231" t="s">
        <v>2</v>
      </c>
      <c r="C231" s="157" t="s">
        <v>587</v>
      </c>
      <c r="D231" t="str">
        <f>VLOOKUP(A231,DataUsuario!B:D,2,FALSE)</f>
        <v>Industrial y de Mantenimiento</v>
      </c>
      <c r="E231" t="str">
        <f>VLOOKUP(A231,DataUsuario!B:D,3,FALSE)</f>
        <v>Producción</v>
      </c>
    </row>
    <row r="232" spans="1:5" x14ac:dyDescent="0.3">
      <c r="A232" s="153" t="s">
        <v>102</v>
      </c>
      <c r="B232" t="s">
        <v>2</v>
      </c>
      <c r="C232" s="154">
        <v>4</v>
      </c>
      <c r="D232" t="str">
        <f>VLOOKUP(A232,DataUsuario!B:D,2,FALSE)</f>
        <v>Administración y Finanzas</v>
      </c>
      <c r="E232" t="str">
        <f>VLOOKUP(A232,DataUsuario!B:D,3,FALSE)</f>
        <v>Legal</v>
      </c>
    </row>
    <row r="233" spans="1:5" x14ac:dyDescent="0.3">
      <c r="A233" s="156" t="s">
        <v>424</v>
      </c>
      <c r="B233" t="s">
        <v>2</v>
      </c>
      <c r="C233" s="157">
        <v>4</v>
      </c>
      <c r="D233" t="str">
        <f>VLOOKUP(A233,DataUsuario!B:D,2,FALSE)</f>
        <v>Agrícola</v>
      </c>
      <c r="E233" t="str">
        <f>VLOOKUP(A233,DataUsuario!B:D,3,FALSE)</f>
        <v>Fundo Lobo</v>
      </c>
    </row>
    <row r="234" spans="1:5" x14ac:dyDescent="0.3">
      <c r="A234" s="153" t="s">
        <v>153</v>
      </c>
      <c r="B234" t="s">
        <v>2</v>
      </c>
      <c r="C234" s="154">
        <v>5</v>
      </c>
      <c r="D234" t="str">
        <f>VLOOKUP(A234,DataUsuario!B:D,2,FALSE)</f>
        <v>Administración y Finanzas</v>
      </c>
      <c r="E234" t="str">
        <f>VLOOKUP(A234,DataUsuario!B:D,3,FALSE)</f>
        <v>Legal</v>
      </c>
    </row>
    <row r="235" spans="1:5" x14ac:dyDescent="0.3">
      <c r="A235" s="156" t="s">
        <v>99</v>
      </c>
      <c r="B235" t="s">
        <v>2</v>
      </c>
      <c r="C235" s="157">
        <v>5</v>
      </c>
      <c r="D235" t="str">
        <f>VLOOKUP(A235,DataUsuario!B:D,2,FALSE)</f>
        <v>Administración y Finanzas</v>
      </c>
      <c r="E235" t="str">
        <f>VLOOKUP(A235,DataUsuario!B:D,3,FALSE)</f>
        <v>Control de Gestión</v>
      </c>
    </row>
    <row r="236" spans="1:5" x14ac:dyDescent="0.3">
      <c r="A236" s="153" t="s">
        <v>269</v>
      </c>
      <c r="B236" t="s">
        <v>2</v>
      </c>
      <c r="C236" s="154">
        <v>4</v>
      </c>
      <c r="D236" t="str">
        <f>VLOOKUP(A236,DataUsuario!B:D,2,FALSE)</f>
        <v>Operaciones</v>
      </c>
      <c r="E236" t="str">
        <f>VLOOKUP(A236,DataUsuario!B:D,3,FALSE)</f>
        <v>Calidad</v>
      </c>
    </row>
    <row r="237" spans="1:5" x14ac:dyDescent="0.3">
      <c r="A237" s="156" t="s">
        <v>177</v>
      </c>
      <c r="B237" t="s">
        <v>2</v>
      </c>
      <c r="C237" s="157">
        <v>5</v>
      </c>
      <c r="D237" t="str">
        <f>VLOOKUP(A237,DataUsuario!B:D,2,FALSE)</f>
        <v>Gestión Humana y Sostenibilidad</v>
      </c>
      <c r="E237" t="str">
        <f>VLOOKUP(A237,DataUsuario!B:D,3,FALSE)</f>
        <v>Seguridad</v>
      </c>
    </row>
    <row r="238" spans="1:5" x14ac:dyDescent="0.3">
      <c r="A238" s="153" t="s">
        <v>72</v>
      </c>
      <c r="B238" t="s">
        <v>2</v>
      </c>
      <c r="C238" s="154">
        <v>3</v>
      </c>
      <c r="D238" t="str">
        <f>VLOOKUP(A238,DataUsuario!B:D,2,FALSE)</f>
        <v>Administración y Finanzas</v>
      </c>
      <c r="E238" t="str">
        <f>VLOOKUP(A238,DataUsuario!B:D,3,FALSE)</f>
        <v>Finanzas y Tesorería</v>
      </c>
    </row>
    <row r="239" spans="1:5" x14ac:dyDescent="0.3">
      <c r="A239" s="156" t="s">
        <v>345</v>
      </c>
      <c r="B239" t="s">
        <v>2</v>
      </c>
      <c r="C239" s="157">
        <v>4</v>
      </c>
      <c r="D239" t="str">
        <f>VLOOKUP(A239,DataUsuario!B:D,2,FALSE)</f>
        <v>Agrícola</v>
      </c>
      <c r="E239" t="str">
        <f>VLOOKUP(A239,DataUsuario!B:D,3,FALSE)</f>
        <v>Gerencia Agrícola</v>
      </c>
    </row>
    <row r="240" spans="1:5" x14ac:dyDescent="0.3">
      <c r="A240" s="153" t="s">
        <v>140</v>
      </c>
      <c r="B240" t="s">
        <v>2</v>
      </c>
      <c r="C240" s="154">
        <v>5</v>
      </c>
      <c r="D240" t="str">
        <f>VLOOKUP(A240,DataUsuario!B:D,2,FALSE)</f>
        <v>Industrial y de Mantenimiento</v>
      </c>
      <c r="E240" t="str">
        <f>VLOOKUP(A240,DataUsuario!B:D,3,FALSE)</f>
        <v>Electricidad</v>
      </c>
    </row>
    <row r="241" spans="1:5" x14ac:dyDescent="0.3">
      <c r="A241" s="156" t="s">
        <v>143</v>
      </c>
      <c r="B241" t="s">
        <v>2</v>
      </c>
      <c r="C241" s="157">
        <v>5</v>
      </c>
      <c r="D241" t="str">
        <f>VLOOKUP(A241,DataUsuario!B:D,2,FALSE)</f>
        <v>Operaciones</v>
      </c>
      <c r="E241" t="str">
        <f>VLOOKUP(A241,DataUsuario!B:D,3,FALSE)</f>
        <v>Comercial</v>
      </c>
    </row>
    <row r="242" spans="1:5" x14ac:dyDescent="0.3">
      <c r="A242" s="153" t="s">
        <v>227</v>
      </c>
      <c r="B242" t="s">
        <v>2</v>
      </c>
      <c r="C242" s="154">
        <v>4</v>
      </c>
      <c r="D242" t="str">
        <f>VLOOKUP(A242,DataUsuario!B:D,2,FALSE)</f>
        <v>Agrícola</v>
      </c>
      <c r="E242" t="str">
        <f>VLOOKUP(A242,DataUsuario!B:D,3,FALSE)</f>
        <v>Mantenimiento de Riego y Bombas</v>
      </c>
    </row>
    <row r="243" spans="1:5" x14ac:dyDescent="0.3">
      <c r="A243" s="156" t="s">
        <v>391</v>
      </c>
      <c r="B243" t="s">
        <v>2</v>
      </c>
      <c r="C243" s="157">
        <v>5</v>
      </c>
      <c r="D243" t="str">
        <f>VLOOKUP(A243,DataUsuario!B:D,2,FALSE)</f>
        <v>Administración y Finanzas</v>
      </c>
      <c r="E243" t="str">
        <f>VLOOKUP(A243,DataUsuario!B:D,3,FALSE)</f>
        <v>Control de Gestión</v>
      </c>
    </row>
    <row r="244" spans="1:5" x14ac:dyDescent="0.3">
      <c r="A244" s="153" t="s">
        <v>502</v>
      </c>
      <c r="B244" t="s">
        <v>2</v>
      </c>
      <c r="C244" s="154">
        <v>3</v>
      </c>
      <c r="D244" t="str">
        <f>VLOOKUP(A244,DataUsuario!B:D,2,FALSE)</f>
        <v>Operaciones</v>
      </c>
      <c r="E244" t="str">
        <f>VLOOKUP(A244,DataUsuario!B:D,3,FALSE)</f>
        <v>Almacenes y Distribución PT</v>
      </c>
    </row>
    <row r="245" spans="1:5" x14ac:dyDescent="0.3">
      <c r="A245" s="156" t="s">
        <v>504</v>
      </c>
      <c r="B245" t="s">
        <v>2</v>
      </c>
      <c r="C245" s="157" t="s">
        <v>587</v>
      </c>
      <c r="D245" t="str">
        <f>VLOOKUP(A245,DataUsuario!B:D,2,FALSE)</f>
        <v>Agrícola</v>
      </c>
      <c r="E245" t="str">
        <f>VLOOKUP(A245,DataUsuario!B:D,3,FALSE)</f>
        <v>Mantenimiento de Riego y Bombas</v>
      </c>
    </row>
    <row r="246" spans="1:5" x14ac:dyDescent="0.3">
      <c r="A246" s="153" t="s">
        <v>181</v>
      </c>
      <c r="B246" t="s">
        <v>2</v>
      </c>
      <c r="C246" s="154">
        <v>5</v>
      </c>
      <c r="D246" t="str">
        <f>VLOOKUP(A246,DataUsuario!B:D,2,FALSE)</f>
        <v>Gestión Humana y Sostenibilidad</v>
      </c>
      <c r="E246" t="str">
        <f>VLOOKUP(A246,DataUsuario!B:D,3,FALSE)</f>
        <v>Gestor de Recursos Humanos</v>
      </c>
    </row>
    <row r="247" spans="1:5" x14ac:dyDescent="0.3">
      <c r="A247" s="156" t="s">
        <v>299</v>
      </c>
      <c r="B247" t="s">
        <v>2</v>
      </c>
      <c r="C247" s="157">
        <v>5</v>
      </c>
      <c r="D247" t="str">
        <f>VLOOKUP(A247,DataUsuario!B:D,2,FALSE)</f>
        <v>Operaciones</v>
      </c>
      <c r="E247" t="str">
        <f>VLOOKUP(A247,DataUsuario!B:D,3,FALSE)</f>
        <v>Calidad</v>
      </c>
    </row>
    <row r="248" spans="1:5" x14ac:dyDescent="0.3">
      <c r="A248" s="153" t="s">
        <v>192</v>
      </c>
      <c r="B248" t="s">
        <v>2</v>
      </c>
      <c r="C248" s="154">
        <v>5</v>
      </c>
      <c r="D248" t="str">
        <f>VLOOKUP(A248,DataUsuario!B:D,2,FALSE)</f>
        <v>Agrícola</v>
      </c>
      <c r="E248" t="str">
        <f>VLOOKUP(A248,DataUsuario!B:D,3,FALSE)</f>
        <v>Planificador Agrícola</v>
      </c>
    </row>
    <row r="249" spans="1:5" x14ac:dyDescent="0.3">
      <c r="A249" s="156" t="s">
        <v>333</v>
      </c>
      <c r="B249" t="s">
        <v>2</v>
      </c>
      <c r="C249" s="157">
        <v>5</v>
      </c>
      <c r="D249" t="str">
        <f>VLOOKUP(A249,DataUsuario!B:D,2,FALSE)</f>
        <v>Gestión Humana y Sostenibilidad</v>
      </c>
      <c r="E249" t="str">
        <f>VLOOKUP(A249,DataUsuario!B:D,3,FALSE)</f>
        <v>Sostenibilidad</v>
      </c>
    </row>
    <row r="250" spans="1:5" x14ac:dyDescent="0.3">
      <c r="A250" s="153" t="s">
        <v>155</v>
      </c>
      <c r="B250" t="s">
        <v>2</v>
      </c>
      <c r="C250" s="154">
        <v>5</v>
      </c>
      <c r="D250" t="str">
        <f>VLOOKUP(A250,DataUsuario!B:D,2,FALSE)</f>
        <v>Gestión Humana y Sostenibilidad</v>
      </c>
      <c r="E250" t="str">
        <f>VLOOKUP(A250,DataUsuario!B:D,3,FALSE)</f>
        <v>Sostenibilidad</v>
      </c>
    </row>
    <row r="251" spans="1:5" x14ac:dyDescent="0.3">
      <c r="A251" s="156" t="s">
        <v>331</v>
      </c>
      <c r="B251" t="s">
        <v>2</v>
      </c>
      <c r="C251" s="157">
        <v>5</v>
      </c>
      <c r="D251" t="str">
        <f>VLOOKUP(A251,DataUsuario!B:D,2,FALSE)</f>
        <v>Operaciones</v>
      </c>
      <c r="E251" t="str">
        <f>VLOOKUP(A251,DataUsuario!B:D,3,FALSE)</f>
        <v>Cosecha</v>
      </c>
    </row>
    <row r="252" spans="1:5" x14ac:dyDescent="0.3">
      <c r="A252" s="153" t="s">
        <v>378</v>
      </c>
      <c r="B252" t="s">
        <v>2</v>
      </c>
      <c r="C252" s="154">
        <v>4</v>
      </c>
      <c r="D252" t="str">
        <f>VLOOKUP(A252,DataUsuario!B:D,2,FALSE)</f>
        <v>Operaciones</v>
      </c>
      <c r="E252" t="str">
        <f>VLOOKUP(A252,DataUsuario!B:D,3,FALSE)</f>
        <v>Mantenimiento CAT</v>
      </c>
    </row>
    <row r="253" spans="1:5" x14ac:dyDescent="0.3">
      <c r="A253" s="156" t="s">
        <v>215</v>
      </c>
      <c r="B253" t="s">
        <v>2</v>
      </c>
      <c r="C253" s="157">
        <v>5</v>
      </c>
      <c r="D253" t="str">
        <f>VLOOKUP(A253,DataUsuario!B:D,2,FALSE)</f>
        <v>Operaciones</v>
      </c>
      <c r="E253" t="str">
        <f>VLOOKUP(A253,DataUsuario!B:D,3,FALSE)</f>
        <v>Almacenes y Distribución PT</v>
      </c>
    </row>
    <row r="254" spans="1:5" x14ac:dyDescent="0.3">
      <c r="A254" s="153" t="s">
        <v>256</v>
      </c>
      <c r="B254" t="s">
        <v>2</v>
      </c>
      <c r="C254" s="154">
        <v>5</v>
      </c>
      <c r="D254" t="str">
        <f>VLOOKUP(A254,DataUsuario!B:D,2,FALSE)</f>
        <v>Gestión Humana y Sostenibilidad</v>
      </c>
      <c r="E254" t="str">
        <f>VLOOKUP(A254,DataUsuario!B:D,3,FALSE)</f>
        <v>Compensación y Nóminas</v>
      </c>
    </row>
    <row r="255" spans="1:5" x14ac:dyDescent="0.3">
      <c r="A255" s="156" t="s">
        <v>145</v>
      </c>
      <c r="B255" t="s">
        <v>2</v>
      </c>
      <c r="C255" s="157">
        <v>4</v>
      </c>
      <c r="D255" t="str">
        <f>VLOOKUP(A255,DataUsuario!B:D,2,FALSE)</f>
        <v>Gestión Humana y Sostenibilidad</v>
      </c>
      <c r="E255" t="str">
        <f>VLOOKUP(A255,DataUsuario!B:D,3,FALSE)</f>
        <v>Gestion del Talento</v>
      </c>
    </row>
    <row r="256" spans="1:5" x14ac:dyDescent="0.3">
      <c r="A256" s="153" t="s">
        <v>223</v>
      </c>
      <c r="B256" t="s">
        <v>2</v>
      </c>
      <c r="C256" s="154">
        <v>4</v>
      </c>
      <c r="D256" t="str">
        <f>VLOOKUP(A256,DataUsuario!B:D,2,FALSE)</f>
        <v>Gestión Humana y Sostenibilidad</v>
      </c>
      <c r="E256" t="str">
        <f>VLOOKUP(A256,DataUsuario!B:D,3,FALSE)</f>
        <v>Seguridad</v>
      </c>
    </row>
    <row r="257" spans="1:5" x14ac:dyDescent="0.3">
      <c r="A257" s="156" t="s">
        <v>89</v>
      </c>
      <c r="B257" t="s">
        <v>2</v>
      </c>
      <c r="C257" s="157">
        <v>4</v>
      </c>
      <c r="D257" t="str">
        <f>VLOOKUP(A257,DataUsuario!B:D,2,FALSE)</f>
        <v>Industrial y de Mantenimiento</v>
      </c>
      <c r="E257" t="str">
        <f>VLOOKUP(A257,DataUsuario!B:D,3,FALSE)</f>
        <v>Producción</v>
      </c>
    </row>
    <row r="258" spans="1:5" x14ac:dyDescent="0.3">
      <c r="A258" s="153" t="s">
        <v>510</v>
      </c>
      <c r="B258" t="s">
        <v>2</v>
      </c>
      <c r="C258" s="154">
        <v>5</v>
      </c>
      <c r="D258" t="str">
        <f>VLOOKUP(A258,DataUsuario!B:D,2,FALSE)</f>
        <v>Gestión Humana y Sostenibilidad</v>
      </c>
      <c r="E258" t="str">
        <f>VLOOKUP(A258,DataUsuario!B:D,3,FALSE)</f>
        <v>Gestor de Recursos Humanos</v>
      </c>
    </row>
    <row r="259" spans="1:5" x14ac:dyDescent="0.3">
      <c r="A259" s="156" t="s">
        <v>450</v>
      </c>
      <c r="B259" t="s">
        <v>2</v>
      </c>
      <c r="C259" s="157">
        <v>3</v>
      </c>
      <c r="D259" t="str">
        <f>VLOOKUP(A259,DataUsuario!B:D,2,FALSE)</f>
        <v>Operaciones</v>
      </c>
      <c r="E259" t="str">
        <f>VLOOKUP(A259,DataUsuario!B:D,3,FALSE)</f>
        <v>Almacenes y Distribución PT</v>
      </c>
    </row>
    <row r="260" spans="1:5" x14ac:dyDescent="0.3">
      <c r="A260" s="153" t="s">
        <v>104</v>
      </c>
      <c r="B260" t="s">
        <v>2</v>
      </c>
      <c r="C260" s="154">
        <v>5</v>
      </c>
      <c r="D260" t="str">
        <f>VLOOKUP(A260,DataUsuario!B:D,2,FALSE)</f>
        <v>Gestión Humana y Sostenibilidad</v>
      </c>
      <c r="E260" t="str">
        <f>VLOOKUP(A260,DataUsuario!B:D,3,FALSE)</f>
        <v>Compensación y Nóminas</v>
      </c>
    </row>
    <row r="261" spans="1:5" x14ac:dyDescent="0.3">
      <c r="A261" s="156" t="s">
        <v>68</v>
      </c>
      <c r="B261" t="s">
        <v>2</v>
      </c>
      <c r="C261" s="157">
        <v>4</v>
      </c>
      <c r="D261" t="str">
        <f>VLOOKUP(A261,DataUsuario!B:D,2,FALSE)</f>
        <v>Gestión Humana y Sostenibilidad</v>
      </c>
      <c r="E261" t="str">
        <f>VLOOKUP(A261,DataUsuario!B:D,3,FALSE)</f>
        <v>Compensación y Nóminas</v>
      </c>
    </row>
    <row r="262" spans="1:5" x14ac:dyDescent="0.3">
      <c r="A262" s="153" t="s">
        <v>199</v>
      </c>
      <c r="B262" t="s">
        <v>2</v>
      </c>
      <c r="C262" s="154">
        <v>5</v>
      </c>
      <c r="D262" t="str">
        <f>VLOOKUP(A262,DataUsuario!B:D,2,FALSE)</f>
        <v>Gestión Humana y Sostenibilidad</v>
      </c>
      <c r="E262" t="str">
        <f>VLOOKUP(A262,DataUsuario!B:D,3,FALSE)</f>
        <v>Relaciones Laborales</v>
      </c>
    </row>
    <row r="263" spans="1:5" x14ac:dyDescent="0.3">
      <c r="A263" s="156" t="s">
        <v>262</v>
      </c>
      <c r="B263" t="s">
        <v>2</v>
      </c>
      <c r="C263" s="157">
        <v>3</v>
      </c>
      <c r="D263" t="str">
        <f>VLOOKUP(A263,DataUsuario!B:D,2,FALSE)</f>
        <v>Industrial y de Mantenimiento</v>
      </c>
      <c r="E263" t="str">
        <f>VLOOKUP(A263,DataUsuario!B:D,3,FALSE)</f>
        <v>Automatización</v>
      </c>
    </row>
    <row r="264" spans="1:5" x14ac:dyDescent="0.3">
      <c r="A264" s="153" t="s">
        <v>454</v>
      </c>
      <c r="B264" t="s">
        <v>2</v>
      </c>
      <c r="C264" s="154">
        <v>5</v>
      </c>
      <c r="D264" t="str">
        <f>VLOOKUP(A264,DataUsuario!B:D,2,FALSE)</f>
        <v>Operaciones</v>
      </c>
      <c r="E264" t="str">
        <f>VLOOKUP(A264,DataUsuario!B:D,3,FALSE)</f>
        <v>Comercial</v>
      </c>
    </row>
    <row r="265" spans="1:5" x14ac:dyDescent="0.3">
      <c r="A265" s="156" t="s">
        <v>127</v>
      </c>
      <c r="B265" t="s">
        <v>2</v>
      </c>
      <c r="C265" s="157">
        <v>5</v>
      </c>
      <c r="D265" t="str">
        <f>VLOOKUP(A265,DataUsuario!B:D,2,FALSE)</f>
        <v>Agrícola</v>
      </c>
      <c r="E265" t="str">
        <f>VLOOKUP(A265,DataUsuario!B:D,3,FALSE)</f>
        <v>Fundo Montelima</v>
      </c>
    </row>
    <row r="266" spans="1:5" x14ac:dyDescent="0.3">
      <c r="A266" s="153" t="s">
        <v>515</v>
      </c>
      <c r="B266" t="s">
        <v>2</v>
      </c>
      <c r="C266" s="154">
        <v>4</v>
      </c>
      <c r="D266" t="str">
        <f>VLOOKUP(A266,DataUsuario!B:D,2,FALSE)</f>
        <v>Industrial y de Mantenimiento</v>
      </c>
      <c r="E266" t="str">
        <f>VLOOKUP(A266,DataUsuario!B:D,3,FALSE)</f>
        <v>Mantenimiento Industrial</v>
      </c>
    </row>
    <row r="267" spans="1:5" x14ac:dyDescent="0.3">
      <c r="A267" s="156" t="s">
        <v>225</v>
      </c>
      <c r="B267" t="s">
        <v>2</v>
      </c>
      <c r="C267" s="157">
        <v>5</v>
      </c>
      <c r="D267" t="str">
        <f>VLOOKUP(A267,DataUsuario!B:D,2,FALSE)</f>
        <v>Gestión Humana y Sostenibilidad</v>
      </c>
      <c r="E267" t="str">
        <f>VLOOKUP(A267,DataUsuario!B:D,3,FALSE)</f>
        <v>Seguridad</v>
      </c>
    </row>
    <row r="268" spans="1:5" x14ac:dyDescent="0.3">
      <c r="A268" s="153" t="s">
        <v>516</v>
      </c>
      <c r="B268" t="s">
        <v>2</v>
      </c>
      <c r="C268" s="154">
        <v>5</v>
      </c>
      <c r="D268" t="str">
        <f>VLOOKUP(A268,DataUsuario!B:D,2,FALSE)</f>
        <v>Gestión Humana y Sostenibilidad</v>
      </c>
      <c r="E268" t="str">
        <f>VLOOKUP(A268,DataUsuario!B:D,3,FALSE)</f>
        <v>Gestor de Recursos Humanos</v>
      </c>
    </row>
    <row r="269" spans="1:5" x14ac:dyDescent="0.3">
      <c r="A269" s="156" t="s">
        <v>210</v>
      </c>
      <c r="B269" t="s">
        <v>2</v>
      </c>
      <c r="C269" s="157">
        <v>5</v>
      </c>
      <c r="D269" t="str">
        <f>VLOOKUP(A269,DataUsuario!B:D,2,FALSE)</f>
        <v>Industrial y de Mantenimiento</v>
      </c>
      <c r="E269" t="str">
        <f>VLOOKUP(A269,DataUsuario!B:D,3,FALSE)</f>
        <v>Electricidad</v>
      </c>
    </row>
    <row r="270" spans="1:5" x14ac:dyDescent="0.3">
      <c r="A270" s="153" t="s">
        <v>208</v>
      </c>
      <c r="B270" t="s">
        <v>2</v>
      </c>
      <c r="C270" s="154">
        <v>5</v>
      </c>
      <c r="D270" t="str">
        <f>VLOOKUP(A270,DataUsuario!B:D,2,FALSE)</f>
        <v>Agrícola</v>
      </c>
      <c r="E270" t="str">
        <f>VLOOKUP(A270,DataUsuario!B:D,3,FALSE)</f>
        <v>Fundo Lobo</v>
      </c>
    </row>
    <row r="271" spans="1:5" x14ac:dyDescent="0.3">
      <c r="A271" s="156" t="s">
        <v>234</v>
      </c>
      <c r="B271" t="s">
        <v>2</v>
      </c>
      <c r="C271" s="157">
        <v>5</v>
      </c>
      <c r="D271" t="str">
        <f>VLOOKUP(A271,DataUsuario!B:D,2,FALSE)</f>
        <v>Agrícola</v>
      </c>
      <c r="E271" t="str">
        <f>VLOOKUP(A271,DataUsuario!B:D,3,FALSE)</f>
        <v>Laboratorio e Investigación Agricola</v>
      </c>
    </row>
    <row r="272" spans="1:5" x14ac:dyDescent="0.3">
      <c r="A272" s="153" t="s">
        <v>248</v>
      </c>
      <c r="B272" t="s">
        <v>2</v>
      </c>
      <c r="C272" s="154">
        <v>5</v>
      </c>
      <c r="D272" t="str">
        <f>VLOOKUP(A272,DataUsuario!B:D,2,FALSE)</f>
        <v>Industrial y de Mantenimiento</v>
      </c>
      <c r="E272" t="str">
        <f>VLOOKUP(A272,DataUsuario!B:D,3,FALSE)</f>
        <v>Producción</v>
      </c>
    </row>
    <row r="273" spans="1:5" x14ac:dyDescent="0.3">
      <c r="A273" s="156" t="s">
        <v>122</v>
      </c>
      <c r="B273" t="s">
        <v>2</v>
      </c>
      <c r="C273" s="157" t="s">
        <v>587</v>
      </c>
      <c r="D273" t="str">
        <f>VLOOKUP(A273,DataUsuario!B:D,2,FALSE)</f>
        <v>Industrial y de Mantenimiento</v>
      </c>
      <c r="E273" t="str">
        <f>VLOOKUP(A273,DataUsuario!B:D,3,FALSE)</f>
        <v>Mantenimiento de Transportes</v>
      </c>
    </row>
    <row r="274" spans="1:5" x14ac:dyDescent="0.3">
      <c r="A274" s="153" t="s">
        <v>428</v>
      </c>
      <c r="B274" t="s">
        <v>2</v>
      </c>
      <c r="C274" s="154">
        <v>5</v>
      </c>
      <c r="D274" t="str">
        <f>VLOOKUP(A274,DataUsuario!B:D,2,FALSE)</f>
        <v>Administración y Finanzas</v>
      </c>
      <c r="E274" t="str">
        <f>VLOOKUP(A274,DataUsuario!B:D,3,FALSE)</f>
        <v>Contabilidad Tributaria</v>
      </c>
    </row>
    <row r="275" spans="1:5" x14ac:dyDescent="0.3">
      <c r="A275" s="156" t="s">
        <v>335</v>
      </c>
      <c r="B275" t="s">
        <v>2</v>
      </c>
      <c r="C275" s="157">
        <v>5</v>
      </c>
      <c r="D275" t="str">
        <f>VLOOKUP(A275,DataUsuario!B:D,2,FALSE)</f>
        <v>Administración y Finanzas</v>
      </c>
      <c r="E275" t="str">
        <f>VLOOKUP(A275,DataUsuario!B:D,3,FALSE)</f>
        <v>Finanzas y Tesorería</v>
      </c>
    </row>
    <row r="276" spans="1:5" x14ac:dyDescent="0.3">
      <c r="A276" s="153" t="s">
        <v>341</v>
      </c>
      <c r="B276" t="s">
        <v>2</v>
      </c>
      <c r="C276" s="154">
        <v>5</v>
      </c>
      <c r="D276" t="str">
        <f>VLOOKUP(A276,DataUsuario!B:D,2,FALSE)</f>
        <v>Administración y Finanzas</v>
      </c>
      <c r="E276" t="str">
        <f>VLOOKUP(A276,DataUsuario!B:D,3,FALSE)</f>
        <v>Administración</v>
      </c>
    </row>
    <row r="277" spans="1:5" x14ac:dyDescent="0.3">
      <c r="A277" s="156" t="s">
        <v>135</v>
      </c>
      <c r="B277" t="s">
        <v>2</v>
      </c>
      <c r="C277" s="157">
        <v>5</v>
      </c>
      <c r="D277" t="str">
        <f>VLOOKUP(A277,DataUsuario!B:D,2,FALSE)</f>
        <v>Agrícola</v>
      </c>
      <c r="E277" t="str">
        <f>VLOOKUP(A277,DataUsuario!B:D,3,FALSE)</f>
        <v>Fundo Lobo</v>
      </c>
    </row>
    <row r="278" spans="1:5" x14ac:dyDescent="0.3">
      <c r="A278" s="153" t="s">
        <v>185</v>
      </c>
      <c r="B278" t="s">
        <v>2</v>
      </c>
      <c r="C278" s="154">
        <v>5</v>
      </c>
      <c r="D278" t="str">
        <f>VLOOKUP(A278,DataUsuario!B:D,2,FALSE)</f>
        <v>Administración y Finanzas</v>
      </c>
      <c r="E278" t="str">
        <f>VLOOKUP(A278,DataUsuario!B:D,3,FALSE)</f>
        <v>Cadenas Productivas</v>
      </c>
    </row>
    <row r="279" spans="1:5" x14ac:dyDescent="0.3">
      <c r="A279" s="156" t="s">
        <v>387</v>
      </c>
      <c r="B279" t="s">
        <v>2</v>
      </c>
      <c r="C279" s="157">
        <v>3</v>
      </c>
      <c r="D279" t="str">
        <f>VLOOKUP(A279,DataUsuario!B:D,2,FALSE)</f>
        <v>Agrícola</v>
      </c>
      <c r="E279" t="str">
        <f>VLOOKUP(A279,DataUsuario!B:D,3,FALSE)</f>
        <v>Laboratorio e Investigación Agricola</v>
      </c>
    </row>
    <row r="280" spans="1:5" x14ac:dyDescent="0.3">
      <c r="A280" s="153" t="s">
        <v>430</v>
      </c>
      <c r="B280" t="s">
        <v>2</v>
      </c>
      <c r="C280" s="154">
        <v>4</v>
      </c>
      <c r="D280" t="str">
        <f>VLOOKUP(A280,DataUsuario!B:D,2,FALSE)</f>
        <v>Administración y Finanzas</v>
      </c>
      <c r="E280" t="str">
        <f>VLOOKUP(A280,DataUsuario!B:D,3,FALSE)</f>
        <v>Administración</v>
      </c>
    </row>
    <row r="281" spans="1:5" x14ac:dyDescent="0.3">
      <c r="A281" s="156" t="s">
        <v>265</v>
      </c>
      <c r="B281" t="s">
        <v>2</v>
      </c>
      <c r="C281" s="157">
        <v>4</v>
      </c>
      <c r="D281" t="str">
        <f>VLOOKUP(A281,DataUsuario!B:D,2,FALSE)</f>
        <v>Administración y Finanzas</v>
      </c>
      <c r="E281" t="str">
        <f>VLOOKUP(A281,DataUsuario!B:D,3,FALSE)</f>
        <v>Administración</v>
      </c>
    </row>
    <row r="282" spans="1:5" x14ac:dyDescent="0.3">
      <c r="A282" s="153" t="s">
        <v>354</v>
      </c>
      <c r="B282" t="s">
        <v>2</v>
      </c>
      <c r="C282" s="154">
        <v>4</v>
      </c>
      <c r="D282" t="str">
        <f>VLOOKUP(A282,DataUsuario!B:D,2,FALSE)</f>
        <v>Administración y Finanzas</v>
      </c>
      <c r="E282" t="str">
        <f>VLOOKUP(A282,DataUsuario!B:D,3,FALSE)</f>
        <v>Contabilidad Tributaria</v>
      </c>
    </row>
    <row r="283" spans="1:5" x14ac:dyDescent="0.3">
      <c r="A283" s="156" t="s">
        <v>325</v>
      </c>
      <c r="B283" t="s">
        <v>2</v>
      </c>
      <c r="C283" s="157">
        <v>5</v>
      </c>
      <c r="D283" t="str">
        <f>VLOOKUP(A283,DataUsuario!B:D,2,FALSE)</f>
        <v>Operaciones</v>
      </c>
      <c r="E283" t="str">
        <f>VLOOKUP(A283,DataUsuario!B:D,3,FALSE)</f>
        <v>Calidad</v>
      </c>
    </row>
    <row r="284" spans="1:5" x14ac:dyDescent="0.3">
      <c r="A284" s="153" t="s">
        <v>358</v>
      </c>
      <c r="B284" t="s">
        <v>2</v>
      </c>
      <c r="C284" s="154">
        <v>4</v>
      </c>
      <c r="D284" t="str">
        <f>VLOOKUP(A284,DataUsuario!B:D,2,FALSE)</f>
        <v>Agrícola</v>
      </c>
      <c r="E284" t="str">
        <f>VLOOKUP(A284,DataUsuario!B:D,3,FALSE)</f>
        <v>Mantenimiento de Riego y Bombas</v>
      </c>
    </row>
    <row r="285" spans="1:5" x14ac:dyDescent="0.3">
      <c r="A285" s="156" t="s">
        <v>297</v>
      </c>
      <c r="B285" t="s">
        <v>2</v>
      </c>
      <c r="C285" s="157">
        <v>4</v>
      </c>
      <c r="D285" t="str">
        <f>VLOOKUP(A285,DataUsuario!B:D,2,FALSE)</f>
        <v>Operaciones</v>
      </c>
      <c r="E285" t="str">
        <f>VLOOKUP(A285,DataUsuario!B:D,3,FALSE)</f>
        <v>Comercial</v>
      </c>
    </row>
    <row r="286" spans="1:5" x14ac:dyDescent="0.3">
      <c r="A286" s="153" t="s">
        <v>389</v>
      </c>
      <c r="B286" t="s">
        <v>2</v>
      </c>
      <c r="C286" s="154">
        <v>5</v>
      </c>
      <c r="D286" t="str">
        <f>VLOOKUP(A286,DataUsuario!B:D,2,FALSE)</f>
        <v>Agrícola</v>
      </c>
      <c r="E286" t="str">
        <f>VLOOKUP(A286,DataUsuario!B:D,3,FALSE)</f>
        <v>Mantenimiento de Riego y Bombas</v>
      </c>
    </row>
    <row r="287" spans="1:5" x14ac:dyDescent="0.3">
      <c r="A287" s="156" t="s">
        <v>343</v>
      </c>
      <c r="B287" t="s">
        <v>2</v>
      </c>
      <c r="C287" s="157">
        <v>5</v>
      </c>
      <c r="D287" t="str">
        <f>VLOOKUP(A287,DataUsuario!B:D,2,FALSE)</f>
        <v>Gestión Humana y Sostenibilidad</v>
      </c>
      <c r="E287" t="str">
        <f>VLOOKUP(A287,DataUsuario!B:D,3,FALSE)</f>
        <v>Relaciones Laborales</v>
      </c>
    </row>
    <row r="288" spans="1:5" x14ac:dyDescent="0.3">
      <c r="A288" s="153" t="s">
        <v>92</v>
      </c>
      <c r="B288" t="s">
        <v>2</v>
      </c>
      <c r="C288" s="154">
        <v>5</v>
      </c>
      <c r="D288" t="str">
        <f>VLOOKUP(A288,DataUsuario!B:D,2,FALSE)</f>
        <v>Operaciones</v>
      </c>
      <c r="E288" t="str">
        <f>VLOOKUP(A288,DataUsuario!B:D,3,FALSE)</f>
        <v>Comercial</v>
      </c>
    </row>
    <row r="289" spans="1:5" x14ac:dyDescent="0.3">
      <c r="A289" s="156" t="s">
        <v>438</v>
      </c>
      <c r="B289" t="s">
        <v>2</v>
      </c>
      <c r="C289" s="157">
        <v>5</v>
      </c>
      <c r="D289" t="str">
        <f>VLOOKUP(A289,DataUsuario!B:D,2,FALSE)</f>
        <v>Industrial y de Mantenimiento</v>
      </c>
      <c r="E289" t="str">
        <f>VLOOKUP(A289,DataUsuario!B:D,3,FALSE)</f>
        <v>Producción</v>
      </c>
    </row>
    <row r="290" spans="1:5" x14ac:dyDescent="0.3">
      <c r="A290" s="153" t="s">
        <v>166</v>
      </c>
      <c r="B290" t="s">
        <v>2</v>
      </c>
      <c r="C290" s="154">
        <v>4</v>
      </c>
      <c r="D290" t="str">
        <f>VLOOKUP(A290,DataUsuario!B:D,2,FALSE)</f>
        <v>Operaciones</v>
      </c>
      <c r="E290" t="str">
        <f>VLOOKUP(A290,DataUsuario!B:D,3,FALSE)</f>
        <v>Calidad</v>
      </c>
    </row>
    <row r="291" spans="1:5" x14ac:dyDescent="0.3">
      <c r="A291" s="156" t="s">
        <v>320</v>
      </c>
      <c r="B291" t="s">
        <v>2</v>
      </c>
      <c r="C291" s="157">
        <v>5</v>
      </c>
      <c r="D291" t="str">
        <f>VLOOKUP(A291,DataUsuario!B:D,2,FALSE)</f>
        <v>Gestión Humana y Sostenibilidad</v>
      </c>
      <c r="E291" t="str">
        <f>VLOOKUP(A291,DataUsuario!B:D,3,FALSE)</f>
        <v>Comunicaciones y Responsabilidad Social</v>
      </c>
    </row>
    <row r="292" spans="1:5" x14ac:dyDescent="0.3">
      <c r="A292" s="153" t="s">
        <v>365</v>
      </c>
      <c r="B292" t="s">
        <v>2</v>
      </c>
      <c r="C292" s="154">
        <v>5</v>
      </c>
      <c r="D292" t="str">
        <f>VLOOKUP(A292,DataUsuario!B:D,2,FALSE)</f>
        <v>Gestión Humana y Sostenibilidad</v>
      </c>
      <c r="E292" t="str">
        <f>VLOOKUP(A292,DataUsuario!B:D,3,FALSE)</f>
        <v>Compensación y Nóminas</v>
      </c>
    </row>
    <row r="293" spans="1:5" x14ac:dyDescent="0.3">
      <c r="A293" s="156" t="s">
        <v>339</v>
      </c>
      <c r="B293" t="s">
        <v>2</v>
      </c>
      <c r="C293" s="157">
        <v>4</v>
      </c>
      <c r="D293" t="str">
        <f>VLOOKUP(A293,DataUsuario!B:D,2,FALSE)</f>
        <v>Operaciones</v>
      </c>
      <c r="E293" t="str">
        <f>VLOOKUP(A293,DataUsuario!B:D,3,FALSE)</f>
        <v>Calidad</v>
      </c>
    </row>
    <row r="294" spans="1:5" x14ac:dyDescent="0.3">
      <c r="A294" s="153" t="s">
        <v>120</v>
      </c>
      <c r="B294" t="s">
        <v>2</v>
      </c>
      <c r="C294" s="154">
        <v>4</v>
      </c>
      <c r="D294" t="str">
        <f>VLOOKUP(A294,DataUsuario!B:D,2,FALSE)</f>
        <v>Industrial y de Mantenimiento</v>
      </c>
      <c r="E294" t="str">
        <f>VLOOKUP(A294,DataUsuario!B:D,3,FALSE)</f>
        <v>Mantenimiento Industrial</v>
      </c>
    </row>
    <row r="295" spans="1:5" x14ac:dyDescent="0.3">
      <c r="A295" s="156" t="s">
        <v>329</v>
      </c>
      <c r="B295" t="s">
        <v>2</v>
      </c>
      <c r="C295" s="157">
        <v>4</v>
      </c>
      <c r="D295" t="str">
        <f>VLOOKUP(A295,DataUsuario!B:D,2,FALSE)</f>
        <v>Administración y Finanzas</v>
      </c>
      <c r="E295" t="str">
        <f>VLOOKUP(A295,DataUsuario!B:D,3,FALSE)</f>
        <v>Compras</v>
      </c>
    </row>
    <row r="296" spans="1:5" x14ac:dyDescent="0.3">
      <c r="A296" s="153" t="s">
        <v>283</v>
      </c>
      <c r="B296" t="s">
        <v>2</v>
      </c>
      <c r="C296" s="154">
        <v>5</v>
      </c>
      <c r="D296" t="str">
        <f>VLOOKUP(A296,DataUsuario!B:D,2,FALSE)</f>
        <v>Operaciones</v>
      </c>
      <c r="E296" t="str">
        <f>VLOOKUP(A296,DataUsuario!B:D,3,FALSE)</f>
        <v>Calidad</v>
      </c>
    </row>
    <row r="297" spans="1:5" x14ac:dyDescent="0.3">
      <c r="A297" s="156" t="s">
        <v>291</v>
      </c>
      <c r="B297" t="s">
        <v>2</v>
      </c>
      <c r="C297" s="157">
        <v>4</v>
      </c>
      <c r="D297" t="str">
        <f>VLOOKUP(A297,DataUsuario!B:D,2,FALSE)</f>
        <v>Operaciones</v>
      </c>
      <c r="E297" t="str">
        <f>VLOOKUP(A297,DataUsuario!B:D,3,FALSE)</f>
        <v>Transporte</v>
      </c>
    </row>
    <row r="298" spans="1:5" x14ac:dyDescent="0.3">
      <c r="A298" s="153" t="s">
        <v>446</v>
      </c>
      <c r="B298" t="s">
        <v>2</v>
      </c>
      <c r="C298" s="154">
        <v>5</v>
      </c>
      <c r="D298" t="str">
        <f>VLOOKUP(A298,DataUsuario!B:D,2,FALSE)</f>
        <v>Agrícola</v>
      </c>
      <c r="E298" t="str">
        <f>VLOOKUP(A298,DataUsuario!B:D,3,FALSE)</f>
        <v>Fundo San Vicente</v>
      </c>
    </row>
    <row r="299" spans="1:5" x14ac:dyDescent="0.3">
      <c r="A299" s="156" t="s">
        <v>371</v>
      </c>
      <c r="B299" t="s">
        <v>2</v>
      </c>
      <c r="C299" s="157">
        <v>4</v>
      </c>
      <c r="D299" t="str">
        <f>VLOOKUP(A299,DataUsuario!B:D,2,FALSE)</f>
        <v>Administración y Finanzas</v>
      </c>
      <c r="E299" t="str">
        <f>VLOOKUP(A299,DataUsuario!B:D,3,FALSE)</f>
        <v>Compras</v>
      </c>
    </row>
    <row r="300" spans="1:5" x14ac:dyDescent="0.3">
      <c r="A300" s="153" t="s">
        <v>195</v>
      </c>
      <c r="B300" t="s">
        <v>2</v>
      </c>
      <c r="C300" s="154">
        <v>4</v>
      </c>
      <c r="D300" t="str">
        <f>VLOOKUP(A300,DataUsuario!B:D,2,FALSE)</f>
        <v>Operaciones</v>
      </c>
      <c r="E300" t="str">
        <f>VLOOKUP(A300,DataUsuario!B:D,3,FALSE)</f>
        <v>Calidad</v>
      </c>
    </row>
    <row r="301" spans="1:5" x14ac:dyDescent="0.3">
      <c r="A301" s="156" t="s">
        <v>350</v>
      </c>
      <c r="B301" t="s">
        <v>2</v>
      </c>
      <c r="C301" s="157">
        <v>5</v>
      </c>
      <c r="D301" t="str">
        <f>VLOOKUP(A301,DataUsuario!B:D,2,FALSE)</f>
        <v>Agrícola</v>
      </c>
      <c r="E301" t="str">
        <f>VLOOKUP(A301,DataUsuario!B:D,3,FALSE)</f>
        <v>Fundo San Vicente</v>
      </c>
    </row>
    <row r="302" spans="1:5" x14ac:dyDescent="0.3">
      <c r="A302" s="153" t="s">
        <v>267</v>
      </c>
      <c r="B302" t="s">
        <v>2</v>
      </c>
      <c r="C302" s="154">
        <v>4</v>
      </c>
      <c r="D302" t="str">
        <f>VLOOKUP(A302,DataUsuario!B:D,2,FALSE)</f>
        <v>Agrícola</v>
      </c>
      <c r="E302" t="str">
        <f>VLOOKUP(A302,DataUsuario!B:D,3,FALSE)</f>
        <v>Fundo Montelima</v>
      </c>
    </row>
    <row r="303" spans="1:5" x14ac:dyDescent="0.3">
      <c r="A303" s="156" t="s">
        <v>212</v>
      </c>
      <c r="B303" t="s">
        <v>2</v>
      </c>
      <c r="C303" s="157">
        <v>5</v>
      </c>
      <c r="D303" t="str">
        <f>VLOOKUP(A303,DataUsuario!B:D,2,FALSE)</f>
        <v>Agrícola</v>
      </c>
      <c r="E303" t="str">
        <f>VLOOKUP(A303,DataUsuario!B:D,3,FALSE)</f>
        <v>Fundo La Huaca</v>
      </c>
    </row>
    <row r="304" spans="1:5" x14ac:dyDescent="0.3">
      <c r="A304" s="153" t="s">
        <v>316</v>
      </c>
      <c r="B304" t="s">
        <v>2</v>
      </c>
      <c r="C304" s="154">
        <v>4</v>
      </c>
      <c r="D304" t="str">
        <f>VLOOKUP(A304,DataUsuario!B:D,2,FALSE)</f>
        <v>Administración y Finanzas</v>
      </c>
      <c r="E304" t="str">
        <f>VLOOKUP(A304,DataUsuario!B:D,3,FALSE)</f>
        <v>Control de Gestión</v>
      </c>
    </row>
    <row r="305" spans="1:5" x14ac:dyDescent="0.3">
      <c r="A305" s="156" t="s">
        <v>363</v>
      </c>
      <c r="B305" t="s">
        <v>2</v>
      </c>
      <c r="C305" s="157">
        <v>4</v>
      </c>
      <c r="D305" t="str">
        <f>VLOOKUP(A305,DataUsuario!B:D,2,FALSE)</f>
        <v>Agrícola</v>
      </c>
      <c r="E305" t="str">
        <f>VLOOKUP(A305,DataUsuario!B:D,3,FALSE)</f>
        <v>Planificador Agrícola</v>
      </c>
    </row>
    <row r="306" spans="1:5" x14ac:dyDescent="0.3">
      <c r="A306" s="153" t="s">
        <v>260</v>
      </c>
      <c r="B306" t="s">
        <v>2</v>
      </c>
      <c r="C306" s="154">
        <v>4</v>
      </c>
      <c r="D306" t="str">
        <f>VLOOKUP(A306,DataUsuario!B:D,2,FALSE)</f>
        <v>Administración y Finanzas</v>
      </c>
      <c r="E306" t="str">
        <f>VLOOKUP(A306,DataUsuario!B:D,3,FALSE)</f>
        <v>Compras</v>
      </c>
    </row>
    <row r="307" spans="1:5" x14ac:dyDescent="0.3">
      <c r="A307" s="156" t="s">
        <v>303</v>
      </c>
      <c r="B307" t="s">
        <v>2</v>
      </c>
      <c r="C307" s="157">
        <v>5</v>
      </c>
      <c r="D307" t="str">
        <f>VLOOKUP(A307,DataUsuario!B:D,2,FALSE)</f>
        <v>Gestión Humana y Sostenibilidad</v>
      </c>
      <c r="E307" t="str">
        <f>VLOOKUP(A307,DataUsuario!B:D,3,FALSE)</f>
        <v>Gerencia Gestión Humana y Sostenibilidad</v>
      </c>
    </row>
    <row r="308" spans="1:5" x14ac:dyDescent="0.3">
      <c r="A308" s="153" t="s">
        <v>314</v>
      </c>
      <c r="B308" t="s">
        <v>2</v>
      </c>
      <c r="C308" s="154">
        <v>5</v>
      </c>
      <c r="D308" t="str">
        <f>VLOOKUP(A308,DataUsuario!B:D,2,FALSE)</f>
        <v>Administración y Finanzas</v>
      </c>
      <c r="E308" t="str">
        <f>VLOOKUP(A308,DataUsuario!B:D,3,FALSE)</f>
        <v>Contabilidad Tributaria</v>
      </c>
    </row>
    <row r="309" spans="1:5" x14ac:dyDescent="0.3">
      <c r="A309" s="156" t="s">
        <v>436</v>
      </c>
      <c r="B309" t="s">
        <v>2</v>
      </c>
      <c r="C309" s="157">
        <v>4</v>
      </c>
      <c r="D309" t="str">
        <f>VLOOKUP(A309,DataUsuario!B:D,2,FALSE)</f>
        <v>Operaciones</v>
      </c>
      <c r="E309" t="str">
        <f>VLOOKUP(A309,DataUsuario!B:D,3,FALSE)</f>
        <v>Cosecha</v>
      </c>
    </row>
    <row r="310" spans="1:5" x14ac:dyDescent="0.3">
      <c r="A310" s="153" t="s">
        <v>537</v>
      </c>
      <c r="B310" t="s">
        <v>2</v>
      </c>
      <c r="C310" s="154">
        <v>2</v>
      </c>
      <c r="D310" t="str">
        <f>VLOOKUP(A310,DataUsuario!B:D,2,FALSE)</f>
        <v>Administración y Finanzas</v>
      </c>
      <c r="E310" t="str">
        <f>VLOOKUP(A310,DataUsuario!B:D,3,FALSE)</f>
        <v>Finanzas y Tesorería</v>
      </c>
    </row>
    <row r="311" spans="1:5" x14ac:dyDescent="0.3">
      <c r="A311" s="156" t="s">
        <v>402</v>
      </c>
      <c r="B311" t="s">
        <v>2</v>
      </c>
      <c r="C311" s="157">
        <v>4</v>
      </c>
      <c r="D311" t="str">
        <f>VLOOKUP(A311,DataUsuario!B:D,2,FALSE)</f>
        <v>Administración y Finanzas</v>
      </c>
      <c r="E311" t="str">
        <f>VLOOKUP(A311,DataUsuario!B:D,3,FALSE)</f>
        <v>Contabilidad Tributaria</v>
      </c>
    </row>
    <row r="312" spans="1:5" x14ac:dyDescent="0.3">
      <c r="A312" s="153" t="s">
        <v>87</v>
      </c>
      <c r="B312" t="s">
        <v>2</v>
      </c>
      <c r="C312" s="154">
        <v>4</v>
      </c>
      <c r="D312" t="str">
        <f>VLOOKUP(A312,DataUsuario!B:D,2,FALSE)</f>
        <v>Administración y Finanzas</v>
      </c>
      <c r="E312" t="str">
        <f>VLOOKUP(A312,DataUsuario!B:D,3,FALSE)</f>
        <v>Compras</v>
      </c>
    </row>
    <row r="313" spans="1:5" x14ac:dyDescent="0.3">
      <c r="A313" s="156" t="s">
        <v>202</v>
      </c>
      <c r="B313" t="s">
        <v>2</v>
      </c>
      <c r="C313" s="157">
        <v>5</v>
      </c>
      <c r="D313" t="str">
        <f>VLOOKUP(A313,DataUsuario!B:D,2,FALSE)</f>
        <v>Agrícola</v>
      </c>
      <c r="E313" t="str">
        <f>VLOOKUP(A313,DataUsuario!B:D,3,FALSE)</f>
        <v>Mantenimiento de Riego y Bombas</v>
      </c>
    </row>
    <row r="314" spans="1:5" x14ac:dyDescent="0.3">
      <c r="A314" s="153" t="s">
        <v>323</v>
      </c>
      <c r="B314" t="s">
        <v>2</v>
      </c>
      <c r="C314" s="154">
        <v>3</v>
      </c>
      <c r="D314" t="str">
        <f>VLOOKUP(A314,DataUsuario!B:D,2,FALSE)</f>
        <v>Operaciones</v>
      </c>
      <c r="E314" t="str">
        <f>VLOOKUP(A314,DataUsuario!B:D,3,FALSE)</f>
        <v>Mantenimiento CAT</v>
      </c>
    </row>
    <row r="315" spans="1:5" x14ac:dyDescent="0.3">
      <c r="A315" s="156" t="s">
        <v>393</v>
      </c>
      <c r="B315" t="s">
        <v>2</v>
      </c>
      <c r="C315" s="157">
        <v>5</v>
      </c>
      <c r="D315" t="str">
        <f>VLOOKUP(A315,DataUsuario!B:D,2,FALSE)</f>
        <v>Industrial y de Mantenimiento</v>
      </c>
      <c r="E315" t="str">
        <f>VLOOKUP(A315,DataUsuario!B:D,3,FALSE)</f>
        <v>Gerencia industrial y de Mantenimiento</v>
      </c>
    </row>
    <row r="316" spans="1:5" x14ac:dyDescent="0.3">
      <c r="A316" s="153" t="s">
        <v>539</v>
      </c>
      <c r="B316" t="s">
        <v>2</v>
      </c>
      <c r="C316" s="154">
        <v>5</v>
      </c>
      <c r="D316" t="str">
        <f>VLOOKUP(A316,DataUsuario!B:D,2,FALSE)</f>
        <v>Industrial y de Mantenimiento</v>
      </c>
      <c r="E316" t="str">
        <f>VLOOKUP(A316,DataUsuario!B:D,3,FALSE)</f>
        <v>Mantenimiento Industrial</v>
      </c>
    </row>
    <row r="317" spans="1:5" x14ac:dyDescent="0.3">
      <c r="A317" s="156" t="s">
        <v>327</v>
      </c>
      <c r="B317" t="s">
        <v>2</v>
      </c>
      <c r="C317" s="157">
        <v>5</v>
      </c>
      <c r="D317" t="str">
        <f>VLOOKUP(A317,DataUsuario!B:D,2,FALSE)</f>
        <v>Industrial y de Mantenimiento</v>
      </c>
      <c r="E317" t="str">
        <f>VLOOKUP(A317,DataUsuario!B:D,3,FALSE)</f>
        <v>Mantenimiento Industrial</v>
      </c>
    </row>
    <row r="318" spans="1:5" x14ac:dyDescent="0.3">
      <c r="A318" s="153" t="s">
        <v>542</v>
      </c>
      <c r="B318" t="s">
        <v>2</v>
      </c>
      <c r="C318" s="154">
        <v>5</v>
      </c>
      <c r="D318" t="str">
        <f>VLOOKUP(A318,DataUsuario!B:D,2,FALSE)</f>
        <v>Gestión Humana y Sostenibilidad</v>
      </c>
      <c r="E318" t="str">
        <f>VLOOKUP(A318,DataUsuario!B:D,3,FALSE)</f>
        <v>Seguridad</v>
      </c>
    </row>
    <row r="319" spans="1:5" x14ac:dyDescent="0.3">
      <c r="A319" s="156" t="s">
        <v>398</v>
      </c>
      <c r="B319" t="s">
        <v>2</v>
      </c>
      <c r="C319" s="157">
        <v>4</v>
      </c>
      <c r="D319" t="str">
        <f>VLOOKUP(A319,DataUsuario!B:D,2,FALSE)</f>
        <v>Agrícola</v>
      </c>
      <c r="E319" t="str">
        <f>VLOOKUP(A319,DataUsuario!B:D,3,FALSE)</f>
        <v>Fundo Lobo</v>
      </c>
    </row>
    <row r="320" spans="1:5" x14ac:dyDescent="0.3">
      <c r="A320" s="153" t="s">
        <v>384</v>
      </c>
      <c r="B320" t="s">
        <v>2</v>
      </c>
      <c r="C320" s="154" t="s">
        <v>587</v>
      </c>
      <c r="D320" t="str">
        <f>VLOOKUP(A320,DataUsuario!B:D,2,FALSE)</f>
        <v>Agrícola</v>
      </c>
      <c r="E320" t="str">
        <f>VLOOKUP(A320,DataUsuario!B:D,3,FALSE)</f>
        <v>Sistema Integral de Gestión</v>
      </c>
    </row>
    <row r="321" spans="1:5" x14ac:dyDescent="0.3">
      <c r="A321" s="156" t="s">
        <v>308</v>
      </c>
      <c r="B321" t="s">
        <v>2</v>
      </c>
      <c r="C321" s="157">
        <v>4</v>
      </c>
      <c r="D321" t="str">
        <f>VLOOKUP(A321,DataUsuario!B:D,2,FALSE)</f>
        <v>Administración y Finanzas</v>
      </c>
      <c r="E321" t="str">
        <f>VLOOKUP(A321,DataUsuario!B:D,3,FALSE)</f>
        <v>Compras</v>
      </c>
    </row>
    <row r="322" spans="1:5" x14ac:dyDescent="0.3">
      <c r="A322" s="153" t="s">
        <v>162</v>
      </c>
      <c r="B322" t="s">
        <v>2</v>
      </c>
      <c r="C322" s="154">
        <v>4</v>
      </c>
      <c r="D322" t="str">
        <f>VLOOKUP(A322,DataUsuario!B:D,2,FALSE)</f>
        <v>Industrial y de Mantenimiento</v>
      </c>
      <c r="E322" t="str">
        <f>VLOOKUP(A322,DataUsuario!B:D,3,FALSE)</f>
        <v>Mantenimiento Industrial</v>
      </c>
    </row>
    <row r="323" spans="1:5" x14ac:dyDescent="0.3">
      <c r="A323" s="156" t="s">
        <v>137</v>
      </c>
      <c r="B323" t="s">
        <v>2</v>
      </c>
      <c r="C323" s="157">
        <v>5</v>
      </c>
      <c r="D323" t="str">
        <f>VLOOKUP(A323,DataUsuario!B:D,2,FALSE)</f>
        <v>Agrícola</v>
      </c>
      <c r="E323" t="str">
        <f>VLOOKUP(A323,DataUsuario!B:D,3,FALSE)</f>
        <v>Mantenimiento de Riego y Bombas</v>
      </c>
    </row>
    <row r="324" spans="1:5" x14ac:dyDescent="0.3">
      <c r="A324" s="153" t="s">
        <v>240</v>
      </c>
      <c r="B324" t="s">
        <v>2</v>
      </c>
      <c r="C324" s="154">
        <v>5</v>
      </c>
      <c r="D324" t="str">
        <f>VLOOKUP(A324,DataUsuario!B:D,2,FALSE)</f>
        <v>Agrícola</v>
      </c>
      <c r="E324" t="str">
        <f>VLOOKUP(A324,DataUsuario!B:D,3,FALSE)</f>
        <v>Fundo Lobo</v>
      </c>
    </row>
    <row r="325" spans="1:5" x14ac:dyDescent="0.3">
      <c r="A325" s="156" t="s">
        <v>158</v>
      </c>
      <c r="B325" t="s">
        <v>2</v>
      </c>
      <c r="C325" s="157">
        <v>4</v>
      </c>
      <c r="D325" t="str">
        <f>VLOOKUP(A325,DataUsuario!B:D,2,FALSE)</f>
        <v>Industrial y de Mantenimiento</v>
      </c>
      <c r="E325" t="str">
        <f>VLOOKUP(A325,DataUsuario!B:D,3,FALSE)</f>
        <v>Producción</v>
      </c>
    </row>
    <row r="326" spans="1:5" x14ac:dyDescent="0.3">
      <c r="A326" s="153" t="s">
        <v>544</v>
      </c>
      <c r="B326" t="s">
        <v>2</v>
      </c>
      <c r="C326" s="154">
        <v>4</v>
      </c>
      <c r="D326" t="str">
        <f>VLOOKUP(A326,DataUsuario!B:D,2,FALSE)</f>
        <v>Agrícola</v>
      </c>
      <c r="E326" t="str">
        <f>VLOOKUP(A326,DataUsuario!B:D,3,FALSE)</f>
        <v>Fundo San Vicente</v>
      </c>
    </row>
    <row r="327" spans="1:5" x14ac:dyDescent="0.3">
      <c r="A327" s="156" t="s">
        <v>312</v>
      </c>
      <c r="B327" t="s">
        <v>2</v>
      </c>
      <c r="C327" s="157" t="s">
        <v>587</v>
      </c>
      <c r="D327" t="str">
        <f>VLOOKUP(A327,DataUsuario!B:D,2,FALSE)</f>
        <v>Administración y Finanzas</v>
      </c>
      <c r="E327" t="str">
        <f>VLOOKUP(A327,DataUsuario!B:D,3,FALSE)</f>
        <v>Legal</v>
      </c>
    </row>
    <row r="328" spans="1:5" x14ac:dyDescent="0.3">
      <c r="A328" s="153" t="s">
        <v>452</v>
      </c>
      <c r="B328" t="s">
        <v>2</v>
      </c>
      <c r="C328" s="154" t="s">
        <v>587</v>
      </c>
      <c r="D328" t="str">
        <f>VLOOKUP(A328,DataUsuario!B:D,2,FALSE)</f>
        <v>Gestión Humana y Sostenibilidad</v>
      </c>
      <c r="E328" t="str">
        <f>VLOOKUP(A328,DataUsuario!B:D,3,FALSE)</f>
        <v>Compensación y Nóminas</v>
      </c>
    </row>
    <row r="329" spans="1:5" x14ac:dyDescent="0.3">
      <c r="A329" s="156" t="s">
        <v>179</v>
      </c>
      <c r="B329" t="s">
        <v>2</v>
      </c>
      <c r="C329" s="157">
        <v>3</v>
      </c>
      <c r="D329" t="str">
        <f>VLOOKUP(A329,DataUsuario!B:D,2,FALSE)</f>
        <v>Operaciones</v>
      </c>
      <c r="E329" t="str">
        <f>VLOOKUP(A329,DataUsuario!B:D,3,FALSE)</f>
        <v>Mantenimiento CAT</v>
      </c>
    </row>
    <row r="330" spans="1:5" x14ac:dyDescent="0.3">
      <c r="A330" s="153" t="s">
        <v>151</v>
      </c>
      <c r="B330" t="s">
        <v>2</v>
      </c>
      <c r="C330" s="154">
        <v>4</v>
      </c>
      <c r="D330" t="str">
        <f>VLOOKUP(A330,DataUsuario!B:D,2,FALSE)</f>
        <v>Operaciones</v>
      </c>
      <c r="E330" t="str">
        <f>VLOOKUP(A330,DataUsuario!B:D,3,FALSE)</f>
        <v>Transporte</v>
      </c>
    </row>
    <row r="331" spans="1:5" x14ac:dyDescent="0.3">
      <c r="A331" s="156" t="s">
        <v>406</v>
      </c>
      <c r="B331" t="s">
        <v>2</v>
      </c>
      <c r="C331" s="157">
        <v>5</v>
      </c>
      <c r="D331" t="str">
        <f>VLOOKUP(A331,DataUsuario!B:D,2,FALSE)</f>
        <v>Administración y Finanzas</v>
      </c>
      <c r="E331" t="str">
        <f>VLOOKUP(A331,DataUsuario!B:D,3,FALSE)</f>
        <v>Finanzas y Tesorería</v>
      </c>
    </row>
    <row r="332" spans="1:5" x14ac:dyDescent="0.3">
      <c r="A332" s="153" t="s">
        <v>301</v>
      </c>
      <c r="B332" t="s">
        <v>2</v>
      </c>
      <c r="C332" s="154">
        <v>5</v>
      </c>
      <c r="D332" t="str">
        <f>VLOOKUP(A332,DataUsuario!B:D,2,FALSE)</f>
        <v>Agrícola</v>
      </c>
      <c r="E332" t="str">
        <f>VLOOKUP(A332,DataUsuario!B:D,3,FALSE)</f>
        <v>Mantenimiento de Riego y Bombas</v>
      </c>
    </row>
    <row r="333" spans="1:5" x14ac:dyDescent="0.3">
      <c r="A333" s="156" t="s">
        <v>95</v>
      </c>
      <c r="B333" t="s">
        <v>2</v>
      </c>
      <c r="C333" s="157">
        <v>5</v>
      </c>
      <c r="D333" t="str">
        <f>VLOOKUP(A333,DataUsuario!B:D,2,FALSE)</f>
        <v>Agrícola</v>
      </c>
      <c r="E333" t="str">
        <f>VLOOKUP(A333,DataUsuario!B:D,3,FALSE)</f>
        <v>Fundo Lobo</v>
      </c>
    </row>
    <row r="334" spans="1:5" x14ac:dyDescent="0.3">
      <c r="A334" s="153" t="s">
        <v>360</v>
      </c>
      <c r="B334" t="s">
        <v>2</v>
      </c>
      <c r="C334" s="154">
        <v>5</v>
      </c>
      <c r="D334" t="str">
        <f>VLOOKUP(A334,DataUsuario!B:D,2,FALSE)</f>
        <v>Operaciones</v>
      </c>
      <c r="E334" t="str">
        <f>VLOOKUP(A334,DataUsuario!B:D,3,FALSE)</f>
        <v>Almacenes y Distribución PT</v>
      </c>
    </row>
    <row r="335" spans="1:5" x14ac:dyDescent="0.3">
      <c r="A335" s="156" t="s">
        <v>109</v>
      </c>
      <c r="B335" t="s">
        <v>2</v>
      </c>
      <c r="C335" s="157">
        <v>5</v>
      </c>
      <c r="D335" t="str">
        <f>VLOOKUP(A335,DataUsuario!B:D,2,FALSE)</f>
        <v>Operaciones</v>
      </c>
      <c r="E335" t="str">
        <f>VLOOKUP(A335,DataUsuario!B:D,3,FALSE)</f>
        <v>Almacenes y Distribución PT</v>
      </c>
    </row>
    <row r="336" spans="1:5" x14ac:dyDescent="0.3">
      <c r="A336" s="153" t="s">
        <v>287</v>
      </c>
      <c r="B336" t="s">
        <v>2</v>
      </c>
      <c r="C336" s="154">
        <v>4</v>
      </c>
      <c r="D336" t="str">
        <f>VLOOKUP(A336,DataUsuario!B:D,2,FALSE)</f>
        <v>Administración y Finanzas</v>
      </c>
      <c r="E336" t="str">
        <f>VLOOKUP(A336,DataUsuario!B:D,3,FALSE)</f>
        <v>Compras</v>
      </c>
    </row>
    <row r="337" spans="1:5" x14ac:dyDescent="0.3">
      <c r="A337" s="156" t="s">
        <v>130</v>
      </c>
      <c r="B337" t="s">
        <v>2</v>
      </c>
      <c r="C337" s="157">
        <v>4</v>
      </c>
      <c r="D337" t="str">
        <f>VLOOKUP(A337,DataUsuario!B:D,2,FALSE)</f>
        <v>Administración y Finanzas</v>
      </c>
      <c r="E337" t="str">
        <f>VLOOKUP(A337,DataUsuario!B:D,3,FALSE)</f>
        <v>Gerencia Administración y Finanzas</v>
      </c>
    </row>
    <row r="338" spans="1:5" x14ac:dyDescent="0.3">
      <c r="A338" s="153" t="s">
        <v>106</v>
      </c>
      <c r="B338" t="s">
        <v>2</v>
      </c>
      <c r="C338" s="154">
        <v>5</v>
      </c>
      <c r="D338" t="str">
        <f>VLOOKUP(A338,DataUsuario!B:D,2,FALSE)</f>
        <v>Gestión Humana y Sostenibilidad</v>
      </c>
      <c r="E338" t="str">
        <f>VLOOKUP(A338,DataUsuario!B:D,3,FALSE)</f>
        <v>Gestor de Recursos Humanos</v>
      </c>
    </row>
    <row r="339" spans="1:5" x14ac:dyDescent="0.3">
      <c r="A339" s="156" t="s">
        <v>258</v>
      </c>
      <c r="B339" t="s">
        <v>2</v>
      </c>
      <c r="C339" s="157">
        <v>5</v>
      </c>
      <c r="D339" t="str">
        <f>VLOOKUP(A339,DataUsuario!B:D,2,FALSE)</f>
        <v>Industrial y de Mantenimiento</v>
      </c>
      <c r="E339" t="str">
        <f>VLOOKUP(A339,DataUsuario!B:D,3,FALSE)</f>
        <v>Mantenimiento Industrial</v>
      </c>
    </row>
    <row r="340" spans="1:5" x14ac:dyDescent="0.3">
      <c r="A340" s="153" t="s">
        <v>160</v>
      </c>
      <c r="B340" t="s">
        <v>2</v>
      </c>
      <c r="C340" s="154">
        <v>5</v>
      </c>
      <c r="D340" t="str">
        <f>VLOOKUP(A340,DataUsuario!B:D,2,FALSE)</f>
        <v>Operaciones</v>
      </c>
      <c r="E340" t="str">
        <f>VLOOKUP(A340,DataUsuario!B:D,3,FALSE)</f>
        <v>Almacenes y Distribución PT</v>
      </c>
    </row>
    <row r="341" spans="1:5" x14ac:dyDescent="0.3">
      <c r="A341" s="156" t="s">
        <v>376</v>
      </c>
      <c r="B341" t="s">
        <v>2</v>
      </c>
      <c r="C341" s="157">
        <v>5</v>
      </c>
      <c r="D341" t="str">
        <f>VLOOKUP(A341,DataUsuario!B:D,2,FALSE)</f>
        <v>Agrícola</v>
      </c>
      <c r="E341" t="str">
        <f>VLOOKUP(A341,DataUsuario!B:D,3,FALSE)</f>
        <v>Fundo Lobo</v>
      </c>
    </row>
    <row r="342" spans="1:5" x14ac:dyDescent="0.3">
      <c r="A342" s="153" t="s">
        <v>380</v>
      </c>
      <c r="B342" t="s">
        <v>2</v>
      </c>
      <c r="C342" s="154">
        <v>4</v>
      </c>
      <c r="D342" t="str">
        <f>VLOOKUP(A342,DataUsuario!B:D,2,FALSE)</f>
        <v>Operaciones</v>
      </c>
      <c r="E342" t="str">
        <f>VLOOKUP(A342,DataUsuario!B:D,3,FALSE)</f>
        <v>Cosecha</v>
      </c>
    </row>
    <row r="343" spans="1:5" x14ac:dyDescent="0.3">
      <c r="A343" s="161" t="s">
        <v>125</v>
      </c>
      <c r="B343" t="s">
        <v>2</v>
      </c>
      <c r="C343" s="162">
        <v>5</v>
      </c>
      <c r="D343" t="str">
        <f>VLOOKUP(A343,DataUsuario!B:D,2,FALSE)</f>
        <v>Agrícola</v>
      </c>
      <c r="E343" t="str">
        <f>VLOOKUP(A343,DataUsuario!B:D,3,FALSE)</f>
        <v>Fundo Lobo</v>
      </c>
    </row>
    <row r="344" spans="1:5" x14ac:dyDescent="0.3">
      <c r="A344" s="153" t="s">
        <v>373</v>
      </c>
      <c r="B344" t="s">
        <v>3</v>
      </c>
      <c r="C344" s="154">
        <v>4</v>
      </c>
      <c r="D344" t="str">
        <f>VLOOKUP(A344,DataUsuario!B:D,2,FALSE)</f>
        <v>Operaciones</v>
      </c>
      <c r="E344" t="str">
        <f>VLOOKUP(A344,DataUsuario!B:D,3,FALSE)</f>
        <v>Gerencia de Operaciones</v>
      </c>
    </row>
    <row r="345" spans="1:5" x14ac:dyDescent="0.3">
      <c r="A345" s="156" t="s">
        <v>318</v>
      </c>
      <c r="B345" t="s">
        <v>3</v>
      </c>
      <c r="C345" s="157" t="s">
        <v>587</v>
      </c>
      <c r="D345" t="str">
        <f>VLOOKUP(A345,DataUsuario!B:D,2,FALSE)</f>
        <v>Industrial y de Mantenimiento</v>
      </c>
      <c r="E345" t="str">
        <f>VLOOKUP(A345,DataUsuario!B:D,3,FALSE)</f>
        <v>Producción</v>
      </c>
    </row>
    <row r="346" spans="1:5" x14ac:dyDescent="0.3">
      <c r="A346" s="153" t="s">
        <v>102</v>
      </c>
      <c r="B346" t="s">
        <v>3</v>
      </c>
      <c r="C346" s="154">
        <v>4</v>
      </c>
      <c r="D346" t="str">
        <f>VLOOKUP(A346,DataUsuario!B:D,2,FALSE)</f>
        <v>Administración y Finanzas</v>
      </c>
      <c r="E346" t="str">
        <f>VLOOKUP(A346,DataUsuario!B:D,3,FALSE)</f>
        <v>Legal</v>
      </c>
    </row>
    <row r="347" spans="1:5" x14ac:dyDescent="0.3">
      <c r="A347" s="156" t="s">
        <v>424</v>
      </c>
      <c r="B347" t="s">
        <v>3</v>
      </c>
      <c r="C347" s="157">
        <v>3</v>
      </c>
      <c r="D347" t="str">
        <f>VLOOKUP(A347,DataUsuario!B:D,2,FALSE)</f>
        <v>Agrícola</v>
      </c>
      <c r="E347" t="str">
        <f>VLOOKUP(A347,DataUsuario!B:D,3,FALSE)</f>
        <v>Fundo Lobo</v>
      </c>
    </row>
    <row r="348" spans="1:5" x14ac:dyDescent="0.3">
      <c r="A348" s="153" t="s">
        <v>153</v>
      </c>
      <c r="B348" t="s">
        <v>3</v>
      </c>
      <c r="C348" s="154" t="s">
        <v>587</v>
      </c>
      <c r="D348" t="str">
        <f>VLOOKUP(A348,DataUsuario!B:D,2,FALSE)</f>
        <v>Administración y Finanzas</v>
      </c>
      <c r="E348" t="str">
        <f>VLOOKUP(A348,DataUsuario!B:D,3,FALSE)</f>
        <v>Legal</v>
      </c>
    </row>
    <row r="349" spans="1:5" x14ac:dyDescent="0.3">
      <c r="A349" s="156" t="s">
        <v>99</v>
      </c>
      <c r="B349" t="s">
        <v>3</v>
      </c>
      <c r="C349" s="157">
        <v>5</v>
      </c>
      <c r="D349" t="str">
        <f>VLOOKUP(A349,DataUsuario!B:D,2,FALSE)</f>
        <v>Administración y Finanzas</v>
      </c>
      <c r="E349" t="str">
        <f>VLOOKUP(A349,DataUsuario!B:D,3,FALSE)</f>
        <v>Control de Gestión</v>
      </c>
    </row>
    <row r="350" spans="1:5" x14ac:dyDescent="0.3">
      <c r="A350" s="153" t="s">
        <v>269</v>
      </c>
      <c r="B350" t="s">
        <v>3</v>
      </c>
      <c r="C350" s="154">
        <v>4</v>
      </c>
      <c r="D350" t="str">
        <f>VLOOKUP(A350,DataUsuario!B:D,2,FALSE)</f>
        <v>Operaciones</v>
      </c>
      <c r="E350" t="str">
        <f>VLOOKUP(A350,DataUsuario!B:D,3,FALSE)</f>
        <v>Calidad</v>
      </c>
    </row>
    <row r="351" spans="1:5" x14ac:dyDescent="0.3">
      <c r="A351" s="156" t="s">
        <v>177</v>
      </c>
      <c r="B351" t="s">
        <v>3</v>
      </c>
      <c r="C351" s="157">
        <v>4</v>
      </c>
      <c r="D351" t="str">
        <f>VLOOKUP(A351,DataUsuario!B:D,2,FALSE)</f>
        <v>Gestión Humana y Sostenibilidad</v>
      </c>
      <c r="E351" t="str">
        <f>VLOOKUP(A351,DataUsuario!B:D,3,FALSE)</f>
        <v>Seguridad</v>
      </c>
    </row>
    <row r="352" spans="1:5" x14ac:dyDescent="0.3">
      <c r="A352" s="153" t="s">
        <v>72</v>
      </c>
      <c r="B352" t="s">
        <v>3</v>
      </c>
      <c r="C352" s="154">
        <v>3</v>
      </c>
      <c r="D352" t="str">
        <f>VLOOKUP(A352,DataUsuario!B:D,2,FALSE)</f>
        <v>Administración y Finanzas</v>
      </c>
      <c r="E352" t="str">
        <f>VLOOKUP(A352,DataUsuario!B:D,3,FALSE)</f>
        <v>Finanzas y Tesorería</v>
      </c>
    </row>
    <row r="353" spans="1:5" x14ac:dyDescent="0.3">
      <c r="A353" s="156" t="s">
        <v>345</v>
      </c>
      <c r="B353" t="s">
        <v>3</v>
      </c>
      <c r="C353" s="157">
        <v>3</v>
      </c>
      <c r="D353" t="str">
        <f>VLOOKUP(A353,DataUsuario!B:D,2,FALSE)</f>
        <v>Agrícola</v>
      </c>
      <c r="E353" t="str">
        <f>VLOOKUP(A353,DataUsuario!B:D,3,FALSE)</f>
        <v>Gerencia Agrícola</v>
      </c>
    </row>
    <row r="354" spans="1:5" x14ac:dyDescent="0.3">
      <c r="A354" s="153" t="s">
        <v>140</v>
      </c>
      <c r="B354" t="s">
        <v>3</v>
      </c>
      <c r="C354" s="154">
        <v>5</v>
      </c>
      <c r="D354" t="str">
        <f>VLOOKUP(A354,DataUsuario!B:D,2,FALSE)</f>
        <v>Industrial y de Mantenimiento</v>
      </c>
      <c r="E354" t="str">
        <f>VLOOKUP(A354,DataUsuario!B:D,3,FALSE)</f>
        <v>Electricidad</v>
      </c>
    </row>
    <row r="355" spans="1:5" x14ac:dyDescent="0.3">
      <c r="A355" s="156" t="s">
        <v>143</v>
      </c>
      <c r="B355" t="s">
        <v>3</v>
      </c>
      <c r="C355" s="157">
        <v>4</v>
      </c>
      <c r="D355" t="str">
        <f>VLOOKUP(A355,DataUsuario!B:D,2,FALSE)</f>
        <v>Operaciones</v>
      </c>
      <c r="E355" t="str">
        <f>VLOOKUP(A355,DataUsuario!B:D,3,FALSE)</f>
        <v>Comercial</v>
      </c>
    </row>
    <row r="356" spans="1:5" x14ac:dyDescent="0.3">
      <c r="A356" s="153" t="s">
        <v>227</v>
      </c>
      <c r="B356" t="s">
        <v>3</v>
      </c>
      <c r="C356" s="154">
        <v>4</v>
      </c>
      <c r="D356" t="str">
        <f>VLOOKUP(A356,DataUsuario!B:D,2,FALSE)</f>
        <v>Agrícola</v>
      </c>
      <c r="E356" t="str">
        <f>VLOOKUP(A356,DataUsuario!B:D,3,FALSE)</f>
        <v>Mantenimiento de Riego y Bombas</v>
      </c>
    </row>
    <row r="357" spans="1:5" x14ac:dyDescent="0.3">
      <c r="A357" s="156" t="s">
        <v>391</v>
      </c>
      <c r="B357" t="s">
        <v>3</v>
      </c>
      <c r="C357" s="157">
        <v>5</v>
      </c>
      <c r="D357" t="str">
        <f>VLOOKUP(A357,DataUsuario!B:D,2,FALSE)</f>
        <v>Administración y Finanzas</v>
      </c>
      <c r="E357" t="str">
        <f>VLOOKUP(A357,DataUsuario!B:D,3,FALSE)</f>
        <v>Control de Gestión</v>
      </c>
    </row>
    <row r="358" spans="1:5" x14ac:dyDescent="0.3">
      <c r="A358" s="153" t="s">
        <v>502</v>
      </c>
      <c r="B358" t="s">
        <v>3</v>
      </c>
      <c r="C358" s="154">
        <v>3</v>
      </c>
      <c r="D358" t="str">
        <f>VLOOKUP(A358,DataUsuario!B:D,2,FALSE)</f>
        <v>Operaciones</v>
      </c>
      <c r="E358" t="str">
        <f>VLOOKUP(A358,DataUsuario!B:D,3,FALSE)</f>
        <v>Almacenes y Distribución PT</v>
      </c>
    </row>
    <row r="359" spans="1:5" x14ac:dyDescent="0.3">
      <c r="A359" s="156" t="s">
        <v>504</v>
      </c>
      <c r="B359" t="s">
        <v>3</v>
      </c>
      <c r="C359" s="157" t="s">
        <v>587</v>
      </c>
      <c r="D359" t="str">
        <f>VLOOKUP(A359,DataUsuario!B:D,2,FALSE)</f>
        <v>Agrícola</v>
      </c>
      <c r="E359" t="str">
        <f>VLOOKUP(A359,DataUsuario!B:D,3,FALSE)</f>
        <v>Mantenimiento de Riego y Bombas</v>
      </c>
    </row>
    <row r="360" spans="1:5" x14ac:dyDescent="0.3">
      <c r="A360" s="153" t="s">
        <v>181</v>
      </c>
      <c r="B360" t="s">
        <v>3</v>
      </c>
      <c r="C360" s="154">
        <v>5</v>
      </c>
      <c r="D360" t="str">
        <f>VLOOKUP(A360,DataUsuario!B:D,2,FALSE)</f>
        <v>Gestión Humana y Sostenibilidad</v>
      </c>
      <c r="E360" t="str">
        <f>VLOOKUP(A360,DataUsuario!B:D,3,FALSE)</f>
        <v>Gestor de Recursos Humanos</v>
      </c>
    </row>
    <row r="361" spans="1:5" x14ac:dyDescent="0.3">
      <c r="A361" s="156" t="s">
        <v>299</v>
      </c>
      <c r="B361" t="s">
        <v>3</v>
      </c>
      <c r="C361" s="157">
        <v>4</v>
      </c>
      <c r="D361" t="str">
        <f>VLOOKUP(A361,DataUsuario!B:D,2,FALSE)</f>
        <v>Operaciones</v>
      </c>
      <c r="E361" t="str">
        <f>VLOOKUP(A361,DataUsuario!B:D,3,FALSE)</f>
        <v>Calidad</v>
      </c>
    </row>
    <row r="362" spans="1:5" x14ac:dyDescent="0.3">
      <c r="A362" s="153" t="s">
        <v>192</v>
      </c>
      <c r="B362" t="s">
        <v>3</v>
      </c>
      <c r="C362" s="154">
        <v>4</v>
      </c>
      <c r="D362" t="str">
        <f>VLOOKUP(A362,DataUsuario!B:D,2,FALSE)</f>
        <v>Agrícola</v>
      </c>
      <c r="E362" t="str">
        <f>VLOOKUP(A362,DataUsuario!B:D,3,FALSE)</f>
        <v>Planificador Agrícola</v>
      </c>
    </row>
    <row r="363" spans="1:5" x14ac:dyDescent="0.3">
      <c r="A363" s="156" t="s">
        <v>333</v>
      </c>
      <c r="B363" t="s">
        <v>3</v>
      </c>
      <c r="C363" s="157">
        <v>4</v>
      </c>
      <c r="D363" t="str">
        <f>VLOOKUP(A363,DataUsuario!B:D,2,FALSE)</f>
        <v>Gestión Humana y Sostenibilidad</v>
      </c>
      <c r="E363" t="str">
        <f>VLOOKUP(A363,DataUsuario!B:D,3,FALSE)</f>
        <v>Sostenibilidad</v>
      </c>
    </row>
    <row r="364" spans="1:5" x14ac:dyDescent="0.3">
      <c r="A364" s="153" t="s">
        <v>155</v>
      </c>
      <c r="B364" t="s">
        <v>3</v>
      </c>
      <c r="C364" s="154">
        <v>4</v>
      </c>
      <c r="D364" t="str">
        <f>VLOOKUP(A364,DataUsuario!B:D,2,FALSE)</f>
        <v>Gestión Humana y Sostenibilidad</v>
      </c>
      <c r="E364" t="str">
        <f>VLOOKUP(A364,DataUsuario!B:D,3,FALSE)</f>
        <v>Sostenibilidad</v>
      </c>
    </row>
    <row r="365" spans="1:5" x14ac:dyDescent="0.3">
      <c r="A365" s="156" t="s">
        <v>331</v>
      </c>
      <c r="B365" t="s">
        <v>3</v>
      </c>
      <c r="C365" s="157">
        <v>5</v>
      </c>
      <c r="D365" t="str">
        <f>VLOOKUP(A365,DataUsuario!B:D,2,FALSE)</f>
        <v>Operaciones</v>
      </c>
      <c r="E365" t="str">
        <f>VLOOKUP(A365,DataUsuario!B:D,3,FALSE)</f>
        <v>Cosecha</v>
      </c>
    </row>
    <row r="366" spans="1:5" x14ac:dyDescent="0.3">
      <c r="A366" s="153" t="s">
        <v>378</v>
      </c>
      <c r="B366" t="s">
        <v>3</v>
      </c>
      <c r="C366" s="154">
        <v>4</v>
      </c>
      <c r="D366" t="str">
        <f>VLOOKUP(A366,DataUsuario!B:D,2,FALSE)</f>
        <v>Operaciones</v>
      </c>
      <c r="E366" t="str">
        <f>VLOOKUP(A366,DataUsuario!B:D,3,FALSE)</f>
        <v>Mantenimiento CAT</v>
      </c>
    </row>
    <row r="367" spans="1:5" x14ac:dyDescent="0.3">
      <c r="A367" s="156" t="s">
        <v>215</v>
      </c>
      <c r="B367" t="s">
        <v>3</v>
      </c>
      <c r="C367" s="157">
        <v>4</v>
      </c>
      <c r="D367" t="str">
        <f>VLOOKUP(A367,DataUsuario!B:D,2,FALSE)</f>
        <v>Operaciones</v>
      </c>
      <c r="E367" t="str">
        <f>VLOOKUP(A367,DataUsuario!B:D,3,FALSE)</f>
        <v>Almacenes y Distribución PT</v>
      </c>
    </row>
    <row r="368" spans="1:5" x14ac:dyDescent="0.3">
      <c r="A368" s="153" t="s">
        <v>256</v>
      </c>
      <c r="B368" t="s">
        <v>3</v>
      </c>
      <c r="C368" s="154">
        <v>5</v>
      </c>
      <c r="D368" t="str">
        <f>VLOOKUP(A368,DataUsuario!B:D,2,FALSE)</f>
        <v>Gestión Humana y Sostenibilidad</v>
      </c>
      <c r="E368" t="str">
        <f>VLOOKUP(A368,DataUsuario!B:D,3,FALSE)</f>
        <v>Compensación y Nóminas</v>
      </c>
    </row>
    <row r="369" spans="1:5" x14ac:dyDescent="0.3">
      <c r="A369" s="156" t="s">
        <v>145</v>
      </c>
      <c r="B369" t="s">
        <v>3</v>
      </c>
      <c r="C369" s="157">
        <v>4</v>
      </c>
      <c r="D369" t="str">
        <f>VLOOKUP(A369,DataUsuario!B:D,2,FALSE)</f>
        <v>Gestión Humana y Sostenibilidad</v>
      </c>
      <c r="E369" t="str">
        <f>VLOOKUP(A369,DataUsuario!B:D,3,FALSE)</f>
        <v>Gestion del Talento</v>
      </c>
    </row>
    <row r="370" spans="1:5" x14ac:dyDescent="0.3">
      <c r="A370" s="153" t="s">
        <v>223</v>
      </c>
      <c r="B370" t="s">
        <v>3</v>
      </c>
      <c r="C370" s="154">
        <v>4</v>
      </c>
      <c r="D370" t="str">
        <f>VLOOKUP(A370,DataUsuario!B:D,2,FALSE)</f>
        <v>Gestión Humana y Sostenibilidad</v>
      </c>
      <c r="E370" t="str">
        <f>VLOOKUP(A370,DataUsuario!B:D,3,FALSE)</f>
        <v>Seguridad</v>
      </c>
    </row>
    <row r="371" spans="1:5" x14ac:dyDescent="0.3">
      <c r="A371" s="156" t="s">
        <v>89</v>
      </c>
      <c r="B371" t="s">
        <v>3</v>
      </c>
      <c r="C371" s="157">
        <v>5</v>
      </c>
      <c r="D371" t="str">
        <f>VLOOKUP(A371,DataUsuario!B:D,2,FALSE)</f>
        <v>Industrial y de Mantenimiento</v>
      </c>
      <c r="E371" t="str">
        <f>VLOOKUP(A371,DataUsuario!B:D,3,FALSE)</f>
        <v>Producción</v>
      </c>
    </row>
    <row r="372" spans="1:5" x14ac:dyDescent="0.3">
      <c r="A372" s="153" t="s">
        <v>510</v>
      </c>
      <c r="B372" t="s">
        <v>3</v>
      </c>
      <c r="C372" s="154">
        <v>5</v>
      </c>
      <c r="D372" t="str">
        <f>VLOOKUP(A372,DataUsuario!B:D,2,FALSE)</f>
        <v>Gestión Humana y Sostenibilidad</v>
      </c>
      <c r="E372" t="str">
        <f>VLOOKUP(A372,DataUsuario!B:D,3,FALSE)</f>
        <v>Gestor de Recursos Humanos</v>
      </c>
    </row>
    <row r="373" spans="1:5" x14ac:dyDescent="0.3">
      <c r="A373" s="156" t="s">
        <v>450</v>
      </c>
      <c r="B373" t="s">
        <v>3</v>
      </c>
      <c r="C373" s="157">
        <v>3</v>
      </c>
      <c r="D373" t="str">
        <f>VLOOKUP(A373,DataUsuario!B:D,2,FALSE)</f>
        <v>Operaciones</v>
      </c>
      <c r="E373" t="str">
        <f>VLOOKUP(A373,DataUsuario!B:D,3,FALSE)</f>
        <v>Almacenes y Distribución PT</v>
      </c>
    </row>
    <row r="374" spans="1:5" x14ac:dyDescent="0.3">
      <c r="A374" s="153" t="s">
        <v>104</v>
      </c>
      <c r="B374" t="s">
        <v>3</v>
      </c>
      <c r="C374" s="154">
        <v>5</v>
      </c>
      <c r="D374" t="str">
        <f>VLOOKUP(A374,DataUsuario!B:D,2,FALSE)</f>
        <v>Gestión Humana y Sostenibilidad</v>
      </c>
      <c r="E374" t="str">
        <f>VLOOKUP(A374,DataUsuario!B:D,3,FALSE)</f>
        <v>Compensación y Nóminas</v>
      </c>
    </row>
    <row r="375" spans="1:5" x14ac:dyDescent="0.3">
      <c r="A375" s="156" t="s">
        <v>68</v>
      </c>
      <c r="B375" t="s">
        <v>3</v>
      </c>
      <c r="C375" s="157">
        <v>4</v>
      </c>
      <c r="D375" t="str">
        <f>VLOOKUP(A375,DataUsuario!B:D,2,FALSE)</f>
        <v>Gestión Humana y Sostenibilidad</v>
      </c>
      <c r="E375" t="str">
        <f>VLOOKUP(A375,DataUsuario!B:D,3,FALSE)</f>
        <v>Compensación y Nóminas</v>
      </c>
    </row>
    <row r="376" spans="1:5" x14ac:dyDescent="0.3">
      <c r="A376" s="153" t="s">
        <v>199</v>
      </c>
      <c r="B376" t="s">
        <v>3</v>
      </c>
      <c r="C376" s="154">
        <v>5</v>
      </c>
      <c r="D376" t="str">
        <f>VLOOKUP(A376,DataUsuario!B:D,2,FALSE)</f>
        <v>Gestión Humana y Sostenibilidad</v>
      </c>
      <c r="E376" t="str">
        <f>VLOOKUP(A376,DataUsuario!B:D,3,FALSE)</f>
        <v>Relaciones Laborales</v>
      </c>
    </row>
    <row r="377" spans="1:5" x14ac:dyDescent="0.3">
      <c r="A377" s="156" t="s">
        <v>262</v>
      </c>
      <c r="B377" t="s">
        <v>3</v>
      </c>
      <c r="C377" s="157">
        <v>2</v>
      </c>
      <c r="D377" t="str">
        <f>VLOOKUP(A377,DataUsuario!B:D,2,FALSE)</f>
        <v>Industrial y de Mantenimiento</v>
      </c>
      <c r="E377" t="str">
        <f>VLOOKUP(A377,DataUsuario!B:D,3,FALSE)</f>
        <v>Automatización</v>
      </c>
    </row>
    <row r="378" spans="1:5" x14ac:dyDescent="0.3">
      <c r="A378" s="153" t="s">
        <v>454</v>
      </c>
      <c r="B378" t="s">
        <v>3</v>
      </c>
      <c r="C378" s="154">
        <v>5</v>
      </c>
      <c r="D378" t="str">
        <f>VLOOKUP(A378,DataUsuario!B:D,2,FALSE)</f>
        <v>Operaciones</v>
      </c>
      <c r="E378" t="str">
        <f>VLOOKUP(A378,DataUsuario!B:D,3,FALSE)</f>
        <v>Comercial</v>
      </c>
    </row>
    <row r="379" spans="1:5" x14ac:dyDescent="0.3">
      <c r="A379" s="156" t="s">
        <v>127</v>
      </c>
      <c r="B379" t="s">
        <v>3</v>
      </c>
      <c r="C379" s="157">
        <v>5</v>
      </c>
      <c r="D379" t="str">
        <f>VLOOKUP(A379,DataUsuario!B:D,2,FALSE)</f>
        <v>Agrícola</v>
      </c>
      <c r="E379" t="str">
        <f>VLOOKUP(A379,DataUsuario!B:D,3,FALSE)</f>
        <v>Fundo Montelima</v>
      </c>
    </row>
    <row r="380" spans="1:5" x14ac:dyDescent="0.3">
      <c r="A380" s="153" t="s">
        <v>515</v>
      </c>
      <c r="B380" t="s">
        <v>3</v>
      </c>
      <c r="C380" s="154">
        <v>5</v>
      </c>
      <c r="D380" t="str">
        <f>VLOOKUP(A380,DataUsuario!B:D,2,FALSE)</f>
        <v>Industrial y de Mantenimiento</v>
      </c>
      <c r="E380" t="str">
        <f>VLOOKUP(A380,DataUsuario!B:D,3,FALSE)</f>
        <v>Mantenimiento Industrial</v>
      </c>
    </row>
    <row r="381" spans="1:5" x14ac:dyDescent="0.3">
      <c r="A381" s="156" t="s">
        <v>225</v>
      </c>
      <c r="B381" t="s">
        <v>3</v>
      </c>
      <c r="C381" s="157">
        <v>5</v>
      </c>
      <c r="D381" t="str">
        <f>VLOOKUP(A381,DataUsuario!B:D,2,FALSE)</f>
        <v>Gestión Humana y Sostenibilidad</v>
      </c>
      <c r="E381" t="str">
        <f>VLOOKUP(A381,DataUsuario!B:D,3,FALSE)</f>
        <v>Seguridad</v>
      </c>
    </row>
    <row r="382" spans="1:5" x14ac:dyDescent="0.3">
      <c r="A382" s="153" t="s">
        <v>516</v>
      </c>
      <c r="B382" t="s">
        <v>3</v>
      </c>
      <c r="C382" s="154">
        <v>5</v>
      </c>
      <c r="D382" t="str">
        <f>VLOOKUP(A382,DataUsuario!B:D,2,FALSE)</f>
        <v>Gestión Humana y Sostenibilidad</v>
      </c>
      <c r="E382" t="str">
        <f>VLOOKUP(A382,DataUsuario!B:D,3,FALSE)</f>
        <v>Gestor de Recursos Humanos</v>
      </c>
    </row>
    <row r="383" spans="1:5" x14ac:dyDescent="0.3">
      <c r="A383" s="156" t="s">
        <v>210</v>
      </c>
      <c r="B383" t="s">
        <v>3</v>
      </c>
      <c r="C383" s="157">
        <v>5</v>
      </c>
      <c r="D383" t="str">
        <f>VLOOKUP(A383,DataUsuario!B:D,2,FALSE)</f>
        <v>Industrial y de Mantenimiento</v>
      </c>
      <c r="E383" t="str">
        <f>VLOOKUP(A383,DataUsuario!B:D,3,FALSE)</f>
        <v>Electricidad</v>
      </c>
    </row>
    <row r="384" spans="1:5" x14ac:dyDescent="0.3">
      <c r="A384" s="153" t="s">
        <v>208</v>
      </c>
      <c r="B384" t="s">
        <v>3</v>
      </c>
      <c r="C384" s="154">
        <v>5</v>
      </c>
      <c r="D384" t="str">
        <f>VLOOKUP(A384,DataUsuario!B:D,2,FALSE)</f>
        <v>Agrícola</v>
      </c>
      <c r="E384" t="str">
        <f>VLOOKUP(A384,DataUsuario!B:D,3,FALSE)</f>
        <v>Fundo Lobo</v>
      </c>
    </row>
    <row r="385" spans="1:5" x14ac:dyDescent="0.3">
      <c r="A385" s="156" t="s">
        <v>234</v>
      </c>
      <c r="B385" t="s">
        <v>3</v>
      </c>
      <c r="C385" s="157">
        <v>4</v>
      </c>
      <c r="D385" t="str">
        <f>VLOOKUP(A385,DataUsuario!B:D,2,FALSE)</f>
        <v>Agrícola</v>
      </c>
      <c r="E385" t="str">
        <f>VLOOKUP(A385,DataUsuario!B:D,3,FALSE)</f>
        <v>Laboratorio e Investigación Agricola</v>
      </c>
    </row>
    <row r="386" spans="1:5" x14ac:dyDescent="0.3">
      <c r="A386" s="153" t="s">
        <v>248</v>
      </c>
      <c r="B386" t="s">
        <v>3</v>
      </c>
      <c r="C386" s="154">
        <v>4</v>
      </c>
      <c r="D386" t="str">
        <f>VLOOKUP(A386,DataUsuario!B:D,2,FALSE)</f>
        <v>Industrial y de Mantenimiento</v>
      </c>
      <c r="E386" t="str">
        <f>VLOOKUP(A386,DataUsuario!B:D,3,FALSE)</f>
        <v>Producción</v>
      </c>
    </row>
    <row r="387" spans="1:5" x14ac:dyDescent="0.3">
      <c r="A387" s="156" t="s">
        <v>122</v>
      </c>
      <c r="B387" t="s">
        <v>3</v>
      </c>
      <c r="C387" s="157">
        <v>4</v>
      </c>
      <c r="D387" t="str">
        <f>VLOOKUP(A387,DataUsuario!B:D,2,FALSE)</f>
        <v>Industrial y de Mantenimiento</v>
      </c>
      <c r="E387" t="str">
        <f>VLOOKUP(A387,DataUsuario!B:D,3,FALSE)</f>
        <v>Mantenimiento de Transportes</v>
      </c>
    </row>
    <row r="388" spans="1:5" x14ac:dyDescent="0.3">
      <c r="A388" s="153" t="s">
        <v>428</v>
      </c>
      <c r="B388" t="s">
        <v>3</v>
      </c>
      <c r="C388" s="154">
        <v>5</v>
      </c>
      <c r="D388" t="str">
        <f>VLOOKUP(A388,DataUsuario!B:D,2,FALSE)</f>
        <v>Administración y Finanzas</v>
      </c>
      <c r="E388" t="str">
        <f>VLOOKUP(A388,DataUsuario!B:D,3,FALSE)</f>
        <v>Contabilidad Tributaria</v>
      </c>
    </row>
    <row r="389" spans="1:5" x14ac:dyDescent="0.3">
      <c r="A389" s="156" t="s">
        <v>335</v>
      </c>
      <c r="B389" t="s">
        <v>3</v>
      </c>
      <c r="C389" s="157">
        <v>5</v>
      </c>
      <c r="D389" t="str">
        <f>VLOOKUP(A389,DataUsuario!B:D,2,FALSE)</f>
        <v>Administración y Finanzas</v>
      </c>
      <c r="E389" t="str">
        <f>VLOOKUP(A389,DataUsuario!B:D,3,FALSE)</f>
        <v>Finanzas y Tesorería</v>
      </c>
    </row>
    <row r="390" spans="1:5" x14ac:dyDescent="0.3">
      <c r="A390" s="153" t="s">
        <v>341</v>
      </c>
      <c r="B390" t="s">
        <v>3</v>
      </c>
      <c r="C390" s="154">
        <v>5</v>
      </c>
      <c r="D390" t="str">
        <f>VLOOKUP(A390,DataUsuario!B:D,2,FALSE)</f>
        <v>Administración y Finanzas</v>
      </c>
      <c r="E390" t="str">
        <f>VLOOKUP(A390,DataUsuario!B:D,3,FALSE)</f>
        <v>Administración</v>
      </c>
    </row>
    <row r="391" spans="1:5" x14ac:dyDescent="0.3">
      <c r="A391" s="156" t="s">
        <v>135</v>
      </c>
      <c r="B391" t="s">
        <v>3</v>
      </c>
      <c r="C391" s="157">
        <v>5</v>
      </c>
      <c r="D391" t="str">
        <f>VLOOKUP(A391,DataUsuario!B:D,2,FALSE)</f>
        <v>Agrícola</v>
      </c>
      <c r="E391" t="str">
        <f>VLOOKUP(A391,DataUsuario!B:D,3,FALSE)</f>
        <v>Fundo Lobo</v>
      </c>
    </row>
    <row r="392" spans="1:5" x14ac:dyDescent="0.3">
      <c r="A392" s="153" t="s">
        <v>185</v>
      </c>
      <c r="B392" t="s">
        <v>3</v>
      </c>
      <c r="C392" s="154">
        <v>5</v>
      </c>
      <c r="D392" t="str">
        <f>VLOOKUP(A392,DataUsuario!B:D,2,FALSE)</f>
        <v>Administración y Finanzas</v>
      </c>
      <c r="E392" t="str">
        <f>VLOOKUP(A392,DataUsuario!B:D,3,FALSE)</f>
        <v>Cadenas Productivas</v>
      </c>
    </row>
    <row r="393" spans="1:5" x14ac:dyDescent="0.3">
      <c r="A393" s="156" t="s">
        <v>387</v>
      </c>
      <c r="B393" t="s">
        <v>3</v>
      </c>
      <c r="C393" s="157">
        <v>3</v>
      </c>
      <c r="D393" t="str">
        <f>VLOOKUP(A393,DataUsuario!B:D,2,FALSE)</f>
        <v>Agrícola</v>
      </c>
      <c r="E393" t="str">
        <f>VLOOKUP(A393,DataUsuario!B:D,3,FALSE)</f>
        <v>Laboratorio e Investigación Agricola</v>
      </c>
    </row>
    <row r="394" spans="1:5" x14ac:dyDescent="0.3">
      <c r="A394" s="153" t="s">
        <v>430</v>
      </c>
      <c r="B394" t="s">
        <v>3</v>
      </c>
      <c r="C394" s="154">
        <v>4</v>
      </c>
      <c r="D394" t="str">
        <f>VLOOKUP(A394,DataUsuario!B:D,2,FALSE)</f>
        <v>Administración y Finanzas</v>
      </c>
      <c r="E394" t="str">
        <f>VLOOKUP(A394,DataUsuario!B:D,3,FALSE)</f>
        <v>Administración</v>
      </c>
    </row>
    <row r="395" spans="1:5" x14ac:dyDescent="0.3">
      <c r="A395" s="156" t="s">
        <v>265</v>
      </c>
      <c r="B395" t="s">
        <v>3</v>
      </c>
      <c r="C395" s="157" t="s">
        <v>587</v>
      </c>
      <c r="D395" t="str">
        <f>VLOOKUP(A395,DataUsuario!B:D,2,FALSE)</f>
        <v>Administración y Finanzas</v>
      </c>
      <c r="E395" t="str">
        <f>VLOOKUP(A395,DataUsuario!B:D,3,FALSE)</f>
        <v>Administración</v>
      </c>
    </row>
    <row r="396" spans="1:5" x14ac:dyDescent="0.3">
      <c r="A396" s="153" t="s">
        <v>354</v>
      </c>
      <c r="B396" t="s">
        <v>3</v>
      </c>
      <c r="C396" s="154" t="s">
        <v>587</v>
      </c>
      <c r="D396" t="str">
        <f>VLOOKUP(A396,DataUsuario!B:D,2,FALSE)</f>
        <v>Administración y Finanzas</v>
      </c>
      <c r="E396" t="str">
        <f>VLOOKUP(A396,DataUsuario!B:D,3,FALSE)</f>
        <v>Contabilidad Tributaria</v>
      </c>
    </row>
    <row r="397" spans="1:5" x14ac:dyDescent="0.3">
      <c r="A397" s="156" t="s">
        <v>325</v>
      </c>
      <c r="B397" t="s">
        <v>3</v>
      </c>
      <c r="C397" s="157">
        <v>3</v>
      </c>
      <c r="D397" t="str">
        <f>VLOOKUP(A397,DataUsuario!B:D,2,FALSE)</f>
        <v>Operaciones</v>
      </c>
      <c r="E397" t="str">
        <f>VLOOKUP(A397,DataUsuario!B:D,3,FALSE)</f>
        <v>Calidad</v>
      </c>
    </row>
    <row r="398" spans="1:5" x14ac:dyDescent="0.3">
      <c r="A398" s="153" t="s">
        <v>358</v>
      </c>
      <c r="B398" t="s">
        <v>3</v>
      </c>
      <c r="C398" s="154">
        <v>4</v>
      </c>
      <c r="D398" t="str">
        <f>VLOOKUP(A398,DataUsuario!B:D,2,FALSE)</f>
        <v>Agrícola</v>
      </c>
      <c r="E398" t="str">
        <f>VLOOKUP(A398,DataUsuario!B:D,3,FALSE)</f>
        <v>Mantenimiento de Riego y Bombas</v>
      </c>
    </row>
    <row r="399" spans="1:5" x14ac:dyDescent="0.3">
      <c r="A399" s="156" t="s">
        <v>297</v>
      </c>
      <c r="B399" t="s">
        <v>3</v>
      </c>
      <c r="C399" s="157">
        <v>3</v>
      </c>
      <c r="D399" t="str">
        <f>VLOOKUP(A399,DataUsuario!B:D,2,FALSE)</f>
        <v>Operaciones</v>
      </c>
      <c r="E399" t="str">
        <f>VLOOKUP(A399,DataUsuario!B:D,3,FALSE)</f>
        <v>Comercial</v>
      </c>
    </row>
    <row r="400" spans="1:5" x14ac:dyDescent="0.3">
      <c r="A400" s="153" t="s">
        <v>389</v>
      </c>
      <c r="B400" t="s">
        <v>3</v>
      </c>
      <c r="C400" s="154">
        <v>4</v>
      </c>
      <c r="D400" t="str">
        <f>VLOOKUP(A400,DataUsuario!B:D,2,FALSE)</f>
        <v>Agrícola</v>
      </c>
      <c r="E400" t="str">
        <f>VLOOKUP(A400,DataUsuario!B:D,3,FALSE)</f>
        <v>Mantenimiento de Riego y Bombas</v>
      </c>
    </row>
    <row r="401" spans="1:5" x14ac:dyDescent="0.3">
      <c r="A401" s="156" t="s">
        <v>343</v>
      </c>
      <c r="B401" t="s">
        <v>3</v>
      </c>
      <c r="C401" s="157">
        <v>5</v>
      </c>
      <c r="D401" t="str">
        <f>VLOOKUP(A401,DataUsuario!B:D,2,FALSE)</f>
        <v>Gestión Humana y Sostenibilidad</v>
      </c>
      <c r="E401" t="str">
        <f>VLOOKUP(A401,DataUsuario!B:D,3,FALSE)</f>
        <v>Relaciones Laborales</v>
      </c>
    </row>
    <row r="402" spans="1:5" x14ac:dyDescent="0.3">
      <c r="A402" s="153" t="s">
        <v>92</v>
      </c>
      <c r="B402" t="s">
        <v>3</v>
      </c>
      <c r="C402" s="154">
        <v>5</v>
      </c>
      <c r="D402" t="str">
        <f>VLOOKUP(A402,DataUsuario!B:D,2,FALSE)</f>
        <v>Operaciones</v>
      </c>
      <c r="E402" t="str">
        <f>VLOOKUP(A402,DataUsuario!B:D,3,FALSE)</f>
        <v>Comercial</v>
      </c>
    </row>
    <row r="403" spans="1:5" x14ac:dyDescent="0.3">
      <c r="A403" s="156" t="s">
        <v>438</v>
      </c>
      <c r="B403" t="s">
        <v>3</v>
      </c>
      <c r="C403" s="157">
        <v>4</v>
      </c>
      <c r="D403" t="str">
        <f>VLOOKUP(A403,DataUsuario!B:D,2,FALSE)</f>
        <v>Industrial y de Mantenimiento</v>
      </c>
      <c r="E403" t="str">
        <f>VLOOKUP(A403,DataUsuario!B:D,3,FALSE)</f>
        <v>Producción</v>
      </c>
    </row>
    <row r="404" spans="1:5" x14ac:dyDescent="0.3">
      <c r="A404" s="153" t="s">
        <v>166</v>
      </c>
      <c r="B404" t="s">
        <v>3</v>
      </c>
      <c r="C404" s="154">
        <v>4</v>
      </c>
      <c r="D404" t="str">
        <f>VLOOKUP(A404,DataUsuario!B:D,2,FALSE)</f>
        <v>Operaciones</v>
      </c>
      <c r="E404" t="str">
        <f>VLOOKUP(A404,DataUsuario!B:D,3,FALSE)</f>
        <v>Calidad</v>
      </c>
    </row>
    <row r="405" spans="1:5" x14ac:dyDescent="0.3">
      <c r="A405" s="156" t="s">
        <v>320</v>
      </c>
      <c r="B405" t="s">
        <v>3</v>
      </c>
      <c r="C405" s="157">
        <v>5</v>
      </c>
      <c r="D405" t="str">
        <f>VLOOKUP(A405,DataUsuario!B:D,2,FALSE)</f>
        <v>Gestión Humana y Sostenibilidad</v>
      </c>
      <c r="E405" t="str">
        <f>VLOOKUP(A405,DataUsuario!B:D,3,FALSE)</f>
        <v>Comunicaciones y Responsabilidad Social</v>
      </c>
    </row>
    <row r="406" spans="1:5" x14ac:dyDescent="0.3">
      <c r="A406" s="153" t="s">
        <v>365</v>
      </c>
      <c r="B406" t="s">
        <v>3</v>
      </c>
      <c r="C406" s="154">
        <v>5</v>
      </c>
      <c r="D406" t="str">
        <f>VLOOKUP(A406,DataUsuario!B:D,2,FALSE)</f>
        <v>Gestión Humana y Sostenibilidad</v>
      </c>
      <c r="E406" t="str">
        <f>VLOOKUP(A406,DataUsuario!B:D,3,FALSE)</f>
        <v>Compensación y Nóminas</v>
      </c>
    </row>
    <row r="407" spans="1:5" x14ac:dyDescent="0.3">
      <c r="A407" s="156" t="s">
        <v>339</v>
      </c>
      <c r="B407" t="s">
        <v>3</v>
      </c>
      <c r="C407" s="157">
        <v>4</v>
      </c>
      <c r="D407" t="str">
        <f>VLOOKUP(A407,DataUsuario!B:D,2,FALSE)</f>
        <v>Operaciones</v>
      </c>
      <c r="E407" t="str">
        <f>VLOOKUP(A407,DataUsuario!B:D,3,FALSE)</f>
        <v>Calidad</v>
      </c>
    </row>
    <row r="408" spans="1:5" x14ac:dyDescent="0.3">
      <c r="A408" s="153" t="s">
        <v>120</v>
      </c>
      <c r="B408" t="s">
        <v>3</v>
      </c>
      <c r="C408" s="154">
        <v>4</v>
      </c>
      <c r="D408" t="str">
        <f>VLOOKUP(A408,DataUsuario!B:D,2,FALSE)</f>
        <v>Industrial y de Mantenimiento</v>
      </c>
      <c r="E408" t="str">
        <f>VLOOKUP(A408,DataUsuario!B:D,3,FALSE)</f>
        <v>Mantenimiento Industrial</v>
      </c>
    </row>
    <row r="409" spans="1:5" x14ac:dyDescent="0.3">
      <c r="A409" s="156" t="s">
        <v>329</v>
      </c>
      <c r="B409" t="s">
        <v>3</v>
      </c>
      <c r="C409" s="157">
        <v>5</v>
      </c>
      <c r="D409" t="str">
        <f>VLOOKUP(A409,DataUsuario!B:D,2,FALSE)</f>
        <v>Administración y Finanzas</v>
      </c>
      <c r="E409" t="str">
        <f>VLOOKUP(A409,DataUsuario!B:D,3,FALSE)</f>
        <v>Compras</v>
      </c>
    </row>
    <row r="410" spans="1:5" x14ac:dyDescent="0.3">
      <c r="A410" s="153" t="s">
        <v>283</v>
      </c>
      <c r="B410" t="s">
        <v>3</v>
      </c>
      <c r="C410" s="154">
        <v>5</v>
      </c>
      <c r="D410" t="str">
        <f>VLOOKUP(A410,DataUsuario!B:D,2,FALSE)</f>
        <v>Operaciones</v>
      </c>
      <c r="E410" t="str">
        <f>VLOOKUP(A410,DataUsuario!B:D,3,FALSE)</f>
        <v>Calidad</v>
      </c>
    </row>
    <row r="411" spans="1:5" x14ac:dyDescent="0.3">
      <c r="A411" s="156" t="s">
        <v>291</v>
      </c>
      <c r="B411" t="s">
        <v>3</v>
      </c>
      <c r="C411" s="157">
        <v>3</v>
      </c>
      <c r="D411" t="str">
        <f>VLOOKUP(A411,DataUsuario!B:D,2,FALSE)</f>
        <v>Operaciones</v>
      </c>
      <c r="E411" t="str">
        <f>VLOOKUP(A411,DataUsuario!B:D,3,FALSE)</f>
        <v>Transporte</v>
      </c>
    </row>
    <row r="412" spans="1:5" x14ac:dyDescent="0.3">
      <c r="A412" s="153" t="s">
        <v>446</v>
      </c>
      <c r="B412" t="s">
        <v>3</v>
      </c>
      <c r="C412" s="154">
        <v>4</v>
      </c>
      <c r="D412" t="str">
        <f>VLOOKUP(A412,DataUsuario!B:D,2,FALSE)</f>
        <v>Agrícola</v>
      </c>
      <c r="E412" t="str">
        <f>VLOOKUP(A412,DataUsuario!B:D,3,FALSE)</f>
        <v>Fundo San Vicente</v>
      </c>
    </row>
    <row r="413" spans="1:5" x14ac:dyDescent="0.3">
      <c r="A413" s="156" t="s">
        <v>371</v>
      </c>
      <c r="B413" t="s">
        <v>3</v>
      </c>
      <c r="C413" s="157">
        <v>5</v>
      </c>
      <c r="D413" t="str">
        <f>VLOOKUP(A413,DataUsuario!B:D,2,FALSE)</f>
        <v>Administración y Finanzas</v>
      </c>
      <c r="E413" t="str">
        <f>VLOOKUP(A413,DataUsuario!B:D,3,FALSE)</f>
        <v>Compras</v>
      </c>
    </row>
    <row r="414" spans="1:5" x14ac:dyDescent="0.3">
      <c r="A414" s="153" t="s">
        <v>195</v>
      </c>
      <c r="B414" t="s">
        <v>3</v>
      </c>
      <c r="C414" s="154">
        <v>4</v>
      </c>
      <c r="D414" t="str">
        <f>VLOOKUP(A414,DataUsuario!B:D,2,FALSE)</f>
        <v>Operaciones</v>
      </c>
      <c r="E414" t="str">
        <f>VLOOKUP(A414,DataUsuario!B:D,3,FALSE)</f>
        <v>Calidad</v>
      </c>
    </row>
    <row r="415" spans="1:5" x14ac:dyDescent="0.3">
      <c r="A415" s="156" t="s">
        <v>350</v>
      </c>
      <c r="B415" t="s">
        <v>3</v>
      </c>
      <c r="C415" s="157">
        <v>5</v>
      </c>
      <c r="D415" t="str">
        <f>VLOOKUP(A415,DataUsuario!B:D,2,FALSE)</f>
        <v>Agrícola</v>
      </c>
      <c r="E415" t="str">
        <f>VLOOKUP(A415,DataUsuario!B:D,3,FALSE)</f>
        <v>Fundo San Vicente</v>
      </c>
    </row>
    <row r="416" spans="1:5" x14ac:dyDescent="0.3">
      <c r="A416" s="153" t="s">
        <v>267</v>
      </c>
      <c r="B416" t="s">
        <v>3</v>
      </c>
      <c r="C416" s="154">
        <v>3</v>
      </c>
      <c r="D416" t="str">
        <f>VLOOKUP(A416,DataUsuario!B:D,2,FALSE)</f>
        <v>Agrícola</v>
      </c>
      <c r="E416" t="str">
        <f>VLOOKUP(A416,DataUsuario!B:D,3,FALSE)</f>
        <v>Fundo Montelima</v>
      </c>
    </row>
    <row r="417" spans="1:5" x14ac:dyDescent="0.3">
      <c r="A417" s="156" t="s">
        <v>212</v>
      </c>
      <c r="B417" t="s">
        <v>3</v>
      </c>
      <c r="C417" s="157">
        <v>5</v>
      </c>
      <c r="D417" t="str">
        <f>VLOOKUP(A417,DataUsuario!B:D,2,FALSE)</f>
        <v>Agrícola</v>
      </c>
      <c r="E417" t="str">
        <f>VLOOKUP(A417,DataUsuario!B:D,3,FALSE)</f>
        <v>Fundo La Huaca</v>
      </c>
    </row>
    <row r="418" spans="1:5" x14ac:dyDescent="0.3">
      <c r="A418" s="153" t="s">
        <v>316</v>
      </c>
      <c r="B418" t="s">
        <v>3</v>
      </c>
      <c r="C418" s="154">
        <v>5</v>
      </c>
      <c r="D418" t="str">
        <f>VLOOKUP(A418,DataUsuario!B:D,2,FALSE)</f>
        <v>Administración y Finanzas</v>
      </c>
      <c r="E418" t="str">
        <f>VLOOKUP(A418,DataUsuario!B:D,3,FALSE)</f>
        <v>Control de Gestión</v>
      </c>
    </row>
    <row r="419" spans="1:5" x14ac:dyDescent="0.3">
      <c r="A419" s="156" t="s">
        <v>363</v>
      </c>
      <c r="B419" t="s">
        <v>3</v>
      </c>
      <c r="C419" s="157">
        <v>4</v>
      </c>
      <c r="D419" t="str">
        <f>VLOOKUP(A419,DataUsuario!B:D,2,FALSE)</f>
        <v>Agrícola</v>
      </c>
      <c r="E419" t="str">
        <f>VLOOKUP(A419,DataUsuario!B:D,3,FALSE)</f>
        <v>Planificador Agrícola</v>
      </c>
    </row>
    <row r="420" spans="1:5" x14ac:dyDescent="0.3">
      <c r="A420" s="153" t="s">
        <v>260</v>
      </c>
      <c r="B420" t="s">
        <v>3</v>
      </c>
      <c r="C420" s="154">
        <v>4</v>
      </c>
      <c r="D420" t="str">
        <f>VLOOKUP(A420,DataUsuario!B:D,2,FALSE)</f>
        <v>Administración y Finanzas</v>
      </c>
      <c r="E420" t="str">
        <f>VLOOKUP(A420,DataUsuario!B:D,3,FALSE)</f>
        <v>Compras</v>
      </c>
    </row>
    <row r="421" spans="1:5" x14ac:dyDescent="0.3">
      <c r="A421" s="156" t="s">
        <v>303</v>
      </c>
      <c r="B421" t="s">
        <v>3</v>
      </c>
      <c r="C421" s="157">
        <v>5</v>
      </c>
      <c r="D421" t="str">
        <f>VLOOKUP(A421,DataUsuario!B:D,2,FALSE)</f>
        <v>Gestión Humana y Sostenibilidad</v>
      </c>
      <c r="E421" t="str">
        <f>VLOOKUP(A421,DataUsuario!B:D,3,FALSE)</f>
        <v>Gerencia Gestión Humana y Sostenibilidad</v>
      </c>
    </row>
    <row r="422" spans="1:5" x14ac:dyDescent="0.3">
      <c r="A422" s="153" t="s">
        <v>314</v>
      </c>
      <c r="B422" t="s">
        <v>3</v>
      </c>
      <c r="C422" s="154">
        <v>5</v>
      </c>
      <c r="D422" t="str">
        <f>VLOOKUP(A422,DataUsuario!B:D,2,FALSE)</f>
        <v>Administración y Finanzas</v>
      </c>
      <c r="E422" t="str">
        <f>VLOOKUP(A422,DataUsuario!B:D,3,FALSE)</f>
        <v>Contabilidad Tributaria</v>
      </c>
    </row>
    <row r="423" spans="1:5" x14ac:dyDescent="0.3">
      <c r="A423" s="156" t="s">
        <v>436</v>
      </c>
      <c r="B423" t="s">
        <v>3</v>
      </c>
      <c r="C423" s="157">
        <v>4</v>
      </c>
      <c r="D423" t="str">
        <f>VLOOKUP(A423,DataUsuario!B:D,2,FALSE)</f>
        <v>Operaciones</v>
      </c>
      <c r="E423" t="str">
        <f>VLOOKUP(A423,DataUsuario!B:D,3,FALSE)</f>
        <v>Cosecha</v>
      </c>
    </row>
    <row r="424" spans="1:5" x14ac:dyDescent="0.3">
      <c r="A424" s="153" t="s">
        <v>537</v>
      </c>
      <c r="B424" t="s">
        <v>3</v>
      </c>
      <c r="C424" s="154">
        <v>4</v>
      </c>
      <c r="D424" t="str">
        <f>VLOOKUP(A424,DataUsuario!B:D,2,FALSE)</f>
        <v>Administración y Finanzas</v>
      </c>
      <c r="E424" t="str">
        <f>VLOOKUP(A424,DataUsuario!B:D,3,FALSE)</f>
        <v>Finanzas y Tesorería</v>
      </c>
    </row>
    <row r="425" spans="1:5" x14ac:dyDescent="0.3">
      <c r="A425" s="156" t="s">
        <v>402</v>
      </c>
      <c r="B425" t="s">
        <v>3</v>
      </c>
      <c r="C425" s="157">
        <v>4</v>
      </c>
      <c r="D425" t="str">
        <f>VLOOKUP(A425,DataUsuario!B:D,2,FALSE)</f>
        <v>Administración y Finanzas</v>
      </c>
      <c r="E425" t="str">
        <f>VLOOKUP(A425,DataUsuario!B:D,3,FALSE)</f>
        <v>Contabilidad Tributaria</v>
      </c>
    </row>
    <row r="426" spans="1:5" x14ac:dyDescent="0.3">
      <c r="A426" s="153" t="s">
        <v>87</v>
      </c>
      <c r="B426" t="s">
        <v>3</v>
      </c>
      <c r="C426" s="154" t="s">
        <v>587</v>
      </c>
      <c r="D426" t="str">
        <f>VLOOKUP(A426,DataUsuario!B:D,2,FALSE)</f>
        <v>Administración y Finanzas</v>
      </c>
      <c r="E426" t="str">
        <f>VLOOKUP(A426,DataUsuario!B:D,3,FALSE)</f>
        <v>Compras</v>
      </c>
    </row>
    <row r="427" spans="1:5" x14ac:dyDescent="0.3">
      <c r="A427" s="156" t="s">
        <v>202</v>
      </c>
      <c r="B427" t="s">
        <v>3</v>
      </c>
      <c r="C427" s="157">
        <v>5</v>
      </c>
      <c r="D427" t="str">
        <f>VLOOKUP(A427,DataUsuario!B:D,2,FALSE)</f>
        <v>Agrícola</v>
      </c>
      <c r="E427" t="str">
        <f>VLOOKUP(A427,DataUsuario!B:D,3,FALSE)</f>
        <v>Mantenimiento de Riego y Bombas</v>
      </c>
    </row>
    <row r="428" spans="1:5" x14ac:dyDescent="0.3">
      <c r="A428" s="153" t="s">
        <v>323</v>
      </c>
      <c r="B428" t="s">
        <v>3</v>
      </c>
      <c r="C428" s="154">
        <v>3</v>
      </c>
      <c r="D428" t="str">
        <f>VLOOKUP(A428,DataUsuario!B:D,2,FALSE)</f>
        <v>Operaciones</v>
      </c>
      <c r="E428" t="str">
        <f>VLOOKUP(A428,DataUsuario!B:D,3,FALSE)</f>
        <v>Mantenimiento CAT</v>
      </c>
    </row>
    <row r="429" spans="1:5" x14ac:dyDescent="0.3">
      <c r="A429" s="156" t="s">
        <v>393</v>
      </c>
      <c r="B429" t="s">
        <v>3</v>
      </c>
      <c r="C429" s="157">
        <v>5</v>
      </c>
      <c r="D429" t="str">
        <f>VLOOKUP(A429,DataUsuario!B:D,2,FALSE)</f>
        <v>Industrial y de Mantenimiento</v>
      </c>
      <c r="E429" t="str">
        <f>VLOOKUP(A429,DataUsuario!B:D,3,FALSE)</f>
        <v>Gerencia industrial y de Mantenimiento</v>
      </c>
    </row>
    <row r="430" spans="1:5" x14ac:dyDescent="0.3">
      <c r="A430" s="153" t="s">
        <v>539</v>
      </c>
      <c r="B430" t="s">
        <v>3</v>
      </c>
      <c r="C430" s="154">
        <v>5</v>
      </c>
      <c r="D430" t="str">
        <f>VLOOKUP(A430,DataUsuario!B:D,2,FALSE)</f>
        <v>Industrial y de Mantenimiento</v>
      </c>
      <c r="E430" t="str">
        <f>VLOOKUP(A430,DataUsuario!B:D,3,FALSE)</f>
        <v>Mantenimiento Industrial</v>
      </c>
    </row>
    <row r="431" spans="1:5" x14ac:dyDescent="0.3">
      <c r="A431" s="156" t="s">
        <v>327</v>
      </c>
      <c r="B431" t="s">
        <v>3</v>
      </c>
      <c r="C431" s="157">
        <v>5</v>
      </c>
      <c r="D431" t="str">
        <f>VLOOKUP(A431,DataUsuario!B:D,2,FALSE)</f>
        <v>Industrial y de Mantenimiento</v>
      </c>
      <c r="E431" t="str">
        <f>VLOOKUP(A431,DataUsuario!B:D,3,FALSE)</f>
        <v>Mantenimiento Industrial</v>
      </c>
    </row>
    <row r="432" spans="1:5" x14ac:dyDescent="0.3">
      <c r="A432" s="153" t="s">
        <v>542</v>
      </c>
      <c r="B432" t="s">
        <v>3</v>
      </c>
      <c r="C432" s="154">
        <v>5</v>
      </c>
      <c r="D432" t="str">
        <f>VLOOKUP(A432,DataUsuario!B:D,2,FALSE)</f>
        <v>Gestión Humana y Sostenibilidad</v>
      </c>
      <c r="E432" t="str">
        <f>VLOOKUP(A432,DataUsuario!B:D,3,FALSE)</f>
        <v>Seguridad</v>
      </c>
    </row>
    <row r="433" spans="1:5" x14ac:dyDescent="0.3">
      <c r="A433" s="156" t="s">
        <v>398</v>
      </c>
      <c r="B433" t="s">
        <v>3</v>
      </c>
      <c r="C433" s="157">
        <v>4</v>
      </c>
      <c r="D433" t="str">
        <f>VLOOKUP(A433,DataUsuario!B:D,2,FALSE)</f>
        <v>Agrícola</v>
      </c>
      <c r="E433" t="str">
        <f>VLOOKUP(A433,DataUsuario!B:D,3,FALSE)</f>
        <v>Fundo Lobo</v>
      </c>
    </row>
    <row r="434" spans="1:5" x14ac:dyDescent="0.3">
      <c r="A434" s="153" t="s">
        <v>384</v>
      </c>
      <c r="B434" t="s">
        <v>3</v>
      </c>
      <c r="C434" s="154">
        <v>4</v>
      </c>
      <c r="D434" t="str">
        <f>VLOOKUP(A434,DataUsuario!B:D,2,FALSE)</f>
        <v>Agrícola</v>
      </c>
      <c r="E434" t="str">
        <f>VLOOKUP(A434,DataUsuario!B:D,3,FALSE)</f>
        <v>Sistema Integral de Gestión</v>
      </c>
    </row>
    <row r="435" spans="1:5" x14ac:dyDescent="0.3">
      <c r="A435" s="156" t="s">
        <v>308</v>
      </c>
      <c r="B435" t="s">
        <v>3</v>
      </c>
      <c r="C435" s="157" t="s">
        <v>587</v>
      </c>
      <c r="D435" t="str">
        <f>VLOOKUP(A435,DataUsuario!B:D,2,FALSE)</f>
        <v>Administración y Finanzas</v>
      </c>
      <c r="E435" t="str">
        <f>VLOOKUP(A435,DataUsuario!B:D,3,FALSE)</f>
        <v>Compras</v>
      </c>
    </row>
    <row r="436" spans="1:5" x14ac:dyDescent="0.3">
      <c r="A436" s="153" t="s">
        <v>162</v>
      </c>
      <c r="B436" t="s">
        <v>3</v>
      </c>
      <c r="C436" s="154">
        <v>4</v>
      </c>
      <c r="D436" t="str">
        <f>VLOOKUP(A436,DataUsuario!B:D,2,FALSE)</f>
        <v>Industrial y de Mantenimiento</v>
      </c>
      <c r="E436" t="str">
        <f>VLOOKUP(A436,DataUsuario!B:D,3,FALSE)</f>
        <v>Mantenimiento Industrial</v>
      </c>
    </row>
    <row r="437" spans="1:5" x14ac:dyDescent="0.3">
      <c r="A437" s="156" t="s">
        <v>137</v>
      </c>
      <c r="B437" t="s">
        <v>3</v>
      </c>
      <c r="C437" s="157">
        <v>4</v>
      </c>
      <c r="D437" t="str">
        <f>VLOOKUP(A437,DataUsuario!B:D,2,FALSE)</f>
        <v>Agrícola</v>
      </c>
      <c r="E437" t="str">
        <f>VLOOKUP(A437,DataUsuario!B:D,3,FALSE)</f>
        <v>Mantenimiento de Riego y Bombas</v>
      </c>
    </row>
    <row r="438" spans="1:5" x14ac:dyDescent="0.3">
      <c r="A438" s="153" t="s">
        <v>240</v>
      </c>
      <c r="B438" t="s">
        <v>3</v>
      </c>
      <c r="C438" s="154">
        <v>5</v>
      </c>
      <c r="D438" t="str">
        <f>VLOOKUP(A438,DataUsuario!B:D,2,FALSE)</f>
        <v>Agrícola</v>
      </c>
      <c r="E438" t="str">
        <f>VLOOKUP(A438,DataUsuario!B:D,3,FALSE)</f>
        <v>Fundo Lobo</v>
      </c>
    </row>
    <row r="439" spans="1:5" x14ac:dyDescent="0.3">
      <c r="A439" s="156" t="s">
        <v>158</v>
      </c>
      <c r="B439" t="s">
        <v>3</v>
      </c>
      <c r="C439" s="157">
        <v>4</v>
      </c>
      <c r="D439" t="str">
        <f>VLOOKUP(A439,DataUsuario!B:D,2,FALSE)</f>
        <v>Industrial y de Mantenimiento</v>
      </c>
      <c r="E439" t="str">
        <f>VLOOKUP(A439,DataUsuario!B:D,3,FALSE)</f>
        <v>Producción</v>
      </c>
    </row>
    <row r="440" spans="1:5" x14ac:dyDescent="0.3">
      <c r="A440" s="153" t="s">
        <v>544</v>
      </c>
      <c r="B440" t="s">
        <v>3</v>
      </c>
      <c r="C440" s="154">
        <v>5</v>
      </c>
      <c r="D440" t="str">
        <f>VLOOKUP(A440,DataUsuario!B:D,2,FALSE)</f>
        <v>Agrícola</v>
      </c>
      <c r="E440" t="str">
        <f>VLOOKUP(A440,DataUsuario!B:D,3,FALSE)</f>
        <v>Fundo San Vicente</v>
      </c>
    </row>
    <row r="441" spans="1:5" x14ac:dyDescent="0.3">
      <c r="A441" s="156" t="s">
        <v>312</v>
      </c>
      <c r="B441" t="s">
        <v>3</v>
      </c>
      <c r="C441" s="157">
        <v>4</v>
      </c>
      <c r="D441" t="str">
        <f>VLOOKUP(A441,DataUsuario!B:D,2,FALSE)</f>
        <v>Administración y Finanzas</v>
      </c>
      <c r="E441" t="str">
        <f>VLOOKUP(A441,DataUsuario!B:D,3,FALSE)</f>
        <v>Legal</v>
      </c>
    </row>
    <row r="442" spans="1:5" x14ac:dyDescent="0.3">
      <c r="A442" s="153" t="s">
        <v>452</v>
      </c>
      <c r="B442" t="s">
        <v>3</v>
      </c>
      <c r="C442" s="154" t="s">
        <v>587</v>
      </c>
      <c r="D442" t="str">
        <f>VLOOKUP(A442,DataUsuario!B:D,2,FALSE)</f>
        <v>Gestión Humana y Sostenibilidad</v>
      </c>
      <c r="E442" t="str">
        <f>VLOOKUP(A442,DataUsuario!B:D,3,FALSE)</f>
        <v>Compensación y Nóminas</v>
      </c>
    </row>
    <row r="443" spans="1:5" x14ac:dyDescent="0.3">
      <c r="A443" s="156" t="s">
        <v>179</v>
      </c>
      <c r="B443" t="s">
        <v>3</v>
      </c>
      <c r="C443" s="157">
        <v>4</v>
      </c>
      <c r="D443" t="str">
        <f>VLOOKUP(A443,DataUsuario!B:D,2,FALSE)</f>
        <v>Operaciones</v>
      </c>
      <c r="E443" t="str">
        <f>VLOOKUP(A443,DataUsuario!B:D,3,FALSE)</f>
        <v>Mantenimiento CAT</v>
      </c>
    </row>
    <row r="444" spans="1:5" x14ac:dyDescent="0.3">
      <c r="A444" s="153" t="s">
        <v>151</v>
      </c>
      <c r="B444" t="s">
        <v>3</v>
      </c>
      <c r="C444" s="154">
        <v>4</v>
      </c>
      <c r="D444" t="str">
        <f>VLOOKUP(A444,DataUsuario!B:D,2,FALSE)</f>
        <v>Operaciones</v>
      </c>
      <c r="E444" t="str">
        <f>VLOOKUP(A444,DataUsuario!B:D,3,FALSE)</f>
        <v>Transporte</v>
      </c>
    </row>
    <row r="445" spans="1:5" x14ac:dyDescent="0.3">
      <c r="A445" s="156" t="s">
        <v>406</v>
      </c>
      <c r="B445" t="s">
        <v>3</v>
      </c>
      <c r="C445" s="157">
        <v>5</v>
      </c>
      <c r="D445" t="str">
        <f>VLOOKUP(A445,DataUsuario!B:D,2,FALSE)</f>
        <v>Administración y Finanzas</v>
      </c>
      <c r="E445" t="str">
        <f>VLOOKUP(A445,DataUsuario!B:D,3,FALSE)</f>
        <v>Finanzas y Tesorería</v>
      </c>
    </row>
    <row r="446" spans="1:5" x14ac:dyDescent="0.3">
      <c r="A446" s="153" t="s">
        <v>301</v>
      </c>
      <c r="B446" t="s">
        <v>3</v>
      </c>
      <c r="C446" s="154">
        <v>5</v>
      </c>
      <c r="D446" t="str">
        <f>VLOOKUP(A446,DataUsuario!B:D,2,FALSE)</f>
        <v>Agrícola</v>
      </c>
      <c r="E446" t="str">
        <f>VLOOKUP(A446,DataUsuario!B:D,3,FALSE)</f>
        <v>Mantenimiento de Riego y Bombas</v>
      </c>
    </row>
    <row r="447" spans="1:5" x14ac:dyDescent="0.3">
      <c r="A447" s="156" t="s">
        <v>95</v>
      </c>
      <c r="B447" t="s">
        <v>3</v>
      </c>
      <c r="C447" s="157">
        <v>3</v>
      </c>
      <c r="D447" t="str">
        <f>VLOOKUP(A447,DataUsuario!B:D,2,FALSE)</f>
        <v>Agrícola</v>
      </c>
      <c r="E447" t="str">
        <f>VLOOKUP(A447,DataUsuario!B:D,3,FALSE)</f>
        <v>Fundo Lobo</v>
      </c>
    </row>
    <row r="448" spans="1:5" x14ac:dyDescent="0.3">
      <c r="A448" s="153" t="s">
        <v>360</v>
      </c>
      <c r="B448" t="s">
        <v>3</v>
      </c>
      <c r="C448" s="154">
        <v>5</v>
      </c>
      <c r="D448" t="str">
        <f>VLOOKUP(A448,DataUsuario!B:D,2,FALSE)</f>
        <v>Operaciones</v>
      </c>
      <c r="E448" t="str">
        <f>VLOOKUP(A448,DataUsuario!B:D,3,FALSE)</f>
        <v>Almacenes y Distribución PT</v>
      </c>
    </row>
    <row r="449" spans="1:5" x14ac:dyDescent="0.3">
      <c r="A449" s="156" t="s">
        <v>109</v>
      </c>
      <c r="B449" t="s">
        <v>3</v>
      </c>
      <c r="C449" s="157">
        <v>5</v>
      </c>
      <c r="D449" t="str">
        <f>VLOOKUP(A449,DataUsuario!B:D,2,FALSE)</f>
        <v>Operaciones</v>
      </c>
      <c r="E449" t="str">
        <f>VLOOKUP(A449,DataUsuario!B:D,3,FALSE)</f>
        <v>Almacenes y Distribución PT</v>
      </c>
    </row>
    <row r="450" spans="1:5" x14ac:dyDescent="0.3">
      <c r="A450" s="153" t="s">
        <v>287</v>
      </c>
      <c r="B450" t="s">
        <v>3</v>
      </c>
      <c r="C450" s="154" t="s">
        <v>587</v>
      </c>
      <c r="D450" t="str">
        <f>VLOOKUP(A450,DataUsuario!B:D,2,FALSE)</f>
        <v>Administración y Finanzas</v>
      </c>
      <c r="E450" t="str">
        <f>VLOOKUP(A450,DataUsuario!B:D,3,FALSE)</f>
        <v>Compras</v>
      </c>
    </row>
    <row r="451" spans="1:5" x14ac:dyDescent="0.3">
      <c r="A451" s="156" t="s">
        <v>130</v>
      </c>
      <c r="B451" t="s">
        <v>3</v>
      </c>
      <c r="C451" s="157">
        <v>4</v>
      </c>
      <c r="D451" t="str">
        <f>VLOOKUP(A451,DataUsuario!B:D,2,FALSE)</f>
        <v>Administración y Finanzas</v>
      </c>
      <c r="E451" t="str">
        <f>VLOOKUP(A451,DataUsuario!B:D,3,FALSE)</f>
        <v>Gerencia Administración y Finanzas</v>
      </c>
    </row>
    <row r="452" spans="1:5" x14ac:dyDescent="0.3">
      <c r="A452" s="153" t="s">
        <v>106</v>
      </c>
      <c r="B452" t="s">
        <v>3</v>
      </c>
      <c r="C452" s="154">
        <v>5</v>
      </c>
      <c r="D452" t="str">
        <f>VLOOKUP(A452,DataUsuario!B:D,2,FALSE)</f>
        <v>Gestión Humana y Sostenibilidad</v>
      </c>
      <c r="E452" t="str">
        <f>VLOOKUP(A452,DataUsuario!B:D,3,FALSE)</f>
        <v>Gestor de Recursos Humanos</v>
      </c>
    </row>
    <row r="453" spans="1:5" x14ac:dyDescent="0.3">
      <c r="A453" s="156" t="s">
        <v>258</v>
      </c>
      <c r="B453" t="s">
        <v>3</v>
      </c>
      <c r="C453" s="157">
        <v>4</v>
      </c>
      <c r="D453" t="str">
        <f>VLOOKUP(A453,DataUsuario!B:D,2,FALSE)</f>
        <v>Industrial y de Mantenimiento</v>
      </c>
      <c r="E453" t="str">
        <f>VLOOKUP(A453,DataUsuario!B:D,3,FALSE)</f>
        <v>Mantenimiento Industrial</v>
      </c>
    </row>
    <row r="454" spans="1:5" x14ac:dyDescent="0.3">
      <c r="A454" s="153" t="s">
        <v>160</v>
      </c>
      <c r="B454" t="s">
        <v>3</v>
      </c>
      <c r="C454" s="154">
        <v>5</v>
      </c>
      <c r="D454" t="str">
        <f>VLOOKUP(A454,DataUsuario!B:D,2,FALSE)</f>
        <v>Operaciones</v>
      </c>
      <c r="E454" t="str">
        <f>VLOOKUP(A454,DataUsuario!B:D,3,FALSE)</f>
        <v>Almacenes y Distribución PT</v>
      </c>
    </row>
    <row r="455" spans="1:5" x14ac:dyDescent="0.3">
      <c r="A455" s="156" t="s">
        <v>376</v>
      </c>
      <c r="B455" t="s">
        <v>3</v>
      </c>
      <c r="C455" s="157">
        <v>5</v>
      </c>
      <c r="D455" t="str">
        <f>VLOOKUP(A455,DataUsuario!B:D,2,FALSE)</f>
        <v>Agrícola</v>
      </c>
      <c r="E455" t="str">
        <f>VLOOKUP(A455,DataUsuario!B:D,3,FALSE)</f>
        <v>Fundo Lobo</v>
      </c>
    </row>
    <row r="456" spans="1:5" x14ac:dyDescent="0.3">
      <c r="A456" s="153" t="s">
        <v>380</v>
      </c>
      <c r="B456" t="s">
        <v>3</v>
      </c>
      <c r="C456" s="154">
        <v>4</v>
      </c>
      <c r="D456" t="str">
        <f>VLOOKUP(A456,DataUsuario!B:D,2,FALSE)</f>
        <v>Operaciones</v>
      </c>
      <c r="E456" t="str">
        <f>VLOOKUP(A456,DataUsuario!B:D,3,FALSE)</f>
        <v>Cosecha</v>
      </c>
    </row>
    <row r="457" spans="1:5" x14ac:dyDescent="0.3">
      <c r="A457" s="161" t="s">
        <v>125</v>
      </c>
      <c r="B457" t="s">
        <v>3</v>
      </c>
      <c r="C457" s="162" t="s">
        <v>587</v>
      </c>
      <c r="D457" t="str">
        <f>VLOOKUP(A457,DataUsuario!B:D,2,FALSE)</f>
        <v>Agrícola</v>
      </c>
      <c r="E457" t="str">
        <f>VLOOKUP(A457,DataUsuario!B:D,3,FALSE)</f>
        <v>Fundo Lobo</v>
      </c>
    </row>
    <row r="458" spans="1:5" x14ac:dyDescent="0.3">
      <c r="A458" s="153" t="s">
        <v>373</v>
      </c>
      <c r="B458" t="s">
        <v>4</v>
      </c>
      <c r="C458" s="155">
        <v>4</v>
      </c>
      <c r="D458" t="str">
        <f>VLOOKUP(A458,DataUsuario!B:D,2,FALSE)</f>
        <v>Operaciones</v>
      </c>
      <c r="E458" t="str">
        <f>VLOOKUP(A458,DataUsuario!B:D,3,FALSE)</f>
        <v>Gerencia de Operaciones</v>
      </c>
    </row>
    <row r="459" spans="1:5" x14ac:dyDescent="0.3">
      <c r="A459" s="156" t="s">
        <v>318</v>
      </c>
      <c r="B459" t="s">
        <v>4</v>
      </c>
      <c r="C459" s="158" t="s">
        <v>587</v>
      </c>
      <c r="D459" t="str">
        <f>VLOOKUP(A459,DataUsuario!B:D,2,FALSE)</f>
        <v>Industrial y de Mantenimiento</v>
      </c>
      <c r="E459" t="str">
        <f>VLOOKUP(A459,DataUsuario!B:D,3,FALSE)</f>
        <v>Producción</v>
      </c>
    </row>
    <row r="460" spans="1:5" x14ac:dyDescent="0.3">
      <c r="A460" s="153" t="s">
        <v>102</v>
      </c>
      <c r="B460" t="s">
        <v>4</v>
      </c>
      <c r="C460" s="155">
        <v>5</v>
      </c>
      <c r="D460" t="str">
        <f>VLOOKUP(A460,DataUsuario!B:D,2,FALSE)</f>
        <v>Administración y Finanzas</v>
      </c>
      <c r="E460" t="str">
        <f>VLOOKUP(A460,DataUsuario!B:D,3,FALSE)</f>
        <v>Legal</v>
      </c>
    </row>
    <row r="461" spans="1:5" x14ac:dyDescent="0.3">
      <c r="A461" s="156" t="s">
        <v>424</v>
      </c>
      <c r="B461" t="s">
        <v>4</v>
      </c>
      <c r="C461" s="158">
        <v>3</v>
      </c>
      <c r="D461" t="str">
        <f>VLOOKUP(A461,DataUsuario!B:D,2,FALSE)</f>
        <v>Agrícola</v>
      </c>
      <c r="E461" t="str">
        <f>VLOOKUP(A461,DataUsuario!B:D,3,FALSE)</f>
        <v>Fundo Lobo</v>
      </c>
    </row>
    <row r="462" spans="1:5" x14ac:dyDescent="0.3">
      <c r="A462" s="153" t="s">
        <v>153</v>
      </c>
      <c r="B462" t="s">
        <v>4</v>
      </c>
      <c r="C462" s="155" t="s">
        <v>587</v>
      </c>
      <c r="D462" t="str">
        <f>VLOOKUP(A462,DataUsuario!B:D,2,FALSE)</f>
        <v>Administración y Finanzas</v>
      </c>
      <c r="E462" t="str">
        <f>VLOOKUP(A462,DataUsuario!B:D,3,FALSE)</f>
        <v>Legal</v>
      </c>
    </row>
    <row r="463" spans="1:5" x14ac:dyDescent="0.3">
      <c r="A463" s="156" t="s">
        <v>99</v>
      </c>
      <c r="B463" t="s">
        <v>4</v>
      </c>
      <c r="C463" s="158">
        <v>5</v>
      </c>
      <c r="D463" t="str">
        <f>VLOOKUP(A463,DataUsuario!B:D,2,FALSE)</f>
        <v>Administración y Finanzas</v>
      </c>
      <c r="E463" t="str">
        <f>VLOOKUP(A463,DataUsuario!B:D,3,FALSE)</f>
        <v>Control de Gestión</v>
      </c>
    </row>
    <row r="464" spans="1:5" x14ac:dyDescent="0.3">
      <c r="A464" s="153" t="s">
        <v>269</v>
      </c>
      <c r="B464" t="s">
        <v>4</v>
      </c>
      <c r="C464" s="155">
        <v>3</v>
      </c>
      <c r="D464" t="str">
        <f>VLOOKUP(A464,DataUsuario!B:D,2,FALSE)</f>
        <v>Operaciones</v>
      </c>
      <c r="E464" t="str">
        <f>VLOOKUP(A464,DataUsuario!B:D,3,FALSE)</f>
        <v>Calidad</v>
      </c>
    </row>
    <row r="465" spans="1:5" x14ac:dyDescent="0.3">
      <c r="A465" s="156" t="s">
        <v>177</v>
      </c>
      <c r="B465" t="s">
        <v>4</v>
      </c>
      <c r="C465" s="158">
        <v>5</v>
      </c>
      <c r="D465" t="str">
        <f>VLOOKUP(A465,DataUsuario!B:D,2,FALSE)</f>
        <v>Gestión Humana y Sostenibilidad</v>
      </c>
      <c r="E465" t="str">
        <f>VLOOKUP(A465,DataUsuario!B:D,3,FALSE)</f>
        <v>Seguridad</v>
      </c>
    </row>
    <row r="466" spans="1:5" x14ac:dyDescent="0.3">
      <c r="A466" s="153" t="s">
        <v>72</v>
      </c>
      <c r="B466" t="s">
        <v>4</v>
      </c>
      <c r="C466" s="155">
        <v>3</v>
      </c>
      <c r="D466" t="str">
        <f>VLOOKUP(A466,DataUsuario!B:D,2,FALSE)</f>
        <v>Administración y Finanzas</v>
      </c>
      <c r="E466" t="str">
        <f>VLOOKUP(A466,DataUsuario!B:D,3,FALSE)</f>
        <v>Finanzas y Tesorería</v>
      </c>
    </row>
    <row r="467" spans="1:5" x14ac:dyDescent="0.3">
      <c r="A467" s="156" t="s">
        <v>345</v>
      </c>
      <c r="B467" t="s">
        <v>4</v>
      </c>
      <c r="C467" s="158">
        <v>5</v>
      </c>
      <c r="D467" t="str">
        <f>VLOOKUP(A467,DataUsuario!B:D,2,FALSE)</f>
        <v>Agrícola</v>
      </c>
      <c r="E467" t="str">
        <f>VLOOKUP(A467,DataUsuario!B:D,3,FALSE)</f>
        <v>Gerencia Agrícola</v>
      </c>
    </row>
    <row r="468" spans="1:5" x14ac:dyDescent="0.3">
      <c r="A468" s="153" t="s">
        <v>140</v>
      </c>
      <c r="B468" t="s">
        <v>4</v>
      </c>
      <c r="C468" s="155">
        <v>5</v>
      </c>
      <c r="D468" t="str">
        <f>VLOOKUP(A468,DataUsuario!B:D,2,FALSE)</f>
        <v>Industrial y de Mantenimiento</v>
      </c>
      <c r="E468" t="str">
        <f>VLOOKUP(A468,DataUsuario!B:D,3,FALSE)</f>
        <v>Electricidad</v>
      </c>
    </row>
    <row r="469" spans="1:5" x14ac:dyDescent="0.3">
      <c r="A469" s="156" t="s">
        <v>143</v>
      </c>
      <c r="B469" t="s">
        <v>4</v>
      </c>
      <c r="C469" s="158">
        <v>5</v>
      </c>
      <c r="D469" t="str">
        <f>VLOOKUP(A469,DataUsuario!B:D,2,FALSE)</f>
        <v>Operaciones</v>
      </c>
      <c r="E469" t="str">
        <f>VLOOKUP(A469,DataUsuario!B:D,3,FALSE)</f>
        <v>Comercial</v>
      </c>
    </row>
    <row r="470" spans="1:5" x14ac:dyDescent="0.3">
      <c r="A470" s="153" t="s">
        <v>227</v>
      </c>
      <c r="B470" t="s">
        <v>4</v>
      </c>
      <c r="C470" s="155">
        <v>4</v>
      </c>
      <c r="D470" t="str">
        <f>VLOOKUP(A470,DataUsuario!B:D,2,FALSE)</f>
        <v>Agrícola</v>
      </c>
      <c r="E470" t="str">
        <f>VLOOKUP(A470,DataUsuario!B:D,3,FALSE)</f>
        <v>Mantenimiento de Riego y Bombas</v>
      </c>
    </row>
    <row r="471" spans="1:5" x14ac:dyDescent="0.3">
      <c r="A471" s="156" t="s">
        <v>391</v>
      </c>
      <c r="B471" t="s">
        <v>4</v>
      </c>
      <c r="C471" s="158">
        <v>5</v>
      </c>
      <c r="D471" t="str">
        <f>VLOOKUP(A471,DataUsuario!B:D,2,FALSE)</f>
        <v>Administración y Finanzas</v>
      </c>
      <c r="E471" t="str">
        <f>VLOOKUP(A471,DataUsuario!B:D,3,FALSE)</f>
        <v>Control de Gestión</v>
      </c>
    </row>
    <row r="472" spans="1:5" x14ac:dyDescent="0.3">
      <c r="A472" s="153" t="s">
        <v>502</v>
      </c>
      <c r="B472" t="s">
        <v>4</v>
      </c>
      <c r="C472" s="155">
        <v>3</v>
      </c>
      <c r="D472" t="str">
        <f>VLOOKUP(A472,DataUsuario!B:D,2,FALSE)</f>
        <v>Operaciones</v>
      </c>
      <c r="E472" t="str">
        <f>VLOOKUP(A472,DataUsuario!B:D,3,FALSE)</f>
        <v>Almacenes y Distribución PT</v>
      </c>
    </row>
    <row r="473" spans="1:5" x14ac:dyDescent="0.3">
      <c r="A473" s="156" t="s">
        <v>504</v>
      </c>
      <c r="B473" t="s">
        <v>4</v>
      </c>
      <c r="C473" s="158" t="s">
        <v>587</v>
      </c>
      <c r="D473" t="str">
        <f>VLOOKUP(A473,DataUsuario!B:D,2,FALSE)</f>
        <v>Agrícola</v>
      </c>
      <c r="E473" t="str">
        <f>VLOOKUP(A473,DataUsuario!B:D,3,FALSE)</f>
        <v>Mantenimiento de Riego y Bombas</v>
      </c>
    </row>
    <row r="474" spans="1:5" x14ac:dyDescent="0.3">
      <c r="A474" s="153" t="s">
        <v>181</v>
      </c>
      <c r="B474" t="s">
        <v>4</v>
      </c>
      <c r="C474" s="155">
        <v>5</v>
      </c>
      <c r="D474" t="str">
        <f>VLOOKUP(A474,DataUsuario!B:D,2,FALSE)</f>
        <v>Gestión Humana y Sostenibilidad</v>
      </c>
      <c r="E474" t="str">
        <f>VLOOKUP(A474,DataUsuario!B:D,3,FALSE)</f>
        <v>Gestor de Recursos Humanos</v>
      </c>
    </row>
    <row r="475" spans="1:5" x14ac:dyDescent="0.3">
      <c r="A475" s="156" t="s">
        <v>299</v>
      </c>
      <c r="B475" t="s">
        <v>4</v>
      </c>
      <c r="C475" s="158">
        <v>5</v>
      </c>
      <c r="D475" t="str">
        <f>VLOOKUP(A475,DataUsuario!B:D,2,FALSE)</f>
        <v>Operaciones</v>
      </c>
      <c r="E475" t="str">
        <f>VLOOKUP(A475,DataUsuario!B:D,3,FALSE)</f>
        <v>Calidad</v>
      </c>
    </row>
    <row r="476" spans="1:5" x14ac:dyDescent="0.3">
      <c r="A476" s="153" t="s">
        <v>192</v>
      </c>
      <c r="B476" t="s">
        <v>4</v>
      </c>
      <c r="C476" s="155">
        <v>4</v>
      </c>
      <c r="D476" t="str">
        <f>VLOOKUP(A476,DataUsuario!B:D,2,FALSE)</f>
        <v>Agrícola</v>
      </c>
      <c r="E476" t="str">
        <f>VLOOKUP(A476,DataUsuario!B:D,3,FALSE)</f>
        <v>Planificador Agrícola</v>
      </c>
    </row>
    <row r="477" spans="1:5" x14ac:dyDescent="0.3">
      <c r="A477" s="156" t="s">
        <v>333</v>
      </c>
      <c r="B477" t="s">
        <v>4</v>
      </c>
      <c r="C477" s="158">
        <v>5</v>
      </c>
      <c r="D477" t="str">
        <f>VLOOKUP(A477,DataUsuario!B:D,2,FALSE)</f>
        <v>Gestión Humana y Sostenibilidad</v>
      </c>
      <c r="E477" t="str">
        <f>VLOOKUP(A477,DataUsuario!B:D,3,FALSE)</f>
        <v>Sostenibilidad</v>
      </c>
    </row>
    <row r="478" spans="1:5" x14ac:dyDescent="0.3">
      <c r="A478" s="153" t="s">
        <v>155</v>
      </c>
      <c r="B478" t="s">
        <v>4</v>
      </c>
      <c r="C478" s="155">
        <v>4</v>
      </c>
      <c r="D478" t="str">
        <f>VLOOKUP(A478,DataUsuario!B:D,2,FALSE)</f>
        <v>Gestión Humana y Sostenibilidad</v>
      </c>
      <c r="E478" t="str">
        <f>VLOOKUP(A478,DataUsuario!B:D,3,FALSE)</f>
        <v>Sostenibilidad</v>
      </c>
    </row>
    <row r="479" spans="1:5" x14ac:dyDescent="0.3">
      <c r="A479" s="156" t="s">
        <v>331</v>
      </c>
      <c r="B479" t="s">
        <v>4</v>
      </c>
      <c r="C479" s="158">
        <v>5</v>
      </c>
      <c r="D479" t="str">
        <f>VLOOKUP(A479,DataUsuario!B:D,2,FALSE)</f>
        <v>Operaciones</v>
      </c>
      <c r="E479" t="str">
        <f>VLOOKUP(A479,DataUsuario!B:D,3,FALSE)</f>
        <v>Cosecha</v>
      </c>
    </row>
    <row r="480" spans="1:5" x14ac:dyDescent="0.3">
      <c r="A480" s="153" t="s">
        <v>378</v>
      </c>
      <c r="B480" t="s">
        <v>4</v>
      </c>
      <c r="C480" s="155">
        <v>4</v>
      </c>
      <c r="D480" t="str">
        <f>VLOOKUP(A480,DataUsuario!B:D,2,FALSE)</f>
        <v>Operaciones</v>
      </c>
      <c r="E480" t="str">
        <f>VLOOKUP(A480,DataUsuario!B:D,3,FALSE)</f>
        <v>Mantenimiento CAT</v>
      </c>
    </row>
    <row r="481" spans="1:5" x14ac:dyDescent="0.3">
      <c r="A481" s="156" t="s">
        <v>215</v>
      </c>
      <c r="B481" t="s">
        <v>4</v>
      </c>
      <c r="C481" s="158">
        <v>5</v>
      </c>
      <c r="D481" t="str">
        <f>VLOOKUP(A481,DataUsuario!B:D,2,FALSE)</f>
        <v>Operaciones</v>
      </c>
      <c r="E481" t="str">
        <f>VLOOKUP(A481,DataUsuario!B:D,3,FALSE)</f>
        <v>Almacenes y Distribución PT</v>
      </c>
    </row>
    <row r="482" spans="1:5" x14ac:dyDescent="0.3">
      <c r="A482" s="153" t="s">
        <v>256</v>
      </c>
      <c r="B482" t="s">
        <v>4</v>
      </c>
      <c r="C482" s="155">
        <v>5</v>
      </c>
      <c r="D482" t="str">
        <f>VLOOKUP(A482,DataUsuario!B:D,2,FALSE)</f>
        <v>Gestión Humana y Sostenibilidad</v>
      </c>
      <c r="E482" t="str">
        <f>VLOOKUP(A482,DataUsuario!B:D,3,FALSE)</f>
        <v>Compensación y Nóminas</v>
      </c>
    </row>
    <row r="483" spans="1:5" x14ac:dyDescent="0.3">
      <c r="A483" s="156" t="s">
        <v>145</v>
      </c>
      <c r="B483" t="s">
        <v>4</v>
      </c>
      <c r="C483" s="158">
        <v>4</v>
      </c>
      <c r="D483" t="str">
        <f>VLOOKUP(A483,DataUsuario!B:D,2,FALSE)</f>
        <v>Gestión Humana y Sostenibilidad</v>
      </c>
      <c r="E483" t="str">
        <f>VLOOKUP(A483,DataUsuario!B:D,3,FALSE)</f>
        <v>Gestion del Talento</v>
      </c>
    </row>
    <row r="484" spans="1:5" x14ac:dyDescent="0.3">
      <c r="A484" s="153" t="s">
        <v>223</v>
      </c>
      <c r="B484" t="s">
        <v>4</v>
      </c>
      <c r="C484" s="155">
        <v>5</v>
      </c>
      <c r="D484" t="str">
        <f>VLOOKUP(A484,DataUsuario!B:D,2,FALSE)</f>
        <v>Gestión Humana y Sostenibilidad</v>
      </c>
      <c r="E484" t="str">
        <f>VLOOKUP(A484,DataUsuario!B:D,3,FALSE)</f>
        <v>Seguridad</v>
      </c>
    </row>
    <row r="485" spans="1:5" x14ac:dyDescent="0.3">
      <c r="A485" s="156" t="s">
        <v>89</v>
      </c>
      <c r="B485" t="s">
        <v>4</v>
      </c>
      <c r="C485" s="158">
        <v>4</v>
      </c>
      <c r="D485" t="str">
        <f>VLOOKUP(A485,DataUsuario!B:D,2,FALSE)</f>
        <v>Industrial y de Mantenimiento</v>
      </c>
      <c r="E485" t="str">
        <f>VLOOKUP(A485,DataUsuario!B:D,3,FALSE)</f>
        <v>Producción</v>
      </c>
    </row>
    <row r="486" spans="1:5" x14ac:dyDescent="0.3">
      <c r="A486" s="153" t="s">
        <v>510</v>
      </c>
      <c r="B486" t="s">
        <v>4</v>
      </c>
      <c r="C486" s="155">
        <v>5</v>
      </c>
      <c r="D486" t="str">
        <f>VLOOKUP(A486,DataUsuario!B:D,2,FALSE)</f>
        <v>Gestión Humana y Sostenibilidad</v>
      </c>
      <c r="E486" t="str">
        <f>VLOOKUP(A486,DataUsuario!B:D,3,FALSE)</f>
        <v>Gestor de Recursos Humanos</v>
      </c>
    </row>
    <row r="487" spans="1:5" x14ac:dyDescent="0.3">
      <c r="A487" s="156" t="s">
        <v>450</v>
      </c>
      <c r="B487" t="s">
        <v>4</v>
      </c>
      <c r="C487" s="158">
        <v>4</v>
      </c>
      <c r="D487" t="str">
        <f>VLOOKUP(A487,DataUsuario!B:D,2,FALSE)</f>
        <v>Operaciones</v>
      </c>
      <c r="E487" t="str">
        <f>VLOOKUP(A487,DataUsuario!B:D,3,FALSE)</f>
        <v>Almacenes y Distribución PT</v>
      </c>
    </row>
    <row r="488" spans="1:5" x14ac:dyDescent="0.3">
      <c r="A488" s="153" t="s">
        <v>104</v>
      </c>
      <c r="B488" t="s">
        <v>4</v>
      </c>
      <c r="C488" s="155">
        <v>5</v>
      </c>
      <c r="D488" t="str">
        <f>VLOOKUP(A488,DataUsuario!B:D,2,FALSE)</f>
        <v>Gestión Humana y Sostenibilidad</v>
      </c>
      <c r="E488" t="str">
        <f>VLOOKUP(A488,DataUsuario!B:D,3,FALSE)</f>
        <v>Compensación y Nóminas</v>
      </c>
    </row>
    <row r="489" spans="1:5" x14ac:dyDescent="0.3">
      <c r="A489" s="156" t="s">
        <v>68</v>
      </c>
      <c r="B489" t="s">
        <v>4</v>
      </c>
      <c r="C489" s="158">
        <v>5</v>
      </c>
      <c r="D489" t="str">
        <f>VLOOKUP(A489,DataUsuario!B:D,2,FALSE)</f>
        <v>Gestión Humana y Sostenibilidad</v>
      </c>
      <c r="E489" t="str">
        <f>VLOOKUP(A489,DataUsuario!B:D,3,FALSE)</f>
        <v>Compensación y Nóminas</v>
      </c>
    </row>
    <row r="490" spans="1:5" x14ac:dyDescent="0.3">
      <c r="A490" s="153" t="s">
        <v>199</v>
      </c>
      <c r="B490" t="s">
        <v>4</v>
      </c>
      <c r="C490" s="155">
        <v>5</v>
      </c>
      <c r="D490" t="str">
        <f>VLOOKUP(A490,DataUsuario!B:D,2,FALSE)</f>
        <v>Gestión Humana y Sostenibilidad</v>
      </c>
      <c r="E490" t="str">
        <f>VLOOKUP(A490,DataUsuario!B:D,3,FALSE)</f>
        <v>Relaciones Laborales</v>
      </c>
    </row>
    <row r="491" spans="1:5" x14ac:dyDescent="0.3">
      <c r="A491" s="156" t="s">
        <v>262</v>
      </c>
      <c r="B491" t="s">
        <v>4</v>
      </c>
      <c r="C491" s="158">
        <v>3</v>
      </c>
      <c r="D491" t="str">
        <f>VLOOKUP(A491,DataUsuario!B:D,2,FALSE)</f>
        <v>Industrial y de Mantenimiento</v>
      </c>
      <c r="E491" t="str">
        <f>VLOOKUP(A491,DataUsuario!B:D,3,FALSE)</f>
        <v>Automatización</v>
      </c>
    </row>
    <row r="492" spans="1:5" x14ac:dyDescent="0.3">
      <c r="A492" s="153" t="s">
        <v>454</v>
      </c>
      <c r="B492" t="s">
        <v>4</v>
      </c>
      <c r="C492" s="155">
        <v>5</v>
      </c>
      <c r="D492" t="str">
        <f>VLOOKUP(A492,DataUsuario!B:D,2,FALSE)</f>
        <v>Operaciones</v>
      </c>
      <c r="E492" t="str">
        <f>VLOOKUP(A492,DataUsuario!B:D,3,FALSE)</f>
        <v>Comercial</v>
      </c>
    </row>
    <row r="493" spans="1:5" x14ac:dyDescent="0.3">
      <c r="A493" s="156" t="s">
        <v>127</v>
      </c>
      <c r="B493" t="s">
        <v>4</v>
      </c>
      <c r="C493" s="158">
        <v>5</v>
      </c>
      <c r="D493" t="str">
        <f>VLOOKUP(A493,DataUsuario!B:D,2,FALSE)</f>
        <v>Agrícola</v>
      </c>
      <c r="E493" t="str">
        <f>VLOOKUP(A493,DataUsuario!B:D,3,FALSE)</f>
        <v>Fundo Montelima</v>
      </c>
    </row>
    <row r="494" spans="1:5" x14ac:dyDescent="0.3">
      <c r="A494" s="153" t="s">
        <v>515</v>
      </c>
      <c r="B494" t="s">
        <v>4</v>
      </c>
      <c r="C494" s="155">
        <v>5</v>
      </c>
      <c r="D494" t="str">
        <f>VLOOKUP(A494,DataUsuario!B:D,2,FALSE)</f>
        <v>Industrial y de Mantenimiento</v>
      </c>
      <c r="E494" t="str">
        <f>VLOOKUP(A494,DataUsuario!B:D,3,FALSE)</f>
        <v>Mantenimiento Industrial</v>
      </c>
    </row>
    <row r="495" spans="1:5" x14ac:dyDescent="0.3">
      <c r="A495" s="156" t="s">
        <v>225</v>
      </c>
      <c r="B495" t="s">
        <v>4</v>
      </c>
      <c r="C495" s="158">
        <v>5</v>
      </c>
      <c r="D495" t="str">
        <f>VLOOKUP(A495,DataUsuario!B:D,2,FALSE)</f>
        <v>Gestión Humana y Sostenibilidad</v>
      </c>
      <c r="E495" t="str">
        <f>VLOOKUP(A495,DataUsuario!B:D,3,FALSE)</f>
        <v>Seguridad</v>
      </c>
    </row>
    <row r="496" spans="1:5" x14ac:dyDescent="0.3">
      <c r="A496" s="153" t="s">
        <v>516</v>
      </c>
      <c r="B496" t="s">
        <v>4</v>
      </c>
      <c r="C496" s="155">
        <v>5</v>
      </c>
      <c r="D496" t="str">
        <f>VLOOKUP(A496,DataUsuario!B:D,2,FALSE)</f>
        <v>Gestión Humana y Sostenibilidad</v>
      </c>
      <c r="E496" t="str">
        <f>VLOOKUP(A496,DataUsuario!B:D,3,FALSE)</f>
        <v>Gestor de Recursos Humanos</v>
      </c>
    </row>
    <row r="497" spans="1:5" x14ac:dyDescent="0.3">
      <c r="A497" s="156" t="s">
        <v>210</v>
      </c>
      <c r="B497" t="s">
        <v>4</v>
      </c>
      <c r="C497" s="158">
        <v>5</v>
      </c>
      <c r="D497" t="str">
        <f>VLOOKUP(A497,DataUsuario!B:D,2,FALSE)</f>
        <v>Industrial y de Mantenimiento</v>
      </c>
      <c r="E497" t="str">
        <f>VLOOKUP(A497,DataUsuario!B:D,3,FALSE)</f>
        <v>Electricidad</v>
      </c>
    </row>
    <row r="498" spans="1:5" x14ac:dyDescent="0.3">
      <c r="A498" s="153" t="s">
        <v>208</v>
      </c>
      <c r="B498" t="s">
        <v>4</v>
      </c>
      <c r="C498" s="155">
        <v>5</v>
      </c>
      <c r="D498" t="str">
        <f>VLOOKUP(A498,DataUsuario!B:D,2,FALSE)</f>
        <v>Agrícola</v>
      </c>
      <c r="E498" t="str">
        <f>VLOOKUP(A498,DataUsuario!B:D,3,FALSE)</f>
        <v>Fundo Lobo</v>
      </c>
    </row>
    <row r="499" spans="1:5" x14ac:dyDescent="0.3">
      <c r="A499" s="156" t="s">
        <v>234</v>
      </c>
      <c r="B499" t="s">
        <v>4</v>
      </c>
      <c r="C499" s="158">
        <v>5</v>
      </c>
      <c r="D499" t="str">
        <f>VLOOKUP(A499,DataUsuario!B:D,2,FALSE)</f>
        <v>Agrícola</v>
      </c>
      <c r="E499" t="str">
        <f>VLOOKUP(A499,DataUsuario!B:D,3,FALSE)</f>
        <v>Laboratorio e Investigación Agricola</v>
      </c>
    </row>
    <row r="500" spans="1:5" x14ac:dyDescent="0.3">
      <c r="A500" s="153" t="s">
        <v>248</v>
      </c>
      <c r="B500" t="s">
        <v>4</v>
      </c>
      <c r="C500" s="155">
        <v>4</v>
      </c>
      <c r="D500" t="str">
        <f>VLOOKUP(A500,DataUsuario!B:D,2,FALSE)</f>
        <v>Industrial y de Mantenimiento</v>
      </c>
      <c r="E500" t="str">
        <f>VLOOKUP(A500,DataUsuario!B:D,3,FALSE)</f>
        <v>Producción</v>
      </c>
    </row>
    <row r="501" spans="1:5" x14ac:dyDescent="0.3">
      <c r="A501" s="156" t="s">
        <v>122</v>
      </c>
      <c r="B501" t="s">
        <v>4</v>
      </c>
      <c r="C501" s="158">
        <v>5</v>
      </c>
      <c r="D501" t="str">
        <f>VLOOKUP(A501,DataUsuario!B:D,2,FALSE)</f>
        <v>Industrial y de Mantenimiento</v>
      </c>
      <c r="E501" t="str">
        <f>VLOOKUP(A501,DataUsuario!B:D,3,FALSE)</f>
        <v>Mantenimiento de Transportes</v>
      </c>
    </row>
    <row r="502" spans="1:5" x14ac:dyDescent="0.3">
      <c r="A502" s="153" t="s">
        <v>428</v>
      </c>
      <c r="B502" t="s">
        <v>4</v>
      </c>
      <c r="C502" s="155">
        <v>5</v>
      </c>
      <c r="D502" t="str">
        <f>VLOOKUP(A502,DataUsuario!B:D,2,FALSE)</f>
        <v>Administración y Finanzas</v>
      </c>
      <c r="E502" t="str">
        <f>VLOOKUP(A502,DataUsuario!B:D,3,FALSE)</f>
        <v>Contabilidad Tributaria</v>
      </c>
    </row>
    <row r="503" spans="1:5" x14ac:dyDescent="0.3">
      <c r="A503" s="156" t="s">
        <v>335</v>
      </c>
      <c r="B503" t="s">
        <v>4</v>
      </c>
      <c r="C503" s="158">
        <v>5</v>
      </c>
      <c r="D503" t="str">
        <f>VLOOKUP(A503,DataUsuario!B:D,2,FALSE)</f>
        <v>Administración y Finanzas</v>
      </c>
      <c r="E503" t="str">
        <f>VLOOKUP(A503,DataUsuario!B:D,3,FALSE)</f>
        <v>Finanzas y Tesorería</v>
      </c>
    </row>
    <row r="504" spans="1:5" x14ac:dyDescent="0.3">
      <c r="A504" s="153" t="s">
        <v>341</v>
      </c>
      <c r="B504" t="s">
        <v>4</v>
      </c>
      <c r="C504" s="155">
        <v>5</v>
      </c>
      <c r="D504" t="str">
        <f>VLOOKUP(A504,DataUsuario!B:D,2,FALSE)</f>
        <v>Administración y Finanzas</v>
      </c>
      <c r="E504" t="str">
        <f>VLOOKUP(A504,DataUsuario!B:D,3,FALSE)</f>
        <v>Administración</v>
      </c>
    </row>
    <row r="505" spans="1:5" x14ac:dyDescent="0.3">
      <c r="A505" s="156" t="s">
        <v>135</v>
      </c>
      <c r="B505" t="s">
        <v>4</v>
      </c>
      <c r="C505" s="158">
        <v>5</v>
      </c>
      <c r="D505" t="str">
        <f>VLOOKUP(A505,DataUsuario!B:D,2,FALSE)</f>
        <v>Agrícola</v>
      </c>
      <c r="E505" t="str">
        <f>VLOOKUP(A505,DataUsuario!B:D,3,FALSE)</f>
        <v>Fundo Lobo</v>
      </c>
    </row>
    <row r="506" spans="1:5" x14ac:dyDescent="0.3">
      <c r="A506" s="153" t="s">
        <v>185</v>
      </c>
      <c r="B506" t="s">
        <v>4</v>
      </c>
      <c r="C506" s="155">
        <v>5</v>
      </c>
      <c r="D506" t="str">
        <f>VLOOKUP(A506,DataUsuario!B:D,2,FALSE)</f>
        <v>Administración y Finanzas</v>
      </c>
      <c r="E506" t="str">
        <f>VLOOKUP(A506,DataUsuario!B:D,3,FALSE)</f>
        <v>Cadenas Productivas</v>
      </c>
    </row>
    <row r="507" spans="1:5" x14ac:dyDescent="0.3">
      <c r="A507" s="156" t="s">
        <v>387</v>
      </c>
      <c r="B507" t="s">
        <v>4</v>
      </c>
      <c r="C507" s="158">
        <v>4</v>
      </c>
      <c r="D507" t="str">
        <f>VLOOKUP(A507,DataUsuario!B:D,2,FALSE)</f>
        <v>Agrícola</v>
      </c>
      <c r="E507" t="str">
        <f>VLOOKUP(A507,DataUsuario!B:D,3,FALSE)</f>
        <v>Laboratorio e Investigación Agricola</v>
      </c>
    </row>
    <row r="508" spans="1:5" x14ac:dyDescent="0.3">
      <c r="A508" s="153" t="s">
        <v>430</v>
      </c>
      <c r="B508" t="s">
        <v>4</v>
      </c>
      <c r="C508" s="155">
        <v>4</v>
      </c>
      <c r="D508" t="str">
        <f>VLOOKUP(A508,DataUsuario!B:D,2,FALSE)</f>
        <v>Administración y Finanzas</v>
      </c>
      <c r="E508" t="str">
        <f>VLOOKUP(A508,DataUsuario!B:D,3,FALSE)</f>
        <v>Administración</v>
      </c>
    </row>
    <row r="509" spans="1:5" x14ac:dyDescent="0.3">
      <c r="A509" s="156" t="s">
        <v>265</v>
      </c>
      <c r="B509" t="s">
        <v>4</v>
      </c>
      <c r="C509" s="158">
        <v>4</v>
      </c>
      <c r="D509" t="str">
        <f>VLOOKUP(A509,DataUsuario!B:D,2,FALSE)</f>
        <v>Administración y Finanzas</v>
      </c>
      <c r="E509" t="str">
        <f>VLOOKUP(A509,DataUsuario!B:D,3,FALSE)</f>
        <v>Administración</v>
      </c>
    </row>
    <row r="510" spans="1:5" x14ac:dyDescent="0.3">
      <c r="A510" s="153" t="s">
        <v>354</v>
      </c>
      <c r="B510" t="s">
        <v>4</v>
      </c>
      <c r="C510" s="155">
        <v>5</v>
      </c>
      <c r="D510" t="str">
        <f>VLOOKUP(A510,DataUsuario!B:D,2,FALSE)</f>
        <v>Administración y Finanzas</v>
      </c>
      <c r="E510" t="str">
        <f>VLOOKUP(A510,DataUsuario!B:D,3,FALSE)</f>
        <v>Contabilidad Tributaria</v>
      </c>
    </row>
    <row r="511" spans="1:5" x14ac:dyDescent="0.3">
      <c r="A511" s="156" t="s">
        <v>325</v>
      </c>
      <c r="B511" t="s">
        <v>4</v>
      </c>
      <c r="C511" s="158">
        <v>4</v>
      </c>
      <c r="D511" t="str">
        <f>VLOOKUP(A511,DataUsuario!B:D,2,FALSE)</f>
        <v>Operaciones</v>
      </c>
      <c r="E511" t="str">
        <f>VLOOKUP(A511,DataUsuario!B:D,3,FALSE)</f>
        <v>Calidad</v>
      </c>
    </row>
    <row r="512" spans="1:5" x14ac:dyDescent="0.3">
      <c r="A512" s="153" t="s">
        <v>358</v>
      </c>
      <c r="B512" t="s">
        <v>4</v>
      </c>
      <c r="C512" s="155">
        <v>4</v>
      </c>
      <c r="D512" t="str">
        <f>VLOOKUP(A512,DataUsuario!B:D,2,FALSE)</f>
        <v>Agrícola</v>
      </c>
      <c r="E512" t="str">
        <f>VLOOKUP(A512,DataUsuario!B:D,3,FALSE)</f>
        <v>Mantenimiento de Riego y Bombas</v>
      </c>
    </row>
    <row r="513" spans="1:5" x14ac:dyDescent="0.3">
      <c r="A513" s="156" t="s">
        <v>297</v>
      </c>
      <c r="B513" t="s">
        <v>4</v>
      </c>
      <c r="C513" s="158">
        <v>5</v>
      </c>
      <c r="D513" t="str">
        <f>VLOOKUP(A513,DataUsuario!B:D,2,FALSE)</f>
        <v>Operaciones</v>
      </c>
      <c r="E513" t="str">
        <f>VLOOKUP(A513,DataUsuario!B:D,3,FALSE)</f>
        <v>Comercial</v>
      </c>
    </row>
    <row r="514" spans="1:5" x14ac:dyDescent="0.3">
      <c r="A514" s="153" t="s">
        <v>389</v>
      </c>
      <c r="B514" t="s">
        <v>4</v>
      </c>
      <c r="C514" s="155">
        <v>4</v>
      </c>
      <c r="D514" t="str">
        <f>VLOOKUP(A514,DataUsuario!B:D,2,FALSE)</f>
        <v>Agrícola</v>
      </c>
      <c r="E514" t="str">
        <f>VLOOKUP(A514,DataUsuario!B:D,3,FALSE)</f>
        <v>Mantenimiento de Riego y Bombas</v>
      </c>
    </row>
    <row r="515" spans="1:5" x14ac:dyDescent="0.3">
      <c r="A515" s="156" t="s">
        <v>343</v>
      </c>
      <c r="B515" t="s">
        <v>4</v>
      </c>
      <c r="C515" s="158">
        <v>5</v>
      </c>
      <c r="D515" t="str">
        <f>VLOOKUP(A515,DataUsuario!B:D,2,FALSE)</f>
        <v>Gestión Humana y Sostenibilidad</v>
      </c>
      <c r="E515" t="str">
        <f>VLOOKUP(A515,DataUsuario!B:D,3,FALSE)</f>
        <v>Relaciones Laborales</v>
      </c>
    </row>
    <row r="516" spans="1:5" x14ac:dyDescent="0.3">
      <c r="A516" s="153" t="s">
        <v>92</v>
      </c>
      <c r="B516" t="s">
        <v>4</v>
      </c>
      <c r="C516" s="155">
        <v>5</v>
      </c>
      <c r="D516" t="str">
        <f>VLOOKUP(A516,DataUsuario!B:D,2,FALSE)</f>
        <v>Operaciones</v>
      </c>
      <c r="E516" t="str">
        <f>VLOOKUP(A516,DataUsuario!B:D,3,FALSE)</f>
        <v>Comercial</v>
      </c>
    </row>
    <row r="517" spans="1:5" x14ac:dyDescent="0.3">
      <c r="A517" s="156" t="s">
        <v>438</v>
      </c>
      <c r="B517" t="s">
        <v>4</v>
      </c>
      <c r="C517" s="158">
        <v>4</v>
      </c>
      <c r="D517" t="str">
        <f>VLOOKUP(A517,DataUsuario!B:D,2,FALSE)</f>
        <v>Industrial y de Mantenimiento</v>
      </c>
      <c r="E517" t="str">
        <f>VLOOKUP(A517,DataUsuario!B:D,3,FALSE)</f>
        <v>Producción</v>
      </c>
    </row>
    <row r="518" spans="1:5" x14ac:dyDescent="0.3">
      <c r="A518" s="153" t="s">
        <v>166</v>
      </c>
      <c r="B518" t="s">
        <v>4</v>
      </c>
      <c r="C518" s="155">
        <v>4</v>
      </c>
      <c r="D518" t="str">
        <f>VLOOKUP(A518,DataUsuario!B:D,2,FALSE)</f>
        <v>Operaciones</v>
      </c>
      <c r="E518" t="str">
        <f>VLOOKUP(A518,DataUsuario!B:D,3,FALSE)</f>
        <v>Calidad</v>
      </c>
    </row>
    <row r="519" spans="1:5" x14ac:dyDescent="0.3">
      <c r="A519" s="156" t="s">
        <v>320</v>
      </c>
      <c r="B519" t="s">
        <v>4</v>
      </c>
      <c r="C519" s="158">
        <v>5</v>
      </c>
      <c r="D519" t="str">
        <f>VLOOKUP(A519,DataUsuario!B:D,2,FALSE)</f>
        <v>Gestión Humana y Sostenibilidad</v>
      </c>
      <c r="E519" t="str">
        <f>VLOOKUP(A519,DataUsuario!B:D,3,FALSE)</f>
        <v>Comunicaciones y Responsabilidad Social</v>
      </c>
    </row>
    <row r="520" spans="1:5" x14ac:dyDescent="0.3">
      <c r="A520" s="153" t="s">
        <v>365</v>
      </c>
      <c r="B520" t="s">
        <v>4</v>
      </c>
      <c r="C520" s="155">
        <v>5</v>
      </c>
      <c r="D520" t="str">
        <f>VLOOKUP(A520,DataUsuario!B:D,2,FALSE)</f>
        <v>Gestión Humana y Sostenibilidad</v>
      </c>
      <c r="E520" t="str">
        <f>VLOOKUP(A520,DataUsuario!B:D,3,FALSE)</f>
        <v>Compensación y Nóminas</v>
      </c>
    </row>
    <row r="521" spans="1:5" x14ac:dyDescent="0.3">
      <c r="A521" s="156" t="s">
        <v>339</v>
      </c>
      <c r="B521" t="s">
        <v>4</v>
      </c>
      <c r="C521" s="158">
        <v>5</v>
      </c>
      <c r="D521" t="str">
        <f>VLOOKUP(A521,DataUsuario!B:D,2,FALSE)</f>
        <v>Operaciones</v>
      </c>
      <c r="E521" t="str">
        <f>VLOOKUP(A521,DataUsuario!B:D,3,FALSE)</f>
        <v>Calidad</v>
      </c>
    </row>
    <row r="522" spans="1:5" x14ac:dyDescent="0.3">
      <c r="A522" s="153" t="s">
        <v>120</v>
      </c>
      <c r="B522" t="s">
        <v>4</v>
      </c>
      <c r="C522" s="155">
        <v>5</v>
      </c>
      <c r="D522" t="str">
        <f>VLOOKUP(A522,DataUsuario!B:D,2,FALSE)</f>
        <v>Industrial y de Mantenimiento</v>
      </c>
      <c r="E522" t="str">
        <f>VLOOKUP(A522,DataUsuario!B:D,3,FALSE)</f>
        <v>Mantenimiento Industrial</v>
      </c>
    </row>
    <row r="523" spans="1:5" x14ac:dyDescent="0.3">
      <c r="A523" s="156" t="s">
        <v>329</v>
      </c>
      <c r="B523" t="s">
        <v>4</v>
      </c>
      <c r="C523" s="158">
        <v>5</v>
      </c>
      <c r="D523" t="str">
        <f>VLOOKUP(A523,DataUsuario!B:D,2,FALSE)</f>
        <v>Administración y Finanzas</v>
      </c>
      <c r="E523" t="str">
        <f>VLOOKUP(A523,DataUsuario!B:D,3,FALSE)</f>
        <v>Compras</v>
      </c>
    </row>
    <row r="524" spans="1:5" x14ac:dyDescent="0.3">
      <c r="A524" s="153" t="s">
        <v>283</v>
      </c>
      <c r="B524" t="s">
        <v>4</v>
      </c>
      <c r="C524" s="155">
        <v>5</v>
      </c>
      <c r="D524" t="str">
        <f>VLOOKUP(A524,DataUsuario!B:D,2,FALSE)</f>
        <v>Operaciones</v>
      </c>
      <c r="E524" t="str">
        <f>VLOOKUP(A524,DataUsuario!B:D,3,FALSE)</f>
        <v>Calidad</v>
      </c>
    </row>
    <row r="525" spans="1:5" x14ac:dyDescent="0.3">
      <c r="A525" s="156" t="s">
        <v>291</v>
      </c>
      <c r="B525" t="s">
        <v>4</v>
      </c>
      <c r="C525" s="158">
        <v>3</v>
      </c>
      <c r="D525" t="str">
        <f>VLOOKUP(A525,DataUsuario!B:D,2,FALSE)</f>
        <v>Operaciones</v>
      </c>
      <c r="E525" t="str">
        <f>VLOOKUP(A525,DataUsuario!B:D,3,FALSE)</f>
        <v>Transporte</v>
      </c>
    </row>
    <row r="526" spans="1:5" x14ac:dyDescent="0.3">
      <c r="A526" s="153" t="s">
        <v>446</v>
      </c>
      <c r="B526" t="s">
        <v>4</v>
      </c>
      <c r="C526" s="155">
        <v>5</v>
      </c>
      <c r="D526" t="str">
        <f>VLOOKUP(A526,DataUsuario!B:D,2,FALSE)</f>
        <v>Agrícola</v>
      </c>
      <c r="E526" t="str">
        <f>VLOOKUP(A526,DataUsuario!B:D,3,FALSE)</f>
        <v>Fundo San Vicente</v>
      </c>
    </row>
    <row r="527" spans="1:5" x14ac:dyDescent="0.3">
      <c r="A527" s="156" t="s">
        <v>371</v>
      </c>
      <c r="B527" t="s">
        <v>4</v>
      </c>
      <c r="C527" s="158">
        <v>5</v>
      </c>
      <c r="D527" t="str">
        <f>VLOOKUP(A527,DataUsuario!B:D,2,FALSE)</f>
        <v>Administración y Finanzas</v>
      </c>
      <c r="E527" t="str">
        <f>VLOOKUP(A527,DataUsuario!B:D,3,FALSE)</f>
        <v>Compras</v>
      </c>
    </row>
    <row r="528" spans="1:5" x14ac:dyDescent="0.3">
      <c r="A528" s="153" t="s">
        <v>195</v>
      </c>
      <c r="B528" t="s">
        <v>4</v>
      </c>
      <c r="C528" s="155">
        <v>5</v>
      </c>
      <c r="D528" t="str">
        <f>VLOOKUP(A528,DataUsuario!B:D,2,FALSE)</f>
        <v>Operaciones</v>
      </c>
      <c r="E528" t="str">
        <f>VLOOKUP(A528,DataUsuario!B:D,3,FALSE)</f>
        <v>Calidad</v>
      </c>
    </row>
    <row r="529" spans="1:5" x14ac:dyDescent="0.3">
      <c r="A529" s="156" t="s">
        <v>350</v>
      </c>
      <c r="B529" t="s">
        <v>4</v>
      </c>
      <c r="C529" s="158">
        <v>5</v>
      </c>
      <c r="D529" t="str">
        <f>VLOOKUP(A529,DataUsuario!B:D,2,FALSE)</f>
        <v>Agrícola</v>
      </c>
      <c r="E529" t="str">
        <f>VLOOKUP(A529,DataUsuario!B:D,3,FALSE)</f>
        <v>Fundo San Vicente</v>
      </c>
    </row>
    <row r="530" spans="1:5" x14ac:dyDescent="0.3">
      <c r="A530" s="153" t="s">
        <v>267</v>
      </c>
      <c r="B530" t="s">
        <v>4</v>
      </c>
      <c r="C530" s="155">
        <v>4</v>
      </c>
      <c r="D530" t="str">
        <f>VLOOKUP(A530,DataUsuario!B:D,2,FALSE)</f>
        <v>Agrícola</v>
      </c>
      <c r="E530" t="str">
        <f>VLOOKUP(A530,DataUsuario!B:D,3,FALSE)</f>
        <v>Fundo Montelima</v>
      </c>
    </row>
    <row r="531" spans="1:5" x14ac:dyDescent="0.3">
      <c r="A531" s="156" t="s">
        <v>212</v>
      </c>
      <c r="B531" t="s">
        <v>4</v>
      </c>
      <c r="C531" s="158">
        <v>5</v>
      </c>
      <c r="D531" t="str">
        <f>VLOOKUP(A531,DataUsuario!B:D,2,FALSE)</f>
        <v>Agrícola</v>
      </c>
      <c r="E531" t="str">
        <f>VLOOKUP(A531,DataUsuario!B:D,3,FALSE)</f>
        <v>Fundo La Huaca</v>
      </c>
    </row>
    <row r="532" spans="1:5" x14ac:dyDescent="0.3">
      <c r="A532" s="153" t="s">
        <v>316</v>
      </c>
      <c r="B532" t="s">
        <v>4</v>
      </c>
      <c r="C532" s="155">
        <v>5</v>
      </c>
      <c r="D532" t="str">
        <f>VLOOKUP(A532,DataUsuario!B:D,2,FALSE)</f>
        <v>Administración y Finanzas</v>
      </c>
      <c r="E532" t="str">
        <f>VLOOKUP(A532,DataUsuario!B:D,3,FALSE)</f>
        <v>Control de Gestión</v>
      </c>
    </row>
    <row r="533" spans="1:5" x14ac:dyDescent="0.3">
      <c r="A533" s="156" t="s">
        <v>363</v>
      </c>
      <c r="B533" t="s">
        <v>4</v>
      </c>
      <c r="C533" s="158">
        <v>4</v>
      </c>
      <c r="D533" t="str">
        <f>VLOOKUP(A533,DataUsuario!B:D,2,FALSE)</f>
        <v>Agrícola</v>
      </c>
      <c r="E533" t="str">
        <f>VLOOKUP(A533,DataUsuario!B:D,3,FALSE)</f>
        <v>Planificador Agrícola</v>
      </c>
    </row>
    <row r="534" spans="1:5" x14ac:dyDescent="0.3">
      <c r="A534" s="153" t="s">
        <v>260</v>
      </c>
      <c r="B534" t="s">
        <v>4</v>
      </c>
      <c r="C534" s="155">
        <v>4</v>
      </c>
      <c r="D534" t="str">
        <f>VLOOKUP(A534,DataUsuario!B:D,2,FALSE)</f>
        <v>Administración y Finanzas</v>
      </c>
      <c r="E534" t="str">
        <f>VLOOKUP(A534,DataUsuario!B:D,3,FALSE)</f>
        <v>Compras</v>
      </c>
    </row>
    <row r="535" spans="1:5" x14ac:dyDescent="0.3">
      <c r="A535" s="156" t="s">
        <v>303</v>
      </c>
      <c r="B535" t="s">
        <v>4</v>
      </c>
      <c r="C535" s="158">
        <v>5</v>
      </c>
      <c r="D535" t="str">
        <f>VLOOKUP(A535,DataUsuario!B:D,2,FALSE)</f>
        <v>Gestión Humana y Sostenibilidad</v>
      </c>
      <c r="E535" t="str">
        <f>VLOOKUP(A535,DataUsuario!B:D,3,FALSE)</f>
        <v>Gerencia Gestión Humana y Sostenibilidad</v>
      </c>
    </row>
    <row r="536" spans="1:5" x14ac:dyDescent="0.3">
      <c r="A536" s="153" t="s">
        <v>314</v>
      </c>
      <c r="B536" t="s">
        <v>4</v>
      </c>
      <c r="C536" s="155">
        <v>5</v>
      </c>
      <c r="D536" t="str">
        <f>VLOOKUP(A536,DataUsuario!B:D,2,FALSE)</f>
        <v>Administración y Finanzas</v>
      </c>
      <c r="E536" t="str">
        <f>VLOOKUP(A536,DataUsuario!B:D,3,FALSE)</f>
        <v>Contabilidad Tributaria</v>
      </c>
    </row>
    <row r="537" spans="1:5" x14ac:dyDescent="0.3">
      <c r="A537" s="156" t="s">
        <v>436</v>
      </c>
      <c r="B537" t="s">
        <v>4</v>
      </c>
      <c r="C537" s="158">
        <v>4</v>
      </c>
      <c r="D537" t="str">
        <f>VLOOKUP(A537,DataUsuario!B:D,2,FALSE)</f>
        <v>Operaciones</v>
      </c>
      <c r="E537" t="str">
        <f>VLOOKUP(A537,DataUsuario!B:D,3,FALSE)</f>
        <v>Cosecha</v>
      </c>
    </row>
    <row r="538" spans="1:5" x14ac:dyDescent="0.3">
      <c r="A538" s="153" t="s">
        <v>537</v>
      </c>
      <c r="B538" t="s">
        <v>4</v>
      </c>
      <c r="C538" s="155" t="s">
        <v>587</v>
      </c>
      <c r="D538" t="str">
        <f>VLOOKUP(A538,DataUsuario!B:D,2,FALSE)</f>
        <v>Administración y Finanzas</v>
      </c>
      <c r="E538" t="str">
        <f>VLOOKUP(A538,DataUsuario!B:D,3,FALSE)</f>
        <v>Finanzas y Tesorería</v>
      </c>
    </row>
    <row r="539" spans="1:5" x14ac:dyDescent="0.3">
      <c r="A539" s="156" t="s">
        <v>402</v>
      </c>
      <c r="B539" t="s">
        <v>4</v>
      </c>
      <c r="C539" s="158">
        <v>4</v>
      </c>
      <c r="D539" t="str">
        <f>VLOOKUP(A539,DataUsuario!B:D,2,FALSE)</f>
        <v>Administración y Finanzas</v>
      </c>
      <c r="E539" t="str">
        <f>VLOOKUP(A539,DataUsuario!B:D,3,FALSE)</f>
        <v>Contabilidad Tributaria</v>
      </c>
    </row>
    <row r="540" spans="1:5" x14ac:dyDescent="0.3">
      <c r="A540" s="153" t="s">
        <v>87</v>
      </c>
      <c r="B540" t="s">
        <v>4</v>
      </c>
      <c r="C540" s="155" t="s">
        <v>587</v>
      </c>
      <c r="D540" t="str">
        <f>VLOOKUP(A540,DataUsuario!B:D,2,FALSE)</f>
        <v>Administración y Finanzas</v>
      </c>
      <c r="E540" t="str">
        <f>VLOOKUP(A540,DataUsuario!B:D,3,FALSE)</f>
        <v>Compras</v>
      </c>
    </row>
    <row r="541" spans="1:5" x14ac:dyDescent="0.3">
      <c r="A541" s="156" t="s">
        <v>202</v>
      </c>
      <c r="B541" t="s">
        <v>4</v>
      </c>
      <c r="C541" s="158">
        <v>5</v>
      </c>
      <c r="D541" t="str">
        <f>VLOOKUP(A541,DataUsuario!B:D,2,FALSE)</f>
        <v>Agrícola</v>
      </c>
      <c r="E541" t="str">
        <f>VLOOKUP(A541,DataUsuario!B:D,3,FALSE)</f>
        <v>Mantenimiento de Riego y Bombas</v>
      </c>
    </row>
    <row r="542" spans="1:5" x14ac:dyDescent="0.3">
      <c r="A542" s="153" t="s">
        <v>323</v>
      </c>
      <c r="B542" t="s">
        <v>4</v>
      </c>
      <c r="C542" s="155">
        <v>3</v>
      </c>
      <c r="D542" t="str">
        <f>VLOOKUP(A542,DataUsuario!B:D,2,FALSE)</f>
        <v>Operaciones</v>
      </c>
      <c r="E542" t="str">
        <f>VLOOKUP(A542,DataUsuario!B:D,3,FALSE)</f>
        <v>Mantenimiento CAT</v>
      </c>
    </row>
    <row r="543" spans="1:5" x14ac:dyDescent="0.3">
      <c r="A543" s="156" t="s">
        <v>393</v>
      </c>
      <c r="B543" t="s">
        <v>4</v>
      </c>
      <c r="C543" s="158">
        <v>5</v>
      </c>
      <c r="D543" t="str">
        <f>VLOOKUP(A543,DataUsuario!B:D,2,FALSE)</f>
        <v>Industrial y de Mantenimiento</v>
      </c>
      <c r="E543" t="str">
        <f>VLOOKUP(A543,DataUsuario!B:D,3,FALSE)</f>
        <v>Gerencia industrial y de Mantenimiento</v>
      </c>
    </row>
    <row r="544" spans="1:5" x14ac:dyDescent="0.3">
      <c r="A544" s="153" t="s">
        <v>539</v>
      </c>
      <c r="B544" t="s">
        <v>4</v>
      </c>
      <c r="C544" s="155">
        <v>5</v>
      </c>
      <c r="D544" t="str">
        <f>VLOOKUP(A544,DataUsuario!B:D,2,FALSE)</f>
        <v>Industrial y de Mantenimiento</v>
      </c>
      <c r="E544" t="str">
        <f>VLOOKUP(A544,DataUsuario!B:D,3,FALSE)</f>
        <v>Mantenimiento Industrial</v>
      </c>
    </row>
    <row r="545" spans="1:5" x14ac:dyDescent="0.3">
      <c r="A545" s="156" t="s">
        <v>327</v>
      </c>
      <c r="B545" t="s">
        <v>4</v>
      </c>
      <c r="C545" s="158">
        <v>5</v>
      </c>
      <c r="D545" t="str">
        <f>VLOOKUP(A545,DataUsuario!B:D,2,FALSE)</f>
        <v>Industrial y de Mantenimiento</v>
      </c>
      <c r="E545" t="str">
        <f>VLOOKUP(A545,DataUsuario!B:D,3,FALSE)</f>
        <v>Mantenimiento Industrial</v>
      </c>
    </row>
    <row r="546" spans="1:5" x14ac:dyDescent="0.3">
      <c r="A546" s="153" t="s">
        <v>542</v>
      </c>
      <c r="B546" t="s">
        <v>4</v>
      </c>
      <c r="C546" s="155">
        <v>5</v>
      </c>
      <c r="D546" t="str">
        <f>VLOOKUP(A546,DataUsuario!B:D,2,FALSE)</f>
        <v>Gestión Humana y Sostenibilidad</v>
      </c>
      <c r="E546" t="str">
        <f>VLOOKUP(A546,DataUsuario!B:D,3,FALSE)</f>
        <v>Seguridad</v>
      </c>
    </row>
    <row r="547" spans="1:5" x14ac:dyDescent="0.3">
      <c r="A547" s="156" t="s">
        <v>398</v>
      </c>
      <c r="B547" t="s">
        <v>4</v>
      </c>
      <c r="C547" s="158">
        <v>4</v>
      </c>
      <c r="D547" t="str">
        <f>VLOOKUP(A547,DataUsuario!B:D,2,FALSE)</f>
        <v>Agrícola</v>
      </c>
      <c r="E547" t="str">
        <f>VLOOKUP(A547,DataUsuario!B:D,3,FALSE)</f>
        <v>Fundo Lobo</v>
      </c>
    </row>
    <row r="548" spans="1:5" x14ac:dyDescent="0.3">
      <c r="A548" s="153" t="s">
        <v>384</v>
      </c>
      <c r="B548" t="s">
        <v>4</v>
      </c>
      <c r="C548" s="155">
        <v>4</v>
      </c>
      <c r="D548" t="str">
        <f>VLOOKUP(A548,DataUsuario!B:D,2,FALSE)</f>
        <v>Agrícola</v>
      </c>
      <c r="E548" t="str">
        <f>VLOOKUP(A548,DataUsuario!B:D,3,FALSE)</f>
        <v>Sistema Integral de Gestión</v>
      </c>
    </row>
    <row r="549" spans="1:5" x14ac:dyDescent="0.3">
      <c r="A549" s="156" t="s">
        <v>308</v>
      </c>
      <c r="B549" t="s">
        <v>4</v>
      </c>
      <c r="C549" s="158">
        <v>4</v>
      </c>
      <c r="D549" t="str">
        <f>VLOOKUP(A549,DataUsuario!B:D,2,FALSE)</f>
        <v>Administración y Finanzas</v>
      </c>
      <c r="E549" t="str">
        <f>VLOOKUP(A549,DataUsuario!B:D,3,FALSE)</f>
        <v>Compras</v>
      </c>
    </row>
    <row r="550" spans="1:5" x14ac:dyDescent="0.3">
      <c r="A550" s="153" t="s">
        <v>162</v>
      </c>
      <c r="B550" t="s">
        <v>4</v>
      </c>
      <c r="C550" s="155">
        <v>4</v>
      </c>
      <c r="D550" t="str">
        <f>VLOOKUP(A550,DataUsuario!B:D,2,FALSE)</f>
        <v>Industrial y de Mantenimiento</v>
      </c>
      <c r="E550" t="str">
        <f>VLOOKUP(A550,DataUsuario!B:D,3,FALSE)</f>
        <v>Mantenimiento Industrial</v>
      </c>
    </row>
    <row r="551" spans="1:5" x14ac:dyDescent="0.3">
      <c r="A551" s="156" t="s">
        <v>137</v>
      </c>
      <c r="B551" t="s">
        <v>4</v>
      </c>
      <c r="C551" s="158">
        <v>4</v>
      </c>
      <c r="D551" t="str">
        <f>VLOOKUP(A551,DataUsuario!B:D,2,FALSE)</f>
        <v>Agrícola</v>
      </c>
      <c r="E551" t="str">
        <f>VLOOKUP(A551,DataUsuario!B:D,3,FALSE)</f>
        <v>Mantenimiento de Riego y Bombas</v>
      </c>
    </row>
    <row r="552" spans="1:5" x14ac:dyDescent="0.3">
      <c r="A552" s="153" t="s">
        <v>240</v>
      </c>
      <c r="B552" t="s">
        <v>4</v>
      </c>
      <c r="C552" s="155">
        <v>5</v>
      </c>
      <c r="D552" t="str">
        <f>VLOOKUP(A552,DataUsuario!B:D,2,FALSE)</f>
        <v>Agrícola</v>
      </c>
      <c r="E552" t="str">
        <f>VLOOKUP(A552,DataUsuario!B:D,3,FALSE)</f>
        <v>Fundo Lobo</v>
      </c>
    </row>
    <row r="553" spans="1:5" x14ac:dyDescent="0.3">
      <c r="A553" s="156" t="s">
        <v>158</v>
      </c>
      <c r="B553" t="s">
        <v>4</v>
      </c>
      <c r="C553" s="158">
        <v>4</v>
      </c>
      <c r="D553" t="str">
        <f>VLOOKUP(A553,DataUsuario!B:D,2,FALSE)</f>
        <v>Industrial y de Mantenimiento</v>
      </c>
      <c r="E553" t="str">
        <f>VLOOKUP(A553,DataUsuario!B:D,3,FALSE)</f>
        <v>Producción</v>
      </c>
    </row>
    <row r="554" spans="1:5" x14ac:dyDescent="0.3">
      <c r="A554" s="153" t="s">
        <v>544</v>
      </c>
      <c r="B554" t="s">
        <v>4</v>
      </c>
      <c r="C554" s="155">
        <v>5</v>
      </c>
      <c r="D554" t="str">
        <f>VLOOKUP(A554,DataUsuario!B:D,2,FALSE)</f>
        <v>Agrícola</v>
      </c>
      <c r="E554" t="str">
        <f>VLOOKUP(A554,DataUsuario!B:D,3,FALSE)</f>
        <v>Fundo San Vicente</v>
      </c>
    </row>
    <row r="555" spans="1:5" x14ac:dyDescent="0.3">
      <c r="A555" s="156" t="s">
        <v>312</v>
      </c>
      <c r="B555" t="s">
        <v>4</v>
      </c>
      <c r="C555" s="158">
        <v>4</v>
      </c>
      <c r="D555" t="str">
        <f>VLOOKUP(A555,DataUsuario!B:D,2,FALSE)</f>
        <v>Administración y Finanzas</v>
      </c>
      <c r="E555" t="str">
        <f>VLOOKUP(A555,DataUsuario!B:D,3,FALSE)</f>
        <v>Legal</v>
      </c>
    </row>
    <row r="556" spans="1:5" x14ac:dyDescent="0.3">
      <c r="A556" s="153" t="s">
        <v>452</v>
      </c>
      <c r="B556" t="s">
        <v>4</v>
      </c>
      <c r="C556" s="155" t="s">
        <v>587</v>
      </c>
      <c r="D556" t="str">
        <f>VLOOKUP(A556,DataUsuario!B:D,2,FALSE)</f>
        <v>Gestión Humana y Sostenibilidad</v>
      </c>
      <c r="E556" t="str">
        <f>VLOOKUP(A556,DataUsuario!B:D,3,FALSE)</f>
        <v>Compensación y Nóminas</v>
      </c>
    </row>
    <row r="557" spans="1:5" x14ac:dyDescent="0.3">
      <c r="A557" s="156" t="s">
        <v>179</v>
      </c>
      <c r="B557" t="s">
        <v>4</v>
      </c>
      <c r="C557" s="158">
        <v>4</v>
      </c>
      <c r="D557" t="str">
        <f>VLOOKUP(A557,DataUsuario!B:D,2,FALSE)</f>
        <v>Operaciones</v>
      </c>
      <c r="E557" t="str">
        <f>VLOOKUP(A557,DataUsuario!B:D,3,FALSE)</f>
        <v>Mantenimiento CAT</v>
      </c>
    </row>
    <row r="558" spans="1:5" x14ac:dyDescent="0.3">
      <c r="A558" s="153" t="s">
        <v>151</v>
      </c>
      <c r="B558" t="s">
        <v>4</v>
      </c>
      <c r="C558" s="155">
        <v>4</v>
      </c>
      <c r="D558" t="str">
        <f>VLOOKUP(A558,DataUsuario!B:D,2,FALSE)</f>
        <v>Operaciones</v>
      </c>
      <c r="E558" t="str">
        <f>VLOOKUP(A558,DataUsuario!B:D,3,FALSE)</f>
        <v>Transporte</v>
      </c>
    </row>
    <row r="559" spans="1:5" x14ac:dyDescent="0.3">
      <c r="A559" s="156" t="s">
        <v>406</v>
      </c>
      <c r="B559" t="s">
        <v>4</v>
      </c>
      <c r="C559" s="158">
        <v>5</v>
      </c>
      <c r="D559" t="str">
        <f>VLOOKUP(A559,DataUsuario!B:D,2,FALSE)</f>
        <v>Administración y Finanzas</v>
      </c>
      <c r="E559" t="str">
        <f>VLOOKUP(A559,DataUsuario!B:D,3,FALSE)</f>
        <v>Finanzas y Tesorería</v>
      </c>
    </row>
    <row r="560" spans="1:5" x14ac:dyDescent="0.3">
      <c r="A560" s="153" t="s">
        <v>301</v>
      </c>
      <c r="B560" t="s">
        <v>4</v>
      </c>
      <c r="C560" s="155">
        <v>5</v>
      </c>
      <c r="D560" t="str">
        <f>VLOOKUP(A560,DataUsuario!B:D,2,FALSE)</f>
        <v>Agrícola</v>
      </c>
      <c r="E560" t="str">
        <f>VLOOKUP(A560,DataUsuario!B:D,3,FALSE)</f>
        <v>Mantenimiento de Riego y Bombas</v>
      </c>
    </row>
    <row r="561" spans="1:5" x14ac:dyDescent="0.3">
      <c r="A561" s="156" t="s">
        <v>95</v>
      </c>
      <c r="B561" t="s">
        <v>4</v>
      </c>
      <c r="C561" s="158">
        <v>5</v>
      </c>
      <c r="D561" t="str">
        <f>VLOOKUP(A561,DataUsuario!B:D,2,FALSE)</f>
        <v>Agrícola</v>
      </c>
      <c r="E561" t="str">
        <f>VLOOKUP(A561,DataUsuario!B:D,3,FALSE)</f>
        <v>Fundo Lobo</v>
      </c>
    </row>
    <row r="562" spans="1:5" x14ac:dyDescent="0.3">
      <c r="A562" s="153" t="s">
        <v>360</v>
      </c>
      <c r="B562" t="s">
        <v>4</v>
      </c>
      <c r="C562" s="155">
        <v>5</v>
      </c>
      <c r="D562" t="str">
        <f>VLOOKUP(A562,DataUsuario!B:D,2,FALSE)</f>
        <v>Operaciones</v>
      </c>
      <c r="E562" t="str">
        <f>VLOOKUP(A562,DataUsuario!B:D,3,FALSE)</f>
        <v>Almacenes y Distribución PT</v>
      </c>
    </row>
    <row r="563" spans="1:5" x14ac:dyDescent="0.3">
      <c r="A563" s="156" t="s">
        <v>109</v>
      </c>
      <c r="B563" t="s">
        <v>4</v>
      </c>
      <c r="C563" s="158">
        <v>5</v>
      </c>
      <c r="D563" t="str">
        <f>VLOOKUP(A563,DataUsuario!B:D,2,FALSE)</f>
        <v>Operaciones</v>
      </c>
      <c r="E563" t="str">
        <f>VLOOKUP(A563,DataUsuario!B:D,3,FALSE)</f>
        <v>Almacenes y Distribución PT</v>
      </c>
    </row>
    <row r="564" spans="1:5" x14ac:dyDescent="0.3">
      <c r="A564" s="153" t="s">
        <v>287</v>
      </c>
      <c r="B564" t="s">
        <v>4</v>
      </c>
      <c r="C564" s="155">
        <v>4</v>
      </c>
      <c r="D564" t="str">
        <f>VLOOKUP(A564,DataUsuario!B:D,2,FALSE)</f>
        <v>Administración y Finanzas</v>
      </c>
      <c r="E564" t="str">
        <f>VLOOKUP(A564,DataUsuario!B:D,3,FALSE)</f>
        <v>Compras</v>
      </c>
    </row>
    <row r="565" spans="1:5" x14ac:dyDescent="0.3">
      <c r="A565" s="156" t="s">
        <v>130</v>
      </c>
      <c r="B565" t="s">
        <v>4</v>
      </c>
      <c r="C565" s="158">
        <v>4</v>
      </c>
      <c r="D565" t="str">
        <f>VLOOKUP(A565,DataUsuario!B:D,2,FALSE)</f>
        <v>Administración y Finanzas</v>
      </c>
      <c r="E565" t="str">
        <f>VLOOKUP(A565,DataUsuario!B:D,3,FALSE)</f>
        <v>Gerencia Administración y Finanzas</v>
      </c>
    </row>
    <row r="566" spans="1:5" x14ac:dyDescent="0.3">
      <c r="A566" s="153" t="s">
        <v>106</v>
      </c>
      <c r="B566" t="s">
        <v>4</v>
      </c>
      <c r="C566" s="155">
        <v>5</v>
      </c>
      <c r="D566" t="str">
        <f>VLOOKUP(A566,DataUsuario!B:D,2,FALSE)</f>
        <v>Gestión Humana y Sostenibilidad</v>
      </c>
      <c r="E566" t="str">
        <f>VLOOKUP(A566,DataUsuario!B:D,3,FALSE)</f>
        <v>Gestor de Recursos Humanos</v>
      </c>
    </row>
    <row r="567" spans="1:5" x14ac:dyDescent="0.3">
      <c r="A567" s="156" t="s">
        <v>258</v>
      </c>
      <c r="B567" t="s">
        <v>4</v>
      </c>
      <c r="C567" s="158">
        <v>4</v>
      </c>
      <c r="D567" t="str">
        <f>VLOOKUP(A567,DataUsuario!B:D,2,FALSE)</f>
        <v>Industrial y de Mantenimiento</v>
      </c>
      <c r="E567" t="str">
        <f>VLOOKUP(A567,DataUsuario!B:D,3,FALSE)</f>
        <v>Mantenimiento Industrial</v>
      </c>
    </row>
    <row r="568" spans="1:5" x14ac:dyDescent="0.3">
      <c r="A568" s="153" t="s">
        <v>160</v>
      </c>
      <c r="B568" t="s">
        <v>4</v>
      </c>
      <c r="C568" s="155">
        <v>5</v>
      </c>
      <c r="D568" t="str">
        <f>VLOOKUP(A568,DataUsuario!B:D,2,FALSE)</f>
        <v>Operaciones</v>
      </c>
      <c r="E568" t="str">
        <f>VLOOKUP(A568,DataUsuario!B:D,3,FALSE)</f>
        <v>Almacenes y Distribución PT</v>
      </c>
    </row>
    <row r="569" spans="1:5" x14ac:dyDescent="0.3">
      <c r="A569" s="156" t="s">
        <v>376</v>
      </c>
      <c r="B569" t="s">
        <v>4</v>
      </c>
      <c r="C569" s="158">
        <v>5</v>
      </c>
      <c r="D569" t="str">
        <f>VLOOKUP(A569,DataUsuario!B:D,2,FALSE)</f>
        <v>Agrícola</v>
      </c>
      <c r="E569" t="str">
        <f>VLOOKUP(A569,DataUsuario!B:D,3,FALSE)</f>
        <v>Fundo Lobo</v>
      </c>
    </row>
    <row r="570" spans="1:5" x14ac:dyDescent="0.3">
      <c r="A570" s="153" t="s">
        <v>380</v>
      </c>
      <c r="B570" t="s">
        <v>4</v>
      </c>
      <c r="C570" s="155">
        <v>4</v>
      </c>
      <c r="D570" t="str">
        <f>VLOOKUP(A570,DataUsuario!B:D,2,FALSE)</f>
        <v>Operaciones</v>
      </c>
      <c r="E570" t="str">
        <f>VLOOKUP(A570,DataUsuario!B:D,3,FALSE)</f>
        <v>Cosecha</v>
      </c>
    </row>
    <row r="571" spans="1:5" x14ac:dyDescent="0.3">
      <c r="A571" s="161" t="s">
        <v>125</v>
      </c>
      <c r="B571" t="s">
        <v>4</v>
      </c>
      <c r="C571" s="163">
        <v>4</v>
      </c>
      <c r="D571" t="str">
        <f>VLOOKUP(A571,DataUsuario!B:D,2,FALSE)</f>
        <v>Agrícola</v>
      </c>
      <c r="E571" t="str">
        <f>VLOOKUP(A571,DataUsuario!B:D,3,FALSE)</f>
        <v>Fundo Lobo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DataUsuario</vt:lpstr>
      <vt:lpstr>EncuestaAreas</vt:lpstr>
      <vt:lpstr>UniversoAreas</vt:lpstr>
      <vt:lpstr>HistoricoAreas</vt:lpstr>
      <vt:lpstr>Paso1_RespuestasMicrosoftForms</vt:lpstr>
      <vt:lpstr>Estadística</vt:lpstr>
      <vt:lpstr>Paso2_Comentarios</vt:lpstr>
      <vt:lpstr>Paso3_Tabuleado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2024-11-30T12:20:03Z</dcterms:modified>
</cp:coreProperties>
</file>