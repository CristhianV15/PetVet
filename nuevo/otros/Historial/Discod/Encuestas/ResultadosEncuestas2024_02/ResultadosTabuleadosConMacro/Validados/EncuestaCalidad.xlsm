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CA16B406-72F8-42AF-BB1B-7EF6217BEE48}" xr6:coauthVersionLast="47" xr6:coauthVersionMax="47" xr10:uidLastSave="{00000000-0000-0000-0000-000000000000}"/>
  <bookViews>
    <workbookView xWindow="-108" yWindow="-108" windowWidth="23256" windowHeight="13896" firstSheet="7" activeTab="7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5" r:id="rId10"/>
    <sheet name="Graficos" sheetId="206" r:id="rId11"/>
  </sheets>
  <functionGroups builtInGroupCount="19"/>
  <definedNames>
    <definedName name="_xlnm._FilterDatabase" localSheetId="9" hidden="1">DataResumen!$A$36:$E$45</definedName>
  </definedNames>
  <calcPr calcId="191029"/>
  <pivotCaches>
    <pivotCache cacheId="349" r:id="rId12"/>
    <pivotCache cacheId="35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03" l="1"/>
  <c r="E2" i="203"/>
  <c r="D6" i="203"/>
  <c r="E6" i="203"/>
  <c r="D5" i="203"/>
  <c r="E5" i="203"/>
  <c r="D4" i="203"/>
  <c r="E4" i="203"/>
  <c r="D7" i="203"/>
  <c r="E7" i="203"/>
  <c r="D8" i="203"/>
  <c r="E8" i="203"/>
  <c r="D9" i="203"/>
  <c r="E9" i="203"/>
  <c r="D3" i="203"/>
  <c r="E3" i="203"/>
  <c r="D10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E425" i="203"/>
  <c r="E426" i="203"/>
  <c r="E427" i="203"/>
  <c r="E428" i="203"/>
  <c r="E429" i="203"/>
  <c r="E430" i="203"/>
  <c r="E431" i="203"/>
  <c r="E432" i="203"/>
  <c r="E433" i="203"/>
  <c r="E434" i="203"/>
  <c r="E435" i="203"/>
  <c r="E436" i="203"/>
  <c r="E437" i="203"/>
  <c r="E438" i="203"/>
  <c r="E439" i="203"/>
  <c r="E440" i="203"/>
  <c r="E441" i="203"/>
  <c r="E442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D425" i="203"/>
  <c r="D426" i="203"/>
  <c r="D427" i="203"/>
  <c r="D428" i="203"/>
  <c r="D429" i="203"/>
  <c r="D430" i="203"/>
  <c r="D431" i="203"/>
  <c r="D432" i="203"/>
  <c r="D433" i="203"/>
  <c r="D434" i="203"/>
  <c r="D435" i="203"/>
  <c r="D436" i="203"/>
  <c r="D437" i="203"/>
  <c r="D438" i="203"/>
  <c r="D439" i="203"/>
  <c r="D440" i="203"/>
  <c r="D441" i="203"/>
  <c r="D442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S35" i="200" l="1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<sst xmlns="http://schemas.openxmlformats.org/spreadsheetml/2006/main" count="3728" uniqueCount="642">
  <si>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</si>
  <si>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</si>
  <si>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</si>
  <si>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</si>
  <si>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</si>
  <si>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</si>
  <si>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</si>
  <si>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</si>
  <si>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</si>
  <si>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</si>
  <si>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</si>
  <si>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</si>
  <si>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</si>
  <si>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</si>
  <si>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</si>
  <si>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</si>
  <si>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</si>
  <si>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</si>
  <si>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</si>
  <si>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</si>
  <si>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</si>
  <si>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</si>
  <si>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</si>
  <si>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</si>
  <si>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</si>
  <si>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</si>
  <si>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</si>
  <si>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</si>
  <si>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</si>
  <si>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</si>
  <si>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</si>
  <si>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</si>
  <si>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</si>
  <si>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</si>
  <si>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</si>
  <si>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</si>
  <si>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</si>
  <si>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</si>
  <si>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</si>
  <si>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</si>
  <si>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</si>
  <si>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</si>
  <si>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</si>
  <si>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</si>
  <si>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</si>
  <si>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</si>
  <si>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</si>
  <si>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</si>
  <si>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</si>
  <si>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</si>
  <si>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</si>
  <si>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</si>
  <si>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</si>
  <si>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</si>
  <si>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</si>
  <si>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</si>
  <si>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</si>
  <si>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</si>
  <si>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</si>
  <si>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</si>
  <si>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</si>
  <si>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</si>
  <si>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</si>
  <si>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</si>
  <si>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</si>
  <si>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</si>
  <si>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</si>
  <si>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</si>
  <si>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</si>
  <si>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</si>
  <si>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</si>
  <si>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</si>
  <si>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</si>
  <si>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</si>
  <si>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</si>
  <si>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</si>
  <si>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</si>
  <si>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</si>
  <si>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</si>
  <si>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</si>
  <si>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</si>
  <si>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</si>
  <si>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</si>
  <si>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</si>
  <si>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</si>
  <si>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</si>
  <si>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</si>
  <si>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</si>
  <si>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</si>
  <si>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</si>
  <si>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</si>
  <si>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</si>
  <si>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</si>
  <si>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</si>
  <si>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</si>
  <si>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</si>
  <si>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</si>
  <si>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</si>
  <si>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</si>
  <si>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</si>
  <si>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</si>
  <si>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</si>
  <si>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</si>
  <si>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</si>
  <si>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</si>
  <si>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</si>
  <si>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</si>
  <si>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</si>
  <si>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</si>
  <si>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</si>
  <si>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</si>
  <si>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</si>
  <si>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</si>
  <si>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</si>
  <si>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</si>
  <si>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</si>
  <si>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</si>
  <si>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</si>
  <si>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</si>
  <si>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</si>
  <si>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</si>
  <si>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</si>
  <si>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</si>
  <si>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</si>
  <si>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</si>
  <si>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</si>
  <si>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</si>
  <si>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</si>
  <si>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</si>
  <si>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</si>
  <si>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</si>
  <si>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</si>
  <si>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</si>
  <si>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</si>
  <si>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</si>
  <si>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</si>
  <si>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</si>
  <si>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</si>
  <si>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</si>
  <si>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</si>
  <si>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</si>
  <si>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</si>
  <si>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</si>
  <si>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</si>
  <si>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</si>
  <si>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</si>
  <si>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</si>
  <si>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</si>
  <si>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</si>
  <si>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</si>
  <si>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</si>
  <si>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</si>
  <si>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</si>
  <si>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</si>
  <si>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</si>
  <si>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</si>
  <si>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</si>
  <si>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</si>
  <si>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</si>
  <si>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</si>
  <si>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</si>
  <si>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</si>
  <si>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</si>
  <si>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</si>
  <si>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</si>
  <si>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</si>
  <si>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</si>
  <si>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</si>
  <si>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</si>
  <si>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</si>
  <si>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</si>
  <si>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</si>
  <si>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</si>
  <si>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</si>
  <si>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</si>
  <si>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</si>
  <si>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</si>
  <si>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</si>
  <si>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</si>
  <si>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</si>
  <si>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</si>
  <si>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</si>
  <si>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</si>
  <si>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</si>
  <si>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</si>
  <si>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</si>
  <si>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</si>
  <si>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</si>
  <si>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</si>
  <si>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</si>
  <si>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</si>
  <si>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</si>
  <si>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</si>
  <si>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</si>
  <si>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</si>
  <si>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</si>
  <si>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</si>
  <si>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</si>
  <si>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</si>
  <si>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</si>
  <si>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</si>
  <si>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</si>
  <si>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</si>
  <si>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</si>
  <si>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</si>
  <si>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</si>
  <si>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</si>
  <si>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</si>
  <si>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</si>
  <si>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</si>
  <si>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</si>
  <si>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</si>
  <si>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</si>
  <si>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</si>
  <si>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</si>
  <si>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</si>
  <si>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</si>
  <si>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</si>
  <si>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</si>
  <si>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</si>
  <si>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</si>
  <si>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</si>
  <si>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</si>
  <si>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</si>
  <si>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</si>
  <si>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</si>
  <si>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</si>
  <si>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</si>
  <si>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</si>
  <si>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</si>
  <si>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</si>
  <si>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</si>
  <si>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</si>
  <si>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</si>
  <si>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</si>
  <si>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</si>
  <si>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</si>
  <si>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</si>
  <si>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</si>
  <si>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</si>
  <si>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</si>
  <si>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</si>
  <si>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</si>
  <si>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</si>
  <si>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</si>
  <si>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</si>
  <si>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</si>
  <si>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</si>
  <si>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</si>
  <si>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</si>
  <si>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</si>
  <si>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</si>
  <si>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</si>
  <si>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</si>
  <si>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</si>
  <si>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</si>
  <si>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</si>
  <si>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</si>
  <si>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</si>
  <si>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</si>
  <si>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</si>
  <si>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</si>
  <si>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</si>
  <si>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</si>
  <si>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</si>
  <si>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</si>
  <si>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</si>
  <si>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</si>
  <si>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</si>
  <si>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</si>
  <si>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</si>
  <si>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</si>
  <si>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</si>
  <si>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</si>
  <si>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</si>
  <si>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</si>
  <si>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</si>
  <si>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</si>
  <si>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</si>
  <si>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</si>
  <si>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</si>
  <si>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</si>
  <si>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</si>
  <si>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</si>
  <si>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</si>
  <si>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</si>
  <si>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</si>
  <si>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</si>
  <si>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</si>
  <si>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</si>
  <si>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</si>
  <si>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</si>
  <si>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</si>
  <si>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</si>
  <si>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</si>
  <si>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</si>
  <si>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</si>
  <si>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</si>
  <si>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</si>
  <si>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</si>
  <si>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</si>
  <si>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</si>
  <si>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</si>
  <si>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</si>
  <si>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</si>
  <si>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</si>
  <si>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</si>
  <si>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</si>
  <si>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</si>
  <si>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</si>
  <si>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</si>
  <si>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</si>
  <si>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</si>
  <si>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</si>
  <si>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</si>
  <si>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</si>
  <si>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</si>
  <si>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</si>
  <si>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</si>
  <si>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</si>
  <si>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</si>
  <si>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</si>
  <si>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</si>
  <si>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</si>
  <si>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</si>
  <si>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</si>
  <si>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</si>
  <si>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</si>
  <si>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</si>
  <si>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</si>
  <si>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</si>
  <si>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</si>
  <si>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</si>
  <si>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</si>
  <si>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</si>
  <si>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</si>
  <si>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</si>
  <si>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</si>
  <si>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</si>
  <si>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</si>
  <si>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</si>
  <si>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</si>
  <si>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</si>
  <si>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</si>
  <si>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</si>
  <si>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</si>
  <si>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</si>
  <si>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</si>
  <si>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</si>
  <si>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</si>
  <si>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</si>
  <si>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</si>
  <si>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</si>
  <si>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</si>
  <si>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</si>
  <si>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</si>
  <si>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</si>
  <si>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</si>
  <si>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</si>
  <si>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</si>
  <si>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</si>
  <si>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</si>
  <si>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</si>
  <si>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</si>
  <si>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</si>
  <si>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</si>
  <si>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</si>
  <si>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</si>
  <si>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</si>
  <si>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</si>
  <si>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</si>
  <si>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</si>
  <si>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</si>
  <si>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</si>
  <si>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</si>
  <si>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</si>
  <si>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</si>
  <si>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</si>
  <si>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</si>
  <si>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</si>
  <si>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</si>
  <si>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</si>
  <si>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</si>
  <si>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</si>
  <si>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</si>
  <si>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</si>
  <si>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</si>
  <si>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</si>
  <si>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</si>
  <si>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</si>
  <si>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</si>
  <si>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</si>
  <si>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</si>
  <si>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</si>
  <si>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</si>
  <si>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</si>
  <si>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</si>
  <si>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</si>
  <si>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</si>
  <si>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</si>
  <si>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</si>
  <si>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</si>
  <si>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</si>
  <si>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</si>
  <si>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</si>
  <si>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</si>
  <si>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</si>
  <si>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</si>
  <si>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</si>
  <si>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</si>
  <si>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</si>
  <si>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</si>
  <si>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</si>
  <si>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</si>
  <si>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</si>
  <si>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</si>
  <si>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</si>
  <si>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</si>
  <si>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</si>
  <si>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</si>
  <si>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</si>
  <si>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</si>
  <si>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</si>
  <si>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</si>
  <si>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</si>
  <si>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</si>
  <si>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</si>
  <si>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</si>
  <si>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</si>
  <si>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</si>
  <si>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</si>
  <si>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</si>
  <si>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</si>
  <si>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</si>
  <si>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</si>
  <si>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</si>
  <si>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</si>
  <si>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</si>
  <si>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</si>
  <si>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</si>
  <si>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</si>
  <si>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</si>
  <si>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</si>
  <si>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</si>
  <si>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</si>
  <si>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</si>
  <si>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</si>
  <si>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</si>
  <si>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</si>
  <si>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</si>
  <si>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</si>
  <si>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</si>
  <si>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</si>
  <si>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</si>
  <si>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</si>
  <si>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</si>
  <si>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</si>
  <si>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</si>
  <si>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</si>
  <si>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</si>
  <si>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</si>
  <si>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</si>
  <si>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</si>
  <si>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</si>
  <si>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</si>
  <si>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</si>
  <si>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</si>
  <si>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</si>
  <si>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</si>
  <si>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</si>
  <si>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</si>
  <si>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</si>
  <si>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</si>
  <si>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</si>
  <si>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</si>
  <si>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</si>
  <si>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</si>
  <si>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</si>
  <si>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</si>
  <si>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</si>
  <si>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</si>
  <si>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</si>
  <si>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</si>
  <si>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</si>
  <si>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</si>
  <si>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</si>
  <si>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</si>
  <si>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</si>
  <si>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</si>
  <si>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</si>
  <si>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</si>
  <si>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</si>
  <si>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</si>
  <si>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</si>
  <si>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</si>
  <si>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</si>
  <si>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</si>
  <si>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</si>
  <si>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</si>
  <si>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</si>
  <si>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</si>
  <si>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</si>
  <si>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</si>
  <si>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</si>
  <si>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</si>
  <si>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</si>
  <si>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</si>
  <si>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</si>
  <si>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</si>
  <si>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</si>
  <si>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</si>
  <si>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</si>
  <si>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</si>
  <si>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</si>
  <si>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</si>
  <si>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</si>
  <si>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</si>
  <si>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</si>
  <si>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</si>
  <si>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</si>
  <si>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</si>
  <si>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</si>
  <si>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</si>
  <si>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</si>
  <si>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</si>
  <si>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</si>
  <si>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</si>
  <si>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</si>
  <si>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</si>
  <si>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</si>
  <si>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</si>
  <si>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</si>
  <si>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</si>
  <si>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</si>
  <si>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</si>
  <si>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</si>
  <si>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</si>
  <si>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</si>
  <si>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</si>
  <si>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</si>
  <si>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</si>
  <si>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</si>
  <si>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</si>
  <si>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</si>
  <si>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</si>
  <si>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</si>
  <si>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</si>
  <si>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</si>
  <si>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</si>
  <si>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</si>
  <si>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</si>
  <si>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</si>
  <si>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</si>
  <si>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</si>
  <si>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</si>
  <si>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</si>
  <si>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</si>
  <si>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</si>
  <si>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</si>
  <si>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</si>
  <si>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</si>
  <si>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</si>
  <si>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</si>
  <si>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</si>
  <si>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</si>
  <si>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</si>
  <si>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</si>
  <si>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</si>
  <si>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</si>
  <si>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</si>
  <si>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</si>
  <si>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</si>
  <si>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</si>
  <si>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</si>
  <si>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</si>
  <si>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</si>
  <si>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</si>
  <si>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</si>
  <si>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</si>
  <si>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</si>
  <si>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</si>
  <si>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</si>
  <si>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</si>
  <si>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</si>
  <si>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</si>
  <si>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</si>
  <si>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</si>
  <si>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</si>
  <si>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</si>
  <si>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</si>
  <si>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</si>
  <si>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52</t>
  </si>
  <si>
    <t>6</t>
  </si>
  <si>
    <t>7</t>
  </si>
  <si>
    <t>8</t>
  </si>
  <si>
    <t>A modo general, ¿El área de calidad cumple con sus expectativas?¿Le gustaría realizar alguna   sugerencia o reclamo respecto a alguno de sus servicios? Coméntenos. </t>
  </si>
  <si>
    <t>No aplica</t>
  </si>
  <si>
    <t>Jene Fransheska Gómez Aparicio</t>
  </si>
  <si>
    <t>Personal muy amable, y un gran equipo.</t>
  </si>
  <si>
    <t>JCheroPa@agricolachira.com.pe</t>
  </si>
  <si>
    <t>buena area, nos aporta en la gestion de la calidad de manera oportuna, deberia tener mejor presupuesto para hacer mejores validaciones.</t>
  </si>
  <si>
    <t>Las personas con las que siempre coordinamos las liberaciones son bastante flexibles y siempre nos apoyan cuando lo necesitamos.</t>
  </si>
  <si>
    <t>Hay personal nuevo que falta capacitar y cuando realiza los analisis los hace mal. Este punto hay que mejorar. Muchas veces cuando se solicita un muestreo adicional, la respuesta es negativa.</t>
  </si>
  <si>
    <t>Un excelente equipo!</t>
  </si>
  <si>
    <t xml:space="preserve">Trabajar mayor capacitacion con el personal analista en la interpretación y emisión de resultados de los análisis cuando hay desviación o parámetro fuera de control 
Evaluar disminuir la frecuencia de análisis para mejorar los controles en la operación mejorando los rendimientos industriales </t>
  </si>
  <si>
    <t>Félix Adderly Atoche Maza</t>
  </si>
  <si>
    <t>RMarceloY@agricolachira.com.pe</t>
  </si>
  <si>
    <t xml:space="preserve">Si cumple sus expectativas , siempre con una buena comunicación y buen servicio. </t>
  </si>
  <si>
    <t>la atención es de forma oportuna</t>
  </si>
  <si>
    <t>ALachiraP@agricolachira.com.pe</t>
  </si>
  <si>
    <t>Siempre dispuestos a apoyar y brindar soporte en los diferentes casos relacionados al almacén de azúcar</t>
  </si>
  <si>
    <t>Excelente servicio y apoyo</t>
  </si>
  <si>
    <t>Felicitaciones al equipo de calidad, rescato y felicito las capacitaciones que se vienen dando a las áreas administrativas, lo que nos permite conocer mas de nuestra empresa y del trabajo que vienen realizando.</t>
  </si>
  <si>
    <t>BGonzalesM@agricolachira.com.pe</t>
  </si>
  <si>
    <t xml:space="preserve">Por favor ampliar las capacitaciones HACCP a más arras </t>
  </si>
  <si>
    <t>Pedro Alejandro Trigoso Feijoo</t>
  </si>
  <si>
    <t xml:space="preserve">El area de calidad ha mostrado una mejora importante el 2024, destacando el apoyo que brinda a la parte industrial y agrícola para identificar oportunidades de mejora y mediciones oportunas en resultados de procesos criticos </t>
  </si>
  <si>
    <t>Lenin Vasquez Pinday</t>
  </si>
  <si>
    <t>El área de calidad va encaminado en las expectativas. Seguir reforzando el equipo y brindar capacitaciones constantes.</t>
  </si>
  <si>
    <t>EGarciaR@agricolachira.com.pe</t>
  </si>
  <si>
    <t>Ricardo Mera Chu</t>
  </si>
  <si>
    <t>Se ha visto una mejora en la atención de necesidades de ambos laboratorios.
En sistemas de gestión de calidad se nota un buen seguimiento y empuje para que el sistema sea un soporte.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</si>
  <si>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</si>
  <si>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</si>
  <si>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</si>
  <si>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</si>
  <si>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</si>
  <si>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</si>
  <si>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</si>
  <si>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</si>
  <si>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49 personas (70.00%)</t>
  </si>
  <si>
    <t>No completaron 21 personas (30.00%)</t>
  </si>
  <si>
    <t>Manual</t>
  </si>
  <si>
    <t>Columna1</t>
  </si>
  <si>
    <t xml:space="preserve">          </t>
  </si>
  <si>
    <t xml:space="preserve">      </t>
  </si>
  <si>
    <t>Etiquetas de fila</t>
  </si>
  <si>
    <t>Total general</t>
  </si>
  <si>
    <t>Cuenta de Nro</t>
  </si>
  <si>
    <t>(Varios elementos)</t>
  </si>
  <si>
    <t xml:space="preserve">    </t>
  </si>
  <si>
    <t>Promedio de 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</si>
</sst>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9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3" xfId="0" applyFill="1" applyBorder="1"/>
    <xf numFmtId="0" fontId="0" fillId="9" borderId="63" xfId="0" applyFill="1" applyBorder="1"/>
    <xf numFmtId="0" fontId="0" fillId="9" borderId="44" xfId="0" applyFill="1" applyBorder="1"/>
    <xf numFmtId="0" fontId="0" fillId="8" borderId="64" xfId="0" applyFill="1" applyBorder="1"/>
    <xf numFmtId="0" fontId="0" fillId="9" borderId="64" xfId="0" applyFill="1" applyBorder="1"/>
    <xf numFmtId="0" fontId="0" fillId="9" borderId="41" xfId="0" applyFill="1" applyBorder="1"/>
    <xf numFmtId="0" fontId="0" fillId="8" borderId="65" xfId="0" applyFill="1" applyBorder="1"/>
    <xf numFmtId="0" fontId="0" fillId="9" borderId="65" xfId="0" applyFill="1" applyBorder="1"/>
    <xf numFmtId="0" fontId="0" fillId="9" borderId="42" xfId="0" applyFill="1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4" xfId="0" applyBorder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2">
    <dxf>
      <numFmt numFmtId="165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DataResumen!$A$16:$A$24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Capacitación y acompañamiento en temas HACCP e ISO 9001:2025</c:v>
                </c:pt>
                <c:pt idx="2">
                  <c:v>Soporte técnico a los requerimientos de laboratorio de materia prima y/o industrial, ISO 90001:2025, HACCP</c:v>
                </c:pt>
                <c:pt idx="3">
                  <c:v>Comunicación del personal de laboratorio con usted para las coordinaciones necesarias</c:v>
                </c:pt>
                <c:pt idx="4">
                  <c:v>Imparcialidad del personal de laboratorio</c:v>
                </c:pt>
                <c:pt idx="5">
                  <c:v>Nivel de compromiso en la atención a los requerimientos solicitados</c:v>
                </c:pt>
                <c:pt idx="6">
                  <c:v>Conformidad respecto a inspecciones HACCP, control de plagas y auditorías</c:v>
                </c:pt>
                <c:pt idx="7">
                  <c:v>Creación de reportes emitidos por parte del laboratorio de Materia Prima y/o industrial</c:v>
                </c:pt>
                <c:pt idx="8">
                  <c:v>Proyecciones realizadas por parte del laboratorio Materia Prima</c:v>
                </c:pt>
              </c:strCache>
            </c:strRef>
          </c:cat>
          <c:val>
            <c:numRef>
              <c:f>DataResumen!$B$16:$B$24</c:f>
              <c:numCache>
                <c:formatCode>General</c:formatCode>
                <c:ptCount val="9"/>
                <c:pt idx="0">
                  <c:v>4.4379999999999997</c:v>
                </c:pt>
                <c:pt idx="1">
                  <c:v>4.4240000000000004</c:v>
                </c:pt>
                <c:pt idx="2" formatCode="0.000">
                  <c:v>4.4000000000000004</c:v>
                </c:pt>
                <c:pt idx="3">
                  <c:v>4.391</c:v>
                </c:pt>
                <c:pt idx="4">
                  <c:v>4.391</c:v>
                </c:pt>
                <c:pt idx="5">
                  <c:v>4.3479999999999999</c:v>
                </c:pt>
                <c:pt idx="6">
                  <c:v>4.2190000000000003</c:v>
                </c:pt>
                <c:pt idx="7">
                  <c:v>4.1589999999999998</c:v>
                </c:pt>
                <c:pt idx="8">
                  <c:v>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5-4DE6-970E-7C794A6A1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931472"/>
        <c:axId val="83931952"/>
      </c:barChart>
      <c:catAx>
        <c:axId val="8393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83931952"/>
        <c:crosses val="autoZero"/>
        <c:auto val="1"/>
        <c:lblAlgn val="ctr"/>
        <c:lblOffset val="100"/>
        <c:noMultiLvlLbl val="0"/>
      </c:catAx>
      <c:valAx>
        <c:axId val="83931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3931472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Operaciones</c:v>
                </c:pt>
                <c:pt idx="1">
                  <c:v>Agrícola</c:v>
                </c:pt>
                <c:pt idx="2">
                  <c:v>Administración y Finanzas</c:v>
                </c:pt>
                <c:pt idx="3">
                  <c:v>Gestión Humana y Sostenibilidad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0.000</c:formatCode>
                <c:ptCount val="5"/>
                <c:pt idx="0">
                  <c:v>4.6498293373293382</c:v>
                </c:pt>
                <c:pt idx="1">
                  <c:v>4.380929487179487</c:v>
                </c:pt>
                <c:pt idx="2">
                  <c:v>4.2953869047619051</c:v>
                </c:pt>
                <c:pt idx="3">
                  <c:v>4</c:v>
                </c:pt>
                <c:pt idx="4">
                  <c:v>3.8660714285714284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16-4369-BDD8-8DAE5FCC7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767536"/>
        <c:axId val="152768496"/>
      </c:barChart>
      <c:catAx>
        <c:axId val="15276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768496"/>
        <c:crosses val="autoZero"/>
        <c:auto val="1"/>
        <c:lblAlgn val="ctr"/>
        <c:lblOffset val="100"/>
        <c:noMultiLvlLbl val="0"/>
      </c:catAx>
      <c:valAx>
        <c:axId val="152768496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152767536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HistoricoAreas!$B$5:$F$5</c:f>
              <c:numCache>
                <c:formatCode>_-* #,##0.000_-;\-* #,##0.000_-;_-* "-"??_-;_-@_-</c:formatCode>
                <c:ptCount val="5"/>
                <c:pt idx="0">
                  <c:v>4.04</c:v>
                </c:pt>
                <c:pt idx="1">
                  <c:v>3.9769999999999999</c:v>
                </c:pt>
                <c:pt idx="2">
                  <c:v>3.9620000000000002</c:v>
                </c:pt>
                <c:pt idx="3">
                  <c:v>4.0529999999999999</c:v>
                </c:pt>
                <c:pt idx="4" formatCode="General">
                  <c:v>4.335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2D-45E1-AF94-292BC1780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766096"/>
        <c:axId val="218165712"/>
      </c:barChart>
      <c:catAx>
        <c:axId val="15276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8165712"/>
        <c:crosses val="autoZero"/>
        <c:auto val="1"/>
        <c:lblAlgn val="ctr"/>
        <c:lblOffset val="100"/>
        <c:noMultiLvlLbl val="0"/>
      </c:catAx>
      <c:valAx>
        <c:axId val="218165712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52766096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70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-7.7684278688922234E-2"/>
                  <c:y val="-1.3606530563267593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F2755A-137D-470B-BD88-1A5E58D0EE71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75AC-4532-9CC5-93A2C2A56687}"/>
                </c:ext>
              </c:extLst>
            </c:dLbl>
            <c:dLbl>
              <c:idx val="1"/>
              <c:layout>
                <c:manualLayout>
                  <c:x val="0.10715072922609954"/>
                  <c:y val="6.3497142628581665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DD4D88C-8C33-4168-822F-BDCF7403572F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>
                        <a:defRPr/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>
                  <a:softEdge rad="0"/>
                </a:effectLst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5AC-4532-9CC5-93A2C2A5668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49 personas (70.00%)</c:v>
                </c:pt>
                <c:pt idx="1">
                  <c:v>No completaron 21 personas (30.00%)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49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AC-4532-9CC5-93A2C2A56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7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Capacitación y acompañamiento en temas HACCP e ISO 9001:2025</c:v>
                </c:pt>
                <c:pt idx="2">
                  <c:v>Soporte técnico a los requerimientos de laboratorio de materia prima y/o industrial, ISO 90001:2025, HACCP</c:v>
                </c:pt>
                <c:pt idx="3">
                  <c:v>Comunicación del personal de laboratorio con usted para las coordinaciones necesarias</c:v>
                </c:pt>
                <c:pt idx="4">
                  <c:v>Imparcialidad del personal de laboratorio</c:v>
                </c:pt>
                <c:pt idx="5">
                  <c:v>Nivel de compromiso en la atención a los requerimientos solicitados</c:v>
                </c:pt>
                <c:pt idx="6">
                  <c:v>Conformidad respecto a inspecciones HACCP, control de plagas y auditorías</c:v>
                </c:pt>
                <c:pt idx="7">
                  <c:v>Creación de reportes emitidos por parte del laboratorio de Materia Prima y/o industrial</c:v>
                </c:pt>
                <c:pt idx="8">
                  <c:v>Proyecciones realizadas por parte del laboratorio Materia Prima</c:v>
                </c:pt>
              </c:strCache>
            </c:strRef>
          </c:cat>
          <c:val>
            <c:numRef>
              <c:f>DataResumen!$B$37:$B$45</c:f>
              <c:numCache>
                <c:formatCode>General</c:formatCode>
                <c:ptCount val="9"/>
                <c:pt idx="0" formatCode="_-* #,##0.000_-;\-* #,##0.000_-;_-* &quot;-&quot;??_-;_-@_-">
                  <c:v>4.140625</c:v>
                </c:pt>
                <c:pt idx="3" formatCode="_-* #,##0.000_-;\-* #,##0.000_-;_-* &quot;-&quot;??_-;_-@_-">
                  <c:v>3.959090909090909</c:v>
                </c:pt>
                <c:pt idx="4" formatCode="_-* #,##0.000_-;\-* #,##0.000_-;_-* &quot;-&quot;??_-;_-@_-">
                  <c:v>4.0330086580086579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B-4013-A794-EA5C699800F4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Capacitación y acompañamiento en temas HACCP e ISO 9001:2025</c:v>
                </c:pt>
                <c:pt idx="2">
                  <c:v>Soporte técnico a los requerimientos de laboratorio de materia prima y/o industrial, ISO 90001:2025, HACCP</c:v>
                </c:pt>
                <c:pt idx="3">
                  <c:v>Comunicación del personal de laboratorio con usted para las coordinaciones necesarias</c:v>
                </c:pt>
                <c:pt idx="4">
                  <c:v>Imparcialidad del personal de laboratorio</c:v>
                </c:pt>
                <c:pt idx="5">
                  <c:v>Nivel de compromiso en la atención a los requerimientos solicitados</c:v>
                </c:pt>
                <c:pt idx="6">
                  <c:v>Conformidad respecto a inspecciones HACCP, control de plagas y auditorías</c:v>
                </c:pt>
                <c:pt idx="7">
                  <c:v>Creación de reportes emitidos por parte del laboratorio de Materia Prima y/o industrial</c:v>
                </c:pt>
                <c:pt idx="8">
                  <c:v>Proyecciones realizadas por parte del laboratorio Materia Prima</c:v>
                </c:pt>
              </c:strCache>
            </c:strRef>
          </c:cat>
          <c:val>
            <c:numRef>
              <c:f>DataResumen!$C$37:$C$45</c:f>
              <c:numCache>
                <c:formatCode>General</c:formatCode>
                <c:ptCount val="9"/>
                <c:pt idx="0" formatCode="0.000">
                  <c:v>4.2910256410256409</c:v>
                </c:pt>
                <c:pt idx="3" formatCode="0.000">
                  <c:v>4.0384068278805119</c:v>
                </c:pt>
                <c:pt idx="4" formatCode="0.000">
                  <c:v>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DB-4013-A794-EA5C699800F4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spPr>
            <a:solidFill>
              <a:schemeClr val="accent6">
                <a:lumMod val="75000"/>
                <a:alpha val="93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Capacitación y acompañamiento en temas HACCP e ISO 9001:2025</c:v>
                </c:pt>
                <c:pt idx="2">
                  <c:v>Soporte técnico a los requerimientos de laboratorio de materia prima y/o industrial, ISO 90001:2025, HACCP</c:v>
                </c:pt>
                <c:pt idx="3">
                  <c:v>Comunicación del personal de laboratorio con usted para las coordinaciones necesarias</c:v>
                </c:pt>
                <c:pt idx="4">
                  <c:v>Imparcialidad del personal de laboratorio</c:v>
                </c:pt>
                <c:pt idx="5">
                  <c:v>Nivel de compromiso en la atención a los requerimientos solicitados</c:v>
                </c:pt>
                <c:pt idx="6">
                  <c:v>Conformidad respecto a inspecciones HACCP, control de plagas y auditorías</c:v>
                </c:pt>
                <c:pt idx="7">
                  <c:v>Creación de reportes emitidos por parte del laboratorio de Materia Prima y/o industrial</c:v>
                </c:pt>
                <c:pt idx="8">
                  <c:v>Proyecciones realizadas por parte del laboratorio Materia Prima</c:v>
                </c:pt>
              </c:strCache>
            </c:strRef>
          </c:cat>
          <c:val>
            <c:numRef>
              <c:f>DataResumen!$D$37:$D$45</c:f>
              <c:numCache>
                <c:formatCode>General</c:formatCode>
                <c:ptCount val="9"/>
                <c:pt idx="0">
                  <c:v>4.2220000000000004</c:v>
                </c:pt>
                <c:pt idx="3">
                  <c:v>3.9769999999999999</c:v>
                </c:pt>
                <c:pt idx="4" formatCode="0.000">
                  <c:v>4.1500000000000004</c:v>
                </c:pt>
                <c:pt idx="5">
                  <c:v>4.133</c:v>
                </c:pt>
                <c:pt idx="7">
                  <c:v>4.1609999999999996</c:v>
                </c:pt>
                <c:pt idx="8">
                  <c:v>3.8969999999999998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DB-4013-A794-EA5C699800F4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Capacitación y acompañamiento en temas HACCP e ISO 9001:2025</c:v>
                </c:pt>
                <c:pt idx="2">
                  <c:v>Soporte técnico a los requerimientos de laboratorio de materia prima y/o industrial, ISO 90001:2025, HACCP</c:v>
                </c:pt>
                <c:pt idx="3">
                  <c:v>Comunicación del personal de laboratorio con usted para las coordinaciones necesarias</c:v>
                </c:pt>
                <c:pt idx="4">
                  <c:v>Imparcialidad del personal de laboratorio</c:v>
                </c:pt>
                <c:pt idx="5">
                  <c:v>Nivel de compromiso en la atención a los requerimientos solicitados</c:v>
                </c:pt>
                <c:pt idx="6">
                  <c:v>Conformidad respecto a inspecciones HACCP, control de plagas y auditorías</c:v>
                </c:pt>
                <c:pt idx="7">
                  <c:v>Creación de reportes emitidos por parte del laboratorio de Materia Prima y/o industrial</c:v>
                </c:pt>
                <c:pt idx="8">
                  <c:v>Proyecciones realizadas por parte del laboratorio Materia Prima</c:v>
                </c:pt>
              </c:strCache>
            </c:strRef>
          </c:cat>
          <c:val>
            <c:numRef>
              <c:f>DataResumen!$E$37:$E$45</c:f>
              <c:numCache>
                <c:formatCode>General</c:formatCode>
                <c:ptCount val="9"/>
                <c:pt idx="0">
                  <c:v>4.4379999999999997</c:v>
                </c:pt>
                <c:pt idx="1">
                  <c:v>4.4240000000000004</c:v>
                </c:pt>
                <c:pt idx="2">
                  <c:v>4.4000000000000004</c:v>
                </c:pt>
                <c:pt idx="3">
                  <c:v>4.391</c:v>
                </c:pt>
                <c:pt idx="4">
                  <c:v>4.391</c:v>
                </c:pt>
                <c:pt idx="5">
                  <c:v>4.3479999999999999</c:v>
                </c:pt>
                <c:pt idx="6">
                  <c:v>4.2190000000000003</c:v>
                </c:pt>
                <c:pt idx="7">
                  <c:v>4.1589999999999998</c:v>
                </c:pt>
                <c:pt idx="8">
                  <c:v>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DB-4013-A794-EA5C69980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-17"/>
        <c:axId val="278431680"/>
        <c:axId val="278427840"/>
      </c:barChart>
      <c:catAx>
        <c:axId val="2784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278427840"/>
        <c:crosses val="autoZero"/>
        <c:auto val="1"/>
        <c:lblAlgn val="ctr"/>
        <c:lblOffset val="100"/>
        <c:noMultiLvlLbl val="0"/>
      </c:catAx>
      <c:valAx>
        <c:axId val="278427840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278431680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kern="1200" cap="none" spc="0" normalizeH="0" baseline="0">
                <a:solidFill>
                  <a:schemeClr val="tx1"/>
                </a:solidFill>
              </a:rPr>
              <a:t>Satisfacción Histórica Calidad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Graficos!$C$72:$F$72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6.0824867051731207E-2"/>
                  <c:y val="8.62713747788691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A9-4980-9E4A-3FA93FF853F3}"/>
                </c:ext>
              </c:extLst>
            </c:dLbl>
            <c:dLbl>
              <c:idx val="1"/>
              <c:layout>
                <c:manualLayout>
                  <c:x val="-5.2530566999222435E-2"/>
                  <c:y val="-0.1044337694691575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A9-4980-9E4A-3FA93FF853F3}"/>
                </c:ext>
              </c:extLst>
            </c:dLbl>
            <c:dLbl>
              <c:idx val="2"/>
              <c:layout>
                <c:manualLayout>
                  <c:x val="-4.7001033630883184E-2"/>
                  <c:y val="8.62713747788691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A9-4980-9E4A-3FA93FF853F3}"/>
                </c:ext>
              </c:extLst>
            </c:dLbl>
            <c:dLbl>
              <c:idx val="3"/>
              <c:layout>
                <c:manualLayout>
                  <c:x val="-4.1471500262544085E-2"/>
                  <c:y val="8.62713747788692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A9-4980-9E4A-3FA93FF853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Graficos!$C$72:$F$72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Graficos!$C$73:$F$73</c:f>
              <c:numCache>
                <c:formatCode>_-* #,##0.000_-;\-* #,##0.000_-;_-* "-"??_-;_-@_-</c:formatCode>
                <c:ptCount val="4"/>
                <c:pt idx="0">
                  <c:v>4.04</c:v>
                </c:pt>
                <c:pt idx="1">
                  <c:v>3.9769999999999999</c:v>
                </c:pt>
                <c:pt idx="2">
                  <c:v>3.9620000000000002</c:v>
                </c:pt>
                <c:pt idx="3">
                  <c:v>4.194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8A9-4980-9E4A-3FA93FF85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74864"/>
        <c:axId val="1461838543"/>
      </c:lineChart>
      <c:catAx>
        <c:axId val="1968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61838543"/>
        <c:crosses val="autoZero"/>
        <c:auto val="1"/>
        <c:lblAlgn val="ctr"/>
        <c:lblOffset val="100"/>
        <c:noMultiLvlLbl val="0"/>
      </c:catAx>
      <c:valAx>
        <c:axId val="1461838543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6874864"/>
        <c:crosses val="autoZero"/>
        <c:crossBetween val="between"/>
      </c:valAx>
      <c:spPr>
        <a:pattFill prst="pct5">
          <a:fgClr>
            <a:schemeClr val="tx1">
              <a:lumMod val="65000"/>
              <a:lumOff val="3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[EncuestaCalidad.xlsm]DataResumen!PivotTablaAutoevaluacion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PE"/>
              <a:t>Autoevaluación (1 usuario)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0B84A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DataResumen!$L$37:$L$46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Capacitación y acompañamiento en temas HACCP e ISO 9001:2025</c:v>
                </c:pt>
                <c:pt idx="2">
                  <c:v>Comunicación del personal de laboratorio con usted para las coordinaciones necesarias</c:v>
                </c:pt>
                <c:pt idx="3">
                  <c:v>Conformidad respecto a inspecciones HACCP, control de plagas y auditorías</c:v>
                </c:pt>
                <c:pt idx="4">
                  <c:v>Creación de reportes emitidos por parte del laboratorio de Materia Prima y/o industrial</c:v>
                </c:pt>
                <c:pt idx="5">
                  <c:v>Imparcialidad del personal de laboratorio</c:v>
                </c:pt>
                <c:pt idx="6">
                  <c:v>Nivel de compromiso en la atención a los requerimientos solicitados</c:v>
                </c:pt>
                <c:pt idx="7">
                  <c:v>Proyecciones realizadas por parte del laboratorio Materia Prima</c:v>
                </c:pt>
                <c:pt idx="8">
                  <c:v>Soporte técnico a los requerimientos de laboratorio de materia prima y/o industrial, ISO 90001:2025, HACCP</c:v>
                </c:pt>
              </c:strCache>
            </c:strRef>
          </c:cat>
          <c:val>
            <c:numRef>
              <c:f>DataResumen!$M$37:$M$46</c:f>
              <c:numCache>
                <c:formatCode>0.000</c:formatCode>
                <c:ptCount val="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9-4BDC-8B82-7789E1492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1611136"/>
        <c:axId val="961626016"/>
      </c:barChart>
      <c:catAx>
        <c:axId val="96161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961626016"/>
        <c:crosses val="autoZero"/>
        <c:auto val="1"/>
        <c:lblAlgn val="ctr"/>
        <c:lblOffset val="100"/>
        <c:noMultiLvlLbl val="0"/>
      </c:catAx>
      <c:valAx>
        <c:axId val="961626016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961611136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12</xdr:row>
          <xdr:rowOff>114300</xdr:rowOff>
        </xdr:from>
        <xdr:to>
          <xdr:col>18</xdr:col>
          <xdr:colOff>365760</xdr:colOff>
          <xdr:row>15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9</xdr:col>
      <xdr:colOff>53161</xdr:colOff>
      <xdr:row>6</xdr:row>
      <xdr:rowOff>17721</xdr:rowOff>
    </xdr:from>
    <xdr:to>
      <xdr:col>15</xdr:col>
      <xdr:colOff>41930</xdr:colOff>
      <xdr:row>10</xdr:row>
      <xdr:rowOff>168349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7D73089-2011-8727-5997-B7340B173E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71841"/>
        <a:stretch/>
      </xdr:blipFill>
      <xdr:spPr>
        <a:xfrm>
          <a:off x="4961859" y="1178442"/>
          <a:ext cx="3019048" cy="903767"/>
        </a:xfrm>
        <a:prstGeom prst="rect">
          <a:avLst/>
        </a:prstGeom>
      </xdr:spPr>
    </xdr:pic>
    <xdr:clientData/>
  </xdr:twoCellAnchor>
  <xdr:twoCellAnchor editAs="oneCell">
    <xdr:from>
      <xdr:col>16</xdr:col>
      <xdr:colOff>10635</xdr:colOff>
      <xdr:row>5</xdr:row>
      <xdr:rowOff>118789</xdr:rowOff>
    </xdr:from>
    <xdr:to>
      <xdr:col>20</xdr:col>
      <xdr:colOff>505047</xdr:colOff>
      <xdr:row>10</xdr:row>
      <xdr:rowOff>106325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D718DD8-5895-436D-B398-EAB43B9BE4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3" t="64821" r="-2073" b="1222"/>
        <a:stretch/>
      </xdr:blipFill>
      <xdr:spPr>
        <a:xfrm>
          <a:off x="8454658" y="1093440"/>
          <a:ext cx="2567761" cy="926745"/>
        </a:xfrm>
        <a:prstGeom prst="rect">
          <a:avLst/>
        </a:prstGeom>
      </xdr:spPr>
    </xdr:pic>
    <xdr:clientData/>
  </xdr:twoCellAnchor>
  <xdr:twoCellAnchor editAs="oneCell">
    <xdr:from>
      <xdr:col>22</xdr:col>
      <xdr:colOff>97465</xdr:colOff>
      <xdr:row>5</xdr:row>
      <xdr:rowOff>183215</xdr:rowOff>
    </xdr:from>
    <xdr:to>
      <xdr:col>26</xdr:col>
      <xdr:colOff>381000</xdr:colOff>
      <xdr:row>10</xdr:row>
      <xdr:rowOff>79745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A15EED2-E5AF-1178-1803-43F1D1F0C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53104"/>
        <a:stretch/>
      </xdr:blipFill>
      <xdr:spPr>
        <a:xfrm>
          <a:off x="11669232" y="1157866"/>
          <a:ext cx="2303721" cy="835739"/>
        </a:xfrm>
        <a:prstGeom prst="rect">
          <a:avLst/>
        </a:prstGeom>
      </xdr:spPr>
    </xdr:pic>
    <xdr:clientData/>
  </xdr:twoCellAnchor>
  <xdr:twoCellAnchor editAs="oneCell">
    <xdr:from>
      <xdr:col>27</xdr:col>
      <xdr:colOff>496187</xdr:colOff>
      <xdr:row>6</xdr:row>
      <xdr:rowOff>36200</xdr:rowOff>
    </xdr:from>
    <xdr:to>
      <xdr:col>31</xdr:col>
      <xdr:colOff>460744</xdr:colOff>
      <xdr:row>10</xdr:row>
      <xdr:rowOff>110021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CEDE94C-2865-6EE6-B537-9F835216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46139"/>
        <a:stretch/>
      </xdr:blipFill>
      <xdr:spPr>
        <a:xfrm>
          <a:off x="14593187" y="1196921"/>
          <a:ext cx="1984743" cy="826960"/>
        </a:xfrm>
        <a:prstGeom prst="rect">
          <a:avLst/>
        </a:prstGeom>
      </xdr:spPr>
    </xdr:pic>
    <xdr:clientData/>
  </xdr:twoCellAnchor>
  <xdr:twoCellAnchor editAs="oneCell">
    <xdr:from>
      <xdr:col>34</xdr:col>
      <xdr:colOff>141768</xdr:colOff>
      <xdr:row>6</xdr:row>
      <xdr:rowOff>45081</xdr:rowOff>
    </xdr:from>
    <xdr:to>
      <xdr:col>38</xdr:col>
      <xdr:colOff>115186</xdr:colOff>
      <xdr:row>10</xdr:row>
      <xdr:rowOff>110164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E526A0C-4098-390C-E8F7-4B7E077E0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90559" y="1205802"/>
          <a:ext cx="1993604" cy="818222"/>
        </a:xfrm>
        <a:prstGeom prst="rect">
          <a:avLst/>
        </a:prstGeom>
      </xdr:spPr>
    </xdr:pic>
    <xdr:clientData/>
  </xdr:twoCellAnchor>
  <xdr:twoCellAnchor editAs="oneCell">
    <xdr:from>
      <xdr:col>39</xdr:col>
      <xdr:colOff>389860</xdr:colOff>
      <xdr:row>5</xdr:row>
      <xdr:rowOff>157493</xdr:rowOff>
    </xdr:from>
    <xdr:to>
      <xdr:col>44</xdr:col>
      <xdr:colOff>124046</xdr:colOff>
      <xdr:row>10</xdr:row>
      <xdr:rowOff>144941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23A5ED22-7CFC-166B-A118-875A56F43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122116" y="1132144"/>
          <a:ext cx="2223977" cy="926657"/>
        </a:xfrm>
        <a:prstGeom prst="rect">
          <a:avLst/>
        </a:prstGeom>
      </xdr:spPr>
    </xdr:pic>
    <xdr:clientData/>
  </xdr:twoCellAnchor>
  <xdr:twoCellAnchor editAs="oneCell">
    <xdr:from>
      <xdr:col>45</xdr:col>
      <xdr:colOff>407582</xdr:colOff>
      <xdr:row>5</xdr:row>
      <xdr:rowOff>185300</xdr:rowOff>
    </xdr:from>
    <xdr:to>
      <xdr:col>50</xdr:col>
      <xdr:colOff>221513</xdr:colOff>
      <xdr:row>10</xdr:row>
      <xdr:rowOff>140299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6A9CF845-2C68-55A3-6BBF-65F9E7175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92908" y="1159951"/>
          <a:ext cx="2303721" cy="894208"/>
        </a:xfrm>
        <a:prstGeom prst="rect">
          <a:avLst/>
        </a:prstGeom>
      </xdr:spPr>
    </xdr:pic>
    <xdr:clientData/>
  </xdr:twoCellAnchor>
  <xdr:twoCellAnchor editAs="oneCell">
    <xdr:from>
      <xdr:col>51</xdr:col>
      <xdr:colOff>469605</xdr:colOff>
      <xdr:row>6</xdr:row>
      <xdr:rowOff>134507</xdr:rowOff>
    </xdr:from>
    <xdr:to>
      <xdr:col>55</xdr:col>
      <xdr:colOff>354419</xdr:colOff>
      <xdr:row>10</xdr:row>
      <xdr:rowOff>141767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CABFA5B-CEAF-B87D-425A-B2EE6936E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65835"/>
        <a:stretch/>
      </xdr:blipFill>
      <xdr:spPr>
        <a:xfrm>
          <a:off x="25908000" y="1295228"/>
          <a:ext cx="1905000" cy="760399"/>
        </a:xfrm>
        <a:prstGeom prst="rect">
          <a:avLst/>
        </a:prstGeom>
      </xdr:spPr>
    </xdr:pic>
    <xdr:clientData/>
  </xdr:twoCellAnchor>
  <xdr:twoCellAnchor editAs="oneCell">
    <xdr:from>
      <xdr:col>58</xdr:col>
      <xdr:colOff>178981</xdr:colOff>
      <xdr:row>6</xdr:row>
      <xdr:rowOff>21054</xdr:rowOff>
    </xdr:from>
    <xdr:to>
      <xdr:col>62</xdr:col>
      <xdr:colOff>381000</xdr:colOff>
      <xdr:row>10</xdr:row>
      <xdr:rowOff>94828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EC65723D-1635-423F-977A-2C818079E1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66964"/>
        <a:stretch/>
      </xdr:blipFill>
      <xdr:spPr>
        <a:xfrm>
          <a:off x="28851446" y="1181775"/>
          <a:ext cx="2142461" cy="8269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35443</xdr:colOff>
      <xdr:row>1</xdr:row>
      <xdr:rowOff>49089</xdr:rowOff>
    </xdr:from>
    <xdr:to>
      <xdr:col>14</xdr:col>
      <xdr:colOff>460745</xdr:colOff>
      <xdr:row>4</xdr:row>
      <xdr:rowOff>35442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B95282D-30F5-91FD-7A92-47B0302B73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68316"/>
        <a:stretch/>
      </xdr:blipFill>
      <xdr:spPr>
        <a:xfrm>
          <a:off x="5449187" y="235159"/>
          <a:ext cx="2445488" cy="588864"/>
        </a:xfrm>
        <a:prstGeom prst="rect">
          <a:avLst/>
        </a:prstGeom>
      </xdr:spPr>
    </xdr:pic>
    <xdr:clientData/>
  </xdr:twoCellAnchor>
  <xdr:twoCellAnchor editAs="oneCell">
    <xdr:from>
      <xdr:col>15</xdr:col>
      <xdr:colOff>354420</xdr:colOff>
      <xdr:row>0</xdr:row>
      <xdr:rowOff>120022</xdr:rowOff>
    </xdr:from>
    <xdr:to>
      <xdr:col>20</xdr:col>
      <xdr:colOff>292396</xdr:colOff>
      <xdr:row>4</xdr:row>
      <xdr:rowOff>132908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A2F0018-881F-425B-8F2B-F1F8E4CA0B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648" t="61063" r="879" b="-237"/>
        <a:stretch/>
      </xdr:blipFill>
      <xdr:spPr>
        <a:xfrm>
          <a:off x="8399722" y="120022"/>
          <a:ext cx="2516372" cy="801467"/>
        </a:xfrm>
        <a:prstGeom prst="rect">
          <a:avLst/>
        </a:prstGeom>
      </xdr:spPr>
    </xdr:pic>
    <xdr:clientData/>
  </xdr:twoCellAnchor>
  <xdr:twoCellAnchor editAs="oneCell">
    <xdr:from>
      <xdr:col>21</xdr:col>
      <xdr:colOff>53166</xdr:colOff>
      <xdr:row>0</xdr:row>
      <xdr:rowOff>56722</xdr:rowOff>
    </xdr:from>
    <xdr:to>
      <xdr:col>26</xdr:col>
      <xdr:colOff>496188</xdr:colOff>
      <xdr:row>4</xdr:row>
      <xdr:rowOff>115187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4855026-DCDE-3CA5-5E80-D0BB2830C9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52320"/>
        <a:stretch/>
      </xdr:blipFill>
      <xdr:spPr>
        <a:xfrm>
          <a:off x="11181910" y="56722"/>
          <a:ext cx="2968255" cy="847046"/>
        </a:xfrm>
        <a:prstGeom prst="rect">
          <a:avLst/>
        </a:prstGeom>
      </xdr:spPr>
    </xdr:pic>
    <xdr:clientData/>
  </xdr:twoCellAnchor>
  <xdr:twoCellAnchor editAs="oneCell">
    <xdr:from>
      <xdr:col>26</xdr:col>
      <xdr:colOff>400494</xdr:colOff>
      <xdr:row>0</xdr:row>
      <xdr:rowOff>79744</xdr:rowOff>
    </xdr:from>
    <xdr:to>
      <xdr:col>32</xdr:col>
      <xdr:colOff>338470</xdr:colOff>
      <xdr:row>4</xdr:row>
      <xdr:rowOff>150628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DCC554F-D67B-4826-8705-3CB706378D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-1492" t="49378" r="1492" b="2243"/>
        <a:stretch/>
      </xdr:blipFill>
      <xdr:spPr>
        <a:xfrm>
          <a:off x="14054471" y="79744"/>
          <a:ext cx="2968255" cy="859465"/>
        </a:xfrm>
        <a:prstGeom prst="rect">
          <a:avLst/>
        </a:prstGeom>
      </xdr:spPr>
    </xdr:pic>
    <xdr:clientData/>
  </xdr:twoCellAnchor>
  <xdr:twoCellAnchor editAs="oneCell">
    <xdr:from>
      <xdr:col>33</xdr:col>
      <xdr:colOff>53163</xdr:colOff>
      <xdr:row>0</xdr:row>
      <xdr:rowOff>124046</xdr:rowOff>
    </xdr:from>
    <xdr:to>
      <xdr:col>38</xdr:col>
      <xdr:colOff>327744</xdr:colOff>
      <xdr:row>4</xdr:row>
      <xdr:rowOff>136081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D28E656-AF1F-BD92-40E5-B2B5442B3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00698" y="124046"/>
          <a:ext cx="2658046" cy="800616"/>
        </a:xfrm>
        <a:prstGeom prst="rect">
          <a:avLst/>
        </a:prstGeom>
      </xdr:spPr>
    </xdr:pic>
    <xdr:clientData/>
  </xdr:twoCellAnchor>
  <xdr:twoCellAnchor editAs="oneCell">
    <xdr:from>
      <xdr:col>39</xdr:col>
      <xdr:colOff>88605</xdr:colOff>
      <xdr:row>0</xdr:row>
      <xdr:rowOff>92991</xdr:rowOff>
    </xdr:from>
    <xdr:to>
      <xdr:col>44</xdr:col>
      <xdr:colOff>345558</xdr:colOff>
      <xdr:row>4</xdr:row>
      <xdr:rowOff>56575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74A2392-5347-5B32-A386-CF46A4F33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882884" y="92991"/>
          <a:ext cx="2746744" cy="752165"/>
        </a:xfrm>
        <a:prstGeom prst="rect">
          <a:avLst/>
        </a:prstGeom>
      </xdr:spPr>
    </xdr:pic>
    <xdr:clientData/>
  </xdr:twoCellAnchor>
  <xdr:twoCellAnchor editAs="oneCell">
    <xdr:from>
      <xdr:col>45</xdr:col>
      <xdr:colOff>26582</xdr:colOff>
      <xdr:row>0</xdr:row>
      <xdr:rowOff>129215</xdr:rowOff>
    </xdr:from>
    <xdr:to>
      <xdr:col>50</xdr:col>
      <xdr:colOff>339705</xdr:colOff>
      <xdr:row>3</xdr:row>
      <xdr:rowOff>124046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3DE7E8C-D6D8-03A1-7F5D-BF5C406E2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673931" y="129215"/>
          <a:ext cx="2802914" cy="597343"/>
        </a:xfrm>
        <a:prstGeom prst="rect">
          <a:avLst/>
        </a:prstGeom>
      </xdr:spPr>
    </xdr:pic>
    <xdr:clientData/>
  </xdr:twoCellAnchor>
  <xdr:twoCellAnchor editAs="oneCell">
    <xdr:from>
      <xdr:col>51</xdr:col>
      <xdr:colOff>79745</xdr:colOff>
      <xdr:row>0</xdr:row>
      <xdr:rowOff>168349</xdr:rowOff>
    </xdr:from>
    <xdr:to>
      <xdr:col>56</xdr:col>
      <xdr:colOff>301257</xdr:colOff>
      <xdr:row>4</xdr:row>
      <xdr:rowOff>21139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5255C97-D02D-938B-E83B-FBE645B9B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580164" y="168349"/>
          <a:ext cx="2746744" cy="641371"/>
        </a:xfrm>
        <a:prstGeom prst="rect">
          <a:avLst/>
        </a:prstGeom>
      </xdr:spPr>
    </xdr:pic>
    <xdr:clientData/>
  </xdr:twoCellAnchor>
  <xdr:twoCellAnchor editAs="oneCell">
    <xdr:from>
      <xdr:col>57</xdr:col>
      <xdr:colOff>141769</xdr:colOff>
      <xdr:row>0</xdr:row>
      <xdr:rowOff>165151</xdr:rowOff>
    </xdr:from>
    <xdr:to>
      <xdr:col>62</xdr:col>
      <xdr:colOff>558210</xdr:colOff>
      <xdr:row>3</xdr:row>
      <xdr:rowOff>181331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47EF9B35-0F21-55FD-93E5-F8D960A33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530699" y="165151"/>
          <a:ext cx="3508744" cy="6186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21</xdr:row>
      <xdr:rowOff>0</xdr:rowOff>
    </xdr:from>
    <xdr:to>
      <xdr:col>10</xdr:col>
      <xdr:colOff>594360</xdr:colOff>
      <xdr:row>40</xdr:row>
      <xdr:rowOff>144780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C2CE15-5F90-7E4C-7D03-86CE68310B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369832-CBA6-8E41-DEE4-1A435E9965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533400</xdr:colOff>
      <xdr:row>42</xdr:row>
      <xdr:rowOff>60960</xdr:rowOff>
    </xdr:from>
    <xdr:to>
      <xdr:col>9</xdr:col>
      <xdr:colOff>66040</xdr:colOff>
      <xdr:row>63</xdr:row>
      <xdr:rowOff>30480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D668B9C-8825-1DA9-77D8-9EB7E4E9EB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640080</xdr:colOff>
      <xdr:row>2</xdr:row>
      <xdr:rowOff>22860</xdr:rowOff>
    </xdr:from>
    <xdr:to>
      <xdr:col>7</xdr:col>
      <xdr:colOff>626185</xdr:colOff>
      <xdr:row>17</xdr:row>
      <xdr:rowOff>79786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93C343C-3BEB-4CF3-8FD4-31933782F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129540</xdr:colOff>
      <xdr:row>41</xdr:row>
      <xdr:rowOff>129540</xdr:rowOff>
    </xdr:from>
    <xdr:to>
      <xdr:col>17</xdr:col>
      <xdr:colOff>114300</xdr:colOff>
      <xdr:row>64</xdr:row>
      <xdr:rowOff>53340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C32250FB-8F09-4269-A69A-A9F25C8F3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7172</xdr:colOff>
      <xdr:row>69</xdr:row>
      <xdr:rowOff>147470</xdr:rowOff>
    </xdr:from>
    <xdr:to>
      <xdr:col>12</xdr:col>
      <xdr:colOff>638288</xdr:colOff>
      <xdr:row>85</xdr:row>
      <xdr:rowOff>18378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16418EF-02A5-463B-AEAA-8B24CB057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29</xdr:col>
      <xdr:colOff>10160</xdr:colOff>
      <xdr:row>42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BDB8ED-6B0B-C491-8A90-794A6FCDF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3.040062962966" createdVersion="8" refreshedVersion="8" minRefreshableVersion="3" recordCount="441" xr:uid="{36964A9C-527C-40CC-A3AD-0125A704FBB0}">
  <cacheSource type="worksheet">
    <worksheetSource name="Resumen2"/>
  </cacheSource>
  <cacheFields count="6">
    <cacheField name="Correo electrónico" numFmtId="0">
      <sharedItems/>
    </cacheField>
    <cacheField name="Servicios" numFmtId="0">
      <sharedItems count="9">
        <s v="Amabilidad y disponibilidad del personal de laboratorio ante algún requerimiento"/>
        <s v="Comunicación del personal de laboratorio con usted para las coordinaciones necesarias"/>
        <s v="Imparcialidad del personal de laboratorio"/>
        <s v="Nivel de compromiso en la atención a los requerimientos solicitados"/>
        <s v="Proyecciones realizadas por parte del laboratorio Materia Prima"/>
        <s v="Creación de reportes emitidos por parte del laboratorio de Materia Prima y/o industrial"/>
        <s v="Soporte técnico a los requerimientos de laboratorio de materia prima y/o industrial, ISO 90001:2025, HACCP"/>
        <s v="Capacitación y acompañamiento en temas HACCP e ISO 9001:2025"/>
        <s v="Conformidad respecto a inspecciones HACCP, control de plagas y auditorías"/>
      </sharedItems>
    </cacheField>
    <cacheField name="Nro" numFmtId="0">
      <sharedItems containsMixedTypes="1" containsNumber="1" containsInteger="1" minValue="3" maxValue="5" count="4">
        <n v="4"/>
        <s v="X"/>
        <n v="3"/>
        <n v="5"/>
      </sharedItems>
    </cacheField>
    <cacheField name="Gerencia" numFmtId="0">
      <sharedItems count="5">
        <s v="Industrial y de Mantenimiento"/>
        <s v="Gestión Humana y Sostenibilidad"/>
        <s v="Administración y Finanzas"/>
        <s v="Operaciones"/>
        <s v="Agrícola"/>
      </sharedItems>
    </cacheField>
    <cacheField name="Area" numFmtId="0">
      <sharedItems count="29">
        <s v="Mantenimiento Industrial"/>
        <s v="Gestion del Talento"/>
        <s v="Legal"/>
        <s v="Finanzas y Tesorería"/>
        <s v="Electricidad"/>
        <s v="Cosecha"/>
        <s v="Sistemas y TI"/>
        <s v="Laboratorio e Investigación Agricola"/>
        <s v="Compras"/>
        <s v="Fundo Lobo"/>
        <s v="Fundo San Vicente"/>
        <s v="Cadenas Productivas"/>
        <s v="Comercial"/>
        <s v="Comercial No Giro"/>
        <s v="Control de Gestión"/>
        <s v="Automatización"/>
        <s v="Calidad"/>
        <s v="Producción"/>
        <s v="Almacén "/>
        <s v="Almacenes y Distribución PT"/>
        <s v="Sistema Integral de Gestión"/>
        <s v="Compensación y Nóminas"/>
        <s v="Gerencia Administración y Finanzas"/>
        <s v="Fundo Montelima"/>
        <s v="Transporte"/>
        <s v="Gerencia de Operaciones"/>
        <s v="Planificador Agrícola"/>
        <s v="Fundo La Huaca"/>
        <s v="Gerencia industrial y de Mantenimiento"/>
      </sharedItems>
    </cacheField>
    <cacheField name="Columna1" numFmtId="0">
      <sharedItems count="5">
        <s v="Industrial y de Mantenimiento"/>
        <s v="Gestión Humana y Sostenibilidad"/>
        <s v="Administración y Finanzas"/>
        <s v="Operaciones"/>
        <s v="Agrícol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6.357133217592" createdVersion="3" refreshedVersion="8" minRefreshableVersion="3" recordCount="441" xr:uid="{F54C5280-A3AF-4236-9DF6-B07386B927D0}">
  <cacheSource type="worksheet">
    <worksheetSource ref="A1:E442" sheet="Paso3_Tabuleado"/>
  </cacheSource>
  <cacheFields count="5">
    <cacheField name="Correo electrónico" numFmtId="0">
      <sharedItems/>
    </cacheField>
    <cacheField name="Servicios" numFmtId="0">
      <sharedItems count="9">
        <s v="Amabilidad y disponibilidad del personal de laboratorio ante algún requerimiento"/>
        <s v="Comunicación del personal de laboratorio con usted para las coordinaciones necesarias"/>
        <s v="Imparcialidad del personal de laboratorio"/>
        <s v="Nivel de compromiso en la atención a los requerimientos solicitados"/>
        <s v="Proyecciones realizadas por parte del laboratorio Materia Prima"/>
        <s v="Creación de reportes emitidos por parte del laboratorio de Materia Prima y/o industrial"/>
        <s v="Soporte técnico a los requerimientos de laboratorio de materia prima y/o industrial, ISO 90001:2025, HACCP"/>
        <s v="Capacitación y acompañamiento en temas HACCP e ISO 9001:2025"/>
        <s v="Conformidad respecto a inspecciones HACCP, control de plagas y auditorías"/>
      </sharedItems>
    </cacheField>
    <cacheField name="Nro" numFmtId="0">
      <sharedItems containsMixedTypes="1" containsNumber="1" containsInteger="1" minValue="3" maxValue="5"/>
    </cacheField>
    <cacheField name="Gerencia" numFmtId="0">
      <sharedItems/>
    </cacheField>
    <cacheField name="Area" numFmtId="0">
      <sharedItems count="29">
        <s v="Mantenimiento Industrial"/>
        <s v="Gestion del Talento"/>
        <s v="Legal"/>
        <s v="Finanzas y Tesorería"/>
        <s v="Electricidad"/>
        <s v="Cosecha"/>
        <s v="Sistemas y TI"/>
        <s v="Laboratorio e Investigación Agricola"/>
        <s v="Compras"/>
        <s v="Fundo Lobo"/>
        <s v="Fundo San Vicente"/>
        <s v="Cadenas Productivas"/>
        <s v="Comercial"/>
        <s v="Comercial No Giro"/>
        <s v="Control de Gestión"/>
        <s v="Automatización"/>
        <s v="Calidad"/>
        <s v="Producción"/>
        <s v="Almacén "/>
        <s v="Almacenes y Distribución PT"/>
        <s v="Sistema Integral de Gestión"/>
        <s v="Compensación y Nóminas"/>
        <s v="Gerencia Administración y Finanzas"/>
        <s v="Fundo Montelima"/>
        <s v="Transporte"/>
        <s v="Gerencia de Operaciones"/>
        <s v="Planificador Agrícola"/>
        <s v="Fundo La Huaca"/>
        <s v="Gerencia industrial y de Mantenimien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1">
  <r>
    <s v="FAtocheM@agricolachira.com.pe"/>
    <x v="0"/>
    <x v="0"/>
    <x v="0"/>
    <x v="0"/>
    <x v="0"/>
  </r>
  <r>
    <s v="FAtocheM@agricolachira.com.pe"/>
    <x v="1"/>
    <x v="0"/>
    <x v="0"/>
    <x v="0"/>
    <x v="0"/>
  </r>
  <r>
    <s v="FAtocheM@agricolachira.com.pe"/>
    <x v="2"/>
    <x v="0"/>
    <x v="0"/>
    <x v="0"/>
    <x v="0"/>
  </r>
  <r>
    <s v="FAtocheM@agricolachira.com.pe"/>
    <x v="3"/>
    <x v="0"/>
    <x v="0"/>
    <x v="0"/>
    <x v="0"/>
  </r>
  <r>
    <s v="FAtocheM@agricolachira.com.pe"/>
    <x v="4"/>
    <x v="1"/>
    <x v="0"/>
    <x v="0"/>
    <x v="0"/>
  </r>
  <r>
    <s v="FAtocheM@agricolachira.com.pe"/>
    <x v="5"/>
    <x v="2"/>
    <x v="0"/>
    <x v="0"/>
    <x v="0"/>
  </r>
  <r>
    <s v="FAtocheM@agricolachira.com.pe"/>
    <x v="6"/>
    <x v="0"/>
    <x v="0"/>
    <x v="0"/>
    <x v="0"/>
  </r>
  <r>
    <s v="FAtocheM@agricolachira.com.pe"/>
    <x v="7"/>
    <x v="0"/>
    <x v="0"/>
    <x v="0"/>
    <x v="0"/>
  </r>
  <r>
    <s v="FAtocheM@agricolachira.com.pe"/>
    <x v="8"/>
    <x v="0"/>
    <x v="0"/>
    <x v="0"/>
    <x v="0"/>
  </r>
  <r>
    <s v="CRamosG@agricolachira.com.pe"/>
    <x v="0"/>
    <x v="0"/>
    <x v="1"/>
    <x v="1"/>
    <x v="1"/>
  </r>
  <r>
    <s v="DZuritaF@agricolachira.com.pe"/>
    <x v="0"/>
    <x v="3"/>
    <x v="2"/>
    <x v="2"/>
    <x v="2"/>
  </r>
  <r>
    <s v="LOlayaLe@agricolachira.com.pe"/>
    <x v="0"/>
    <x v="2"/>
    <x v="2"/>
    <x v="3"/>
    <x v="2"/>
  </r>
  <r>
    <s v="CCarrilloR@agricolachira.com.pe"/>
    <x v="0"/>
    <x v="3"/>
    <x v="0"/>
    <x v="4"/>
    <x v="0"/>
  </r>
  <r>
    <s v="VLopezS@agricolachira.com.pe"/>
    <x v="0"/>
    <x v="0"/>
    <x v="3"/>
    <x v="5"/>
    <x v="3"/>
  </r>
  <r>
    <s v="JGomezAp@agricolachira.com.pe"/>
    <x v="0"/>
    <x v="3"/>
    <x v="2"/>
    <x v="6"/>
    <x v="2"/>
  </r>
  <r>
    <s v="LGarciaC@agricolachira.com.pe"/>
    <x v="0"/>
    <x v="3"/>
    <x v="3"/>
    <x v="5"/>
    <x v="3"/>
  </r>
  <r>
    <s v="RLupucheQ@agricolachira.com.pe"/>
    <x v="0"/>
    <x v="3"/>
    <x v="4"/>
    <x v="7"/>
    <x v="4"/>
  </r>
  <r>
    <s v="JCheroPa@agricolachira.com.pe"/>
    <x v="0"/>
    <x v="0"/>
    <x v="2"/>
    <x v="8"/>
    <x v="2"/>
  </r>
  <r>
    <s v="GPenaP@agricolachira.com.pe"/>
    <x v="0"/>
    <x v="0"/>
    <x v="4"/>
    <x v="9"/>
    <x v="4"/>
  </r>
  <r>
    <s v="WChavezS@agricolachira.com.pe"/>
    <x v="0"/>
    <x v="3"/>
    <x v="4"/>
    <x v="10"/>
    <x v="4"/>
  </r>
  <r>
    <s v="EArevaloJ@agricolachira.com.pe"/>
    <x v="0"/>
    <x v="0"/>
    <x v="2"/>
    <x v="11"/>
    <x v="2"/>
  </r>
  <r>
    <s v="jvasquezc@agricolachira.com.pe"/>
    <x v="0"/>
    <x v="0"/>
    <x v="2"/>
    <x v="6"/>
    <x v="2"/>
  </r>
  <r>
    <s v="cfreym@agricolachira.com.pe"/>
    <x v="0"/>
    <x v="3"/>
    <x v="3"/>
    <x v="12"/>
    <x v="3"/>
  </r>
  <r>
    <s v="NPizarroC@agricolachira.com.pe"/>
    <x v="0"/>
    <x v="3"/>
    <x v="3"/>
    <x v="13"/>
    <x v="3"/>
  </r>
  <r>
    <s v="RMoncadaP@agricolachira.com.pe"/>
    <x v="0"/>
    <x v="3"/>
    <x v="2"/>
    <x v="14"/>
    <x v="2"/>
  </r>
  <r>
    <s v="JPichilinguP@agricolachira.com.pe"/>
    <x v="0"/>
    <x v="3"/>
    <x v="3"/>
    <x v="12"/>
    <x v="3"/>
  </r>
  <r>
    <s v="JMazaV@agricolachira.com.pe"/>
    <x v="0"/>
    <x v="2"/>
    <x v="0"/>
    <x v="15"/>
    <x v="0"/>
  </r>
  <r>
    <s v="JOrdinolaZ@agricolachira.com.pe"/>
    <x v="0"/>
    <x v="3"/>
    <x v="3"/>
    <x v="16"/>
    <x v="3"/>
  </r>
  <r>
    <s v="AGutierrezR@agricolachira.com.pe"/>
    <x v="0"/>
    <x v="3"/>
    <x v="3"/>
    <x v="12"/>
    <x v="3"/>
  </r>
  <r>
    <s v="JSeminarioA@agricolachira.com.pe"/>
    <x v="0"/>
    <x v="0"/>
    <x v="0"/>
    <x v="17"/>
    <x v="0"/>
  </r>
  <r>
    <s v="WFacundoF@agricolachira.com.pe"/>
    <x v="0"/>
    <x v="0"/>
    <x v="0"/>
    <x v="17"/>
    <x v="0"/>
  </r>
  <r>
    <s v="DCruzC@agricolachira.com.pe"/>
    <x v="0"/>
    <x v="0"/>
    <x v="0"/>
    <x v="0"/>
    <x v="0"/>
  </r>
  <r>
    <s v="LPadillaSa@agricolachira.com.pe"/>
    <x v="0"/>
    <x v="2"/>
    <x v="0"/>
    <x v="17"/>
    <x v="0"/>
  </r>
  <r>
    <s v="ABlancoE@agricolachira.com.pe"/>
    <x v="0"/>
    <x v="3"/>
    <x v="3"/>
    <x v="13"/>
    <x v="3"/>
  </r>
  <r>
    <s v="RMarceloY@agricolachira.com.pe"/>
    <x v="0"/>
    <x v="3"/>
    <x v="3"/>
    <x v="18"/>
    <x v="3"/>
  </r>
  <r>
    <s v="HCruzA@agricolachira.com.pe"/>
    <x v="0"/>
    <x v="0"/>
    <x v="3"/>
    <x v="19"/>
    <x v="3"/>
  </r>
  <r>
    <s v="SRamosT@agricolachira.com.pe"/>
    <x v="0"/>
    <x v="0"/>
    <x v="4"/>
    <x v="20"/>
    <x v="4"/>
  </r>
  <r>
    <s v="ALachiraP@agricolachira.com.pe"/>
    <x v="0"/>
    <x v="3"/>
    <x v="3"/>
    <x v="19"/>
    <x v="3"/>
  </r>
  <r>
    <s v="DCheroN@agricolachira.com.pe"/>
    <x v="0"/>
    <x v="3"/>
    <x v="3"/>
    <x v="19"/>
    <x v="3"/>
  </r>
  <r>
    <s v="AColomaL@agricolachira.com.pe"/>
    <x v="0"/>
    <x v="0"/>
    <x v="1"/>
    <x v="21"/>
    <x v="1"/>
  </r>
  <r>
    <s v="JCalderonChu@agricolachira.com.pe"/>
    <x v="0"/>
    <x v="3"/>
    <x v="0"/>
    <x v="17"/>
    <x v="0"/>
  </r>
  <r>
    <s v="LOcanaP@agricolachira.com.pe"/>
    <x v="0"/>
    <x v="3"/>
    <x v="2"/>
    <x v="14"/>
    <x v="2"/>
  </r>
  <r>
    <s v="CVivancoM@agricolachira.com.pe"/>
    <x v="0"/>
    <x v="0"/>
    <x v="2"/>
    <x v="22"/>
    <x v="2"/>
  </r>
  <r>
    <s v="CLupucheV@agricolachira.com.pe"/>
    <x v="0"/>
    <x v="3"/>
    <x v="4"/>
    <x v="9"/>
    <x v="4"/>
  </r>
  <r>
    <s v="JRojasBarr@agricolachira.com.pe"/>
    <x v="0"/>
    <x v="0"/>
    <x v="4"/>
    <x v="23"/>
    <x v="4"/>
  </r>
  <r>
    <s v="PMarroquinR@agricolachira.com.pe"/>
    <x v="0"/>
    <x v="3"/>
    <x v="4"/>
    <x v="20"/>
    <x v="4"/>
  </r>
  <r>
    <s v="BGonzalesM@agricolachira.com.pe"/>
    <x v="0"/>
    <x v="0"/>
    <x v="3"/>
    <x v="24"/>
    <x v="3"/>
  </r>
  <r>
    <s v="jbacilioh@agricolachira.com.pe"/>
    <x v="0"/>
    <x v="0"/>
    <x v="4"/>
    <x v="7"/>
    <x v="4"/>
  </r>
  <r>
    <s v="ptrigoso@agricolachira.com.pe"/>
    <x v="0"/>
    <x v="3"/>
    <x v="3"/>
    <x v="25"/>
    <x v="3"/>
  </r>
  <r>
    <s v="ovasquezp@agricolachira.com.pe"/>
    <x v="0"/>
    <x v="3"/>
    <x v="4"/>
    <x v="26"/>
    <x v="4"/>
  </r>
  <r>
    <s v="JAquijeD@agricolachira.com.pe"/>
    <x v="0"/>
    <x v="2"/>
    <x v="4"/>
    <x v="23"/>
    <x v="4"/>
  </r>
  <r>
    <s v="YGarridoS@agricolachira.com.pe"/>
    <x v="0"/>
    <x v="3"/>
    <x v="3"/>
    <x v="19"/>
    <x v="3"/>
  </r>
  <r>
    <s v="HMatiasZ@agricolachira.com.pe"/>
    <x v="0"/>
    <x v="3"/>
    <x v="4"/>
    <x v="27"/>
    <x v="4"/>
  </r>
  <r>
    <s v="MCulqueC@agricolachira.com.pe"/>
    <x v="0"/>
    <x v="3"/>
    <x v="4"/>
    <x v="10"/>
    <x v="4"/>
  </r>
  <r>
    <s v="EGironAl@agricolachira.com.pe"/>
    <x v="0"/>
    <x v="3"/>
    <x v="4"/>
    <x v="23"/>
    <x v="4"/>
  </r>
  <r>
    <s v="EGarciaR@agricolachira.com.pe"/>
    <x v="0"/>
    <x v="0"/>
    <x v="3"/>
    <x v="18"/>
    <x v="3"/>
  </r>
  <r>
    <s v="rmerach@agricolachira.com.pe"/>
    <x v="0"/>
    <x v="0"/>
    <x v="0"/>
    <x v="28"/>
    <x v="0"/>
  </r>
  <r>
    <s v="CRamosG@agricolachira.com.pe"/>
    <x v="1"/>
    <x v="0"/>
    <x v="1"/>
    <x v="1"/>
    <x v="1"/>
  </r>
  <r>
    <s v="DZuritaF@agricolachira.com.pe"/>
    <x v="1"/>
    <x v="1"/>
    <x v="2"/>
    <x v="2"/>
    <x v="2"/>
  </r>
  <r>
    <s v="LOlayaLe@agricolachira.com.pe"/>
    <x v="1"/>
    <x v="2"/>
    <x v="2"/>
    <x v="3"/>
    <x v="2"/>
  </r>
  <r>
    <s v="CCarrilloR@agricolachira.com.pe"/>
    <x v="1"/>
    <x v="3"/>
    <x v="0"/>
    <x v="4"/>
    <x v="0"/>
  </r>
  <r>
    <s v="VLopezS@agricolachira.com.pe"/>
    <x v="1"/>
    <x v="0"/>
    <x v="3"/>
    <x v="5"/>
    <x v="3"/>
  </r>
  <r>
    <s v="JGomezAp@agricolachira.com.pe"/>
    <x v="1"/>
    <x v="3"/>
    <x v="2"/>
    <x v="6"/>
    <x v="2"/>
  </r>
  <r>
    <s v="LGarciaC@agricolachira.com.pe"/>
    <x v="1"/>
    <x v="3"/>
    <x v="3"/>
    <x v="5"/>
    <x v="3"/>
  </r>
  <r>
    <s v="RLupucheQ@agricolachira.com.pe"/>
    <x v="1"/>
    <x v="3"/>
    <x v="4"/>
    <x v="7"/>
    <x v="4"/>
  </r>
  <r>
    <s v="JCheroPa@agricolachira.com.pe"/>
    <x v="1"/>
    <x v="0"/>
    <x v="2"/>
    <x v="8"/>
    <x v="2"/>
  </r>
  <r>
    <s v="GPenaP@agricolachira.com.pe"/>
    <x v="1"/>
    <x v="0"/>
    <x v="4"/>
    <x v="9"/>
    <x v="4"/>
  </r>
  <r>
    <s v="WChavezS@agricolachira.com.pe"/>
    <x v="1"/>
    <x v="3"/>
    <x v="4"/>
    <x v="10"/>
    <x v="4"/>
  </r>
  <r>
    <s v="EArevaloJ@agricolachira.com.pe"/>
    <x v="1"/>
    <x v="0"/>
    <x v="2"/>
    <x v="11"/>
    <x v="2"/>
  </r>
  <r>
    <s v="jvasquezc@agricolachira.com.pe"/>
    <x v="1"/>
    <x v="0"/>
    <x v="2"/>
    <x v="6"/>
    <x v="2"/>
  </r>
  <r>
    <s v="cfreym@agricolachira.com.pe"/>
    <x v="1"/>
    <x v="3"/>
    <x v="3"/>
    <x v="12"/>
    <x v="3"/>
  </r>
  <r>
    <s v="NPizarroC@agricolachira.com.pe"/>
    <x v="1"/>
    <x v="3"/>
    <x v="3"/>
    <x v="13"/>
    <x v="3"/>
  </r>
  <r>
    <s v="RMoncadaP@agricolachira.com.pe"/>
    <x v="1"/>
    <x v="3"/>
    <x v="2"/>
    <x v="14"/>
    <x v="2"/>
  </r>
  <r>
    <s v="JPichilinguP@agricolachira.com.pe"/>
    <x v="1"/>
    <x v="3"/>
    <x v="3"/>
    <x v="12"/>
    <x v="3"/>
  </r>
  <r>
    <s v="JMazaV@agricolachira.com.pe"/>
    <x v="1"/>
    <x v="2"/>
    <x v="0"/>
    <x v="15"/>
    <x v="0"/>
  </r>
  <r>
    <s v="JOrdinolaZ@agricolachira.com.pe"/>
    <x v="1"/>
    <x v="3"/>
    <x v="3"/>
    <x v="16"/>
    <x v="3"/>
  </r>
  <r>
    <s v="AGutierrezR@agricolachira.com.pe"/>
    <x v="1"/>
    <x v="3"/>
    <x v="3"/>
    <x v="12"/>
    <x v="3"/>
  </r>
  <r>
    <s v="JSeminarioA@agricolachira.com.pe"/>
    <x v="1"/>
    <x v="0"/>
    <x v="0"/>
    <x v="17"/>
    <x v="0"/>
  </r>
  <r>
    <s v="WFacundoF@agricolachira.com.pe"/>
    <x v="1"/>
    <x v="2"/>
    <x v="0"/>
    <x v="17"/>
    <x v="0"/>
  </r>
  <r>
    <s v="DCruzC@agricolachira.com.pe"/>
    <x v="1"/>
    <x v="0"/>
    <x v="0"/>
    <x v="0"/>
    <x v="0"/>
  </r>
  <r>
    <s v="LPadillaSa@agricolachira.com.pe"/>
    <x v="1"/>
    <x v="2"/>
    <x v="0"/>
    <x v="17"/>
    <x v="0"/>
  </r>
  <r>
    <s v="ABlancoE@agricolachira.com.pe"/>
    <x v="1"/>
    <x v="0"/>
    <x v="3"/>
    <x v="13"/>
    <x v="3"/>
  </r>
  <r>
    <s v="RMarceloY@agricolachira.com.pe"/>
    <x v="1"/>
    <x v="3"/>
    <x v="3"/>
    <x v="18"/>
    <x v="3"/>
  </r>
  <r>
    <s v="HCruzA@agricolachira.com.pe"/>
    <x v="1"/>
    <x v="0"/>
    <x v="3"/>
    <x v="19"/>
    <x v="3"/>
  </r>
  <r>
    <s v="SRamosT@agricolachira.com.pe"/>
    <x v="1"/>
    <x v="3"/>
    <x v="4"/>
    <x v="20"/>
    <x v="4"/>
  </r>
  <r>
    <s v="ALachiraP@agricolachira.com.pe"/>
    <x v="1"/>
    <x v="3"/>
    <x v="3"/>
    <x v="19"/>
    <x v="3"/>
  </r>
  <r>
    <s v="DCheroN@agricolachira.com.pe"/>
    <x v="1"/>
    <x v="3"/>
    <x v="3"/>
    <x v="19"/>
    <x v="3"/>
  </r>
  <r>
    <s v="AColomaL@agricolachira.com.pe"/>
    <x v="1"/>
    <x v="0"/>
    <x v="1"/>
    <x v="21"/>
    <x v="1"/>
  </r>
  <r>
    <s v="JCalderonChu@agricolachira.com.pe"/>
    <x v="1"/>
    <x v="3"/>
    <x v="0"/>
    <x v="17"/>
    <x v="0"/>
  </r>
  <r>
    <s v="LOcanaP@agricolachira.com.pe"/>
    <x v="1"/>
    <x v="1"/>
    <x v="2"/>
    <x v="14"/>
    <x v="2"/>
  </r>
  <r>
    <s v="CVivancoM@agricolachira.com.pe"/>
    <x v="1"/>
    <x v="0"/>
    <x v="2"/>
    <x v="22"/>
    <x v="2"/>
  </r>
  <r>
    <s v="CLupucheV@agricolachira.com.pe"/>
    <x v="1"/>
    <x v="3"/>
    <x v="4"/>
    <x v="9"/>
    <x v="4"/>
  </r>
  <r>
    <s v="JRojasBarr@agricolachira.com.pe"/>
    <x v="1"/>
    <x v="3"/>
    <x v="4"/>
    <x v="23"/>
    <x v="4"/>
  </r>
  <r>
    <s v="PMarroquinR@agricolachira.com.pe"/>
    <x v="1"/>
    <x v="3"/>
    <x v="4"/>
    <x v="20"/>
    <x v="4"/>
  </r>
  <r>
    <s v="BGonzalesM@agricolachira.com.pe"/>
    <x v="1"/>
    <x v="0"/>
    <x v="3"/>
    <x v="24"/>
    <x v="3"/>
  </r>
  <r>
    <s v="jbacilioh@agricolachira.com.pe"/>
    <x v="1"/>
    <x v="0"/>
    <x v="4"/>
    <x v="7"/>
    <x v="4"/>
  </r>
  <r>
    <s v="ptrigoso@agricolachira.com.pe"/>
    <x v="1"/>
    <x v="0"/>
    <x v="3"/>
    <x v="25"/>
    <x v="3"/>
  </r>
  <r>
    <s v="ovasquezp@agricolachira.com.pe"/>
    <x v="1"/>
    <x v="0"/>
    <x v="4"/>
    <x v="26"/>
    <x v="4"/>
  </r>
  <r>
    <s v="JAquijeD@agricolachira.com.pe"/>
    <x v="1"/>
    <x v="0"/>
    <x v="4"/>
    <x v="23"/>
    <x v="4"/>
  </r>
  <r>
    <s v="YGarridoS@agricolachira.com.pe"/>
    <x v="1"/>
    <x v="0"/>
    <x v="3"/>
    <x v="19"/>
    <x v="3"/>
  </r>
  <r>
    <s v="HMatiasZ@agricolachira.com.pe"/>
    <x v="1"/>
    <x v="3"/>
    <x v="4"/>
    <x v="27"/>
    <x v="4"/>
  </r>
  <r>
    <s v="MCulqueC@agricolachira.com.pe"/>
    <x v="1"/>
    <x v="3"/>
    <x v="4"/>
    <x v="10"/>
    <x v="4"/>
  </r>
  <r>
    <s v="EGironAl@agricolachira.com.pe"/>
    <x v="1"/>
    <x v="3"/>
    <x v="4"/>
    <x v="23"/>
    <x v="4"/>
  </r>
  <r>
    <s v="EGarciaR@agricolachira.com.pe"/>
    <x v="1"/>
    <x v="3"/>
    <x v="3"/>
    <x v="18"/>
    <x v="3"/>
  </r>
  <r>
    <s v="rmerach@agricolachira.com.pe"/>
    <x v="1"/>
    <x v="0"/>
    <x v="0"/>
    <x v="28"/>
    <x v="0"/>
  </r>
  <r>
    <s v="CRamosG@agricolachira.com.pe"/>
    <x v="2"/>
    <x v="0"/>
    <x v="1"/>
    <x v="1"/>
    <x v="1"/>
  </r>
  <r>
    <s v="DZuritaF@agricolachira.com.pe"/>
    <x v="2"/>
    <x v="1"/>
    <x v="2"/>
    <x v="2"/>
    <x v="2"/>
  </r>
  <r>
    <s v="LOlayaLe@agricolachira.com.pe"/>
    <x v="2"/>
    <x v="2"/>
    <x v="2"/>
    <x v="3"/>
    <x v="2"/>
  </r>
  <r>
    <s v="CCarrilloR@agricolachira.com.pe"/>
    <x v="2"/>
    <x v="3"/>
    <x v="0"/>
    <x v="4"/>
    <x v="0"/>
  </r>
  <r>
    <s v="VLopezS@agricolachira.com.pe"/>
    <x v="2"/>
    <x v="0"/>
    <x v="3"/>
    <x v="5"/>
    <x v="3"/>
  </r>
  <r>
    <s v="JGomezAp@agricolachira.com.pe"/>
    <x v="2"/>
    <x v="3"/>
    <x v="2"/>
    <x v="6"/>
    <x v="2"/>
  </r>
  <r>
    <s v="LGarciaC@agricolachira.com.pe"/>
    <x v="2"/>
    <x v="3"/>
    <x v="3"/>
    <x v="5"/>
    <x v="3"/>
  </r>
  <r>
    <s v="RLupucheQ@agricolachira.com.pe"/>
    <x v="2"/>
    <x v="0"/>
    <x v="4"/>
    <x v="7"/>
    <x v="4"/>
  </r>
  <r>
    <s v="JCheroPa@agricolachira.com.pe"/>
    <x v="2"/>
    <x v="0"/>
    <x v="2"/>
    <x v="8"/>
    <x v="2"/>
  </r>
  <r>
    <s v="GPenaP@agricolachira.com.pe"/>
    <x v="2"/>
    <x v="0"/>
    <x v="4"/>
    <x v="9"/>
    <x v="4"/>
  </r>
  <r>
    <s v="WChavezS@agricolachira.com.pe"/>
    <x v="2"/>
    <x v="0"/>
    <x v="4"/>
    <x v="10"/>
    <x v="4"/>
  </r>
  <r>
    <s v="EArevaloJ@agricolachira.com.pe"/>
    <x v="2"/>
    <x v="0"/>
    <x v="2"/>
    <x v="11"/>
    <x v="2"/>
  </r>
  <r>
    <s v="jvasquezc@agricolachira.com.pe"/>
    <x v="2"/>
    <x v="3"/>
    <x v="2"/>
    <x v="6"/>
    <x v="2"/>
  </r>
  <r>
    <s v="cfreym@agricolachira.com.pe"/>
    <x v="2"/>
    <x v="3"/>
    <x v="3"/>
    <x v="12"/>
    <x v="3"/>
  </r>
  <r>
    <s v="NPizarroC@agricolachira.com.pe"/>
    <x v="2"/>
    <x v="3"/>
    <x v="3"/>
    <x v="13"/>
    <x v="3"/>
  </r>
  <r>
    <s v="RMoncadaP@agricolachira.com.pe"/>
    <x v="2"/>
    <x v="3"/>
    <x v="2"/>
    <x v="14"/>
    <x v="2"/>
  </r>
  <r>
    <s v="JPichilinguP@agricolachira.com.pe"/>
    <x v="2"/>
    <x v="1"/>
    <x v="3"/>
    <x v="12"/>
    <x v="3"/>
  </r>
  <r>
    <s v="JMazaV@agricolachira.com.pe"/>
    <x v="2"/>
    <x v="0"/>
    <x v="0"/>
    <x v="15"/>
    <x v="0"/>
  </r>
  <r>
    <s v="JOrdinolaZ@agricolachira.com.pe"/>
    <x v="2"/>
    <x v="3"/>
    <x v="3"/>
    <x v="16"/>
    <x v="3"/>
  </r>
  <r>
    <s v="AGutierrezR@agricolachira.com.pe"/>
    <x v="2"/>
    <x v="3"/>
    <x v="3"/>
    <x v="12"/>
    <x v="3"/>
  </r>
  <r>
    <s v="JSeminarioA@agricolachira.com.pe"/>
    <x v="2"/>
    <x v="2"/>
    <x v="0"/>
    <x v="17"/>
    <x v="0"/>
  </r>
  <r>
    <s v="WFacundoF@agricolachira.com.pe"/>
    <x v="2"/>
    <x v="0"/>
    <x v="0"/>
    <x v="17"/>
    <x v="0"/>
  </r>
  <r>
    <s v="DCruzC@agricolachira.com.pe"/>
    <x v="2"/>
    <x v="0"/>
    <x v="0"/>
    <x v="0"/>
    <x v="0"/>
  </r>
  <r>
    <s v="LPadillaSa@agricolachira.com.pe"/>
    <x v="2"/>
    <x v="2"/>
    <x v="0"/>
    <x v="17"/>
    <x v="0"/>
  </r>
  <r>
    <s v="ABlancoE@agricolachira.com.pe"/>
    <x v="2"/>
    <x v="3"/>
    <x v="3"/>
    <x v="13"/>
    <x v="3"/>
  </r>
  <r>
    <s v="RMarceloY@agricolachira.com.pe"/>
    <x v="2"/>
    <x v="3"/>
    <x v="3"/>
    <x v="18"/>
    <x v="3"/>
  </r>
  <r>
    <s v="HCruzA@agricolachira.com.pe"/>
    <x v="2"/>
    <x v="3"/>
    <x v="3"/>
    <x v="19"/>
    <x v="3"/>
  </r>
  <r>
    <s v="SRamosT@agricolachira.com.pe"/>
    <x v="2"/>
    <x v="0"/>
    <x v="4"/>
    <x v="20"/>
    <x v="4"/>
  </r>
  <r>
    <s v="ALachiraP@agricolachira.com.pe"/>
    <x v="2"/>
    <x v="3"/>
    <x v="3"/>
    <x v="19"/>
    <x v="3"/>
  </r>
  <r>
    <s v="DCheroN@agricolachira.com.pe"/>
    <x v="2"/>
    <x v="3"/>
    <x v="3"/>
    <x v="19"/>
    <x v="3"/>
  </r>
  <r>
    <s v="AColomaL@agricolachira.com.pe"/>
    <x v="2"/>
    <x v="0"/>
    <x v="1"/>
    <x v="21"/>
    <x v="1"/>
  </r>
  <r>
    <s v="JCalderonChu@agricolachira.com.pe"/>
    <x v="2"/>
    <x v="0"/>
    <x v="0"/>
    <x v="17"/>
    <x v="0"/>
  </r>
  <r>
    <s v="LOcanaP@agricolachira.com.pe"/>
    <x v="2"/>
    <x v="0"/>
    <x v="2"/>
    <x v="14"/>
    <x v="2"/>
  </r>
  <r>
    <s v="CVivancoM@agricolachira.com.pe"/>
    <x v="2"/>
    <x v="0"/>
    <x v="2"/>
    <x v="22"/>
    <x v="2"/>
  </r>
  <r>
    <s v="CLupucheV@agricolachira.com.pe"/>
    <x v="2"/>
    <x v="0"/>
    <x v="4"/>
    <x v="9"/>
    <x v="4"/>
  </r>
  <r>
    <s v="JRojasBarr@agricolachira.com.pe"/>
    <x v="2"/>
    <x v="3"/>
    <x v="4"/>
    <x v="23"/>
    <x v="4"/>
  </r>
  <r>
    <s v="PMarroquinR@agricolachira.com.pe"/>
    <x v="2"/>
    <x v="0"/>
    <x v="4"/>
    <x v="20"/>
    <x v="4"/>
  </r>
  <r>
    <s v="BGonzalesM@agricolachira.com.pe"/>
    <x v="2"/>
    <x v="0"/>
    <x v="3"/>
    <x v="24"/>
    <x v="3"/>
  </r>
  <r>
    <s v="jbacilioh@agricolachira.com.pe"/>
    <x v="2"/>
    <x v="0"/>
    <x v="4"/>
    <x v="7"/>
    <x v="4"/>
  </r>
  <r>
    <s v="ptrigoso@agricolachira.com.pe"/>
    <x v="2"/>
    <x v="3"/>
    <x v="3"/>
    <x v="25"/>
    <x v="3"/>
  </r>
  <r>
    <s v="ovasquezp@agricolachira.com.pe"/>
    <x v="2"/>
    <x v="3"/>
    <x v="4"/>
    <x v="26"/>
    <x v="4"/>
  </r>
  <r>
    <s v="JAquijeD@agricolachira.com.pe"/>
    <x v="2"/>
    <x v="0"/>
    <x v="4"/>
    <x v="23"/>
    <x v="4"/>
  </r>
  <r>
    <s v="YGarridoS@agricolachira.com.pe"/>
    <x v="2"/>
    <x v="0"/>
    <x v="3"/>
    <x v="19"/>
    <x v="3"/>
  </r>
  <r>
    <s v="HMatiasZ@agricolachira.com.pe"/>
    <x v="2"/>
    <x v="3"/>
    <x v="4"/>
    <x v="27"/>
    <x v="4"/>
  </r>
  <r>
    <s v="MCulqueC@agricolachira.com.pe"/>
    <x v="2"/>
    <x v="3"/>
    <x v="4"/>
    <x v="10"/>
    <x v="4"/>
  </r>
  <r>
    <s v="EGironAl@agricolachira.com.pe"/>
    <x v="2"/>
    <x v="3"/>
    <x v="4"/>
    <x v="23"/>
    <x v="4"/>
  </r>
  <r>
    <s v="EGarciaR@agricolachira.com.pe"/>
    <x v="2"/>
    <x v="3"/>
    <x v="3"/>
    <x v="18"/>
    <x v="3"/>
  </r>
  <r>
    <s v="rmerach@agricolachira.com.pe"/>
    <x v="2"/>
    <x v="3"/>
    <x v="0"/>
    <x v="28"/>
    <x v="0"/>
  </r>
  <r>
    <s v="CRamosG@agricolachira.com.pe"/>
    <x v="3"/>
    <x v="0"/>
    <x v="1"/>
    <x v="1"/>
    <x v="1"/>
  </r>
  <r>
    <s v="DZuritaF@agricolachira.com.pe"/>
    <x v="3"/>
    <x v="1"/>
    <x v="2"/>
    <x v="2"/>
    <x v="2"/>
  </r>
  <r>
    <s v="LOlayaLe@agricolachira.com.pe"/>
    <x v="3"/>
    <x v="2"/>
    <x v="2"/>
    <x v="3"/>
    <x v="2"/>
  </r>
  <r>
    <s v="CCarrilloR@agricolachira.com.pe"/>
    <x v="3"/>
    <x v="3"/>
    <x v="0"/>
    <x v="4"/>
    <x v="0"/>
  </r>
  <r>
    <s v="VLopezS@agricolachira.com.pe"/>
    <x v="3"/>
    <x v="0"/>
    <x v="3"/>
    <x v="5"/>
    <x v="3"/>
  </r>
  <r>
    <s v="JGomezAp@agricolachira.com.pe"/>
    <x v="3"/>
    <x v="3"/>
    <x v="2"/>
    <x v="6"/>
    <x v="2"/>
  </r>
  <r>
    <s v="LGarciaC@agricolachira.com.pe"/>
    <x v="3"/>
    <x v="3"/>
    <x v="3"/>
    <x v="5"/>
    <x v="3"/>
  </r>
  <r>
    <s v="RLupucheQ@agricolachira.com.pe"/>
    <x v="3"/>
    <x v="0"/>
    <x v="4"/>
    <x v="7"/>
    <x v="4"/>
  </r>
  <r>
    <s v="JCheroPa@agricolachira.com.pe"/>
    <x v="3"/>
    <x v="0"/>
    <x v="2"/>
    <x v="8"/>
    <x v="2"/>
  </r>
  <r>
    <s v="GPenaP@agricolachira.com.pe"/>
    <x v="3"/>
    <x v="3"/>
    <x v="4"/>
    <x v="9"/>
    <x v="4"/>
  </r>
  <r>
    <s v="WChavezS@agricolachira.com.pe"/>
    <x v="3"/>
    <x v="0"/>
    <x v="4"/>
    <x v="10"/>
    <x v="4"/>
  </r>
  <r>
    <s v="EArevaloJ@agricolachira.com.pe"/>
    <x v="3"/>
    <x v="0"/>
    <x v="2"/>
    <x v="11"/>
    <x v="2"/>
  </r>
  <r>
    <s v="jvasquezc@agricolachira.com.pe"/>
    <x v="3"/>
    <x v="3"/>
    <x v="2"/>
    <x v="6"/>
    <x v="2"/>
  </r>
  <r>
    <s v="cfreym@agricolachira.com.pe"/>
    <x v="3"/>
    <x v="3"/>
    <x v="3"/>
    <x v="12"/>
    <x v="3"/>
  </r>
  <r>
    <s v="NPizarroC@agricolachira.com.pe"/>
    <x v="3"/>
    <x v="3"/>
    <x v="3"/>
    <x v="13"/>
    <x v="3"/>
  </r>
  <r>
    <s v="RMoncadaP@agricolachira.com.pe"/>
    <x v="3"/>
    <x v="3"/>
    <x v="2"/>
    <x v="14"/>
    <x v="2"/>
  </r>
  <r>
    <s v="JPichilinguP@agricolachira.com.pe"/>
    <x v="3"/>
    <x v="0"/>
    <x v="3"/>
    <x v="12"/>
    <x v="3"/>
  </r>
  <r>
    <s v="JMazaV@agricolachira.com.pe"/>
    <x v="3"/>
    <x v="2"/>
    <x v="0"/>
    <x v="15"/>
    <x v="0"/>
  </r>
  <r>
    <s v="JOrdinolaZ@agricolachira.com.pe"/>
    <x v="3"/>
    <x v="3"/>
    <x v="3"/>
    <x v="16"/>
    <x v="3"/>
  </r>
  <r>
    <s v="AGutierrezR@agricolachira.com.pe"/>
    <x v="3"/>
    <x v="3"/>
    <x v="3"/>
    <x v="12"/>
    <x v="3"/>
  </r>
  <r>
    <s v="JSeminarioA@agricolachira.com.pe"/>
    <x v="3"/>
    <x v="2"/>
    <x v="0"/>
    <x v="17"/>
    <x v="0"/>
  </r>
  <r>
    <s v="WFacundoF@agricolachira.com.pe"/>
    <x v="3"/>
    <x v="0"/>
    <x v="0"/>
    <x v="17"/>
    <x v="0"/>
  </r>
  <r>
    <s v="DCruzC@agricolachira.com.pe"/>
    <x v="3"/>
    <x v="0"/>
    <x v="0"/>
    <x v="0"/>
    <x v="0"/>
  </r>
  <r>
    <s v="LPadillaSa@agricolachira.com.pe"/>
    <x v="3"/>
    <x v="2"/>
    <x v="0"/>
    <x v="17"/>
    <x v="0"/>
  </r>
  <r>
    <s v="ABlancoE@agricolachira.com.pe"/>
    <x v="3"/>
    <x v="0"/>
    <x v="3"/>
    <x v="13"/>
    <x v="3"/>
  </r>
  <r>
    <s v="RMarceloY@agricolachira.com.pe"/>
    <x v="3"/>
    <x v="3"/>
    <x v="3"/>
    <x v="18"/>
    <x v="3"/>
  </r>
  <r>
    <s v="HCruzA@agricolachira.com.pe"/>
    <x v="3"/>
    <x v="3"/>
    <x v="3"/>
    <x v="19"/>
    <x v="3"/>
  </r>
  <r>
    <s v="SRamosT@agricolachira.com.pe"/>
    <x v="3"/>
    <x v="3"/>
    <x v="4"/>
    <x v="20"/>
    <x v="4"/>
  </r>
  <r>
    <s v="ALachiraP@agricolachira.com.pe"/>
    <x v="3"/>
    <x v="3"/>
    <x v="3"/>
    <x v="19"/>
    <x v="3"/>
  </r>
  <r>
    <s v="DCheroN@agricolachira.com.pe"/>
    <x v="3"/>
    <x v="3"/>
    <x v="3"/>
    <x v="19"/>
    <x v="3"/>
  </r>
  <r>
    <s v="AColomaL@agricolachira.com.pe"/>
    <x v="3"/>
    <x v="0"/>
    <x v="1"/>
    <x v="21"/>
    <x v="1"/>
  </r>
  <r>
    <s v="JCalderonChu@agricolachira.com.pe"/>
    <x v="3"/>
    <x v="0"/>
    <x v="0"/>
    <x v="17"/>
    <x v="0"/>
  </r>
  <r>
    <s v="LOcanaP@agricolachira.com.pe"/>
    <x v="3"/>
    <x v="3"/>
    <x v="2"/>
    <x v="14"/>
    <x v="2"/>
  </r>
  <r>
    <s v="CVivancoM@agricolachira.com.pe"/>
    <x v="3"/>
    <x v="0"/>
    <x v="2"/>
    <x v="22"/>
    <x v="2"/>
  </r>
  <r>
    <s v="CLupucheV@agricolachira.com.pe"/>
    <x v="3"/>
    <x v="0"/>
    <x v="4"/>
    <x v="9"/>
    <x v="4"/>
  </r>
  <r>
    <s v="JRojasBarr@agricolachira.com.pe"/>
    <x v="3"/>
    <x v="0"/>
    <x v="4"/>
    <x v="23"/>
    <x v="4"/>
  </r>
  <r>
    <s v="PMarroquinR@agricolachira.com.pe"/>
    <x v="3"/>
    <x v="3"/>
    <x v="4"/>
    <x v="20"/>
    <x v="4"/>
  </r>
  <r>
    <s v="BGonzalesM@agricolachira.com.pe"/>
    <x v="3"/>
    <x v="1"/>
    <x v="3"/>
    <x v="24"/>
    <x v="3"/>
  </r>
  <r>
    <s v="jbacilioh@agricolachira.com.pe"/>
    <x v="3"/>
    <x v="0"/>
    <x v="4"/>
    <x v="7"/>
    <x v="4"/>
  </r>
  <r>
    <s v="ptrigoso@agricolachira.com.pe"/>
    <x v="3"/>
    <x v="0"/>
    <x v="3"/>
    <x v="25"/>
    <x v="3"/>
  </r>
  <r>
    <s v="ovasquezp@agricolachira.com.pe"/>
    <x v="3"/>
    <x v="3"/>
    <x v="4"/>
    <x v="26"/>
    <x v="4"/>
  </r>
  <r>
    <s v="JAquijeD@agricolachira.com.pe"/>
    <x v="3"/>
    <x v="0"/>
    <x v="4"/>
    <x v="23"/>
    <x v="4"/>
  </r>
  <r>
    <s v="YGarridoS@agricolachira.com.pe"/>
    <x v="3"/>
    <x v="0"/>
    <x v="3"/>
    <x v="19"/>
    <x v="3"/>
  </r>
  <r>
    <s v="HMatiasZ@agricolachira.com.pe"/>
    <x v="3"/>
    <x v="3"/>
    <x v="4"/>
    <x v="27"/>
    <x v="4"/>
  </r>
  <r>
    <s v="MCulqueC@agricolachira.com.pe"/>
    <x v="3"/>
    <x v="3"/>
    <x v="4"/>
    <x v="10"/>
    <x v="4"/>
  </r>
  <r>
    <s v="EGironAl@agricolachira.com.pe"/>
    <x v="3"/>
    <x v="3"/>
    <x v="4"/>
    <x v="23"/>
    <x v="4"/>
  </r>
  <r>
    <s v="EGarciaR@agricolachira.com.pe"/>
    <x v="3"/>
    <x v="0"/>
    <x v="3"/>
    <x v="18"/>
    <x v="3"/>
  </r>
  <r>
    <s v="rmerach@agricolachira.com.pe"/>
    <x v="3"/>
    <x v="0"/>
    <x v="0"/>
    <x v="28"/>
    <x v="0"/>
  </r>
  <r>
    <s v="CRamosG@agricolachira.com.pe"/>
    <x v="4"/>
    <x v="0"/>
    <x v="1"/>
    <x v="1"/>
    <x v="1"/>
  </r>
  <r>
    <s v="DZuritaF@agricolachira.com.pe"/>
    <x v="4"/>
    <x v="1"/>
    <x v="2"/>
    <x v="2"/>
    <x v="2"/>
  </r>
  <r>
    <s v="LOlayaLe@agricolachira.com.pe"/>
    <x v="4"/>
    <x v="2"/>
    <x v="2"/>
    <x v="3"/>
    <x v="2"/>
  </r>
  <r>
    <s v="CCarrilloR@agricolachira.com.pe"/>
    <x v="4"/>
    <x v="1"/>
    <x v="0"/>
    <x v="4"/>
    <x v="0"/>
  </r>
  <r>
    <s v="VLopezS@agricolachira.com.pe"/>
    <x v="4"/>
    <x v="0"/>
    <x v="3"/>
    <x v="5"/>
    <x v="3"/>
  </r>
  <r>
    <s v="JGomezAp@agricolachira.com.pe"/>
    <x v="4"/>
    <x v="3"/>
    <x v="2"/>
    <x v="6"/>
    <x v="2"/>
  </r>
  <r>
    <s v="LGarciaC@agricolachira.com.pe"/>
    <x v="4"/>
    <x v="3"/>
    <x v="3"/>
    <x v="5"/>
    <x v="3"/>
  </r>
  <r>
    <s v="RLupucheQ@agricolachira.com.pe"/>
    <x v="4"/>
    <x v="0"/>
    <x v="4"/>
    <x v="7"/>
    <x v="4"/>
  </r>
  <r>
    <s v="JCheroPa@agricolachira.com.pe"/>
    <x v="4"/>
    <x v="1"/>
    <x v="2"/>
    <x v="8"/>
    <x v="2"/>
  </r>
  <r>
    <s v="GPenaP@agricolachira.com.pe"/>
    <x v="4"/>
    <x v="2"/>
    <x v="4"/>
    <x v="9"/>
    <x v="4"/>
  </r>
  <r>
    <s v="WChavezS@agricolachira.com.pe"/>
    <x v="4"/>
    <x v="0"/>
    <x v="4"/>
    <x v="10"/>
    <x v="4"/>
  </r>
  <r>
    <s v="EArevaloJ@agricolachira.com.pe"/>
    <x v="4"/>
    <x v="0"/>
    <x v="2"/>
    <x v="11"/>
    <x v="2"/>
  </r>
  <r>
    <s v="jvasquezc@agricolachira.com.pe"/>
    <x v="4"/>
    <x v="1"/>
    <x v="2"/>
    <x v="6"/>
    <x v="2"/>
  </r>
  <r>
    <s v="cfreym@agricolachira.com.pe"/>
    <x v="4"/>
    <x v="0"/>
    <x v="3"/>
    <x v="12"/>
    <x v="3"/>
  </r>
  <r>
    <s v="NPizarroC@agricolachira.com.pe"/>
    <x v="4"/>
    <x v="3"/>
    <x v="3"/>
    <x v="13"/>
    <x v="3"/>
  </r>
  <r>
    <s v="RMoncadaP@agricolachira.com.pe"/>
    <x v="4"/>
    <x v="3"/>
    <x v="2"/>
    <x v="14"/>
    <x v="2"/>
  </r>
  <r>
    <s v="JPichilinguP@agricolachira.com.pe"/>
    <x v="4"/>
    <x v="1"/>
    <x v="3"/>
    <x v="12"/>
    <x v="3"/>
  </r>
  <r>
    <s v="JMazaV@agricolachira.com.pe"/>
    <x v="4"/>
    <x v="0"/>
    <x v="0"/>
    <x v="15"/>
    <x v="0"/>
  </r>
  <r>
    <s v="JOrdinolaZ@agricolachira.com.pe"/>
    <x v="4"/>
    <x v="3"/>
    <x v="3"/>
    <x v="16"/>
    <x v="3"/>
  </r>
  <r>
    <s v="AGutierrezR@agricolachira.com.pe"/>
    <x v="4"/>
    <x v="3"/>
    <x v="3"/>
    <x v="12"/>
    <x v="3"/>
  </r>
  <r>
    <s v="JSeminarioA@agricolachira.com.pe"/>
    <x v="4"/>
    <x v="2"/>
    <x v="0"/>
    <x v="17"/>
    <x v="0"/>
  </r>
  <r>
    <s v="WFacundoF@agricolachira.com.pe"/>
    <x v="4"/>
    <x v="2"/>
    <x v="0"/>
    <x v="17"/>
    <x v="0"/>
  </r>
  <r>
    <s v="DCruzC@agricolachira.com.pe"/>
    <x v="4"/>
    <x v="2"/>
    <x v="0"/>
    <x v="0"/>
    <x v="0"/>
  </r>
  <r>
    <s v="LPadillaSa@agricolachira.com.pe"/>
    <x v="4"/>
    <x v="2"/>
    <x v="0"/>
    <x v="17"/>
    <x v="0"/>
  </r>
  <r>
    <s v="ABlancoE@agricolachira.com.pe"/>
    <x v="4"/>
    <x v="1"/>
    <x v="3"/>
    <x v="13"/>
    <x v="3"/>
  </r>
  <r>
    <s v="RMarceloY@agricolachira.com.pe"/>
    <x v="4"/>
    <x v="3"/>
    <x v="3"/>
    <x v="18"/>
    <x v="3"/>
  </r>
  <r>
    <s v="HCruzA@agricolachira.com.pe"/>
    <x v="4"/>
    <x v="0"/>
    <x v="3"/>
    <x v="19"/>
    <x v="3"/>
  </r>
  <r>
    <s v="SRamosT@agricolachira.com.pe"/>
    <x v="4"/>
    <x v="0"/>
    <x v="4"/>
    <x v="20"/>
    <x v="4"/>
  </r>
  <r>
    <s v="ALachiraP@agricolachira.com.pe"/>
    <x v="4"/>
    <x v="0"/>
    <x v="3"/>
    <x v="19"/>
    <x v="3"/>
  </r>
  <r>
    <s v="DCheroN@agricolachira.com.pe"/>
    <x v="4"/>
    <x v="3"/>
    <x v="3"/>
    <x v="19"/>
    <x v="3"/>
  </r>
  <r>
    <s v="AColomaL@agricolachira.com.pe"/>
    <x v="4"/>
    <x v="0"/>
    <x v="1"/>
    <x v="21"/>
    <x v="1"/>
  </r>
  <r>
    <s v="JCalderonChu@agricolachira.com.pe"/>
    <x v="4"/>
    <x v="0"/>
    <x v="0"/>
    <x v="17"/>
    <x v="0"/>
  </r>
  <r>
    <s v="LOcanaP@agricolachira.com.pe"/>
    <x v="4"/>
    <x v="0"/>
    <x v="2"/>
    <x v="14"/>
    <x v="2"/>
  </r>
  <r>
    <s v="CVivancoM@agricolachira.com.pe"/>
    <x v="4"/>
    <x v="0"/>
    <x v="2"/>
    <x v="22"/>
    <x v="2"/>
  </r>
  <r>
    <s v="CLupucheV@agricolachira.com.pe"/>
    <x v="4"/>
    <x v="3"/>
    <x v="4"/>
    <x v="9"/>
    <x v="4"/>
  </r>
  <r>
    <s v="JRojasBarr@agricolachira.com.pe"/>
    <x v="4"/>
    <x v="0"/>
    <x v="4"/>
    <x v="23"/>
    <x v="4"/>
  </r>
  <r>
    <s v="PMarroquinR@agricolachira.com.pe"/>
    <x v="4"/>
    <x v="1"/>
    <x v="4"/>
    <x v="20"/>
    <x v="4"/>
  </r>
  <r>
    <s v="BGonzalesM@agricolachira.com.pe"/>
    <x v="4"/>
    <x v="0"/>
    <x v="3"/>
    <x v="24"/>
    <x v="3"/>
  </r>
  <r>
    <s v="jbacilioh@agricolachira.com.pe"/>
    <x v="4"/>
    <x v="0"/>
    <x v="4"/>
    <x v="7"/>
    <x v="4"/>
  </r>
  <r>
    <s v="ptrigoso@agricolachira.com.pe"/>
    <x v="4"/>
    <x v="3"/>
    <x v="3"/>
    <x v="25"/>
    <x v="3"/>
  </r>
  <r>
    <s v="ovasquezp@agricolachira.com.pe"/>
    <x v="4"/>
    <x v="0"/>
    <x v="4"/>
    <x v="26"/>
    <x v="4"/>
  </r>
  <r>
    <s v="JAquijeD@agricolachira.com.pe"/>
    <x v="4"/>
    <x v="2"/>
    <x v="4"/>
    <x v="23"/>
    <x v="4"/>
  </r>
  <r>
    <s v="YGarridoS@agricolachira.com.pe"/>
    <x v="4"/>
    <x v="0"/>
    <x v="3"/>
    <x v="19"/>
    <x v="3"/>
  </r>
  <r>
    <s v="HMatiasZ@agricolachira.com.pe"/>
    <x v="4"/>
    <x v="3"/>
    <x v="4"/>
    <x v="27"/>
    <x v="4"/>
  </r>
  <r>
    <s v="MCulqueC@agricolachira.com.pe"/>
    <x v="4"/>
    <x v="0"/>
    <x v="4"/>
    <x v="10"/>
    <x v="4"/>
  </r>
  <r>
    <s v="EGironAl@agricolachira.com.pe"/>
    <x v="4"/>
    <x v="3"/>
    <x v="4"/>
    <x v="23"/>
    <x v="4"/>
  </r>
  <r>
    <s v="EGarciaR@agricolachira.com.pe"/>
    <x v="4"/>
    <x v="3"/>
    <x v="3"/>
    <x v="18"/>
    <x v="3"/>
  </r>
  <r>
    <s v="rmerach@agricolachira.com.pe"/>
    <x v="4"/>
    <x v="0"/>
    <x v="0"/>
    <x v="28"/>
    <x v="0"/>
  </r>
  <r>
    <s v="CRamosG@agricolachira.com.pe"/>
    <x v="5"/>
    <x v="0"/>
    <x v="1"/>
    <x v="1"/>
    <x v="1"/>
  </r>
  <r>
    <s v="DZuritaF@agricolachira.com.pe"/>
    <x v="5"/>
    <x v="1"/>
    <x v="2"/>
    <x v="2"/>
    <x v="2"/>
  </r>
  <r>
    <s v="LOlayaLe@agricolachira.com.pe"/>
    <x v="5"/>
    <x v="2"/>
    <x v="2"/>
    <x v="3"/>
    <x v="2"/>
  </r>
  <r>
    <s v="CCarrilloR@agricolachira.com.pe"/>
    <x v="5"/>
    <x v="1"/>
    <x v="0"/>
    <x v="4"/>
    <x v="0"/>
  </r>
  <r>
    <s v="VLopezS@agricolachira.com.pe"/>
    <x v="5"/>
    <x v="0"/>
    <x v="3"/>
    <x v="5"/>
    <x v="3"/>
  </r>
  <r>
    <s v="JGomezAp@agricolachira.com.pe"/>
    <x v="5"/>
    <x v="3"/>
    <x v="2"/>
    <x v="6"/>
    <x v="2"/>
  </r>
  <r>
    <s v="LGarciaC@agricolachira.com.pe"/>
    <x v="5"/>
    <x v="3"/>
    <x v="3"/>
    <x v="5"/>
    <x v="3"/>
  </r>
  <r>
    <s v="RLupucheQ@agricolachira.com.pe"/>
    <x v="5"/>
    <x v="0"/>
    <x v="4"/>
    <x v="7"/>
    <x v="4"/>
  </r>
  <r>
    <s v="JCheroPa@agricolachira.com.pe"/>
    <x v="5"/>
    <x v="1"/>
    <x v="2"/>
    <x v="8"/>
    <x v="2"/>
  </r>
  <r>
    <s v="GPenaP@agricolachira.com.pe"/>
    <x v="5"/>
    <x v="0"/>
    <x v="4"/>
    <x v="9"/>
    <x v="4"/>
  </r>
  <r>
    <s v="WChavezS@agricolachira.com.pe"/>
    <x v="5"/>
    <x v="0"/>
    <x v="4"/>
    <x v="10"/>
    <x v="4"/>
  </r>
  <r>
    <s v="EArevaloJ@agricolachira.com.pe"/>
    <x v="5"/>
    <x v="0"/>
    <x v="2"/>
    <x v="11"/>
    <x v="2"/>
  </r>
  <r>
    <s v="jvasquezc@agricolachira.com.pe"/>
    <x v="5"/>
    <x v="3"/>
    <x v="2"/>
    <x v="6"/>
    <x v="2"/>
  </r>
  <r>
    <s v="cfreym@agricolachira.com.pe"/>
    <x v="5"/>
    <x v="0"/>
    <x v="3"/>
    <x v="12"/>
    <x v="3"/>
  </r>
  <r>
    <s v="NPizarroC@agricolachira.com.pe"/>
    <x v="5"/>
    <x v="3"/>
    <x v="3"/>
    <x v="13"/>
    <x v="3"/>
  </r>
  <r>
    <s v="RMoncadaP@agricolachira.com.pe"/>
    <x v="5"/>
    <x v="3"/>
    <x v="2"/>
    <x v="14"/>
    <x v="2"/>
  </r>
  <r>
    <s v="JPichilinguP@agricolachira.com.pe"/>
    <x v="5"/>
    <x v="0"/>
    <x v="3"/>
    <x v="12"/>
    <x v="3"/>
  </r>
  <r>
    <s v="JMazaV@agricolachira.com.pe"/>
    <x v="5"/>
    <x v="0"/>
    <x v="0"/>
    <x v="15"/>
    <x v="0"/>
  </r>
  <r>
    <s v="JOrdinolaZ@agricolachira.com.pe"/>
    <x v="5"/>
    <x v="3"/>
    <x v="3"/>
    <x v="16"/>
    <x v="3"/>
  </r>
  <r>
    <s v="AGutierrezR@agricolachira.com.pe"/>
    <x v="5"/>
    <x v="3"/>
    <x v="3"/>
    <x v="12"/>
    <x v="3"/>
  </r>
  <r>
    <s v="JSeminarioA@agricolachira.com.pe"/>
    <x v="5"/>
    <x v="2"/>
    <x v="0"/>
    <x v="17"/>
    <x v="0"/>
  </r>
  <r>
    <s v="WFacundoF@agricolachira.com.pe"/>
    <x v="5"/>
    <x v="2"/>
    <x v="0"/>
    <x v="17"/>
    <x v="0"/>
  </r>
  <r>
    <s v="DCruzC@agricolachira.com.pe"/>
    <x v="5"/>
    <x v="0"/>
    <x v="0"/>
    <x v="0"/>
    <x v="0"/>
  </r>
  <r>
    <s v="LPadillaSa@agricolachira.com.pe"/>
    <x v="5"/>
    <x v="2"/>
    <x v="0"/>
    <x v="17"/>
    <x v="0"/>
  </r>
  <r>
    <s v="ABlancoE@agricolachira.com.pe"/>
    <x v="5"/>
    <x v="1"/>
    <x v="3"/>
    <x v="13"/>
    <x v="3"/>
  </r>
  <r>
    <s v="RMarceloY@agricolachira.com.pe"/>
    <x v="5"/>
    <x v="0"/>
    <x v="3"/>
    <x v="18"/>
    <x v="3"/>
  </r>
  <r>
    <s v="HCruzA@agricolachira.com.pe"/>
    <x v="5"/>
    <x v="0"/>
    <x v="3"/>
    <x v="19"/>
    <x v="3"/>
  </r>
  <r>
    <s v="SRamosT@agricolachira.com.pe"/>
    <x v="5"/>
    <x v="0"/>
    <x v="4"/>
    <x v="20"/>
    <x v="4"/>
  </r>
  <r>
    <s v="ALachiraP@agricolachira.com.pe"/>
    <x v="5"/>
    <x v="0"/>
    <x v="3"/>
    <x v="19"/>
    <x v="3"/>
  </r>
  <r>
    <s v="DCheroN@agricolachira.com.pe"/>
    <x v="5"/>
    <x v="3"/>
    <x v="3"/>
    <x v="19"/>
    <x v="3"/>
  </r>
  <r>
    <s v="AColomaL@agricolachira.com.pe"/>
    <x v="5"/>
    <x v="0"/>
    <x v="1"/>
    <x v="21"/>
    <x v="1"/>
  </r>
  <r>
    <s v="JCalderonChu@agricolachira.com.pe"/>
    <x v="5"/>
    <x v="0"/>
    <x v="0"/>
    <x v="17"/>
    <x v="0"/>
  </r>
  <r>
    <s v="LOcanaP@agricolachira.com.pe"/>
    <x v="5"/>
    <x v="3"/>
    <x v="2"/>
    <x v="14"/>
    <x v="2"/>
  </r>
  <r>
    <s v="CVivancoM@agricolachira.com.pe"/>
    <x v="5"/>
    <x v="0"/>
    <x v="2"/>
    <x v="22"/>
    <x v="2"/>
  </r>
  <r>
    <s v="CLupucheV@agricolachira.com.pe"/>
    <x v="5"/>
    <x v="0"/>
    <x v="4"/>
    <x v="9"/>
    <x v="4"/>
  </r>
  <r>
    <s v="JRojasBarr@agricolachira.com.pe"/>
    <x v="5"/>
    <x v="2"/>
    <x v="4"/>
    <x v="23"/>
    <x v="4"/>
  </r>
  <r>
    <s v="PMarroquinR@agricolachira.com.pe"/>
    <x v="5"/>
    <x v="0"/>
    <x v="4"/>
    <x v="20"/>
    <x v="4"/>
  </r>
  <r>
    <s v="BGonzalesM@agricolachira.com.pe"/>
    <x v="5"/>
    <x v="0"/>
    <x v="3"/>
    <x v="24"/>
    <x v="3"/>
  </r>
  <r>
    <s v="jbacilioh@agricolachira.com.pe"/>
    <x v="5"/>
    <x v="0"/>
    <x v="4"/>
    <x v="7"/>
    <x v="4"/>
  </r>
  <r>
    <s v="ptrigoso@agricolachira.com.pe"/>
    <x v="5"/>
    <x v="3"/>
    <x v="3"/>
    <x v="25"/>
    <x v="3"/>
  </r>
  <r>
    <s v="ovasquezp@agricolachira.com.pe"/>
    <x v="5"/>
    <x v="0"/>
    <x v="4"/>
    <x v="26"/>
    <x v="4"/>
  </r>
  <r>
    <s v="JAquijeD@agricolachira.com.pe"/>
    <x v="5"/>
    <x v="2"/>
    <x v="4"/>
    <x v="23"/>
    <x v="4"/>
  </r>
  <r>
    <s v="YGarridoS@agricolachira.com.pe"/>
    <x v="5"/>
    <x v="3"/>
    <x v="3"/>
    <x v="19"/>
    <x v="3"/>
  </r>
  <r>
    <s v="HMatiasZ@agricolachira.com.pe"/>
    <x v="5"/>
    <x v="3"/>
    <x v="4"/>
    <x v="27"/>
    <x v="4"/>
  </r>
  <r>
    <s v="MCulqueC@agricolachira.com.pe"/>
    <x v="5"/>
    <x v="3"/>
    <x v="4"/>
    <x v="10"/>
    <x v="4"/>
  </r>
  <r>
    <s v="EGironAl@agricolachira.com.pe"/>
    <x v="5"/>
    <x v="3"/>
    <x v="4"/>
    <x v="23"/>
    <x v="4"/>
  </r>
  <r>
    <s v="EGarciaR@agricolachira.com.pe"/>
    <x v="5"/>
    <x v="3"/>
    <x v="3"/>
    <x v="18"/>
    <x v="3"/>
  </r>
  <r>
    <s v="rmerach@agricolachira.com.pe"/>
    <x v="5"/>
    <x v="0"/>
    <x v="0"/>
    <x v="28"/>
    <x v="0"/>
  </r>
  <r>
    <s v="CRamosG@agricolachira.com.pe"/>
    <x v="6"/>
    <x v="0"/>
    <x v="1"/>
    <x v="1"/>
    <x v="1"/>
  </r>
  <r>
    <s v="DZuritaF@agricolachira.com.pe"/>
    <x v="6"/>
    <x v="1"/>
    <x v="2"/>
    <x v="2"/>
    <x v="2"/>
  </r>
  <r>
    <s v="LOlayaLe@agricolachira.com.pe"/>
    <x v="6"/>
    <x v="0"/>
    <x v="2"/>
    <x v="3"/>
    <x v="2"/>
  </r>
  <r>
    <s v="CCarrilloR@agricolachira.com.pe"/>
    <x v="6"/>
    <x v="3"/>
    <x v="0"/>
    <x v="4"/>
    <x v="0"/>
  </r>
  <r>
    <s v="VLopezS@agricolachira.com.pe"/>
    <x v="6"/>
    <x v="0"/>
    <x v="3"/>
    <x v="5"/>
    <x v="3"/>
  </r>
  <r>
    <s v="JGomezAp@agricolachira.com.pe"/>
    <x v="6"/>
    <x v="1"/>
    <x v="2"/>
    <x v="6"/>
    <x v="2"/>
  </r>
  <r>
    <s v="LGarciaC@agricolachira.com.pe"/>
    <x v="6"/>
    <x v="3"/>
    <x v="3"/>
    <x v="5"/>
    <x v="3"/>
  </r>
  <r>
    <s v="RLupucheQ@agricolachira.com.pe"/>
    <x v="6"/>
    <x v="1"/>
    <x v="4"/>
    <x v="7"/>
    <x v="4"/>
  </r>
  <r>
    <s v="JCheroPa@agricolachira.com.pe"/>
    <x v="6"/>
    <x v="0"/>
    <x v="2"/>
    <x v="8"/>
    <x v="2"/>
  </r>
  <r>
    <s v="GPenaP@agricolachira.com.pe"/>
    <x v="6"/>
    <x v="1"/>
    <x v="4"/>
    <x v="9"/>
    <x v="4"/>
  </r>
  <r>
    <s v="WChavezS@agricolachira.com.pe"/>
    <x v="6"/>
    <x v="1"/>
    <x v="4"/>
    <x v="10"/>
    <x v="4"/>
  </r>
  <r>
    <s v="EArevaloJ@agricolachira.com.pe"/>
    <x v="6"/>
    <x v="0"/>
    <x v="2"/>
    <x v="11"/>
    <x v="2"/>
  </r>
  <r>
    <s v="jvasquezc@agricolachira.com.pe"/>
    <x v="6"/>
    <x v="0"/>
    <x v="2"/>
    <x v="6"/>
    <x v="2"/>
  </r>
  <r>
    <s v="cfreym@agricolachira.com.pe"/>
    <x v="6"/>
    <x v="3"/>
    <x v="3"/>
    <x v="12"/>
    <x v="3"/>
  </r>
  <r>
    <s v="NPizarroC@agricolachira.com.pe"/>
    <x v="6"/>
    <x v="1"/>
    <x v="3"/>
    <x v="13"/>
    <x v="3"/>
  </r>
  <r>
    <s v="RMoncadaP@agricolachira.com.pe"/>
    <x v="6"/>
    <x v="1"/>
    <x v="2"/>
    <x v="14"/>
    <x v="2"/>
  </r>
  <r>
    <s v="JPichilinguP@agricolachira.com.pe"/>
    <x v="6"/>
    <x v="3"/>
    <x v="3"/>
    <x v="12"/>
    <x v="3"/>
  </r>
  <r>
    <s v="JMazaV@agricolachira.com.pe"/>
    <x v="6"/>
    <x v="3"/>
    <x v="0"/>
    <x v="15"/>
    <x v="0"/>
  </r>
  <r>
    <s v="JOrdinolaZ@agricolachira.com.pe"/>
    <x v="6"/>
    <x v="3"/>
    <x v="3"/>
    <x v="16"/>
    <x v="3"/>
  </r>
  <r>
    <s v="AGutierrezR@agricolachira.com.pe"/>
    <x v="6"/>
    <x v="1"/>
    <x v="3"/>
    <x v="12"/>
    <x v="3"/>
  </r>
  <r>
    <s v="JSeminarioA@agricolachira.com.pe"/>
    <x v="6"/>
    <x v="2"/>
    <x v="0"/>
    <x v="17"/>
    <x v="0"/>
  </r>
  <r>
    <s v="WFacundoF@agricolachira.com.pe"/>
    <x v="6"/>
    <x v="0"/>
    <x v="0"/>
    <x v="17"/>
    <x v="0"/>
  </r>
  <r>
    <s v="DCruzC@agricolachira.com.pe"/>
    <x v="6"/>
    <x v="0"/>
    <x v="0"/>
    <x v="0"/>
    <x v="0"/>
  </r>
  <r>
    <s v="LPadillaSa@agricolachira.com.pe"/>
    <x v="6"/>
    <x v="2"/>
    <x v="0"/>
    <x v="17"/>
    <x v="0"/>
  </r>
  <r>
    <s v="ABlancoE@agricolachira.com.pe"/>
    <x v="6"/>
    <x v="1"/>
    <x v="3"/>
    <x v="13"/>
    <x v="3"/>
  </r>
  <r>
    <s v="RMarceloY@agricolachira.com.pe"/>
    <x v="6"/>
    <x v="3"/>
    <x v="3"/>
    <x v="18"/>
    <x v="3"/>
  </r>
  <r>
    <s v="HCruzA@agricolachira.com.pe"/>
    <x v="6"/>
    <x v="3"/>
    <x v="3"/>
    <x v="19"/>
    <x v="3"/>
  </r>
  <r>
    <s v="SRamosT@agricolachira.com.pe"/>
    <x v="6"/>
    <x v="0"/>
    <x v="4"/>
    <x v="20"/>
    <x v="4"/>
  </r>
  <r>
    <s v="ALachiraP@agricolachira.com.pe"/>
    <x v="6"/>
    <x v="3"/>
    <x v="3"/>
    <x v="19"/>
    <x v="3"/>
  </r>
  <r>
    <s v="DCheroN@agricolachira.com.pe"/>
    <x v="6"/>
    <x v="3"/>
    <x v="3"/>
    <x v="19"/>
    <x v="3"/>
  </r>
  <r>
    <s v="AColomaL@agricolachira.com.pe"/>
    <x v="6"/>
    <x v="0"/>
    <x v="1"/>
    <x v="21"/>
    <x v="1"/>
  </r>
  <r>
    <s v="JCalderonChu@agricolachira.com.pe"/>
    <x v="6"/>
    <x v="3"/>
    <x v="0"/>
    <x v="17"/>
    <x v="0"/>
  </r>
  <r>
    <s v="LOcanaP@agricolachira.com.pe"/>
    <x v="6"/>
    <x v="3"/>
    <x v="2"/>
    <x v="14"/>
    <x v="2"/>
  </r>
  <r>
    <s v="CVivancoM@agricolachira.com.pe"/>
    <x v="6"/>
    <x v="0"/>
    <x v="2"/>
    <x v="22"/>
    <x v="2"/>
  </r>
  <r>
    <s v="CLupucheV@agricolachira.com.pe"/>
    <x v="6"/>
    <x v="0"/>
    <x v="4"/>
    <x v="9"/>
    <x v="4"/>
  </r>
  <r>
    <s v="JRojasBarr@agricolachira.com.pe"/>
    <x v="6"/>
    <x v="1"/>
    <x v="4"/>
    <x v="23"/>
    <x v="4"/>
  </r>
  <r>
    <s v="PMarroquinR@agricolachira.com.pe"/>
    <x v="6"/>
    <x v="3"/>
    <x v="4"/>
    <x v="20"/>
    <x v="4"/>
  </r>
  <r>
    <s v="BGonzalesM@agricolachira.com.pe"/>
    <x v="6"/>
    <x v="0"/>
    <x v="3"/>
    <x v="24"/>
    <x v="3"/>
  </r>
  <r>
    <s v="jbacilioh@agricolachira.com.pe"/>
    <x v="6"/>
    <x v="1"/>
    <x v="4"/>
    <x v="7"/>
    <x v="4"/>
  </r>
  <r>
    <s v="ptrigoso@agricolachira.com.pe"/>
    <x v="6"/>
    <x v="3"/>
    <x v="3"/>
    <x v="25"/>
    <x v="3"/>
  </r>
  <r>
    <s v="ovasquezp@agricolachira.com.pe"/>
    <x v="6"/>
    <x v="1"/>
    <x v="4"/>
    <x v="26"/>
    <x v="4"/>
  </r>
  <r>
    <s v="JAquijeD@agricolachira.com.pe"/>
    <x v="6"/>
    <x v="0"/>
    <x v="4"/>
    <x v="23"/>
    <x v="4"/>
  </r>
  <r>
    <s v="YGarridoS@agricolachira.com.pe"/>
    <x v="6"/>
    <x v="3"/>
    <x v="3"/>
    <x v="19"/>
    <x v="3"/>
  </r>
  <r>
    <s v="HMatiasZ@agricolachira.com.pe"/>
    <x v="6"/>
    <x v="3"/>
    <x v="4"/>
    <x v="27"/>
    <x v="4"/>
  </r>
  <r>
    <s v="MCulqueC@agricolachira.com.pe"/>
    <x v="6"/>
    <x v="1"/>
    <x v="4"/>
    <x v="10"/>
    <x v="4"/>
  </r>
  <r>
    <s v="EGironAl@agricolachira.com.pe"/>
    <x v="6"/>
    <x v="0"/>
    <x v="4"/>
    <x v="23"/>
    <x v="4"/>
  </r>
  <r>
    <s v="EGarciaR@agricolachira.com.pe"/>
    <x v="6"/>
    <x v="3"/>
    <x v="3"/>
    <x v="18"/>
    <x v="3"/>
  </r>
  <r>
    <s v="rmerach@agricolachira.com.pe"/>
    <x v="6"/>
    <x v="0"/>
    <x v="0"/>
    <x v="28"/>
    <x v="0"/>
  </r>
  <r>
    <s v="CRamosG@agricolachira.com.pe"/>
    <x v="7"/>
    <x v="0"/>
    <x v="1"/>
    <x v="1"/>
    <x v="1"/>
  </r>
  <r>
    <s v="DZuritaF@agricolachira.com.pe"/>
    <x v="7"/>
    <x v="3"/>
    <x v="2"/>
    <x v="2"/>
    <x v="2"/>
  </r>
  <r>
    <s v="LOlayaLe@agricolachira.com.pe"/>
    <x v="7"/>
    <x v="0"/>
    <x v="2"/>
    <x v="3"/>
    <x v="2"/>
  </r>
  <r>
    <s v="CCarrilloR@agricolachira.com.pe"/>
    <x v="7"/>
    <x v="3"/>
    <x v="0"/>
    <x v="4"/>
    <x v="0"/>
  </r>
  <r>
    <s v="VLopezS@agricolachira.com.pe"/>
    <x v="7"/>
    <x v="0"/>
    <x v="3"/>
    <x v="5"/>
    <x v="3"/>
  </r>
  <r>
    <s v="JGomezAp@agricolachira.com.pe"/>
    <x v="7"/>
    <x v="1"/>
    <x v="2"/>
    <x v="6"/>
    <x v="2"/>
  </r>
  <r>
    <s v="LGarciaC@agricolachira.com.pe"/>
    <x v="7"/>
    <x v="1"/>
    <x v="3"/>
    <x v="5"/>
    <x v="3"/>
  </r>
  <r>
    <s v="RLupucheQ@agricolachira.com.pe"/>
    <x v="7"/>
    <x v="1"/>
    <x v="4"/>
    <x v="7"/>
    <x v="4"/>
  </r>
  <r>
    <s v="JCheroPa@agricolachira.com.pe"/>
    <x v="7"/>
    <x v="0"/>
    <x v="2"/>
    <x v="8"/>
    <x v="2"/>
  </r>
  <r>
    <s v="GPenaP@agricolachira.com.pe"/>
    <x v="7"/>
    <x v="1"/>
    <x v="4"/>
    <x v="9"/>
    <x v="4"/>
  </r>
  <r>
    <s v="WChavezS@agricolachira.com.pe"/>
    <x v="7"/>
    <x v="1"/>
    <x v="4"/>
    <x v="10"/>
    <x v="4"/>
  </r>
  <r>
    <s v="EArevaloJ@agricolachira.com.pe"/>
    <x v="7"/>
    <x v="1"/>
    <x v="2"/>
    <x v="11"/>
    <x v="2"/>
  </r>
  <r>
    <s v="jvasquezc@agricolachira.com.pe"/>
    <x v="7"/>
    <x v="3"/>
    <x v="2"/>
    <x v="6"/>
    <x v="2"/>
  </r>
  <r>
    <s v="cfreym@agricolachira.com.pe"/>
    <x v="7"/>
    <x v="3"/>
    <x v="3"/>
    <x v="12"/>
    <x v="3"/>
  </r>
  <r>
    <s v="NPizarroC@agricolachira.com.pe"/>
    <x v="7"/>
    <x v="1"/>
    <x v="3"/>
    <x v="13"/>
    <x v="3"/>
  </r>
  <r>
    <s v="RMoncadaP@agricolachira.com.pe"/>
    <x v="7"/>
    <x v="3"/>
    <x v="2"/>
    <x v="14"/>
    <x v="2"/>
  </r>
  <r>
    <s v="JPichilinguP@agricolachira.com.pe"/>
    <x v="7"/>
    <x v="0"/>
    <x v="3"/>
    <x v="12"/>
    <x v="3"/>
  </r>
  <r>
    <s v="JMazaV@agricolachira.com.pe"/>
    <x v="7"/>
    <x v="3"/>
    <x v="0"/>
    <x v="15"/>
    <x v="0"/>
  </r>
  <r>
    <s v="JOrdinolaZ@agricolachira.com.pe"/>
    <x v="7"/>
    <x v="3"/>
    <x v="3"/>
    <x v="16"/>
    <x v="3"/>
  </r>
  <r>
    <s v="AGutierrezR@agricolachira.com.pe"/>
    <x v="7"/>
    <x v="1"/>
    <x v="3"/>
    <x v="12"/>
    <x v="3"/>
  </r>
  <r>
    <s v="JSeminarioA@agricolachira.com.pe"/>
    <x v="7"/>
    <x v="2"/>
    <x v="0"/>
    <x v="17"/>
    <x v="0"/>
  </r>
  <r>
    <s v="WFacundoF@agricolachira.com.pe"/>
    <x v="7"/>
    <x v="3"/>
    <x v="0"/>
    <x v="17"/>
    <x v="0"/>
  </r>
  <r>
    <s v="DCruzC@agricolachira.com.pe"/>
    <x v="7"/>
    <x v="0"/>
    <x v="0"/>
    <x v="0"/>
    <x v="0"/>
  </r>
  <r>
    <s v="LPadillaSa@agricolachira.com.pe"/>
    <x v="7"/>
    <x v="2"/>
    <x v="0"/>
    <x v="17"/>
    <x v="0"/>
  </r>
  <r>
    <s v="ABlancoE@agricolachira.com.pe"/>
    <x v="7"/>
    <x v="0"/>
    <x v="3"/>
    <x v="13"/>
    <x v="3"/>
  </r>
  <r>
    <s v="RMarceloY@agricolachira.com.pe"/>
    <x v="7"/>
    <x v="3"/>
    <x v="3"/>
    <x v="18"/>
    <x v="3"/>
  </r>
  <r>
    <s v="HCruzA@agricolachira.com.pe"/>
    <x v="7"/>
    <x v="3"/>
    <x v="3"/>
    <x v="19"/>
    <x v="3"/>
  </r>
  <r>
    <s v="SRamosT@agricolachira.com.pe"/>
    <x v="7"/>
    <x v="0"/>
    <x v="4"/>
    <x v="20"/>
    <x v="4"/>
  </r>
  <r>
    <s v="ALachiraP@agricolachira.com.pe"/>
    <x v="7"/>
    <x v="3"/>
    <x v="3"/>
    <x v="19"/>
    <x v="3"/>
  </r>
  <r>
    <s v="DCheroN@agricolachira.com.pe"/>
    <x v="7"/>
    <x v="3"/>
    <x v="3"/>
    <x v="19"/>
    <x v="3"/>
  </r>
  <r>
    <s v="AColomaL@agricolachira.com.pe"/>
    <x v="7"/>
    <x v="0"/>
    <x v="1"/>
    <x v="21"/>
    <x v="1"/>
  </r>
  <r>
    <s v="JCalderonChu@agricolachira.com.pe"/>
    <x v="7"/>
    <x v="3"/>
    <x v="0"/>
    <x v="17"/>
    <x v="0"/>
  </r>
  <r>
    <s v="LOcanaP@agricolachira.com.pe"/>
    <x v="7"/>
    <x v="1"/>
    <x v="2"/>
    <x v="14"/>
    <x v="2"/>
  </r>
  <r>
    <s v="CVivancoM@agricolachira.com.pe"/>
    <x v="7"/>
    <x v="0"/>
    <x v="2"/>
    <x v="22"/>
    <x v="2"/>
  </r>
  <r>
    <s v="CLupucheV@agricolachira.com.pe"/>
    <x v="7"/>
    <x v="1"/>
    <x v="4"/>
    <x v="9"/>
    <x v="4"/>
  </r>
  <r>
    <s v="JRojasBarr@agricolachira.com.pe"/>
    <x v="7"/>
    <x v="1"/>
    <x v="4"/>
    <x v="23"/>
    <x v="4"/>
  </r>
  <r>
    <s v="PMarroquinR@agricolachira.com.pe"/>
    <x v="7"/>
    <x v="3"/>
    <x v="4"/>
    <x v="20"/>
    <x v="4"/>
  </r>
  <r>
    <s v="BGonzalesM@agricolachira.com.pe"/>
    <x v="7"/>
    <x v="1"/>
    <x v="3"/>
    <x v="24"/>
    <x v="3"/>
  </r>
  <r>
    <s v="jbacilioh@agricolachira.com.pe"/>
    <x v="7"/>
    <x v="1"/>
    <x v="4"/>
    <x v="7"/>
    <x v="4"/>
  </r>
  <r>
    <s v="ptrigoso@agricolachira.com.pe"/>
    <x v="7"/>
    <x v="0"/>
    <x v="3"/>
    <x v="25"/>
    <x v="3"/>
  </r>
  <r>
    <s v="ovasquezp@agricolachira.com.pe"/>
    <x v="7"/>
    <x v="1"/>
    <x v="4"/>
    <x v="26"/>
    <x v="4"/>
  </r>
  <r>
    <s v="JAquijeD@agricolachira.com.pe"/>
    <x v="7"/>
    <x v="1"/>
    <x v="4"/>
    <x v="23"/>
    <x v="4"/>
  </r>
  <r>
    <s v="YGarridoS@agricolachira.com.pe"/>
    <x v="7"/>
    <x v="3"/>
    <x v="3"/>
    <x v="19"/>
    <x v="3"/>
  </r>
  <r>
    <s v="HMatiasZ@agricolachira.com.pe"/>
    <x v="7"/>
    <x v="3"/>
    <x v="4"/>
    <x v="27"/>
    <x v="4"/>
  </r>
  <r>
    <s v="MCulqueC@agricolachira.com.pe"/>
    <x v="7"/>
    <x v="0"/>
    <x v="4"/>
    <x v="10"/>
    <x v="4"/>
  </r>
  <r>
    <s v="EGironAl@agricolachira.com.pe"/>
    <x v="7"/>
    <x v="0"/>
    <x v="4"/>
    <x v="23"/>
    <x v="4"/>
  </r>
  <r>
    <s v="EGarciaR@agricolachira.com.pe"/>
    <x v="7"/>
    <x v="3"/>
    <x v="3"/>
    <x v="18"/>
    <x v="3"/>
  </r>
  <r>
    <s v="rmerach@agricolachira.com.pe"/>
    <x v="7"/>
    <x v="0"/>
    <x v="0"/>
    <x v="28"/>
    <x v="0"/>
  </r>
  <r>
    <s v="CRamosG@agricolachira.com.pe"/>
    <x v="8"/>
    <x v="0"/>
    <x v="1"/>
    <x v="1"/>
    <x v="1"/>
  </r>
  <r>
    <s v="DZuritaF@agricolachira.com.pe"/>
    <x v="8"/>
    <x v="1"/>
    <x v="2"/>
    <x v="2"/>
    <x v="2"/>
  </r>
  <r>
    <s v="LOlayaLe@agricolachira.com.pe"/>
    <x v="8"/>
    <x v="0"/>
    <x v="2"/>
    <x v="3"/>
    <x v="2"/>
  </r>
  <r>
    <s v="CCarrilloR@agricolachira.com.pe"/>
    <x v="8"/>
    <x v="3"/>
    <x v="0"/>
    <x v="4"/>
    <x v="0"/>
  </r>
  <r>
    <s v="VLopezS@agricolachira.com.pe"/>
    <x v="8"/>
    <x v="0"/>
    <x v="3"/>
    <x v="5"/>
    <x v="3"/>
  </r>
  <r>
    <s v="JGomezAp@agricolachira.com.pe"/>
    <x v="8"/>
    <x v="1"/>
    <x v="2"/>
    <x v="6"/>
    <x v="2"/>
  </r>
  <r>
    <s v="LGarciaC@agricolachira.com.pe"/>
    <x v="8"/>
    <x v="1"/>
    <x v="3"/>
    <x v="5"/>
    <x v="3"/>
  </r>
  <r>
    <s v="RLupucheQ@agricolachira.com.pe"/>
    <x v="8"/>
    <x v="1"/>
    <x v="4"/>
    <x v="7"/>
    <x v="4"/>
  </r>
  <r>
    <s v="JCheroPa@agricolachira.com.pe"/>
    <x v="8"/>
    <x v="0"/>
    <x v="2"/>
    <x v="8"/>
    <x v="2"/>
  </r>
  <r>
    <s v="GPenaP@agricolachira.com.pe"/>
    <x v="8"/>
    <x v="1"/>
    <x v="4"/>
    <x v="9"/>
    <x v="4"/>
  </r>
  <r>
    <s v="WChavezS@agricolachira.com.pe"/>
    <x v="8"/>
    <x v="1"/>
    <x v="4"/>
    <x v="10"/>
    <x v="4"/>
  </r>
  <r>
    <s v="EArevaloJ@agricolachira.com.pe"/>
    <x v="8"/>
    <x v="1"/>
    <x v="2"/>
    <x v="11"/>
    <x v="2"/>
  </r>
  <r>
    <s v="jvasquezc@agricolachira.com.pe"/>
    <x v="8"/>
    <x v="0"/>
    <x v="2"/>
    <x v="6"/>
    <x v="2"/>
  </r>
  <r>
    <s v="cfreym@agricolachira.com.pe"/>
    <x v="8"/>
    <x v="3"/>
    <x v="3"/>
    <x v="12"/>
    <x v="3"/>
  </r>
  <r>
    <s v="NPizarroC@agricolachira.com.pe"/>
    <x v="8"/>
    <x v="1"/>
    <x v="3"/>
    <x v="13"/>
    <x v="3"/>
  </r>
  <r>
    <s v="RMoncadaP@agricolachira.com.pe"/>
    <x v="8"/>
    <x v="1"/>
    <x v="2"/>
    <x v="14"/>
    <x v="2"/>
  </r>
  <r>
    <s v="JPichilinguP@agricolachira.com.pe"/>
    <x v="8"/>
    <x v="0"/>
    <x v="3"/>
    <x v="12"/>
    <x v="3"/>
  </r>
  <r>
    <s v="JMazaV@agricolachira.com.pe"/>
    <x v="8"/>
    <x v="3"/>
    <x v="0"/>
    <x v="15"/>
    <x v="0"/>
  </r>
  <r>
    <s v="JOrdinolaZ@agricolachira.com.pe"/>
    <x v="8"/>
    <x v="3"/>
    <x v="3"/>
    <x v="16"/>
    <x v="3"/>
  </r>
  <r>
    <s v="AGutierrezR@agricolachira.com.pe"/>
    <x v="8"/>
    <x v="1"/>
    <x v="3"/>
    <x v="12"/>
    <x v="3"/>
  </r>
  <r>
    <s v="JSeminarioA@agricolachira.com.pe"/>
    <x v="8"/>
    <x v="2"/>
    <x v="0"/>
    <x v="17"/>
    <x v="0"/>
  </r>
  <r>
    <s v="WFacundoF@agricolachira.com.pe"/>
    <x v="8"/>
    <x v="0"/>
    <x v="0"/>
    <x v="17"/>
    <x v="0"/>
  </r>
  <r>
    <s v="DCruzC@agricolachira.com.pe"/>
    <x v="8"/>
    <x v="0"/>
    <x v="0"/>
    <x v="0"/>
    <x v="0"/>
  </r>
  <r>
    <s v="LPadillaSa@agricolachira.com.pe"/>
    <x v="8"/>
    <x v="2"/>
    <x v="0"/>
    <x v="17"/>
    <x v="0"/>
  </r>
  <r>
    <s v="ABlancoE@agricolachira.com.pe"/>
    <x v="8"/>
    <x v="3"/>
    <x v="3"/>
    <x v="13"/>
    <x v="3"/>
  </r>
  <r>
    <s v="RMarceloY@agricolachira.com.pe"/>
    <x v="8"/>
    <x v="0"/>
    <x v="3"/>
    <x v="18"/>
    <x v="3"/>
  </r>
  <r>
    <s v="HCruzA@agricolachira.com.pe"/>
    <x v="8"/>
    <x v="0"/>
    <x v="3"/>
    <x v="19"/>
    <x v="3"/>
  </r>
  <r>
    <s v="SRamosT@agricolachira.com.pe"/>
    <x v="8"/>
    <x v="0"/>
    <x v="4"/>
    <x v="20"/>
    <x v="4"/>
  </r>
  <r>
    <s v="ALachiraP@agricolachira.com.pe"/>
    <x v="8"/>
    <x v="0"/>
    <x v="3"/>
    <x v="19"/>
    <x v="3"/>
  </r>
  <r>
    <s v="DCheroN@agricolachira.com.pe"/>
    <x v="8"/>
    <x v="3"/>
    <x v="3"/>
    <x v="19"/>
    <x v="3"/>
  </r>
  <r>
    <s v="AColomaL@agricolachira.com.pe"/>
    <x v="8"/>
    <x v="0"/>
    <x v="1"/>
    <x v="21"/>
    <x v="1"/>
  </r>
  <r>
    <s v="JCalderonChu@agricolachira.com.pe"/>
    <x v="8"/>
    <x v="3"/>
    <x v="0"/>
    <x v="17"/>
    <x v="0"/>
  </r>
  <r>
    <s v="LOcanaP@agricolachira.com.pe"/>
    <x v="8"/>
    <x v="1"/>
    <x v="2"/>
    <x v="14"/>
    <x v="2"/>
  </r>
  <r>
    <s v="CVivancoM@agricolachira.com.pe"/>
    <x v="8"/>
    <x v="0"/>
    <x v="2"/>
    <x v="22"/>
    <x v="2"/>
  </r>
  <r>
    <s v="CLupucheV@agricolachira.com.pe"/>
    <x v="8"/>
    <x v="0"/>
    <x v="4"/>
    <x v="9"/>
    <x v="4"/>
  </r>
  <r>
    <s v="JRojasBarr@agricolachira.com.pe"/>
    <x v="8"/>
    <x v="1"/>
    <x v="4"/>
    <x v="23"/>
    <x v="4"/>
  </r>
  <r>
    <s v="PMarroquinR@agricolachira.com.pe"/>
    <x v="8"/>
    <x v="0"/>
    <x v="4"/>
    <x v="20"/>
    <x v="4"/>
  </r>
  <r>
    <s v="BGonzalesM@agricolachira.com.pe"/>
    <x v="8"/>
    <x v="1"/>
    <x v="3"/>
    <x v="24"/>
    <x v="3"/>
  </r>
  <r>
    <s v="jbacilioh@agricolachira.com.pe"/>
    <x v="8"/>
    <x v="1"/>
    <x v="4"/>
    <x v="7"/>
    <x v="4"/>
  </r>
  <r>
    <s v="ptrigoso@agricolachira.com.pe"/>
    <x v="8"/>
    <x v="0"/>
    <x v="3"/>
    <x v="25"/>
    <x v="3"/>
  </r>
  <r>
    <s v="ovasquezp@agricolachira.com.pe"/>
    <x v="8"/>
    <x v="1"/>
    <x v="4"/>
    <x v="26"/>
    <x v="4"/>
  </r>
  <r>
    <s v="JAquijeD@agricolachira.com.pe"/>
    <x v="8"/>
    <x v="1"/>
    <x v="4"/>
    <x v="23"/>
    <x v="4"/>
  </r>
  <r>
    <s v="YGarridoS@agricolachira.com.pe"/>
    <x v="8"/>
    <x v="0"/>
    <x v="3"/>
    <x v="19"/>
    <x v="3"/>
  </r>
  <r>
    <s v="HMatiasZ@agricolachira.com.pe"/>
    <x v="8"/>
    <x v="3"/>
    <x v="4"/>
    <x v="27"/>
    <x v="4"/>
  </r>
  <r>
    <s v="MCulqueC@agricolachira.com.pe"/>
    <x v="8"/>
    <x v="3"/>
    <x v="4"/>
    <x v="10"/>
    <x v="4"/>
  </r>
  <r>
    <s v="EGironAl@agricolachira.com.pe"/>
    <x v="8"/>
    <x v="0"/>
    <x v="4"/>
    <x v="23"/>
    <x v="4"/>
  </r>
  <r>
    <s v="EGarciaR@agricolachira.com.pe"/>
    <x v="8"/>
    <x v="3"/>
    <x v="3"/>
    <x v="18"/>
    <x v="3"/>
  </r>
  <r>
    <s v="rmerach@agricolachira.com.pe"/>
    <x v="8"/>
    <x v="0"/>
    <x v="0"/>
    <x v="28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1">
  <r>
    <s v="FAtocheM@agricolachira.com.pe"/>
    <x v="0"/>
    <n v="4"/>
    <s v="Industrial y de Mantenimiento"/>
    <x v="0"/>
  </r>
  <r>
    <s v="FAtocheM@agricolachira.com.pe"/>
    <x v="1"/>
    <n v="4"/>
    <s v="Industrial y de Mantenimiento"/>
    <x v="0"/>
  </r>
  <r>
    <s v="FAtocheM@agricolachira.com.pe"/>
    <x v="2"/>
    <n v="4"/>
    <s v="Industrial y de Mantenimiento"/>
    <x v="0"/>
  </r>
  <r>
    <s v="FAtocheM@agricolachira.com.pe"/>
    <x v="3"/>
    <n v="4"/>
    <s v="Industrial y de Mantenimiento"/>
    <x v="0"/>
  </r>
  <r>
    <s v="FAtocheM@agricolachira.com.pe"/>
    <x v="4"/>
    <s v="X"/>
    <s v="Industrial y de Mantenimiento"/>
    <x v="0"/>
  </r>
  <r>
    <s v="FAtocheM@agricolachira.com.pe"/>
    <x v="5"/>
    <n v="3"/>
    <s v="Industrial y de Mantenimiento"/>
    <x v="0"/>
  </r>
  <r>
    <s v="FAtocheM@agricolachira.com.pe"/>
    <x v="6"/>
    <n v="4"/>
    <s v="Industrial y de Mantenimiento"/>
    <x v="0"/>
  </r>
  <r>
    <s v="FAtocheM@agricolachira.com.pe"/>
    <x v="7"/>
    <n v="4"/>
    <s v="Industrial y de Mantenimiento"/>
    <x v="0"/>
  </r>
  <r>
    <s v="FAtocheM@agricolachira.com.pe"/>
    <x v="8"/>
    <n v="4"/>
    <s v="Industrial y de Mantenimiento"/>
    <x v="0"/>
  </r>
  <r>
    <s v="CRamosG@agricolachira.com.pe"/>
    <x v="0"/>
    <n v="4"/>
    <s v="Gestión Humana y Sostenibilidad"/>
    <x v="1"/>
  </r>
  <r>
    <s v="DZuritaF@agricolachira.com.pe"/>
    <x v="0"/>
    <n v="5"/>
    <s v="Administración y Finanzas"/>
    <x v="2"/>
  </r>
  <r>
    <s v="LOlayaLe@agricolachira.com.pe"/>
    <x v="0"/>
    <n v="3"/>
    <s v="Administración y Finanzas"/>
    <x v="3"/>
  </r>
  <r>
    <s v="CCarrilloR@agricolachira.com.pe"/>
    <x v="0"/>
    <n v="5"/>
    <s v="Industrial y de Mantenimiento"/>
    <x v="4"/>
  </r>
  <r>
    <s v="VLopezS@agricolachira.com.pe"/>
    <x v="0"/>
    <n v="4"/>
    <s v="Operaciones"/>
    <x v="5"/>
  </r>
  <r>
    <s v="JGomezAp@agricolachira.com.pe"/>
    <x v="0"/>
    <n v="5"/>
    <s v="Administración y Finanzas"/>
    <x v="6"/>
  </r>
  <r>
    <s v="LGarciaC@agricolachira.com.pe"/>
    <x v="0"/>
    <n v="5"/>
    <s v="Operaciones"/>
    <x v="5"/>
  </r>
  <r>
    <s v="RLupucheQ@agricolachira.com.pe"/>
    <x v="0"/>
    <n v="5"/>
    <s v="Agrícola"/>
    <x v="7"/>
  </r>
  <r>
    <s v="JCheroPa@agricolachira.com.pe"/>
    <x v="0"/>
    <n v="4"/>
    <s v="Administración y Finanzas"/>
    <x v="8"/>
  </r>
  <r>
    <s v="GPenaP@agricolachira.com.pe"/>
    <x v="0"/>
    <n v="4"/>
    <s v="Agrícola"/>
    <x v="9"/>
  </r>
  <r>
    <s v="WChavezS@agricolachira.com.pe"/>
    <x v="0"/>
    <n v="5"/>
    <s v="Agrícola"/>
    <x v="10"/>
  </r>
  <r>
    <s v="EArevaloJ@agricolachira.com.pe"/>
    <x v="0"/>
    <n v="4"/>
    <s v="Administración y Finanzas"/>
    <x v="11"/>
  </r>
  <r>
    <s v="jvasquezc@agricolachira.com.pe"/>
    <x v="0"/>
    <n v="4"/>
    <s v="Administración y Finanzas"/>
    <x v="6"/>
  </r>
  <r>
    <s v="cfreym@agricolachira.com.pe"/>
    <x v="0"/>
    <n v="5"/>
    <s v="Operaciones"/>
    <x v="12"/>
  </r>
  <r>
    <s v="NPizarroC@agricolachira.com.pe"/>
    <x v="0"/>
    <n v="5"/>
    <s v="Operaciones"/>
    <x v="13"/>
  </r>
  <r>
    <s v="RMoncadaP@agricolachira.com.pe"/>
    <x v="0"/>
    <n v="5"/>
    <s v="Administración y Finanzas"/>
    <x v="14"/>
  </r>
  <r>
    <s v="JPichilinguP@agricolachira.com.pe"/>
    <x v="0"/>
    <n v="5"/>
    <s v="Operaciones"/>
    <x v="12"/>
  </r>
  <r>
    <s v="JMazaV@agricolachira.com.pe"/>
    <x v="0"/>
    <n v="3"/>
    <s v="Industrial y de Mantenimiento"/>
    <x v="15"/>
  </r>
  <r>
    <s v="JOrdinolaZ@agricolachira.com.pe"/>
    <x v="0"/>
    <n v="5"/>
    <s v="Operaciones"/>
    <x v="16"/>
  </r>
  <r>
    <s v="AGutierrezR@agricolachira.com.pe"/>
    <x v="0"/>
    <n v="5"/>
    <s v="Operaciones"/>
    <x v="12"/>
  </r>
  <r>
    <s v="JSeminarioA@agricolachira.com.pe"/>
    <x v="0"/>
    <n v="4"/>
    <s v="Industrial y de Mantenimiento"/>
    <x v="17"/>
  </r>
  <r>
    <s v="WFacundoF@agricolachira.com.pe"/>
    <x v="0"/>
    <n v="4"/>
    <s v="Industrial y de Mantenimiento"/>
    <x v="17"/>
  </r>
  <r>
    <s v="DCruzC@agricolachira.com.pe"/>
    <x v="0"/>
    <n v="4"/>
    <s v="Industrial y de Mantenimiento"/>
    <x v="0"/>
  </r>
  <r>
    <s v="LPadillaSa@agricolachira.com.pe"/>
    <x v="0"/>
    <n v="3"/>
    <s v="Industrial y de Mantenimiento"/>
    <x v="17"/>
  </r>
  <r>
    <s v="ABlancoE@agricolachira.com.pe"/>
    <x v="0"/>
    <n v="5"/>
    <s v="Operaciones"/>
    <x v="13"/>
  </r>
  <r>
    <s v="RMarceloY@agricolachira.com.pe"/>
    <x v="0"/>
    <n v="5"/>
    <s v="Operaciones"/>
    <x v="18"/>
  </r>
  <r>
    <s v="HCruzA@agricolachira.com.pe"/>
    <x v="0"/>
    <n v="4"/>
    <s v="Operaciones"/>
    <x v="19"/>
  </r>
  <r>
    <s v="SRamosT@agricolachira.com.pe"/>
    <x v="0"/>
    <n v="4"/>
    <s v="Agrícola"/>
    <x v="20"/>
  </r>
  <r>
    <s v="ALachiraP@agricolachira.com.pe"/>
    <x v="0"/>
    <n v="5"/>
    <s v="Operaciones"/>
    <x v="19"/>
  </r>
  <r>
    <s v="DCheroN@agricolachira.com.pe"/>
    <x v="0"/>
    <n v="5"/>
    <s v="Operaciones"/>
    <x v="19"/>
  </r>
  <r>
    <s v="AColomaL@agricolachira.com.pe"/>
    <x v="0"/>
    <n v="4"/>
    <s v="Gestión Humana y Sostenibilidad"/>
    <x v="21"/>
  </r>
  <r>
    <s v="JCalderonChu@agricolachira.com.pe"/>
    <x v="0"/>
    <n v="5"/>
    <s v="Industrial y de Mantenimiento"/>
    <x v="17"/>
  </r>
  <r>
    <s v="LOcanaP@agricolachira.com.pe"/>
    <x v="0"/>
    <n v="5"/>
    <s v="Administración y Finanzas"/>
    <x v="14"/>
  </r>
  <r>
    <s v="CVivancoM@agricolachira.com.pe"/>
    <x v="0"/>
    <n v="4"/>
    <s v="Administración y Finanzas"/>
    <x v="22"/>
  </r>
  <r>
    <s v="CLupucheV@agricolachira.com.pe"/>
    <x v="0"/>
    <n v="5"/>
    <s v="Agrícola"/>
    <x v="9"/>
  </r>
  <r>
    <s v="JRojasBarr@agricolachira.com.pe"/>
    <x v="0"/>
    <n v="4"/>
    <s v="Agrícola"/>
    <x v="23"/>
  </r>
  <r>
    <s v="PMarroquinR@agricolachira.com.pe"/>
    <x v="0"/>
    <n v="5"/>
    <s v="Agrícola"/>
    <x v="20"/>
  </r>
  <r>
    <s v="BGonzalesM@agricolachira.com.pe"/>
    <x v="0"/>
    <n v="4"/>
    <s v="Operaciones"/>
    <x v="24"/>
  </r>
  <r>
    <s v="jbacilioh@agricolachira.com.pe"/>
    <x v="0"/>
    <n v="4"/>
    <s v="Agrícola"/>
    <x v="7"/>
  </r>
  <r>
    <s v="ptrigoso@agricolachira.com.pe"/>
    <x v="0"/>
    <n v="5"/>
    <s v="Operaciones"/>
    <x v="25"/>
  </r>
  <r>
    <s v="ovasquezp@agricolachira.com.pe"/>
    <x v="0"/>
    <n v="5"/>
    <s v="Agrícola"/>
    <x v="26"/>
  </r>
  <r>
    <s v="JAquijeD@agricolachira.com.pe"/>
    <x v="0"/>
    <n v="3"/>
    <s v="Agrícola"/>
    <x v="23"/>
  </r>
  <r>
    <s v="YGarridoS@agricolachira.com.pe"/>
    <x v="0"/>
    <n v="5"/>
    <s v="Operaciones"/>
    <x v="19"/>
  </r>
  <r>
    <s v="HMatiasZ@agricolachira.com.pe"/>
    <x v="0"/>
    <n v="5"/>
    <s v="Agrícola"/>
    <x v="27"/>
  </r>
  <r>
    <s v="MCulqueC@agricolachira.com.pe"/>
    <x v="0"/>
    <n v="5"/>
    <s v="Agrícola"/>
    <x v="10"/>
  </r>
  <r>
    <s v="EGironAl@agricolachira.com.pe"/>
    <x v="0"/>
    <n v="5"/>
    <s v="Agrícola"/>
    <x v="23"/>
  </r>
  <r>
    <s v="EGarciaR@agricolachira.com.pe"/>
    <x v="0"/>
    <n v="4"/>
    <s v="Operaciones"/>
    <x v="18"/>
  </r>
  <r>
    <s v="rmerach@agricolachira.com.pe"/>
    <x v="0"/>
    <n v="4"/>
    <s v="Industrial y de Mantenimiento"/>
    <x v="28"/>
  </r>
  <r>
    <s v="CRamosG@agricolachira.com.pe"/>
    <x v="1"/>
    <n v="4"/>
    <s v="Gestión Humana y Sostenibilidad"/>
    <x v="1"/>
  </r>
  <r>
    <s v="DZuritaF@agricolachira.com.pe"/>
    <x v="1"/>
    <s v="X"/>
    <s v="Administración y Finanzas"/>
    <x v="2"/>
  </r>
  <r>
    <s v="LOlayaLe@agricolachira.com.pe"/>
    <x v="1"/>
    <n v="3"/>
    <s v="Administración y Finanzas"/>
    <x v="3"/>
  </r>
  <r>
    <s v="CCarrilloR@agricolachira.com.pe"/>
    <x v="1"/>
    <n v="5"/>
    <s v="Industrial y de Mantenimiento"/>
    <x v="4"/>
  </r>
  <r>
    <s v="VLopezS@agricolachira.com.pe"/>
    <x v="1"/>
    <n v="4"/>
    <s v="Operaciones"/>
    <x v="5"/>
  </r>
  <r>
    <s v="JGomezAp@agricolachira.com.pe"/>
    <x v="1"/>
    <n v="5"/>
    <s v="Administración y Finanzas"/>
    <x v="6"/>
  </r>
  <r>
    <s v="LGarciaC@agricolachira.com.pe"/>
    <x v="1"/>
    <n v="5"/>
    <s v="Operaciones"/>
    <x v="5"/>
  </r>
  <r>
    <s v="RLupucheQ@agricolachira.com.pe"/>
    <x v="1"/>
    <n v="5"/>
    <s v="Agrícola"/>
    <x v="7"/>
  </r>
  <r>
    <s v="JCheroPa@agricolachira.com.pe"/>
    <x v="1"/>
    <n v="4"/>
    <s v="Administración y Finanzas"/>
    <x v="8"/>
  </r>
  <r>
    <s v="GPenaP@agricolachira.com.pe"/>
    <x v="1"/>
    <n v="4"/>
    <s v="Agrícola"/>
    <x v="9"/>
  </r>
  <r>
    <s v="WChavezS@agricolachira.com.pe"/>
    <x v="1"/>
    <n v="5"/>
    <s v="Agrícola"/>
    <x v="10"/>
  </r>
  <r>
    <s v="EArevaloJ@agricolachira.com.pe"/>
    <x v="1"/>
    <n v="4"/>
    <s v="Administración y Finanzas"/>
    <x v="11"/>
  </r>
  <r>
    <s v="jvasquezc@agricolachira.com.pe"/>
    <x v="1"/>
    <n v="4"/>
    <s v="Administración y Finanzas"/>
    <x v="6"/>
  </r>
  <r>
    <s v="cfreym@agricolachira.com.pe"/>
    <x v="1"/>
    <n v="5"/>
    <s v="Operaciones"/>
    <x v="12"/>
  </r>
  <r>
    <s v="NPizarroC@agricolachira.com.pe"/>
    <x v="1"/>
    <n v="5"/>
    <s v="Operaciones"/>
    <x v="13"/>
  </r>
  <r>
    <s v="RMoncadaP@agricolachira.com.pe"/>
    <x v="1"/>
    <n v="5"/>
    <s v="Administración y Finanzas"/>
    <x v="14"/>
  </r>
  <r>
    <s v="JPichilinguP@agricolachira.com.pe"/>
    <x v="1"/>
    <n v="5"/>
    <s v="Operaciones"/>
    <x v="12"/>
  </r>
  <r>
    <s v="JMazaV@agricolachira.com.pe"/>
    <x v="1"/>
    <n v="3"/>
    <s v="Industrial y de Mantenimiento"/>
    <x v="15"/>
  </r>
  <r>
    <s v="JOrdinolaZ@agricolachira.com.pe"/>
    <x v="1"/>
    <n v="5"/>
    <s v="Operaciones"/>
    <x v="16"/>
  </r>
  <r>
    <s v="AGutierrezR@agricolachira.com.pe"/>
    <x v="1"/>
    <n v="5"/>
    <s v="Operaciones"/>
    <x v="12"/>
  </r>
  <r>
    <s v="JSeminarioA@agricolachira.com.pe"/>
    <x v="1"/>
    <n v="4"/>
    <s v="Industrial y de Mantenimiento"/>
    <x v="17"/>
  </r>
  <r>
    <s v="WFacundoF@agricolachira.com.pe"/>
    <x v="1"/>
    <n v="3"/>
    <s v="Industrial y de Mantenimiento"/>
    <x v="17"/>
  </r>
  <r>
    <s v="DCruzC@agricolachira.com.pe"/>
    <x v="1"/>
    <n v="4"/>
    <s v="Industrial y de Mantenimiento"/>
    <x v="0"/>
  </r>
  <r>
    <s v="LPadillaSa@agricolachira.com.pe"/>
    <x v="1"/>
    <n v="3"/>
    <s v="Industrial y de Mantenimiento"/>
    <x v="17"/>
  </r>
  <r>
    <s v="ABlancoE@agricolachira.com.pe"/>
    <x v="1"/>
    <n v="4"/>
    <s v="Operaciones"/>
    <x v="13"/>
  </r>
  <r>
    <s v="RMarceloY@agricolachira.com.pe"/>
    <x v="1"/>
    <n v="5"/>
    <s v="Operaciones"/>
    <x v="18"/>
  </r>
  <r>
    <s v="HCruzA@agricolachira.com.pe"/>
    <x v="1"/>
    <n v="4"/>
    <s v="Operaciones"/>
    <x v="19"/>
  </r>
  <r>
    <s v="SRamosT@agricolachira.com.pe"/>
    <x v="1"/>
    <n v="5"/>
    <s v="Agrícola"/>
    <x v="20"/>
  </r>
  <r>
    <s v="ALachiraP@agricolachira.com.pe"/>
    <x v="1"/>
    <n v="5"/>
    <s v="Operaciones"/>
    <x v="19"/>
  </r>
  <r>
    <s v="DCheroN@agricolachira.com.pe"/>
    <x v="1"/>
    <n v="5"/>
    <s v="Operaciones"/>
    <x v="19"/>
  </r>
  <r>
    <s v="AColomaL@agricolachira.com.pe"/>
    <x v="1"/>
    <n v="4"/>
    <s v="Gestión Humana y Sostenibilidad"/>
    <x v="21"/>
  </r>
  <r>
    <s v="JCalderonChu@agricolachira.com.pe"/>
    <x v="1"/>
    <n v="5"/>
    <s v="Industrial y de Mantenimiento"/>
    <x v="17"/>
  </r>
  <r>
    <s v="LOcanaP@agricolachira.com.pe"/>
    <x v="1"/>
    <s v="X"/>
    <s v="Administración y Finanzas"/>
    <x v="14"/>
  </r>
  <r>
    <s v="CVivancoM@agricolachira.com.pe"/>
    <x v="1"/>
    <n v="4"/>
    <s v="Administración y Finanzas"/>
    <x v="22"/>
  </r>
  <r>
    <s v="CLupucheV@agricolachira.com.pe"/>
    <x v="1"/>
    <n v="5"/>
    <s v="Agrícola"/>
    <x v="9"/>
  </r>
  <r>
    <s v="JRojasBarr@agricolachira.com.pe"/>
    <x v="1"/>
    <n v="5"/>
    <s v="Agrícola"/>
    <x v="23"/>
  </r>
  <r>
    <s v="PMarroquinR@agricolachira.com.pe"/>
    <x v="1"/>
    <n v="5"/>
    <s v="Agrícola"/>
    <x v="20"/>
  </r>
  <r>
    <s v="BGonzalesM@agricolachira.com.pe"/>
    <x v="1"/>
    <n v="4"/>
    <s v="Operaciones"/>
    <x v="24"/>
  </r>
  <r>
    <s v="jbacilioh@agricolachira.com.pe"/>
    <x v="1"/>
    <n v="4"/>
    <s v="Agrícola"/>
    <x v="7"/>
  </r>
  <r>
    <s v="ptrigoso@agricolachira.com.pe"/>
    <x v="1"/>
    <n v="4"/>
    <s v="Operaciones"/>
    <x v="25"/>
  </r>
  <r>
    <s v="ovasquezp@agricolachira.com.pe"/>
    <x v="1"/>
    <n v="4"/>
    <s v="Agrícola"/>
    <x v="26"/>
  </r>
  <r>
    <s v="JAquijeD@agricolachira.com.pe"/>
    <x v="1"/>
    <n v="4"/>
    <s v="Agrícola"/>
    <x v="23"/>
  </r>
  <r>
    <s v="YGarridoS@agricolachira.com.pe"/>
    <x v="1"/>
    <n v="4"/>
    <s v="Operaciones"/>
    <x v="19"/>
  </r>
  <r>
    <s v="HMatiasZ@agricolachira.com.pe"/>
    <x v="1"/>
    <n v="5"/>
    <s v="Agrícola"/>
    <x v="27"/>
  </r>
  <r>
    <s v="MCulqueC@agricolachira.com.pe"/>
    <x v="1"/>
    <n v="5"/>
    <s v="Agrícola"/>
    <x v="10"/>
  </r>
  <r>
    <s v="EGironAl@agricolachira.com.pe"/>
    <x v="1"/>
    <n v="5"/>
    <s v="Agrícola"/>
    <x v="23"/>
  </r>
  <r>
    <s v="EGarciaR@agricolachira.com.pe"/>
    <x v="1"/>
    <n v="5"/>
    <s v="Operaciones"/>
    <x v="18"/>
  </r>
  <r>
    <s v="rmerach@agricolachira.com.pe"/>
    <x v="1"/>
    <n v="4"/>
    <s v="Industrial y de Mantenimiento"/>
    <x v="28"/>
  </r>
  <r>
    <s v="CRamosG@agricolachira.com.pe"/>
    <x v="2"/>
    <n v="4"/>
    <s v="Gestión Humana y Sostenibilidad"/>
    <x v="1"/>
  </r>
  <r>
    <s v="DZuritaF@agricolachira.com.pe"/>
    <x v="2"/>
    <s v="X"/>
    <s v="Administración y Finanzas"/>
    <x v="2"/>
  </r>
  <r>
    <s v="LOlayaLe@agricolachira.com.pe"/>
    <x v="2"/>
    <n v="3"/>
    <s v="Administración y Finanzas"/>
    <x v="3"/>
  </r>
  <r>
    <s v="CCarrilloR@agricolachira.com.pe"/>
    <x v="2"/>
    <n v="5"/>
    <s v="Industrial y de Mantenimiento"/>
    <x v="4"/>
  </r>
  <r>
    <s v="VLopezS@agricolachira.com.pe"/>
    <x v="2"/>
    <n v="4"/>
    <s v="Operaciones"/>
    <x v="5"/>
  </r>
  <r>
    <s v="JGomezAp@agricolachira.com.pe"/>
    <x v="2"/>
    <n v="5"/>
    <s v="Administración y Finanzas"/>
    <x v="6"/>
  </r>
  <r>
    <s v="LGarciaC@agricolachira.com.pe"/>
    <x v="2"/>
    <n v="5"/>
    <s v="Operaciones"/>
    <x v="5"/>
  </r>
  <r>
    <s v="RLupucheQ@agricolachira.com.pe"/>
    <x v="2"/>
    <n v="4"/>
    <s v="Agrícola"/>
    <x v="7"/>
  </r>
  <r>
    <s v="JCheroPa@agricolachira.com.pe"/>
    <x v="2"/>
    <n v="4"/>
    <s v="Administración y Finanzas"/>
    <x v="8"/>
  </r>
  <r>
    <s v="GPenaP@agricolachira.com.pe"/>
    <x v="2"/>
    <n v="4"/>
    <s v="Agrícola"/>
    <x v="9"/>
  </r>
  <r>
    <s v="WChavezS@agricolachira.com.pe"/>
    <x v="2"/>
    <n v="4"/>
    <s v="Agrícola"/>
    <x v="10"/>
  </r>
  <r>
    <s v="EArevaloJ@agricolachira.com.pe"/>
    <x v="2"/>
    <n v="4"/>
    <s v="Administración y Finanzas"/>
    <x v="11"/>
  </r>
  <r>
    <s v="jvasquezc@agricolachira.com.pe"/>
    <x v="2"/>
    <n v="5"/>
    <s v="Administración y Finanzas"/>
    <x v="6"/>
  </r>
  <r>
    <s v="cfreym@agricolachira.com.pe"/>
    <x v="2"/>
    <n v="5"/>
    <s v="Operaciones"/>
    <x v="12"/>
  </r>
  <r>
    <s v="NPizarroC@agricolachira.com.pe"/>
    <x v="2"/>
    <n v="5"/>
    <s v="Operaciones"/>
    <x v="13"/>
  </r>
  <r>
    <s v="RMoncadaP@agricolachira.com.pe"/>
    <x v="2"/>
    <n v="5"/>
    <s v="Administración y Finanzas"/>
    <x v="14"/>
  </r>
  <r>
    <s v="JPichilinguP@agricolachira.com.pe"/>
    <x v="2"/>
    <s v="X"/>
    <s v="Operaciones"/>
    <x v="12"/>
  </r>
  <r>
    <s v="JMazaV@agricolachira.com.pe"/>
    <x v="2"/>
    <n v="4"/>
    <s v="Industrial y de Mantenimiento"/>
    <x v="15"/>
  </r>
  <r>
    <s v="JOrdinolaZ@agricolachira.com.pe"/>
    <x v="2"/>
    <n v="5"/>
    <s v="Operaciones"/>
    <x v="16"/>
  </r>
  <r>
    <s v="AGutierrezR@agricolachira.com.pe"/>
    <x v="2"/>
    <n v="5"/>
    <s v="Operaciones"/>
    <x v="12"/>
  </r>
  <r>
    <s v="JSeminarioA@agricolachira.com.pe"/>
    <x v="2"/>
    <n v="3"/>
    <s v="Industrial y de Mantenimiento"/>
    <x v="17"/>
  </r>
  <r>
    <s v="WFacundoF@agricolachira.com.pe"/>
    <x v="2"/>
    <n v="4"/>
    <s v="Industrial y de Mantenimiento"/>
    <x v="17"/>
  </r>
  <r>
    <s v="DCruzC@agricolachira.com.pe"/>
    <x v="2"/>
    <n v="4"/>
    <s v="Industrial y de Mantenimiento"/>
    <x v="0"/>
  </r>
  <r>
    <s v="LPadillaSa@agricolachira.com.pe"/>
    <x v="2"/>
    <n v="3"/>
    <s v="Industrial y de Mantenimiento"/>
    <x v="17"/>
  </r>
  <r>
    <s v="ABlancoE@agricolachira.com.pe"/>
    <x v="2"/>
    <n v="5"/>
    <s v="Operaciones"/>
    <x v="13"/>
  </r>
  <r>
    <s v="RMarceloY@agricolachira.com.pe"/>
    <x v="2"/>
    <n v="5"/>
    <s v="Operaciones"/>
    <x v="18"/>
  </r>
  <r>
    <s v="HCruzA@agricolachira.com.pe"/>
    <x v="2"/>
    <n v="5"/>
    <s v="Operaciones"/>
    <x v="19"/>
  </r>
  <r>
    <s v="SRamosT@agricolachira.com.pe"/>
    <x v="2"/>
    <n v="4"/>
    <s v="Agrícola"/>
    <x v="20"/>
  </r>
  <r>
    <s v="ALachiraP@agricolachira.com.pe"/>
    <x v="2"/>
    <n v="5"/>
    <s v="Operaciones"/>
    <x v="19"/>
  </r>
  <r>
    <s v="DCheroN@agricolachira.com.pe"/>
    <x v="2"/>
    <n v="5"/>
    <s v="Operaciones"/>
    <x v="19"/>
  </r>
  <r>
    <s v="AColomaL@agricolachira.com.pe"/>
    <x v="2"/>
    <n v="4"/>
    <s v="Gestión Humana y Sostenibilidad"/>
    <x v="21"/>
  </r>
  <r>
    <s v="JCalderonChu@agricolachira.com.pe"/>
    <x v="2"/>
    <n v="4"/>
    <s v="Industrial y de Mantenimiento"/>
    <x v="17"/>
  </r>
  <r>
    <s v="LOcanaP@agricolachira.com.pe"/>
    <x v="2"/>
    <n v="4"/>
    <s v="Administración y Finanzas"/>
    <x v="14"/>
  </r>
  <r>
    <s v="CVivancoM@agricolachira.com.pe"/>
    <x v="2"/>
    <n v="4"/>
    <s v="Administración y Finanzas"/>
    <x v="22"/>
  </r>
  <r>
    <s v="CLupucheV@agricolachira.com.pe"/>
    <x v="2"/>
    <n v="4"/>
    <s v="Agrícola"/>
    <x v="9"/>
  </r>
  <r>
    <s v="JRojasBarr@agricolachira.com.pe"/>
    <x v="2"/>
    <n v="5"/>
    <s v="Agrícola"/>
    <x v="23"/>
  </r>
  <r>
    <s v="PMarroquinR@agricolachira.com.pe"/>
    <x v="2"/>
    <n v="4"/>
    <s v="Agrícola"/>
    <x v="20"/>
  </r>
  <r>
    <s v="BGonzalesM@agricolachira.com.pe"/>
    <x v="2"/>
    <n v="4"/>
    <s v="Operaciones"/>
    <x v="24"/>
  </r>
  <r>
    <s v="jbacilioh@agricolachira.com.pe"/>
    <x v="2"/>
    <n v="4"/>
    <s v="Agrícola"/>
    <x v="7"/>
  </r>
  <r>
    <s v="ptrigoso@agricolachira.com.pe"/>
    <x v="2"/>
    <n v="5"/>
    <s v="Operaciones"/>
    <x v="25"/>
  </r>
  <r>
    <s v="ovasquezp@agricolachira.com.pe"/>
    <x v="2"/>
    <n v="5"/>
    <s v="Agrícola"/>
    <x v="26"/>
  </r>
  <r>
    <s v="JAquijeD@agricolachira.com.pe"/>
    <x v="2"/>
    <n v="4"/>
    <s v="Agrícola"/>
    <x v="23"/>
  </r>
  <r>
    <s v="YGarridoS@agricolachira.com.pe"/>
    <x v="2"/>
    <n v="4"/>
    <s v="Operaciones"/>
    <x v="19"/>
  </r>
  <r>
    <s v="HMatiasZ@agricolachira.com.pe"/>
    <x v="2"/>
    <n v="5"/>
    <s v="Agrícola"/>
    <x v="27"/>
  </r>
  <r>
    <s v="MCulqueC@agricolachira.com.pe"/>
    <x v="2"/>
    <n v="5"/>
    <s v="Agrícola"/>
    <x v="10"/>
  </r>
  <r>
    <s v="EGironAl@agricolachira.com.pe"/>
    <x v="2"/>
    <n v="5"/>
    <s v="Agrícola"/>
    <x v="23"/>
  </r>
  <r>
    <s v="EGarciaR@agricolachira.com.pe"/>
    <x v="2"/>
    <n v="5"/>
    <s v="Operaciones"/>
    <x v="18"/>
  </r>
  <r>
    <s v="rmerach@agricolachira.com.pe"/>
    <x v="2"/>
    <n v="5"/>
    <s v="Industrial y de Mantenimiento"/>
    <x v="28"/>
  </r>
  <r>
    <s v="CRamosG@agricolachira.com.pe"/>
    <x v="3"/>
    <n v="4"/>
    <s v="Gestión Humana y Sostenibilidad"/>
    <x v="1"/>
  </r>
  <r>
    <s v="DZuritaF@agricolachira.com.pe"/>
    <x v="3"/>
    <s v="X"/>
    <s v="Administración y Finanzas"/>
    <x v="2"/>
  </r>
  <r>
    <s v="LOlayaLe@agricolachira.com.pe"/>
    <x v="3"/>
    <n v="3"/>
    <s v="Administración y Finanzas"/>
    <x v="3"/>
  </r>
  <r>
    <s v="CCarrilloR@agricolachira.com.pe"/>
    <x v="3"/>
    <n v="5"/>
    <s v="Industrial y de Mantenimiento"/>
    <x v="4"/>
  </r>
  <r>
    <s v="VLopezS@agricolachira.com.pe"/>
    <x v="3"/>
    <n v="4"/>
    <s v="Operaciones"/>
    <x v="5"/>
  </r>
  <r>
    <s v="JGomezAp@agricolachira.com.pe"/>
    <x v="3"/>
    <n v="5"/>
    <s v="Administración y Finanzas"/>
    <x v="6"/>
  </r>
  <r>
    <s v="LGarciaC@agricolachira.com.pe"/>
    <x v="3"/>
    <n v="5"/>
    <s v="Operaciones"/>
    <x v="5"/>
  </r>
  <r>
    <s v="RLupucheQ@agricolachira.com.pe"/>
    <x v="3"/>
    <n v="4"/>
    <s v="Agrícola"/>
    <x v="7"/>
  </r>
  <r>
    <s v="JCheroPa@agricolachira.com.pe"/>
    <x v="3"/>
    <n v="4"/>
    <s v="Administración y Finanzas"/>
    <x v="8"/>
  </r>
  <r>
    <s v="GPenaP@agricolachira.com.pe"/>
    <x v="3"/>
    <n v="5"/>
    <s v="Agrícola"/>
    <x v="9"/>
  </r>
  <r>
    <s v="WChavezS@agricolachira.com.pe"/>
    <x v="3"/>
    <n v="4"/>
    <s v="Agrícola"/>
    <x v="10"/>
  </r>
  <r>
    <s v="EArevaloJ@agricolachira.com.pe"/>
    <x v="3"/>
    <n v="4"/>
    <s v="Administración y Finanzas"/>
    <x v="11"/>
  </r>
  <r>
    <s v="jvasquezc@agricolachira.com.pe"/>
    <x v="3"/>
    <n v="5"/>
    <s v="Administración y Finanzas"/>
    <x v="6"/>
  </r>
  <r>
    <s v="cfreym@agricolachira.com.pe"/>
    <x v="3"/>
    <n v="5"/>
    <s v="Operaciones"/>
    <x v="12"/>
  </r>
  <r>
    <s v="NPizarroC@agricolachira.com.pe"/>
    <x v="3"/>
    <n v="5"/>
    <s v="Operaciones"/>
    <x v="13"/>
  </r>
  <r>
    <s v="RMoncadaP@agricolachira.com.pe"/>
    <x v="3"/>
    <n v="5"/>
    <s v="Administración y Finanzas"/>
    <x v="14"/>
  </r>
  <r>
    <s v="JPichilinguP@agricolachira.com.pe"/>
    <x v="3"/>
    <n v="4"/>
    <s v="Operaciones"/>
    <x v="12"/>
  </r>
  <r>
    <s v="JMazaV@agricolachira.com.pe"/>
    <x v="3"/>
    <n v="3"/>
    <s v="Industrial y de Mantenimiento"/>
    <x v="15"/>
  </r>
  <r>
    <s v="JOrdinolaZ@agricolachira.com.pe"/>
    <x v="3"/>
    <n v="5"/>
    <s v="Operaciones"/>
    <x v="16"/>
  </r>
  <r>
    <s v="AGutierrezR@agricolachira.com.pe"/>
    <x v="3"/>
    <n v="5"/>
    <s v="Operaciones"/>
    <x v="12"/>
  </r>
  <r>
    <s v="JSeminarioA@agricolachira.com.pe"/>
    <x v="3"/>
    <n v="3"/>
    <s v="Industrial y de Mantenimiento"/>
    <x v="17"/>
  </r>
  <r>
    <s v="WFacundoF@agricolachira.com.pe"/>
    <x v="3"/>
    <n v="4"/>
    <s v="Industrial y de Mantenimiento"/>
    <x v="17"/>
  </r>
  <r>
    <s v="DCruzC@agricolachira.com.pe"/>
    <x v="3"/>
    <n v="4"/>
    <s v="Industrial y de Mantenimiento"/>
    <x v="0"/>
  </r>
  <r>
    <s v="LPadillaSa@agricolachira.com.pe"/>
    <x v="3"/>
    <n v="3"/>
    <s v="Industrial y de Mantenimiento"/>
    <x v="17"/>
  </r>
  <r>
    <s v="ABlancoE@agricolachira.com.pe"/>
    <x v="3"/>
    <n v="4"/>
    <s v="Operaciones"/>
    <x v="13"/>
  </r>
  <r>
    <s v="RMarceloY@agricolachira.com.pe"/>
    <x v="3"/>
    <n v="5"/>
    <s v="Operaciones"/>
    <x v="18"/>
  </r>
  <r>
    <s v="HCruzA@agricolachira.com.pe"/>
    <x v="3"/>
    <n v="5"/>
    <s v="Operaciones"/>
    <x v="19"/>
  </r>
  <r>
    <s v="SRamosT@agricolachira.com.pe"/>
    <x v="3"/>
    <n v="5"/>
    <s v="Agrícola"/>
    <x v="20"/>
  </r>
  <r>
    <s v="ALachiraP@agricolachira.com.pe"/>
    <x v="3"/>
    <n v="5"/>
    <s v="Operaciones"/>
    <x v="19"/>
  </r>
  <r>
    <s v="DCheroN@agricolachira.com.pe"/>
    <x v="3"/>
    <n v="5"/>
    <s v="Operaciones"/>
    <x v="19"/>
  </r>
  <r>
    <s v="AColomaL@agricolachira.com.pe"/>
    <x v="3"/>
    <n v="4"/>
    <s v="Gestión Humana y Sostenibilidad"/>
    <x v="21"/>
  </r>
  <r>
    <s v="JCalderonChu@agricolachira.com.pe"/>
    <x v="3"/>
    <n v="4"/>
    <s v="Industrial y de Mantenimiento"/>
    <x v="17"/>
  </r>
  <r>
    <s v="LOcanaP@agricolachira.com.pe"/>
    <x v="3"/>
    <n v="5"/>
    <s v="Administración y Finanzas"/>
    <x v="14"/>
  </r>
  <r>
    <s v="CVivancoM@agricolachira.com.pe"/>
    <x v="3"/>
    <n v="4"/>
    <s v="Administración y Finanzas"/>
    <x v="22"/>
  </r>
  <r>
    <s v="CLupucheV@agricolachira.com.pe"/>
    <x v="3"/>
    <n v="4"/>
    <s v="Agrícola"/>
    <x v="9"/>
  </r>
  <r>
    <s v="JRojasBarr@agricolachira.com.pe"/>
    <x v="3"/>
    <n v="4"/>
    <s v="Agrícola"/>
    <x v="23"/>
  </r>
  <r>
    <s v="PMarroquinR@agricolachira.com.pe"/>
    <x v="3"/>
    <n v="5"/>
    <s v="Agrícola"/>
    <x v="20"/>
  </r>
  <r>
    <s v="BGonzalesM@agricolachira.com.pe"/>
    <x v="3"/>
    <s v="X"/>
    <s v="Operaciones"/>
    <x v="24"/>
  </r>
  <r>
    <s v="jbacilioh@agricolachira.com.pe"/>
    <x v="3"/>
    <n v="4"/>
    <s v="Agrícola"/>
    <x v="7"/>
  </r>
  <r>
    <s v="ptrigoso@agricolachira.com.pe"/>
    <x v="3"/>
    <n v="4"/>
    <s v="Operaciones"/>
    <x v="25"/>
  </r>
  <r>
    <s v="ovasquezp@agricolachira.com.pe"/>
    <x v="3"/>
    <n v="5"/>
    <s v="Agrícola"/>
    <x v="26"/>
  </r>
  <r>
    <s v="JAquijeD@agricolachira.com.pe"/>
    <x v="3"/>
    <n v="4"/>
    <s v="Agrícola"/>
    <x v="23"/>
  </r>
  <r>
    <s v="YGarridoS@agricolachira.com.pe"/>
    <x v="3"/>
    <n v="4"/>
    <s v="Operaciones"/>
    <x v="19"/>
  </r>
  <r>
    <s v="HMatiasZ@agricolachira.com.pe"/>
    <x v="3"/>
    <n v="5"/>
    <s v="Agrícola"/>
    <x v="27"/>
  </r>
  <r>
    <s v="MCulqueC@agricolachira.com.pe"/>
    <x v="3"/>
    <n v="5"/>
    <s v="Agrícola"/>
    <x v="10"/>
  </r>
  <r>
    <s v="EGironAl@agricolachira.com.pe"/>
    <x v="3"/>
    <n v="5"/>
    <s v="Agrícola"/>
    <x v="23"/>
  </r>
  <r>
    <s v="EGarciaR@agricolachira.com.pe"/>
    <x v="3"/>
    <n v="4"/>
    <s v="Operaciones"/>
    <x v="18"/>
  </r>
  <r>
    <s v="rmerach@agricolachira.com.pe"/>
    <x v="3"/>
    <n v="4"/>
    <s v="Industrial y de Mantenimiento"/>
    <x v="28"/>
  </r>
  <r>
    <s v="CRamosG@agricolachira.com.pe"/>
    <x v="4"/>
    <n v="4"/>
    <s v="Gestión Humana y Sostenibilidad"/>
    <x v="1"/>
  </r>
  <r>
    <s v="DZuritaF@agricolachira.com.pe"/>
    <x v="4"/>
    <s v="X"/>
    <s v="Administración y Finanzas"/>
    <x v="2"/>
  </r>
  <r>
    <s v="LOlayaLe@agricolachira.com.pe"/>
    <x v="4"/>
    <n v="3"/>
    <s v="Administración y Finanzas"/>
    <x v="3"/>
  </r>
  <r>
    <s v="CCarrilloR@agricolachira.com.pe"/>
    <x v="4"/>
    <s v="X"/>
    <s v="Industrial y de Mantenimiento"/>
    <x v="4"/>
  </r>
  <r>
    <s v="VLopezS@agricolachira.com.pe"/>
    <x v="4"/>
    <n v="4"/>
    <s v="Operaciones"/>
    <x v="5"/>
  </r>
  <r>
    <s v="JGomezAp@agricolachira.com.pe"/>
    <x v="4"/>
    <n v="5"/>
    <s v="Administración y Finanzas"/>
    <x v="6"/>
  </r>
  <r>
    <s v="LGarciaC@agricolachira.com.pe"/>
    <x v="4"/>
    <n v="5"/>
    <s v="Operaciones"/>
    <x v="5"/>
  </r>
  <r>
    <s v="RLupucheQ@agricolachira.com.pe"/>
    <x v="4"/>
    <n v="4"/>
    <s v="Agrícola"/>
    <x v="7"/>
  </r>
  <r>
    <s v="JCheroPa@agricolachira.com.pe"/>
    <x v="4"/>
    <s v="X"/>
    <s v="Administración y Finanzas"/>
    <x v="8"/>
  </r>
  <r>
    <s v="GPenaP@agricolachira.com.pe"/>
    <x v="4"/>
    <n v="3"/>
    <s v="Agrícola"/>
    <x v="9"/>
  </r>
  <r>
    <s v="WChavezS@agricolachira.com.pe"/>
    <x v="4"/>
    <n v="4"/>
    <s v="Agrícola"/>
    <x v="10"/>
  </r>
  <r>
    <s v="EArevaloJ@agricolachira.com.pe"/>
    <x v="4"/>
    <n v="4"/>
    <s v="Administración y Finanzas"/>
    <x v="11"/>
  </r>
  <r>
    <s v="jvasquezc@agricolachira.com.pe"/>
    <x v="4"/>
    <s v="X"/>
    <s v="Administración y Finanzas"/>
    <x v="6"/>
  </r>
  <r>
    <s v="cfreym@agricolachira.com.pe"/>
    <x v="4"/>
    <n v="4"/>
    <s v="Operaciones"/>
    <x v="12"/>
  </r>
  <r>
    <s v="NPizarroC@agricolachira.com.pe"/>
    <x v="4"/>
    <n v="5"/>
    <s v="Operaciones"/>
    <x v="13"/>
  </r>
  <r>
    <s v="RMoncadaP@agricolachira.com.pe"/>
    <x v="4"/>
    <n v="5"/>
    <s v="Administración y Finanzas"/>
    <x v="14"/>
  </r>
  <r>
    <s v="JPichilinguP@agricolachira.com.pe"/>
    <x v="4"/>
    <s v="X"/>
    <s v="Operaciones"/>
    <x v="12"/>
  </r>
  <r>
    <s v="JMazaV@agricolachira.com.pe"/>
    <x v="4"/>
    <n v="4"/>
    <s v="Industrial y de Mantenimiento"/>
    <x v="15"/>
  </r>
  <r>
    <s v="JOrdinolaZ@agricolachira.com.pe"/>
    <x v="4"/>
    <n v="5"/>
    <s v="Operaciones"/>
    <x v="16"/>
  </r>
  <r>
    <s v="AGutierrezR@agricolachira.com.pe"/>
    <x v="4"/>
    <n v="5"/>
    <s v="Operaciones"/>
    <x v="12"/>
  </r>
  <r>
    <s v="JSeminarioA@agricolachira.com.pe"/>
    <x v="4"/>
    <n v="3"/>
    <s v="Industrial y de Mantenimiento"/>
    <x v="17"/>
  </r>
  <r>
    <s v="WFacundoF@agricolachira.com.pe"/>
    <x v="4"/>
    <n v="3"/>
    <s v="Industrial y de Mantenimiento"/>
    <x v="17"/>
  </r>
  <r>
    <s v="DCruzC@agricolachira.com.pe"/>
    <x v="4"/>
    <n v="3"/>
    <s v="Industrial y de Mantenimiento"/>
    <x v="0"/>
  </r>
  <r>
    <s v="LPadillaSa@agricolachira.com.pe"/>
    <x v="4"/>
    <n v="3"/>
    <s v="Industrial y de Mantenimiento"/>
    <x v="17"/>
  </r>
  <r>
    <s v="ABlancoE@agricolachira.com.pe"/>
    <x v="4"/>
    <s v="X"/>
    <s v="Operaciones"/>
    <x v="13"/>
  </r>
  <r>
    <s v="RMarceloY@agricolachira.com.pe"/>
    <x v="4"/>
    <n v="5"/>
    <s v="Operaciones"/>
    <x v="18"/>
  </r>
  <r>
    <s v="HCruzA@agricolachira.com.pe"/>
    <x v="4"/>
    <n v="4"/>
    <s v="Operaciones"/>
    <x v="19"/>
  </r>
  <r>
    <s v="SRamosT@agricolachira.com.pe"/>
    <x v="4"/>
    <n v="4"/>
    <s v="Agrícola"/>
    <x v="20"/>
  </r>
  <r>
    <s v="ALachiraP@agricolachira.com.pe"/>
    <x v="4"/>
    <n v="4"/>
    <s v="Operaciones"/>
    <x v="19"/>
  </r>
  <r>
    <s v="DCheroN@agricolachira.com.pe"/>
    <x v="4"/>
    <n v="5"/>
    <s v="Operaciones"/>
    <x v="19"/>
  </r>
  <r>
    <s v="AColomaL@agricolachira.com.pe"/>
    <x v="4"/>
    <n v="4"/>
    <s v="Gestión Humana y Sostenibilidad"/>
    <x v="21"/>
  </r>
  <r>
    <s v="JCalderonChu@agricolachira.com.pe"/>
    <x v="4"/>
    <n v="4"/>
    <s v="Industrial y de Mantenimiento"/>
    <x v="17"/>
  </r>
  <r>
    <s v="LOcanaP@agricolachira.com.pe"/>
    <x v="4"/>
    <n v="4"/>
    <s v="Administración y Finanzas"/>
    <x v="14"/>
  </r>
  <r>
    <s v="CVivancoM@agricolachira.com.pe"/>
    <x v="4"/>
    <n v="4"/>
    <s v="Administración y Finanzas"/>
    <x v="22"/>
  </r>
  <r>
    <s v="CLupucheV@agricolachira.com.pe"/>
    <x v="4"/>
    <n v="5"/>
    <s v="Agrícola"/>
    <x v="9"/>
  </r>
  <r>
    <s v="JRojasBarr@agricolachira.com.pe"/>
    <x v="4"/>
    <n v="4"/>
    <s v="Agrícola"/>
    <x v="23"/>
  </r>
  <r>
    <s v="PMarroquinR@agricolachira.com.pe"/>
    <x v="4"/>
    <s v="X"/>
    <s v="Agrícola"/>
    <x v="20"/>
  </r>
  <r>
    <s v="BGonzalesM@agricolachira.com.pe"/>
    <x v="4"/>
    <n v="4"/>
    <s v="Operaciones"/>
    <x v="24"/>
  </r>
  <r>
    <s v="jbacilioh@agricolachira.com.pe"/>
    <x v="4"/>
    <n v="4"/>
    <s v="Agrícola"/>
    <x v="7"/>
  </r>
  <r>
    <s v="ptrigoso@agricolachira.com.pe"/>
    <x v="4"/>
    <n v="5"/>
    <s v="Operaciones"/>
    <x v="25"/>
  </r>
  <r>
    <s v="ovasquezp@agricolachira.com.pe"/>
    <x v="4"/>
    <n v="4"/>
    <s v="Agrícola"/>
    <x v="26"/>
  </r>
  <r>
    <s v="JAquijeD@agricolachira.com.pe"/>
    <x v="4"/>
    <n v="3"/>
    <s v="Agrícola"/>
    <x v="23"/>
  </r>
  <r>
    <s v="YGarridoS@agricolachira.com.pe"/>
    <x v="4"/>
    <n v="4"/>
    <s v="Operaciones"/>
    <x v="19"/>
  </r>
  <r>
    <s v="HMatiasZ@agricolachira.com.pe"/>
    <x v="4"/>
    <n v="5"/>
    <s v="Agrícola"/>
    <x v="27"/>
  </r>
  <r>
    <s v="MCulqueC@agricolachira.com.pe"/>
    <x v="4"/>
    <n v="4"/>
    <s v="Agrícola"/>
    <x v="10"/>
  </r>
  <r>
    <s v="EGironAl@agricolachira.com.pe"/>
    <x v="4"/>
    <n v="5"/>
    <s v="Agrícola"/>
    <x v="23"/>
  </r>
  <r>
    <s v="EGarciaR@agricolachira.com.pe"/>
    <x v="4"/>
    <n v="5"/>
    <s v="Operaciones"/>
    <x v="18"/>
  </r>
  <r>
    <s v="rmerach@agricolachira.com.pe"/>
    <x v="4"/>
    <n v="4"/>
    <s v="Industrial y de Mantenimiento"/>
    <x v="28"/>
  </r>
  <r>
    <s v="CRamosG@agricolachira.com.pe"/>
    <x v="5"/>
    <n v="4"/>
    <s v="Gestión Humana y Sostenibilidad"/>
    <x v="1"/>
  </r>
  <r>
    <s v="DZuritaF@agricolachira.com.pe"/>
    <x v="5"/>
    <s v="X"/>
    <s v="Administración y Finanzas"/>
    <x v="2"/>
  </r>
  <r>
    <s v="LOlayaLe@agricolachira.com.pe"/>
    <x v="5"/>
    <n v="3"/>
    <s v="Administración y Finanzas"/>
    <x v="3"/>
  </r>
  <r>
    <s v="CCarrilloR@agricolachira.com.pe"/>
    <x v="5"/>
    <s v="X"/>
    <s v="Industrial y de Mantenimiento"/>
    <x v="4"/>
  </r>
  <r>
    <s v="VLopezS@agricolachira.com.pe"/>
    <x v="5"/>
    <n v="4"/>
    <s v="Operaciones"/>
    <x v="5"/>
  </r>
  <r>
    <s v="JGomezAp@agricolachira.com.pe"/>
    <x v="5"/>
    <n v="5"/>
    <s v="Administración y Finanzas"/>
    <x v="6"/>
  </r>
  <r>
    <s v="LGarciaC@agricolachira.com.pe"/>
    <x v="5"/>
    <n v="5"/>
    <s v="Operaciones"/>
    <x v="5"/>
  </r>
  <r>
    <s v="RLupucheQ@agricolachira.com.pe"/>
    <x v="5"/>
    <n v="4"/>
    <s v="Agrícola"/>
    <x v="7"/>
  </r>
  <r>
    <s v="JCheroPa@agricolachira.com.pe"/>
    <x v="5"/>
    <s v="X"/>
    <s v="Administración y Finanzas"/>
    <x v="8"/>
  </r>
  <r>
    <s v="GPenaP@agricolachira.com.pe"/>
    <x v="5"/>
    <n v="4"/>
    <s v="Agrícola"/>
    <x v="9"/>
  </r>
  <r>
    <s v="WChavezS@agricolachira.com.pe"/>
    <x v="5"/>
    <n v="4"/>
    <s v="Agrícola"/>
    <x v="10"/>
  </r>
  <r>
    <s v="EArevaloJ@agricolachira.com.pe"/>
    <x v="5"/>
    <n v="4"/>
    <s v="Administración y Finanzas"/>
    <x v="11"/>
  </r>
  <r>
    <s v="jvasquezc@agricolachira.com.pe"/>
    <x v="5"/>
    <n v="5"/>
    <s v="Administración y Finanzas"/>
    <x v="6"/>
  </r>
  <r>
    <s v="cfreym@agricolachira.com.pe"/>
    <x v="5"/>
    <n v="4"/>
    <s v="Operaciones"/>
    <x v="12"/>
  </r>
  <r>
    <s v="NPizarroC@agricolachira.com.pe"/>
    <x v="5"/>
    <n v="5"/>
    <s v="Operaciones"/>
    <x v="13"/>
  </r>
  <r>
    <s v="RMoncadaP@agricolachira.com.pe"/>
    <x v="5"/>
    <n v="5"/>
    <s v="Administración y Finanzas"/>
    <x v="14"/>
  </r>
  <r>
    <s v="JPichilinguP@agricolachira.com.pe"/>
    <x v="5"/>
    <n v="4"/>
    <s v="Operaciones"/>
    <x v="12"/>
  </r>
  <r>
    <s v="JMazaV@agricolachira.com.pe"/>
    <x v="5"/>
    <n v="4"/>
    <s v="Industrial y de Mantenimiento"/>
    <x v="15"/>
  </r>
  <r>
    <s v="JOrdinolaZ@agricolachira.com.pe"/>
    <x v="5"/>
    <n v="5"/>
    <s v="Operaciones"/>
    <x v="16"/>
  </r>
  <r>
    <s v="AGutierrezR@agricolachira.com.pe"/>
    <x v="5"/>
    <n v="5"/>
    <s v="Operaciones"/>
    <x v="12"/>
  </r>
  <r>
    <s v="JSeminarioA@agricolachira.com.pe"/>
    <x v="5"/>
    <n v="3"/>
    <s v="Industrial y de Mantenimiento"/>
    <x v="17"/>
  </r>
  <r>
    <s v="WFacundoF@agricolachira.com.pe"/>
    <x v="5"/>
    <n v="3"/>
    <s v="Industrial y de Mantenimiento"/>
    <x v="17"/>
  </r>
  <r>
    <s v="DCruzC@agricolachira.com.pe"/>
    <x v="5"/>
    <n v="4"/>
    <s v="Industrial y de Mantenimiento"/>
    <x v="0"/>
  </r>
  <r>
    <s v="LPadillaSa@agricolachira.com.pe"/>
    <x v="5"/>
    <n v="3"/>
    <s v="Industrial y de Mantenimiento"/>
    <x v="17"/>
  </r>
  <r>
    <s v="ABlancoE@agricolachira.com.pe"/>
    <x v="5"/>
    <s v="X"/>
    <s v="Operaciones"/>
    <x v="13"/>
  </r>
  <r>
    <s v="RMarceloY@agricolachira.com.pe"/>
    <x v="5"/>
    <n v="4"/>
    <s v="Operaciones"/>
    <x v="18"/>
  </r>
  <r>
    <s v="HCruzA@agricolachira.com.pe"/>
    <x v="5"/>
    <n v="4"/>
    <s v="Operaciones"/>
    <x v="19"/>
  </r>
  <r>
    <s v="SRamosT@agricolachira.com.pe"/>
    <x v="5"/>
    <n v="4"/>
    <s v="Agrícola"/>
    <x v="20"/>
  </r>
  <r>
    <s v="ALachiraP@agricolachira.com.pe"/>
    <x v="5"/>
    <n v="4"/>
    <s v="Operaciones"/>
    <x v="19"/>
  </r>
  <r>
    <s v="DCheroN@agricolachira.com.pe"/>
    <x v="5"/>
    <n v="5"/>
    <s v="Operaciones"/>
    <x v="19"/>
  </r>
  <r>
    <s v="AColomaL@agricolachira.com.pe"/>
    <x v="5"/>
    <n v="4"/>
    <s v="Gestión Humana y Sostenibilidad"/>
    <x v="21"/>
  </r>
  <r>
    <s v="JCalderonChu@agricolachira.com.pe"/>
    <x v="5"/>
    <n v="4"/>
    <s v="Industrial y de Mantenimiento"/>
    <x v="17"/>
  </r>
  <r>
    <s v="LOcanaP@agricolachira.com.pe"/>
    <x v="5"/>
    <n v="5"/>
    <s v="Administración y Finanzas"/>
    <x v="14"/>
  </r>
  <r>
    <s v="CVivancoM@agricolachira.com.pe"/>
    <x v="5"/>
    <n v="4"/>
    <s v="Administración y Finanzas"/>
    <x v="22"/>
  </r>
  <r>
    <s v="CLupucheV@agricolachira.com.pe"/>
    <x v="5"/>
    <n v="4"/>
    <s v="Agrícola"/>
    <x v="9"/>
  </r>
  <r>
    <s v="JRojasBarr@agricolachira.com.pe"/>
    <x v="5"/>
    <n v="3"/>
    <s v="Agrícola"/>
    <x v="23"/>
  </r>
  <r>
    <s v="PMarroquinR@agricolachira.com.pe"/>
    <x v="5"/>
    <n v="4"/>
    <s v="Agrícola"/>
    <x v="20"/>
  </r>
  <r>
    <s v="BGonzalesM@agricolachira.com.pe"/>
    <x v="5"/>
    <n v="4"/>
    <s v="Operaciones"/>
    <x v="24"/>
  </r>
  <r>
    <s v="jbacilioh@agricolachira.com.pe"/>
    <x v="5"/>
    <n v="4"/>
    <s v="Agrícola"/>
    <x v="7"/>
  </r>
  <r>
    <s v="ptrigoso@agricolachira.com.pe"/>
    <x v="5"/>
    <n v="5"/>
    <s v="Operaciones"/>
    <x v="25"/>
  </r>
  <r>
    <s v="ovasquezp@agricolachira.com.pe"/>
    <x v="5"/>
    <n v="4"/>
    <s v="Agrícola"/>
    <x v="26"/>
  </r>
  <r>
    <s v="JAquijeD@agricolachira.com.pe"/>
    <x v="5"/>
    <n v="3"/>
    <s v="Agrícola"/>
    <x v="23"/>
  </r>
  <r>
    <s v="YGarridoS@agricolachira.com.pe"/>
    <x v="5"/>
    <n v="5"/>
    <s v="Operaciones"/>
    <x v="19"/>
  </r>
  <r>
    <s v="HMatiasZ@agricolachira.com.pe"/>
    <x v="5"/>
    <n v="5"/>
    <s v="Agrícola"/>
    <x v="27"/>
  </r>
  <r>
    <s v="MCulqueC@agricolachira.com.pe"/>
    <x v="5"/>
    <n v="5"/>
    <s v="Agrícola"/>
    <x v="10"/>
  </r>
  <r>
    <s v="EGironAl@agricolachira.com.pe"/>
    <x v="5"/>
    <n v="5"/>
    <s v="Agrícola"/>
    <x v="23"/>
  </r>
  <r>
    <s v="EGarciaR@agricolachira.com.pe"/>
    <x v="5"/>
    <n v="5"/>
    <s v="Operaciones"/>
    <x v="18"/>
  </r>
  <r>
    <s v="rmerach@agricolachira.com.pe"/>
    <x v="5"/>
    <n v="4"/>
    <s v="Industrial y de Mantenimiento"/>
    <x v="28"/>
  </r>
  <r>
    <s v="CRamosG@agricolachira.com.pe"/>
    <x v="6"/>
    <n v="4"/>
    <s v="Gestión Humana y Sostenibilidad"/>
    <x v="1"/>
  </r>
  <r>
    <s v="DZuritaF@agricolachira.com.pe"/>
    <x v="6"/>
    <s v="X"/>
    <s v="Administración y Finanzas"/>
    <x v="2"/>
  </r>
  <r>
    <s v="LOlayaLe@agricolachira.com.pe"/>
    <x v="6"/>
    <n v="4"/>
    <s v="Administración y Finanzas"/>
    <x v="3"/>
  </r>
  <r>
    <s v="CCarrilloR@agricolachira.com.pe"/>
    <x v="6"/>
    <n v="5"/>
    <s v="Industrial y de Mantenimiento"/>
    <x v="4"/>
  </r>
  <r>
    <s v="VLopezS@agricolachira.com.pe"/>
    <x v="6"/>
    <n v="4"/>
    <s v="Operaciones"/>
    <x v="5"/>
  </r>
  <r>
    <s v="JGomezAp@agricolachira.com.pe"/>
    <x v="6"/>
    <s v="X"/>
    <s v="Administración y Finanzas"/>
    <x v="6"/>
  </r>
  <r>
    <s v="LGarciaC@agricolachira.com.pe"/>
    <x v="6"/>
    <n v="5"/>
    <s v="Operaciones"/>
    <x v="5"/>
  </r>
  <r>
    <s v="RLupucheQ@agricolachira.com.pe"/>
    <x v="6"/>
    <s v="X"/>
    <s v="Agrícola"/>
    <x v="7"/>
  </r>
  <r>
    <s v="JCheroPa@agricolachira.com.pe"/>
    <x v="6"/>
    <n v="4"/>
    <s v="Administración y Finanzas"/>
    <x v="8"/>
  </r>
  <r>
    <s v="GPenaP@agricolachira.com.pe"/>
    <x v="6"/>
    <s v="X"/>
    <s v="Agrícola"/>
    <x v="9"/>
  </r>
  <r>
    <s v="WChavezS@agricolachira.com.pe"/>
    <x v="6"/>
    <s v="X"/>
    <s v="Agrícola"/>
    <x v="10"/>
  </r>
  <r>
    <s v="EArevaloJ@agricolachira.com.pe"/>
    <x v="6"/>
    <n v="4"/>
    <s v="Administración y Finanzas"/>
    <x v="11"/>
  </r>
  <r>
    <s v="jvasquezc@agricolachira.com.pe"/>
    <x v="6"/>
    <n v="4"/>
    <s v="Administración y Finanzas"/>
    <x v="6"/>
  </r>
  <r>
    <s v="cfreym@agricolachira.com.pe"/>
    <x v="6"/>
    <n v="5"/>
    <s v="Operaciones"/>
    <x v="12"/>
  </r>
  <r>
    <s v="NPizarroC@agricolachira.com.pe"/>
    <x v="6"/>
    <s v="X"/>
    <s v="Operaciones"/>
    <x v="13"/>
  </r>
  <r>
    <s v="RMoncadaP@agricolachira.com.pe"/>
    <x v="6"/>
    <s v="X"/>
    <s v="Administración y Finanzas"/>
    <x v="14"/>
  </r>
  <r>
    <s v="JPichilinguP@agricolachira.com.pe"/>
    <x v="6"/>
    <n v="5"/>
    <s v="Operaciones"/>
    <x v="12"/>
  </r>
  <r>
    <s v="JMazaV@agricolachira.com.pe"/>
    <x v="6"/>
    <n v="5"/>
    <s v="Industrial y de Mantenimiento"/>
    <x v="15"/>
  </r>
  <r>
    <s v="JOrdinolaZ@agricolachira.com.pe"/>
    <x v="6"/>
    <n v="5"/>
    <s v="Operaciones"/>
    <x v="16"/>
  </r>
  <r>
    <s v="AGutierrezR@agricolachira.com.pe"/>
    <x v="6"/>
    <s v="X"/>
    <s v="Operaciones"/>
    <x v="12"/>
  </r>
  <r>
    <s v="JSeminarioA@agricolachira.com.pe"/>
    <x v="6"/>
    <n v="3"/>
    <s v="Industrial y de Mantenimiento"/>
    <x v="17"/>
  </r>
  <r>
    <s v="WFacundoF@agricolachira.com.pe"/>
    <x v="6"/>
    <n v="4"/>
    <s v="Industrial y de Mantenimiento"/>
    <x v="17"/>
  </r>
  <r>
    <s v="DCruzC@agricolachira.com.pe"/>
    <x v="6"/>
    <n v="4"/>
    <s v="Industrial y de Mantenimiento"/>
    <x v="0"/>
  </r>
  <r>
    <s v="LPadillaSa@agricolachira.com.pe"/>
    <x v="6"/>
    <n v="3"/>
    <s v="Industrial y de Mantenimiento"/>
    <x v="17"/>
  </r>
  <r>
    <s v="ABlancoE@agricolachira.com.pe"/>
    <x v="6"/>
    <s v="X"/>
    <s v="Operaciones"/>
    <x v="13"/>
  </r>
  <r>
    <s v="RMarceloY@agricolachira.com.pe"/>
    <x v="6"/>
    <n v="5"/>
    <s v="Operaciones"/>
    <x v="18"/>
  </r>
  <r>
    <s v="HCruzA@agricolachira.com.pe"/>
    <x v="6"/>
    <n v="5"/>
    <s v="Operaciones"/>
    <x v="19"/>
  </r>
  <r>
    <s v="SRamosT@agricolachira.com.pe"/>
    <x v="6"/>
    <n v="4"/>
    <s v="Agrícola"/>
    <x v="20"/>
  </r>
  <r>
    <s v="ALachiraP@agricolachira.com.pe"/>
    <x v="6"/>
    <n v="5"/>
    <s v="Operaciones"/>
    <x v="19"/>
  </r>
  <r>
    <s v="DCheroN@agricolachira.com.pe"/>
    <x v="6"/>
    <n v="5"/>
    <s v="Operaciones"/>
    <x v="19"/>
  </r>
  <r>
    <s v="AColomaL@agricolachira.com.pe"/>
    <x v="6"/>
    <n v="4"/>
    <s v="Gestión Humana y Sostenibilidad"/>
    <x v="21"/>
  </r>
  <r>
    <s v="JCalderonChu@agricolachira.com.pe"/>
    <x v="6"/>
    <n v="5"/>
    <s v="Industrial y de Mantenimiento"/>
    <x v="17"/>
  </r>
  <r>
    <s v="LOcanaP@agricolachira.com.pe"/>
    <x v="6"/>
    <n v="5"/>
    <s v="Administración y Finanzas"/>
    <x v="14"/>
  </r>
  <r>
    <s v="CVivancoM@agricolachira.com.pe"/>
    <x v="6"/>
    <n v="4"/>
    <s v="Administración y Finanzas"/>
    <x v="22"/>
  </r>
  <r>
    <s v="CLupucheV@agricolachira.com.pe"/>
    <x v="6"/>
    <n v="4"/>
    <s v="Agrícola"/>
    <x v="9"/>
  </r>
  <r>
    <s v="JRojasBarr@agricolachira.com.pe"/>
    <x v="6"/>
    <s v="X"/>
    <s v="Agrícola"/>
    <x v="23"/>
  </r>
  <r>
    <s v="PMarroquinR@agricolachira.com.pe"/>
    <x v="6"/>
    <n v="5"/>
    <s v="Agrícola"/>
    <x v="20"/>
  </r>
  <r>
    <s v="BGonzalesM@agricolachira.com.pe"/>
    <x v="6"/>
    <n v="4"/>
    <s v="Operaciones"/>
    <x v="24"/>
  </r>
  <r>
    <s v="jbacilioh@agricolachira.com.pe"/>
    <x v="6"/>
    <s v="X"/>
    <s v="Agrícola"/>
    <x v="7"/>
  </r>
  <r>
    <s v="ptrigoso@agricolachira.com.pe"/>
    <x v="6"/>
    <n v="5"/>
    <s v="Operaciones"/>
    <x v="25"/>
  </r>
  <r>
    <s v="ovasquezp@agricolachira.com.pe"/>
    <x v="6"/>
    <s v="X"/>
    <s v="Agrícola"/>
    <x v="26"/>
  </r>
  <r>
    <s v="JAquijeD@agricolachira.com.pe"/>
    <x v="6"/>
    <n v="4"/>
    <s v="Agrícola"/>
    <x v="23"/>
  </r>
  <r>
    <s v="YGarridoS@agricolachira.com.pe"/>
    <x v="6"/>
    <n v="5"/>
    <s v="Operaciones"/>
    <x v="19"/>
  </r>
  <r>
    <s v="HMatiasZ@agricolachira.com.pe"/>
    <x v="6"/>
    <n v="5"/>
    <s v="Agrícola"/>
    <x v="27"/>
  </r>
  <r>
    <s v="MCulqueC@agricolachira.com.pe"/>
    <x v="6"/>
    <s v="X"/>
    <s v="Agrícola"/>
    <x v="10"/>
  </r>
  <r>
    <s v="EGironAl@agricolachira.com.pe"/>
    <x v="6"/>
    <n v="4"/>
    <s v="Agrícola"/>
    <x v="23"/>
  </r>
  <r>
    <s v="EGarciaR@agricolachira.com.pe"/>
    <x v="6"/>
    <n v="5"/>
    <s v="Operaciones"/>
    <x v="18"/>
  </r>
  <r>
    <s v="rmerach@agricolachira.com.pe"/>
    <x v="6"/>
    <n v="4"/>
    <s v="Industrial y de Mantenimiento"/>
    <x v="28"/>
  </r>
  <r>
    <s v="CRamosG@agricolachira.com.pe"/>
    <x v="7"/>
    <n v="4"/>
    <s v="Gestión Humana y Sostenibilidad"/>
    <x v="1"/>
  </r>
  <r>
    <s v="DZuritaF@agricolachira.com.pe"/>
    <x v="7"/>
    <n v="5"/>
    <s v="Administración y Finanzas"/>
    <x v="2"/>
  </r>
  <r>
    <s v="LOlayaLe@agricolachira.com.pe"/>
    <x v="7"/>
    <n v="4"/>
    <s v="Administración y Finanzas"/>
    <x v="3"/>
  </r>
  <r>
    <s v="CCarrilloR@agricolachira.com.pe"/>
    <x v="7"/>
    <n v="5"/>
    <s v="Industrial y de Mantenimiento"/>
    <x v="4"/>
  </r>
  <r>
    <s v="VLopezS@agricolachira.com.pe"/>
    <x v="7"/>
    <n v="4"/>
    <s v="Operaciones"/>
    <x v="5"/>
  </r>
  <r>
    <s v="JGomezAp@agricolachira.com.pe"/>
    <x v="7"/>
    <s v="X"/>
    <s v="Administración y Finanzas"/>
    <x v="6"/>
  </r>
  <r>
    <s v="LGarciaC@agricolachira.com.pe"/>
    <x v="7"/>
    <s v="X"/>
    <s v="Operaciones"/>
    <x v="5"/>
  </r>
  <r>
    <s v="RLupucheQ@agricolachira.com.pe"/>
    <x v="7"/>
    <s v="X"/>
    <s v="Agrícola"/>
    <x v="7"/>
  </r>
  <r>
    <s v="JCheroPa@agricolachira.com.pe"/>
    <x v="7"/>
    <n v="4"/>
    <s v="Administración y Finanzas"/>
    <x v="8"/>
  </r>
  <r>
    <s v="GPenaP@agricolachira.com.pe"/>
    <x v="7"/>
    <s v="X"/>
    <s v="Agrícola"/>
    <x v="9"/>
  </r>
  <r>
    <s v="WChavezS@agricolachira.com.pe"/>
    <x v="7"/>
    <s v="X"/>
    <s v="Agrícola"/>
    <x v="10"/>
  </r>
  <r>
    <s v="EArevaloJ@agricolachira.com.pe"/>
    <x v="7"/>
    <s v="X"/>
    <s v="Administración y Finanzas"/>
    <x v="11"/>
  </r>
  <r>
    <s v="jvasquezc@agricolachira.com.pe"/>
    <x v="7"/>
    <n v="5"/>
    <s v="Administración y Finanzas"/>
    <x v="6"/>
  </r>
  <r>
    <s v="cfreym@agricolachira.com.pe"/>
    <x v="7"/>
    <n v="5"/>
    <s v="Operaciones"/>
    <x v="12"/>
  </r>
  <r>
    <s v="NPizarroC@agricolachira.com.pe"/>
    <x v="7"/>
    <s v="X"/>
    <s v="Operaciones"/>
    <x v="13"/>
  </r>
  <r>
    <s v="RMoncadaP@agricolachira.com.pe"/>
    <x v="7"/>
    <n v="5"/>
    <s v="Administración y Finanzas"/>
    <x v="14"/>
  </r>
  <r>
    <s v="JPichilinguP@agricolachira.com.pe"/>
    <x v="7"/>
    <n v="4"/>
    <s v="Operaciones"/>
    <x v="12"/>
  </r>
  <r>
    <s v="JMazaV@agricolachira.com.pe"/>
    <x v="7"/>
    <n v="5"/>
    <s v="Industrial y de Mantenimiento"/>
    <x v="15"/>
  </r>
  <r>
    <s v="JOrdinolaZ@agricolachira.com.pe"/>
    <x v="7"/>
    <n v="5"/>
    <s v="Operaciones"/>
    <x v="16"/>
  </r>
  <r>
    <s v="AGutierrezR@agricolachira.com.pe"/>
    <x v="7"/>
    <s v="X"/>
    <s v="Operaciones"/>
    <x v="12"/>
  </r>
  <r>
    <s v="JSeminarioA@agricolachira.com.pe"/>
    <x v="7"/>
    <n v="3"/>
    <s v="Industrial y de Mantenimiento"/>
    <x v="17"/>
  </r>
  <r>
    <s v="WFacundoF@agricolachira.com.pe"/>
    <x v="7"/>
    <n v="5"/>
    <s v="Industrial y de Mantenimiento"/>
    <x v="17"/>
  </r>
  <r>
    <s v="DCruzC@agricolachira.com.pe"/>
    <x v="7"/>
    <n v="4"/>
    <s v="Industrial y de Mantenimiento"/>
    <x v="0"/>
  </r>
  <r>
    <s v="LPadillaSa@agricolachira.com.pe"/>
    <x v="7"/>
    <n v="3"/>
    <s v="Industrial y de Mantenimiento"/>
    <x v="17"/>
  </r>
  <r>
    <s v="ABlancoE@agricolachira.com.pe"/>
    <x v="7"/>
    <n v="4"/>
    <s v="Operaciones"/>
    <x v="13"/>
  </r>
  <r>
    <s v="RMarceloY@agricolachira.com.pe"/>
    <x v="7"/>
    <n v="5"/>
    <s v="Operaciones"/>
    <x v="18"/>
  </r>
  <r>
    <s v="HCruzA@agricolachira.com.pe"/>
    <x v="7"/>
    <n v="5"/>
    <s v="Operaciones"/>
    <x v="19"/>
  </r>
  <r>
    <s v="SRamosT@agricolachira.com.pe"/>
    <x v="7"/>
    <n v="4"/>
    <s v="Agrícola"/>
    <x v="20"/>
  </r>
  <r>
    <s v="ALachiraP@agricolachira.com.pe"/>
    <x v="7"/>
    <n v="5"/>
    <s v="Operaciones"/>
    <x v="19"/>
  </r>
  <r>
    <s v="DCheroN@agricolachira.com.pe"/>
    <x v="7"/>
    <n v="5"/>
    <s v="Operaciones"/>
    <x v="19"/>
  </r>
  <r>
    <s v="AColomaL@agricolachira.com.pe"/>
    <x v="7"/>
    <n v="4"/>
    <s v="Gestión Humana y Sostenibilidad"/>
    <x v="21"/>
  </r>
  <r>
    <s v="JCalderonChu@agricolachira.com.pe"/>
    <x v="7"/>
    <n v="5"/>
    <s v="Industrial y de Mantenimiento"/>
    <x v="17"/>
  </r>
  <r>
    <s v="LOcanaP@agricolachira.com.pe"/>
    <x v="7"/>
    <s v="X"/>
    <s v="Administración y Finanzas"/>
    <x v="14"/>
  </r>
  <r>
    <s v="CVivancoM@agricolachira.com.pe"/>
    <x v="7"/>
    <n v="4"/>
    <s v="Administración y Finanzas"/>
    <x v="22"/>
  </r>
  <r>
    <s v="CLupucheV@agricolachira.com.pe"/>
    <x v="7"/>
    <s v="X"/>
    <s v="Agrícola"/>
    <x v="9"/>
  </r>
  <r>
    <s v="JRojasBarr@agricolachira.com.pe"/>
    <x v="7"/>
    <s v="X"/>
    <s v="Agrícola"/>
    <x v="23"/>
  </r>
  <r>
    <s v="PMarroquinR@agricolachira.com.pe"/>
    <x v="7"/>
    <n v="5"/>
    <s v="Agrícola"/>
    <x v="20"/>
  </r>
  <r>
    <s v="BGonzalesM@agricolachira.com.pe"/>
    <x v="7"/>
    <s v="X"/>
    <s v="Operaciones"/>
    <x v="24"/>
  </r>
  <r>
    <s v="jbacilioh@agricolachira.com.pe"/>
    <x v="7"/>
    <s v="X"/>
    <s v="Agrícola"/>
    <x v="7"/>
  </r>
  <r>
    <s v="ptrigoso@agricolachira.com.pe"/>
    <x v="7"/>
    <n v="4"/>
    <s v="Operaciones"/>
    <x v="25"/>
  </r>
  <r>
    <s v="ovasquezp@agricolachira.com.pe"/>
    <x v="7"/>
    <s v="X"/>
    <s v="Agrícola"/>
    <x v="26"/>
  </r>
  <r>
    <s v="JAquijeD@agricolachira.com.pe"/>
    <x v="7"/>
    <s v="X"/>
    <s v="Agrícola"/>
    <x v="23"/>
  </r>
  <r>
    <s v="YGarridoS@agricolachira.com.pe"/>
    <x v="7"/>
    <n v="5"/>
    <s v="Operaciones"/>
    <x v="19"/>
  </r>
  <r>
    <s v="HMatiasZ@agricolachira.com.pe"/>
    <x v="7"/>
    <n v="5"/>
    <s v="Agrícola"/>
    <x v="27"/>
  </r>
  <r>
    <s v="MCulqueC@agricolachira.com.pe"/>
    <x v="7"/>
    <n v="4"/>
    <s v="Agrícola"/>
    <x v="10"/>
  </r>
  <r>
    <s v="EGironAl@agricolachira.com.pe"/>
    <x v="7"/>
    <n v="4"/>
    <s v="Agrícola"/>
    <x v="23"/>
  </r>
  <r>
    <s v="EGarciaR@agricolachira.com.pe"/>
    <x v="7"/>
    <n v="5"/>
    <s v="Operaciones"/>
    <x v="18"/>
  </r>
  <r>
    <s v="rmerach@agricolachira.com.pe"/>
    <x v="7"/>
    <n v="4"/>
    <s v="Industrial y de Mantenimiento"/>
    <x v="28"/>
  </r>
  <r>
    <s v="CRamosG@agricolachira.com.pe"/>
    <x v="8"/>
    <n v="4"/>
    <s v="Gestión Humana y Sostenibilidad"/>
    <x v="1"/>
  </r>
  <r>
    <s v="DZuritaF@agricolachira.com.pe"/>
    <x v="8"/>
    <s v="X"/>
    <s v="Administración y Finanzas"/>
    <x v="2"/>
  </r>
  <r>
    <s v="LOlayaLe@agricolachira.com.pe"/>
    <x v="8"/>
    <n v="4"/>
    <s v="Administración y Finanzas"/>
    <x v="3"/>
  </r>
  <r>
    <s v="CCarrilloR@agricolachira.com.pe"/>
    <x v="8"/>
    <n v="5"/>
    <s v="Industrial y de Mantenimiento"/>
    <x v="4"/>
  </r>
  <r>
    <s v="VLopezS@agricolachira.com.pe"/>
    <x v="8"/>
    <n v="4"/>
    <s v="Operaciones"/>
    <x v="5"/>
  </r>
  <r>
    <s v="JGomezAp@agricolachira.com.pe"/>
    <x v="8"/>
    <s v="X"/>
    <s v="Administración y Finanzas"/>
    <x v="6"/>
  </r>
  <r>
    <s v="LGarciaC@agricolachira.com.pe"/>
    <x v="8"/>
    <s v="X"/>
    <s v="Operaciones"/>
    <x v="5"/>
  </r>
  <r>
    <s v="RLupucheQ@agricolachira.com.pe"/>
    <x v="8"/>
    <s v="X"/>
    <s v="Agrícola"/>
    <x v="7"/>
  </r>
  <r>
    <s v="JCheroPa@agricolachira.com.pe"/>
    <x v="8"/>
    <n v="4"/>
    <s v="Administración y Finanzas"/>
    <x v="8"/>
  </r>
  <r>
    <s v="GPenaP@agricolachira.com.pe"/>
    <x v="8"/>
    <s v="X"/>
    <s v="Agrícola"/>
    <x v="9"/>
  </r>
  <r>
    <s v="WChavezS@agricolachira.com.pe"/>
    <x v="8"/>
    <s v="X"/>
    <s v="Agrícola"/>
    <x v="10"/>
  </r>
  <r>
    <s v="EArevaloJ@agricolachira.com.pe"/>
    <x v="8"/>
    <s v="X"/>
    <s v="Administración y Finanzas"/>
    <x v="11"/>
  </r>
  <r>
    <s v="jvasquezc@agricolachira.com.pe"/>
    <x v="8"/>
    <n v="4"/>
    <s v="Administración y Finanzas"/>
    <x v="6"/>
  </r>
  <r>
    <s v="cfreym@agricolachira.com.pe"/>
    <x v="8"/>
    <n v="5"/>
    <s v="Operaciones"/>
    <x v="12"/>
  </r>
  <r>
    <s v="NPizarroC@agricolachira.com.pe"/>
    <x v="8"/>
    <s v="X"/>
    <s v="Operaciones"/>
    <x v="13"/>
  </r>
  <r>
    <s v="RMoncadaP@agricolachira.com.pe"/>
    <x v="8"/>
    <s v="X"/>
    <s v="Administración y Finanzas"/>
    <x v="14"/>
  </r>
  <r>
    <s v="JPichilinguP@agricolachira.com.pe"/>
    <x v="8"/>
    <n v="4"/>
    <s v="Operaciones"/>
    <x v="12"/>
  </r>
  <r>
    <s v="JMazaV@agricolachira.com.pe"/>
    <x v="8"/>
    <n v="5"/>
    <s v="Industrial y de Mantenimiento"/>
    <x v="15"/>
  </r>
  <r>
    <s v="JOrdinolaZ@agricolachira.com.pe"/>
    <x v="8"/>
    <n v="5"/>
    <s v="Operaciones"/>
    <x v="16"/>
  </r>
  <r>
    <s v="AGutierrezR@agricolachira.com.pe"/>
    <x v="8"/>
    <s v="X"/>
    <s v="Operaciones"/>
    <x v="12"/>
  </r>
  <r>
    <s v="JSeminarioA@agricolachira.com.pe"/>
    <x v="8"/>
    <n v="3"/>
    <s v="Industrial y de Mantenimiento"/>
    <x v="17"/>
  </r>
  <r>
    <s v="WFacundoF@agricolachira.com.pe"/>
    <x v="8"/>
    <n v="4"/>
    <s v="Industrial y de Mantenimiento"/>
    <x v="17"/>
  </r>
  <r>
    <s v="DCruzC@agricolachira.com.pe"/>
    <x v="8"/>
    <n v="4"/>
    <s v="Industrial y de Mantenimiento"/>
    <x v="0"/>
  </r>
  <r>
    <s v="LPadillaSa@agricolachira.com.pe"/>
    <x v="8"/>
    <n v="3"/>
    <s v="Industrial y de Mantenimiento"/>
    <x v="17"/>
  </r>
  <r>
    <s v="ABlancoE@agricolachira.com.pe"/>
    <x v="8"/>
    <n v="5"/>
    <s v="Operaciones"/>
    <x v="13"/>
  </r>
  <r>
    <s v="RMarceloY@agricolachira.com.pe"/>
    <x v="8"/>
    <n v="4"/>
    <s v="Operaciones"/>
    <x v="18"/>
  </r>
  <r>
    <s v="HCruzA@agricolachira.com.pe"/>
    <x v="8"/>
    <n v="4"/>
    <s v="Operaciones"/>
    <x v="19"/>
  </r>
  <r>
    <s v="SRamosT@agricolachira.com.pe"/>
    <x v="8"/>
    <n v="4"/>
    <s v="Agrícola"/>
    <x v="20"/>
  </r>
  <r>
    <s v="ALachiraP@agricolachira.com.pe"/>
    <x v="8"/>
    <n v="4"/>
    <s v="Operaciones"/>
    <x v="19"/>
  </r>
  <r>
    <s v="DCheroN@agricolachira.com.pe"/>
    <x v="8"/>
    <n v="5"/>
    <s v="Operaciones"/>
    <x v="19"/>
  </r>
  <r>
    <s v="AColomaL@agricolachira.com.pe"/>
    <x v="8"/>
    <n v="4"/>
    <s v="Gestión Humana y Sostenibilidad"/>
    <x v="21"/>
  </r>
  <r>
    <s v="JCalderonChu@agricolachira.com.pe"/>
    <x v="8"/>
    <n v="5"/>
    <s v="Industrial y de Mantenimiento"/>
    <x v="17"/>
  </r>
  <r>
    <s v="LOcanaP@agricolachira.com.pe"/>
    <x v="8"/>
    <s v="X"/>
    <s v="Administración y Finanzas"/>
    <x v="14"/>
  </r>
  <r>
    <s v="CVivancoM@agricolachira.com.pe"/>
    <x v="8"/>
    <n v="4"/>
    <s v="Administración y Finanzas"/>
    <x v="22"/>
  </r>
  <r>
    <s v="CLupucheV@agricolachira.com.pe"/>
    <x v="8"/>
    <n v="4"/>
    <s v="Agrícola"/>
    <x v="9"/>
  </r>
  <r>
    <s v="JRojasBarr@agricolachira.com.pe"/>
    <x v="8"/>
    <s v="X"/>
    <s v="Agrícola"/>
    <x v="23"/>
  </r>
  <r>
    <s v="PMarroquinR@agricolachira.com.pe"/>
    <x v="8"/>
    <n v="4"/>
    <s v="Agrícola"/>
    <x v="20"/>
  </r>
  <r>
    <s v="BGonzalesM@agricolachira.com.pe"/>
    <x v="8"/>
    <s v="X"/>
    <s v="Operaciones"/>
    <x v="24"/>
  </r>
  <r>
    <s v="jbacilioh@agricolachira.com.pe"/>
    <x v="8"/>
    <s v="X"/>
    <s v="Agrícola"/>
    <x v="7"/>
  </r>
  <r>
    <s v="ptrigoso@agricolachira.com.pe"/>
    <x v="8"/>
    <n v="4"/>
    <s v="Operaciones"/>
    <x v="25"/>
  </r>
  <r>
    <s v="ovasquezp@agricolachira.com.pe"/>
    <x v="8"/>
    <s v="X"/>
    <s v="Agrícola"/>
    <x v="26"/>
  </r>
  <r>
    <s v="JAquijeD@agricolachira.com.pe"/>
    <x v="8"/>
    <s v="X"/>
    <s v="Agrícola"/>
    <x v="23"/>
  </r>
  <r>
    <s v="YGarridoS@agricolachira.com.pe"/>
    <x v="8"/>
    <n v="4"/>
    <s v="Operaciones"/>
    <x v="19"/>
  </r>
  <r>
    <s v="HMatiasZ@agricolachira.com.pe"/>
    <x v="8"/>
    <n v="5"/>
    <s v="Agrícola"/>
    <x v="27"/>
  </r>
  <r>
    <s v="MCulqueC@agricolachira.com.pe"/>
    <x v="8"/>
    <n v="5"/>
    <s v="Agrícola"/>
    <x v="10"/>
  </r>
  <r>
    <s v="EGironAl@agricolachira.com.pe"/>
    <x v="8"/>
    <n v="4"/>
    <s v="Agrícola"/>
    <x v="23"/>
  </r>
  <r>
    <s v="EGarciaR@agricolachira.com.pe"/>
    <x v="8"/>
    <n v="5"/>
    <s v="Operaciones"/>
    <x v="18"/>
  </r>
  <r>
    <s v="rmerach@agricolachira.com.pe"/>
    <x v="8"/>
    <n v="4"/>
    <s v="Industrial y de Mantenimiento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1FE66B-DC4A-438D-B97E-B0608C427541}" name="TablaDinámica8" cacheId="3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5:I60" firstHeaderRow="1" firstDataRow="1" firstDataCol="1" rowPageCount="1" colPageCount="1"/>
  <pivotFields count="6">
    <pivotField showAll="0"/>
    <pivotField axis="axisRow" showAll="0">
      <items count="10">
        <item x="0"/>
        <item x="7"/>
        <item x="1"/>
        <item x="8"/>
        <item x="5"/>
        <item x="2"/>
        <item x="3"/>
        <item x="4"/>
        <item x="6"/>
        <item t="default"/>
      </items>
    </pivotField>
    <pivotField axis="axisRow" dataField="1" showAll="0">
      <items count="5">
        <item x="2"/>
        <item x="0"/>
        <item x="3"/>
        <item x="1"/>
        <item t="default"/>
      </items>
    </pivotField>
    <pivotField showAll="0">
      <items count="6">
        <item x="2"/>
        <item x="4"/>
        <item x="1"/>
        <item x="0"/>
        <item x="3"/>
        <item t="default"/>
      </items>
    </pivotField>
    <pivotField axis="axisPage" multipleItemSelectionAllowed="1" showAll="0">
      <items count="30">
        <item x="18"/>
        <item x="19"/>
        <item x="15"/>
        <item x="11"/>
        <item h="1" x="16"/>
        <item x="12"/>
        <item x="13"/>
        <item x="21"/>
        <item x="8"/>
        <item x="14"/>
        <item x="5"/>
        <item x="4"/>
        <item x="3"/>
        <item x="27"/>
        <item x="9"/>
        <item x="23"/>
        <item x="10"/>
        <item x="22"/>
        <item x="25"/>
        <item x="28"/>
        <item x="1"/>
        <item x="7"/>
        <item x="2"/>
        <item x="0"/>
        <item x="26"/>
        <item x="17"/>
        <item x="20"/>
        <item x="6"/>
        <item x="24"/>
        <item t="default"/>
      </items>
    </pivotField>
    <pivotField showAll="0">
      <items count="6">
        <item x="2"/>
        <item x="4"/>
        <item x="1"/>
        <item x="0"/>
        <item x="3"/>
        <item t="default"/>
      </items>
    </pivotField>
  </pivotFields>
  <rowFields count="2">
    <field x="1"/>
    <field x="2"/>
  </rowFields>
  <rowItems count="4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1"/>
    </i>
    <i r="1">
      <x v="2"/>
    </i>
    <i r="1">
      <x v="3"/>
    </i>
    <i>
      <x v="6"/>
    </i>
    <i r="1">
      <x/>
    </i>
    <i r="1">
      <x v="1"/>
    </i>
    <i r="1">
      <x v="2"/>
    </i>
    <i r="1">
      <x v="3"/>
    </i>
    <i>
      <x v="7"/>
    </i>
    <i r="1">
      <x/>
    </i>
    <i r="1">
      <x v="1"/>
    </i>
    <i r="1">
      <x v="2"/>
    </i>
    <i r="1">
      <x v="3"/>
    </i>
    <i>
      <x v="8"/>
    </i>
    <i r="1">
      <x/>
    </i>
    <i r="1">
      <x v="1"/>
    </i>
    <i r="1">
      <x v="2"/>
    </i>
    <i r="1">
      <x v="3"/>
    </i>
    <i t="grand">
      <x/>
    </i>
  </rowItems>
  <colItems count="1">
    <i/>
  </colItems>
  <pageFields count="1">
    <pageField fld="4" hier="-1"/>
  </pageFields>
  <dataFields count="1">
    <dataField name="Cuenta de Nr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78FBEB-E795-4A98-B959-A64F5BA5D669}" name="PivotTablaAutoevaluacion" cacheId="35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7">
  <location ref="L36:M46" firstHeaderRow="1" firstDataRow="1" firstDataCol="1" rowPageCount="1" colPageCount="1"/>
  <pivotFields count="5">
    <pivotField showAll="0"/>
    <pivotField axis="axisRow" showAll="0">
      <items count="10">
        <item x="0"/>
        <item x="7"/>
        <item x="1"/>
        <item x="8"/>
        <item x="5"/>
        <item x="2"/>
        <item x="3"/>
        <item x="4"/>
        <item x="6"/>
        <item t="default"/>
      </items>
    </pivotField>
    <pivotField dataField="1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30">
        <item x="18"/>
        <item x="19"/>
        <item x="15"/>
        <item x="11"/>
        <item x="16"/>
        <item x="12"/>
        <item x="13"/>
        <item x="21"/>
        <item x="8"/>
        <item x="14"/>
        <item x="5"/>
        <item x="4"/>
        <item x="3"/>
        <item x="27"/>
        <item x="9"/>
        <item x="23"/>
        <item x="10"/>
        <item x="22"/>
        <item x="25"/>
        <item x="28"/>
        <item x="1"/>
        <item x="7"/>
        <item x="2"/>
        <item x="0"/>
        <item x="26"/>
        <item x="17"/>
        <item x="20"/>
        <item x="6"/>
        <item x="24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4" item="4" hier="-1"/>
  </pageFields>
  <dataFields count="1">
    <dataField name="Promedio de Nro" fld="2" subtotal="average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B08EBB-325A-421F-93E9-4A1BED77C72C}" name="TBL_ResulEncuestas" displayName="TBL_ResulEncuestas" ref="A3:O52" totalsRowShown="0">
  <autoFilter ref="A3:O52" xr:uid="{83B08EBB-325A-421F-93E9-4A1BED77C72C}"/>
  <tableColumns count="15">
    <tableColumn id="1" xr3:uid="{3B350E8F-A192-4DD7-BABF-054AAA4F66D6}" name="ID"/>
    <tableColumn id="2" xr3:uid="{62D51006-2F83-4E75-BE53-0FB68DD91674}" name="Hora de inicio" dataDxfId="21"/>
    <tableColumn id="3" xr3:uid="{24F952CF-2501-4C86-B782-82E3D6FDCA99}" name="Hora de finalización" dataDxfId="20"/>
    <tableColumn id="4" xr3:uid="{0B04F0BB-8F90-4699-9119-09F14B3EC8A3}" name="Correo electrónico"/>
    <tableColumn id="5" xr3:uid="{77A7AC5B-5034-428A-B588-9A9EEBA4915B}" name="Nombre"/>
    <tableColumn id="6" xr3:uid="{24E9043B-CE73-4F22-A97A-5AF92D3ABD0B}" name="1"/>
    <tableColumn id="7" xr3:uid="{62F28241-283A-4030-B910-C2FCF5FA3589}" name="2"/>
    <tableColumn id="8" xr3:uid="{2C2A590B-541D-4AE3-BD28-EAA6D4350FD3}" name="3"/>
    <tableColumn id="9" xr3:uid="{49704068-843E-4371-8AF0-E40968320475}" name="4"/>
    <tableColumn id="10" xr3:uid="{C4F6118D-C8B8-4869-B84D-ABA7A1759AAF}" name="5"/>
    <tableColumn id="11" xr3:uid="{3F93E572-BAED-4349-8000-059AAEF5C31A}" name="52"/>
    <tableColumn id="12" xr3:uid="{1904CB0A-622E-49F6-BDB8-F0FC92E0E52E}" name="6"/>
    <tableColumn id="13" xr3:uid="{C16106CD-F2F5-467D-9817-003370C73558}" name="7"/>
    <tableColumn id="14" xr3:uid="{F7E486C1-818A-4B5A-A8C1-CC8F3ABF1C6B}" name="8"/>
    <tableColumn id="15" xr3:uid="{7C89D522-D338-4D18-BD78-E02647DD24ED}" name="A modo general, ¿El área de calidad cumple con sus expectativas?¿Le gustaría realizar alguna   sugerencia o reclamo respecto a alguno de sus servicios? Coméntenos. 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2D9071-9549-41AF-90A8-C99B01D6B775}" name="Resumen2" displayName="Resumen2" ref="A1:F442" totalsRowShown="0">
  <autoFilter ref="A1:F442" xr:uid="{4C2D9071-9549-41AF-90A8-C99B01D6B775}"/>
  <tableColumns count="6">
    <tableColumn id="1" xr3:uid="{F69A3558-7013-4712-9577-2D20B0F110DF}" name="Correo electrónico" dataDxfId="2"/>
    <tableColumn id="2" xr3:uid="{DEC2C180-D0ED-41CC-99FC-062DA97E0B8D}" name="Servicios"/>
    <tableColumn id="3" xr3:uid="{F0967941-A04C-432F-8C2A-3497CA0EFE53}" name="Nro" dataDxfId="1"/>
    <tableColumn id="4" xr3:uid="{A36E8E66-8C3D-4702-BC1C-570C32C0A1BF}" name="Gerencia">
      <calculatedColumnFormula>VLOOKUP(#REF!,DataUsuario!B:D,2,FALSE)</calculatedColumnFormula>
    </tableColumn>
    <tableColumn id="5" xr3:uid="{0F1B31E8-3A3A-4358-B8DC-C362F3643986}" name="Area">
      <calculatedColumnFormula>VLOOKUP(#REF!,DataUsuario!B:D,3,FALSE)</calculatedColumnFormula>
    </tableColumn>
    <tableColumn id="7" xr3:uid="{008F03EB-03AF-4231-9D9D-6A488F523FEB}" name="Columna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02CF90-9429-4070-8CC3-F53122F008D2}" name="PivoteServicios" displayName="PivoteServicios" ref="A15:B24" totalsRowShown="0">
  <autoFilter ref="A15:B24" xr:uid="{FD02CF90-9429-4070-8CC3-F53122F008D2}"/>
  <sortState xmlns:xlrd2="http://schemas.microsoft.com/office/spreadsheetml/2017/richdata2" ref="A16:B24">
    <sortCondition descending="1" ref="B15:B24"/>
  </sortState>
  <tableColumns count="2">
    <tableColumn id="1" xr3:uid="{532C8CF8-A736-46D8-B7EB-FFDDD4095DE3}" name="Servicios"/>
    <tableColumn id="2" xr3:uid="{95B98546-829A-4D01-9CFD-22A19794F6F0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B994A5-AAFC-44AF-9CB1-2E3EF8038607}" name="PivoteGerencias" displayName="PivoteGerencias" ref="L15:M20" totalsRowShown="0">
  <autoFilter ref="L15:M20" xr:uid="{3AB994A5-AAFC-44AF-9CB1-2E3EF8038607}"/>
  <sortState xmlns:xlrd2="http://schemas.microsoft.com/office/spreadsheetml/2017/richdata2" ref="L16:M20">
    <sortCondition descending="1" ref="M15:M20"/>
  </sortState>
  <tableColumns count="2">
    <tableColumn id="1" xr3:uid="{1D149D6E-31F6-44C1-9BF7-F1D372C2AB3F}" name="Gerencias"/>
    <tableColumn id="2" xr3:uid="{40511881-70FC-429F-A6C4-B1393F2FDFBA}" name="Promedi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580</v>
      </c>
      <c r="B201" s="145" t="s">
        <v>581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B25" sqref="B25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533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5" sqref="A5:F5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9"/>
      <c r="L1" s="179"/>
      <c r="M1" s="179"/>
      <c r="N1" s="179"/>
      <c r="O1" s="179"/>
      <c r="P1" s="179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506</v>
      </c>
      <c r="K2" s="179"/>
      <c r="L2" s="179"/>
      <c r="M2" s="179"/>
      <c r="N2" s="179"/>
      <c r="O2" s="179"/>
      <c r="P2" s="179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>
        <v>4.335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78" t="s">
        <v>510</v>
      </c>
      <c r="N6" s="178"/>
      <c r="O6" s="178"/>
      <c r="P6" s="178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10">
        <f>COUNT(B2:J2)+2</f>
        <v>6</v>
      </c>
      <c r="L7" s="108" t="s">
        <v>508</v>
      </c>
      <c r="M7" t="s">
        <v>509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506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43" t="s">
        <v>511</v>
      </c>
    </row>
    <row r="13" spans="1:17" x14ac:dyDescent="0.3">
      <c r="M13" s="43" t="s">
        <v>512</v>
      </c>
    </row>
    <row r="14" spans="1:17" x14ac:dyDescent="0.3">
      <c r="M14" s="43" t="s">
        <v>513</v>
      </c>
    </row>
    <row r="16" spans="1:17" x14ac:dyDescent="0.3">
      <c r="K16" s="109" t="s">
        <v>506</v>
      </c>
      <c r="L16" s="108" t="s">
        <v>515</v>
      </c>
      <c r="M16" t="s">
        <v>514</v>
      </c>
    </row>
    <row r="18" spans="1:16" x14ac:dyDescent="0.3">
      <c r="B18" s="177" t="s">
        <v>456</v>
      </c>
    </row>
    <row r="19" spans="1:16" x14ac:dyDescent="0.3">
      <c r="B19" s="177"/>
    </row>
    <row r="26" spans="1:16" x14ac:dyDescent="0.3">
      <c r="K26" t="s">
        <v>507</v>
      </c>
      <c r="M26" s="178" t="s">
        <v>510</v>
      </c>
      <c r="N26" s="178"/>
      <c r="O26" s="178"/>
      <c r="P26" s="178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506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506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>
        <v>4.4379999999999997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>
        <v>4.391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>
        <v>4.391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>
        <v>4.3479999999999999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>
        <v>4.125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>
        <v>4.1589999999999998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>
        <v>4.4000000000000004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>
        <v>4.4240000000000004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>
        <v>4.2190000000000003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506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506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506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506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506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506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506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506</v>
      </c>
    </row>
    <row r="54" spans="1:6" ht="15" thickBot="1" x14ac:dyDescent="0.35">
      <c r="A54" s="125" t="s">
        <v>29</v>
      </c>
      <c r="B54" s="32" t="s">
        <v>533</v>
      </c>
      <c r="C54" s="32"/>
      <c r="D54" s="29"/>
      <c r="E54" s="32"/>
      <c r="F54" s="18" t="s">
        <v>506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506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506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506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506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506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506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506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506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506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506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506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506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506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506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506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506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506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506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506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506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506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506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506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506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506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506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506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506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506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506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506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506</v>
      </c>
    </row>
    <row r="89" spans="1:6" x14ac:dyDescent="0.3">
      <c r="A89" s="124" t="s">
        <v>45</v>
      </c>
      <c r="B89" s="124" t="s">
        <v>55</v>
      </c>
      <c r="F89" t="s">
        <v>506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K22" sqref="K22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O52"/>
  <sheetViews>
    <sheetView workbookViewId="0">
      <pane ySplit="1" topLeftCell="A2" activePane="bottomLeft" state="frozenSplit"/>
      <selection pane="bottomLeft" activeCell="D4" sqref="D4:D52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5" width="9.21875" customWidth="1"/>
  </cols>
  <sheetData>
    <row r="1" spans="1:15" ht="15.6" x14ac:dyDescent="0.3">
      <c r="A1" s="180" t="s">
        <v>624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</row>
    <row r="3" spans="1:15" x14ac:dyDescent="0.3">
      <c r="A3" t="s">
        <v>582</v>
      </c>
      <c r="B3" t="s">
        <v>583</v>
      </c>
      <c r="C3" t="s">
        <v>584</v>
      </c>
      <c r="D3" t="s">
        <v>585</v>
      </c>
      <c r="E3" t="s">
        <v>57</v>
      </c>
      <c r="F3" s="108" t="s">
        <v>586</v>
      </c>
      <c r="G3" s="108" t="s">
        <v>587</v>
      </c>
      <c r="H3" s="108" t="s">
        <v>588</v>
      </c>
      <c r="I3" s="108" t="s">
        <v>589</v>
      </c>
      <c r="J3" s="108" t="s">
        <v>590</v>
      </c>
      <c r="K3" s="108" t="s">
        <v>591</v>
      </c>
      <c r="L3" s="108" t="s">
        <v>592</v>
      </c>
      <c r="M3" s="108" t="s">
        <v>593</v>
      </c>
      <c r="N3" s="108" t="s">
        <v>594</v>
      </c>
      <c r="O3" t="s">
        <v>595</v>
      </c>
    </row>
    <row r="4" spans="1:15" x14ac:dyDescent="0.3">
      <c r="A4">
        <v>281</v>
      </c>
      <c r="B4" s="155">
        <v>45628.624120370398</v>
      </c>
      <c r="C4" s="155">
        <v>45628.6243287037</v>
      </c>
      <c r="D4" t="s">
        <v>138</v>
      </c>
      <c r="E4" t="s">
        <v>137</v>
      </c>
      <c r="F4" t="s">
        <v>467</v>
      </c>
      <c r="G4" t="s">
        <v>467</v>
      </c>
      <c r="H4" t="s">
        <v>467</v>
      </c>
      <c r="I4" t="s">
        <v>467</v>
      </c>
      <c r="J4" t="s">
        <v>467</v>
      </c>
      <c r="K4" t="s">
        <v>467</v>
      </c>
      <c r="L4" t="s">
        <v>467</v>
      </c>
      <c r="M4" t="s">
        <v>467</v>
      </c>
      <c r="N4" t="s">
        <v>467</v>
      </c>
    </row>
    <row r="5" spans="1:15" x14ac:dyDescent="0.3">
      <c r="A5">
        <v>282</v>
      </c>
      <c r="B5" s="155">
        <v>45628.6246412037</v>
      </c>
      <c r="C5" s="155">
        <v>45628.625208333302</v>
      </c>
      <c r="D5" t="s">
        <v>145</v>
      </c>
      <c r="E5" t="s">
        <v>144</v>
      </c>
      <c r="F5" t="s">
        <v>468</v>
      </c>
      <c r="G5" t="s">
        <v>596</v>
      </c>
      <c r="H5" t="s">
        <v>596</v>
      </c>
      <c r="I5" t="s">
        <v>596</v>
      </c>
      <c r="J5" t="s">
        <v>596</v>
      </c>
      <c r="K5" t="s">
        <v>596</v>
      </c>
      <c r="L5" t="s">
        <v>596</v>
      </c>
      <c r="M5" t="s">
        <v>468</v>
      </c>
      <c r="N5" t="s">
        <v>596</v>
      </c>
    </row>
    <row r="6" spans="1:15" x14ac:dyDescent="0.3">
      <c r="A6">
        <v>283</v>
      </c>
      <c r="B6" s="155">
        <v>45628.623599537001</v>
      </c>
      <c r="C6" s="155">
        <v>45628.625601851803</v>
      </c>
      <c r="D6" t="s">
        <v>322</v>
      </c>
      <c r="E6" t="s">
        <v>321</v>
      </c>
      <c r="F6" t="s">
        <v>469</v>
      </c>
      <c r="G6" t="s">
        <v>469</v>
      </c>
      <c r="H6" t="s">
        <v>469</v>
      </c>
      <c r="I6" t="s">
        <v>469</v>
      </c>
      <c r="J6" t="s">
        <v>469</v>
      </c>
      <c r="K6" t="s">
        <v>469</v>
      </c>
      <c r="L6" t="s">
        <v>467</v>
      </c>
      <c r="M6" t="s">
        <v>467</v>
      </c>
      <c r="N6" t="s">
        <v>467</v>
      </c>
    </row>
    <row r="7" spans="1:15" x14ac:dyDescent="0.3">
      <c r="A7">
        <v>284</v>
      </c>
      <c r="B7" s="155">
        <v>45628.624803240702</v>
      </c>
      <c r="C7" s="155">
        <v>45628.626446759299</v>
      </c>
      <c r="D7" t="s">
        <v>133</v>
      </c>
      <c r="E7" t="s">
        <v>132</v>
      </c>
      <c r="F7" t="s">
        <v>468</v>
      </c>
      <c r="G7" t="s">
        <v>468</v>
      </c>
      <c r="H7" t="s">
        <v>468</v>
      </c>
      <c r="I7" t="s">
        <v>468</v>
      </c>
      <c r="J7" t="s">
        <v>596</v>
      </c>
      <c r="K7" t="s">
        <v>596</v>
      </c>
      <c r="L7" t="s">
        <v>468</v>
      </c>
      <c r="M7" t="s">
        <v>468</v>
      </c>
      <c r="N7" t="s">
        <v>468</v>
      </c>
    </row>
    <row r="8" spans="1:15" x14ac:dyDescent="0.3">
      <c r="A8">
        <v>285</v>
      </c>
      <c r="B8" s="155">
        <v>45628.626423611102</v>
      </c>
      <c r="C8" s="155">
        <v>45628.6266666667</v>
      </c>
      <c r="D8" t="s">
        <v>421</v>
      </c>
      <c r="E8" t="s">
        <v>420</v>
      </c>
      <c r="F8" t="s">
        <v>467</v>
      </c>
      <c r="G8" t="s">
        <v>467</v>
      </c>
      <c r="H8" t="s">
        <v>467</v>
      </c>
      <c r="I8" t="s">
        <v>467</v>
      </c>
      <c r="J8" t="s">
        <v>467</v>
      </c>
      <c r="K8" t="s">
        <v>467</v>
      </c>
      <c r="L8" t="s">
        <v>467</v>
      </c>
      <c r="M8" t="s">
        <v>467</v>
      </c>
      <c r="N8" t="s">
        <v>467</v>
      </c>
    </row>
    <row r="9" spans="1:15" x14ac:dyDescent="0.3">
      <c r="A9">
        <v>286</v>
      </c>
      <c r="B9" s="155">
        <v>45628.6238310185</v>
      </c>
      <c r="C9" s="155">
        <v>45628.628900463002</v>
      </c>
      <c r="D9" t="s">
        <v>221</v>
      </c>
      <c r="E9" t="s">
        <v>597</v>
      </c>
      <c r="F9" t="s">
        <v>468</v>
      </c>
      <c r="G9" t="s">
        <v>468</v>
      </c>
      <c r="H9" t="s">
        <v>468</v>
      </c>
      <c r="I9" t="s">
        <v>468</v>
      </c>
      <c r="J9" t="s">
        <v>468</v>
      </c>
      <c r="K9" t="s">
        <v>468</v>
      </c>
      <c r="L9" t="s">
        <v>596</v>
      </c>
      <c r="M9" t="s">
        <v>596</v>
      </c>
      <c r="N9" t="s">
        <v>596</v>
      </c>
      <c r="O9" t="s">
        <v>598</v>
      </c>
    </row>
    <row r="10" spans="1:15" x14ac:dyDescent="0.3">
      <c r="A10">
        <v>287</v>
      </c>
      <c r="B10" s="155">
        <v>45628.646180555603</v>
      </c>
      <c r="C10" s="155">
        <v>45628.646597222199</v>
      </c>
      <c r="D10" t="s">
        <v>318</v>
      </c>
      <c r="E10" t="s">
        <v>317</v>
      </c>
      <c r="F10" t="s">
        <v>468</v>
      </c>
      <c r="G10" t="s">
        <v>468</v>
      </c>
      <c r="H10" t="s">
        <v>468</v>
      </c>
      <c r="I10" t="s">
        <v>468</v>
      </c>
      <c r="J10" t="s">
        <v>468</v>
      </c>
      <c r="K10" t="s">
        <v>468</v>
      </c>
      <c r="L10" t="s">
        <v>468</v>
      </c>
      <c r="M10" t="s">
        <v>596</v>
      </c>
      <c r="N10" t="s">
        <v>596</v>
      </c>
    </row>
    <row r="11" spans="1:15" x14ac:dyDescent="0.3">
      <c r="A11">
        <v>288</v>
      </c>
      <c r="B11" s="155">
        <v>45628.653263888897</v>
      </c>
      <c r="C11" s="155">
        <v>45628.655162037001</v>
      </c>
      <c r="D11" t="s">
        <v>372</v>
      </c>
      <c r="E11" t="s">
        <v>371</v>
      </c>
      <c r="F11" t="s">
        <v>468</v>
      </c>
      <c r="G11" t="s">
        <v>468</v>
      </c>
      <c r="H11" t="s">
        <v>467</v>
      </c>
      <c r="I11" t="s">
        <v>467</v>
      </c>
      <c r="J11" t="s">
        <v>467</v>
      </c>
      <c r="K11" t="s">
        <v>467</v>
      </c>
      <c r="L11" t="s">
        <v>596</v>
      </c>
      <c r="M11" t="s">
        <v>596</v>
      </c>
      <c r="N11" t="s">
        <v>596</v>
      </c>
    </row>
    <row r="12" spans="1:15" x14ac:dyDescent="0.3">
      <c r="A12">
        <v>289</v>
      </c>
      <c r="B12" s="155">
        <v>45628.669293981497</v>
      </c>
      <c r="C12" s="155">
        <v>45628.6707523148</v>
      </c>
      <c r="D12" t="s">
        <v>599</v>
      </c>
      <c r="E12" t="s">
        <v>295</v>
      </c>
      <c r="F12" t="s">
        <v>467</v>
      </c>
      <c r="G12" t="s">
        <v>467</v>
      </c>
      <c r="H12" t="s">
        <v>467</v>
      </c>
      <c r="I12" t="s">
        <v>467</v>
      </c>
      <c r="J12" t="s">
        <v>596</v>
      </c>
      <c r="K12" t="s">
        <v>596</v>
      </c>
      <c r="L12" t="s">
        <v>467</v>
      </c>
      <c r="M12" t="s">
        <v>467</v>
      </c>
      <c r="N12" t="s">
        <v>467</v>
      </c>
    </row>
    <row r="13" spans="1:15" x14ac:dyDescent="0.3">
      <c r="A13">
        <v>290</v>
      </c>
      <c r="B13" s="155">
        <v>45628.671631944402</v>
      </c>
      <c r="C13" s="155">
        <v>45628.673067129603</v>
      </c>
      <c r="D13" t="s">
        <v>198</v>
      </c>
      <c r="E13" t="s">
        <v>197</v>
      </c>
      <c r="F13" t="s">
        <v>467</v>
      </c>
      <c r="G13" t="s">
        <v>467</v>
      </c>
      <c r="H13" t="s">
        <v>467</v>
      </c>
      <c r="I13" t="s">
        <v>468</v>
      </c>
      <c r="J13" t="s">
        <v>469</v>
      </c>
      <c r="K13" t="s">
        <v>467</v>
      </c>
      <c r="L13" t="s">
        <v>596</v>
      </c>
      <c r="M13" t="s">
        <v>596</v>
      </c>
      <c r="N13" t="s">
        <v>596</v>
      </c>
      <c r="O13" t="s">
        <v>600</v>
      </c>
    </row>
    <row r="14" spans="1:15" x14ac:dyDescent="0.3">
      <c r="A14">
        <v>291</v>
      </c>
      <c r="B14" s="155">
        <v>45628.673645833303</v>
      </c>
      <c r="C14" s="155">
        <v>45628.674687500003</v>
      </c>
      <c r="D14" t="s">
        <v>431</v>
      </c>
      <c r="E14" t="s">
        <v>430</v>
      </c>
      <c r="F14" t="s">
        <v>468</v>
      </c>
      <c r="G14" t="s">
        <v>468</v>
      </c>
      <c r="H14" t="s">
        <v>467</v>
      </c>
      <c r="I14" t="s">
        <v>467</v>
      </c>
      <c r="J14" t="s">
        <v>467</v>
      </c>
      <c r="K14" t="s">
        <v>467</v>
      </c>
      <c r="L14" t="s">
        <v>596</v>
      </c>
      <c r="M14" t="s">
        <v>596</v>
      </c>
      <c r="N14" t="s">
        <v>596</v>
      </c>
    </row>
    <row r="15" spans="1:15" x14ac:dyDescent="0.3">
      <c r="A15">
        <v>292</v>
      </c>
      <c r="B15" s="155">
        <v>45628.738483796304</v>
      </c>
      <c r="C15" s="155">
        <v>45628.7391319444</v>
      </c>
      <c r="D15" t="s">
        <v>176</v>
      </c>
      <c r="E15" t="s">
        <v>175</v>
      </c>
      <c r="F15" t="s">
        <v>467</v>
      </c>
      <c r="G15" t="s">
        <v>467</v>
      </c>
      <c r="H15" t="s">
        <v>467</v>
      </c>
      <c r="I15" t="s">
        <v>467</v>
      </c>
      <c r="J15" t="s">
        <v>467</v>
      </c>
      <c r="K15" t="s">
        <v>467</v>
      </c>
      <c r="L15" t="s">
        <v>467</v>
      </c>
      <c r="M15" t="s">
        <v>596</v>
      </c>
      <c r="N15" t="s">
        <v>596</v>
      </c>
    </row>
    <row r="16" spans="1:15" x14ac:dyDescent="0.3">
      <c r="A16">
        <v>293</v>
      </c>
      <c r="B16" s="155">
        <v>45628.747071759302</v>
      </c>
      <c r="C16" s="155">
        <v>45628.750254629602</v>
      </c>
      <c r="D16" t="s">
        <v>236</v>
      </c>
      <c r="E16" t="s">
        <v>235</v>
      </c>
      <c r="F16" t="s">
        <v>467</v>
      </c>
      <c r="G16" t="s">
        <v>467</v>
      </c>
      <c r="H16" t="s">
        <v>468</v>
      </c>
      <c r="I16" t="s">
        <v>468</v>
      </c>
      <c r="J16" t="s">
        <v>596</v>
      </c>
      <c r="K16" t="s">
        <v>468</v>
      </c>
      <c r="L16" t="s">
        <v>467</v>
      </c>
      <c r="M16" t="s">
        <v>468</v>
      </c>
      <c r="N16" t="s">
        <v>467</v>
      </c>
    </row>
    <row r="17" spans="1:15" x14ac:dyDescent="0.3">
      <c r="A17">
        <v>294</v>
      </c>
      <c r="B17" s="155">
        <v>45628.758796296301</v>
      </c>
      <c r="C17" s="155">
        <v>45628.762997685197</v>
      </c>
      <c r="D17" t="s">
        <v>136</v>
      </c>
      <c r="E17" t="s">
        <v>135</v>
      </c>
      <c r="F17" t="s">
        <v>468</v>
      </c>
      <c r="G17" t="s">
        <v>468</v>
      </c>
      <c r="H17" t="s">
        <v>468</v>
      </c>
      <c r="I17" t="s">
        <v>468</v>
      </c>
      <c r="J17" t="s">
        <v>467</v>
      </c>
      <c r="K17" t="s">
        <v>467</v>
      </c>
      <c r="L17" t="s">
        <v>468</v>
      </c>
      <c r="M17" t="s">
        <v>468</v>
      </c>
      <c r="N17" t="s">
        <v>468</v>
      </c>
      <c r="O17" t="s">
        <v>601</v>
      </c>
    </row>
    <row r="18" spans="1:15" x14ac:dyDescent="0.3">
      <c r="A18">
        <v>295</v>
      </c>
      <c r="B18" s="155">
        <v>45628.683298611097</v>
      </c>
      <c r="C18" s="155">
        <v>45628.874571759297</v>
      </c>
      <c r="D18" t="s">
        <v>343</v>
      </c>
      <c r="E18" t="s">
        <v>342</v>
      </c>
      <c r="F18" t="s">
        <v>468</v>
      </c>
      <c r="G18" t="s">
        <v>468</v>
      </c>
      <c r="H18" t="s">
        <v>468</v>
      </c>
      <c r="I18" t="s">
        <v>468</v>
      </c>
      <c r="J18" t="s">
        <v>468</v>
      </c>
      <c r="K18" t="s">
        <v>468</v>
      </c>
      <c r="L18" t="s">
        <v>596</v>
      </c>
      <c r="M18" t="s">
        <v>596</v>
      </c>
      <c r="N18" t="s">
        <v>596</v>
      </c>
    </row>
    <row r="19" spans="1:15" x14ac:dyDescent="0.3">
      <c r="A19">
        <v>296</v>
      </c>
      <c r="B19" s="155">
        <v>45629.335011574098</v>
      </c>
      <c r="C19" s="155">
        <v>45629.335601851897</v>
      </c>
      <c r="D19" t="s">
        <v>376</v>
      </c>
      <c r="E19" t="s">
        <v>375</v>
      </c>
      <c r="F19" t="s">
        <v>468</v>
      </c>
      <c r="G19" t="s">
        <v>468</v>
      </c>
      <c r="H19" t="s">
        <v>468</v>
      </c>
      <c r="I19" t="s">
        <v>468</v>
      </c>
      <c r="J19" t="s">
        <v>468</v>
      </c>
      <c r="K19" t="s">
        <v>468</v>
      </c>
      <c r="L19" t="s">
        <v>596</v>
      </c>
      <c r="M19" t="s">
        <v>468</v>
      </c>
      <c r="N19" t="s">
        <v>596</v>
      </c>
    </row>
    <row r="20" spans="1:15" x14ac:dyDescent="0.3">
      <c r="A20">
        <v>297</v>
      </c>
      <c r="B20" s="155">
        <v>45629.347870370402</v>
      </c>
      <c r="C20" s="155">
        <v>45629.3492708333</v>
      </c>
      <c r="D20" t="s">
        <v>285</v>
      </c>
      <c r="E20" t="s">
        <v>284</v>
      </c>
      <c r="F20" t="s">
        <v>468</v>
      </c>
      <c r="G20" t="s">
        <v>468</v>
      </c>
      <c r="H20" t="s">
        <v>596</v>
      </c>
      <c r="I20" t="s">
        <v>467</v>
      </c>
      <c r="J20" t="s">
        <v>596</v>
      </c>
      <c r="K20" t="s">
        <v>467</v>
      </c>
      <c r="L20" t="s">
        <v>468</v>
      </c>
      <c r="M20" t="s">
        <v>467</v>
      </c>
      <c r="N20" t="s">
        <v>467</v>
      </c>
    </row>
    <row r="21" spans="1:15" x14ac:dyDescent="0.3">
      <c r="A21">
        <v>298</v>
      </c>
      <c r="B21" s="155">
        <v>45629.409166666701</v>
      </c>
      <c r="C21" s="155">
        <v>45629.424247685201</v>
      </c>
      <c r="D21" t="s">
        <v>251</v>
      </c>
      <c r="E21" t="s">
        <v>250</v>
      </c>
      <c r="F21" t="s">
        <v>469</v>
      </c>
      <c r="G21" t="s">
        <v>469</v>
      </c>
      <c r="H21" t="s">
        <v>467</v>
      </c>
      <c r="I21" t="s">
        <v>469</v>
      </c>
      <c r="J21" t="s">
        <v>467</v>
      </c>
      <c r="K21" t="s">
        <v>467</v>
      </c>
      <c r="L21" t="s">
        <v>468</v>
      </c>
      <c r="M21" t="s">
        <v>468</v>
      </c>
      <c r="N21" t="s">
        <v>468</v>
      </c>
      <c r="O21" t="s">
        <v>602</v>
      </c>
    </row>
    <row r="22" spans="1:15" x14ac:dyDescent="0.3">
      <c r="A22">
        <v>299</v>
      </c>
      <c r="B22" s="155">
        <v>45629.729895833298</v>
      </c>
      <c r="C22" s="155">
        <v>45629.732106481497</v>
      </c>
      <c r="D22" t="s">
        <v>287</v>
      </c>
      <c r="E22" t="s">
        <v>286</v>
      </c>
      <c r="F22" t="s">
        <v>468</v>
      </c>
      <c r="G22" t="s">
        <v>468</v>
      </c>
      <c r="H22" t="s">
        <v>468</v>
      </c>
      <c r="I22" t="s">
        <v>468</v>
      </c>
      <c r="J22" t="s">
        <v>468</v>
      </c>
      <c r="K22" t="s">
        <v>468</v>
      </c>
      <c r="L22" t="s">
        <v>468</v>
      </c>
      <c r="M22" t="s">
        <v>468</v>
      </c>
      <c r="N22" t="s">
        <v>468</v>
      </c>
      <c r="O22" t="s">
        <v>603</v>
      </c>
    </row>
    <row r="23" spans="1:15" x14ac:dyDescent="0.3">
      <c r="A23">
        <v>300</v>
      </c>
      <c r="B23" s="155">
        <v>45630.435995370397</v>
      </c>
      <c r="C23" s="155">
        <v>45630.436516203699</v>
      </c>
      <c r="D23" t="s">
        <v>85</v>
      </c>
      <c r="E23" t="s">
        <v>84</v>
      </c>
      <c r="F23" t="s">
        <v>468</v>
      </c>
      <c r="G23" t="s">
        <v>468</v>
      </c>
      <c r="H23" t="s">
        <v>468</v>
      </c>
      <c r="I23" t="s">
        <v>468</v>
      </c>
      <c r="J23" t="s">
        <v>468</v>
      </c>
      <c r="K23" t="s">
        <v>468</v>
      </c>
      <c r="L23" t="s">
        <v>596</v>
      </c>
      <c r="M23" t="s">
        <v>596</v>
      </c>
      <c r="N23" t="s">
        <v>596</v>
      </c>
    </row>
    <row r="24" spans="1:15" x14ac:dyDescent="0.3">
      <c r="A24">
        <v>301</v>
      </c>
      <c r="B24" s="155">
        <v>45630.4483680556</v>
      </c>
      <c r="C24" s="155">
        <v>45630.448946759301</v>
      </c>
      <c r="D24" t="s">
        <v>260</v>
      </c>
      <c r="E24" t="s">
        <v>259</v>
      </c>
      <c r="F24" t="s">
        <v>467</v>
      </c>
      <c r="G24" t="s">
        <v>467</v>
      </c>
      <c r="H24" t="s">
        <v>469</v>
      </c>
      <c r="I24" t="s">
        <v>469</v>
      </c>
      <c r="J24" t="s">
        <v>469</v>
      </c>
      <c r="K24" t="s">
        <v>469</v>
      </c>
      <c r="L24" t="s">
        <v>469</v>
      </c>
      <c r="M24" t="s">
        <v>469</v>
      </c>
      <c r="N24" t="s">
        <v>469</v>
      </c>
    </row>
    <row r="25" spans="1:15" x14ac:dyDescent="0.3">
      <c r="A25">
        <v>302</v>
      </c>
      <c r="B25" s="155">
        <v>45630.447361111103</v>
      </c>
      <c r="C25" s="155">
        <v>45630.450185185196</v>
      </c>
      <c r="D25" t="s">
        <v>423</v>
      </c>
      <c r="E25" t="s">
        <v>422</v>
      </c>
      <c r="F25" t="s">
        <v>467</v>
      </c>
      <c r="G25" t="s">
        <v>469</v>
      </c>
      <c r="H25" t="s">
        <v>467</v>
      </c>
      <c r="I25" t="s">
        <v>467</v>
      </c>
      <c r="J25" t="s">
        <v>469</v>
      </c>
      <c r="K25" t="s">
        <v>469</v>
      </c>
      <c r="L25" t="s">
        <v>467</v>
      </c>
      <c r="M25" t="s">
        <v>468</v>
      </c>
      <c r="N25" t="s">
        <v>467</v>
      </c>
      <c r="O25" t="s">
        <v>604</v>
      </c>
    </row>
    <row r="26" spans="1:15" x14ac:dyDescent="0.3">
      <c r="A26">
        <v>303</v>
      </c>
      <c r="B26" s="155">
        <v>45630.488067129598</v>
      </c>
      <c r="C26" s="155">
        <v>45630.4900694444</v>
      </c>
      <c r="D26" t="s">
        <v>154</v>
      </c>
      <c r="E26" t="s">
        <v>153</v>
      </c>
      <c r="F26" t="s">
        <v>467</v>
      </c>
      <c r="G26" t="s">
        <v>467</v>
      </c>
      <c r="H26" t="s">
        <v>467</v>
      </c>
      <c r="I26" t="s">
        <v>467</v>
      </c>
      <c r="J26" t="s">
        <v>469</v>
      </c>
      <c r="K26" t="s">
        <v>467</v>
      </c>
      <c r="L26" t="s">
        <v>467</v>
      </c>
      <c r="M26" t="s">
        <v>467</v>
      </c>
      <c r="N26" t="s">
        <v>467</v>
      </c>
    </row>
    <row r="27" spans="1:15" x14ac:dyDescent="0.3">
      <c r="A27">
        <v>304</v>
      </c>
      <c r="B27" s="155">
        <v>45630.497824074097</v>
      </c>
      <c r="C27" s="155">
        <v>45630.4984722222</v>
      </c>
      <c r="D27" t="s">
        <v>305</v>
      </c>
      <c r="E27" t="s">
        <v>304</v>
      </c>
      <c r="F27" t="s">
        <v>469</v>
      </c>
      <c r="G27" t="s">
        <v>469</v>
      </c>
      <c r="H27" t="s">
        <v>469</v>
      </c>
      <c r="I27" t="s">
        <v>469</v>
      </c>
      <c r="J27" t="s">
        <v>469</v>
      </c>
      <c r="K27" t="s">
        <v>469</v>
      </c>
      <c r="L27" t="s">
        <v>469</v>
      </c>
      <c r="M27" t="s">
        <v>469</v>
      </c>
      <c r="N27" t="s">
        <v>469</v>
      </c>
    </row>
    <row r="28" spans="1:15" x14ac:dyDescent="0.3">
      <c r="A28">
        <v>305</v>
      </c>
      <c r="B28" s="155">
        <v>45630.5411805556</v>
      </c>
      <c r="C28" s="155">
        <v>45630.543865740699</v>
      </c>
      <c r="D28" t="s">
        <v>188</v>
      </c>
      <c r="E28" t="s">
        <v>605</v>
      </c>
      <c r="F28" t="s">
        <v>467</v>
      </c>
      <c r="G28" t="s">
        <v>467</v>
      </c>
      <c r="H28" t="s">
        <v>467</v>
      </c>
      <c r="I28" t="s">
        <v>467</v>
      </c>
      <c r="J28" t="s">
        <v>596</v>
      </c>
      <c r="K28" t="s">
        <v>469</v>
      </c>
      <c r="L28" t="s">
        <v>467</v>
      </c>
      <c r="M28" t="s">
        <v>467</v>
      </c>
      <c r="N28" t="s">
        <v>467</v>
      </c>
    </row>
    <row r="29" spans="1:15" x14ac:dyDescent="0.3">
      <c r="A29">
        <v>306</v>
      </c>
      <c r="B29" s="155">
        <v>45630.618877314802</v>
      </c>
      <c r="C29" s="155">
        <v>45630.620057870401</v>
      </c>
      <c r="D29" t="s">
        <v>77</v>
      </c>
      <c r="E29" t="s">
        <v>76</v>
      </c>
      <c r="F29" t="s">
        <v>468</v>
      </c>
      <c r="G29" t="s">
        <v>467</v>
      </c>
      <c r="H29" t="s">
        <v>468</v>
      </c>
      <c r="I29" t="s">
        <v>467</v>
      </c>
      <c r="J29" t="s">
        <v>596</v>
      </c>
      <c r="K29" t="s">
        <v>596</v>
      </c>
      <c r="L29" t="s">
        <v>596</v>
      </c>
      <c r="M29" t="s">
        <v>467</v>
      </c>
      <c r="N29" t="s">
        <v>468</v>
      </c>
    </row>
    <row r="30" spans="1:15" x14ac:dyDescent="0.3">
      <c r="A30">
        <v>307</v>
      </c>
      <c r="B30" s="155">
        <v>45631.366203703699</v>
      </c>
      <c r="C30" s="155">
        <v>45631.371446759302</v>
      </c>
      <c r="D30" t="s">
        <v>606</v>
      </c>
      <c r="E30" t="s">
        <v>558</v>
      </c>
      <c r="F30" t="s">
        <v>468</v>
      </c>
      <c r="G30" t="s">
        <v>468</v>
      </c>
      <c r="H30" t="s">
        <v>468</v>
      </c>
      <c r="I30" t="s">
        <v>468</v>
      </c>
      <c r="J30" t="s">
        <v>468</v>
      </c>
      <c r="K30" t="s">
        <v>467</v>
      </c>
      <c r="L30" t="s">
        <v>468</v>
      </c>
      <c r="M30" t="s">
        <v>468</v>
      </c>
      <c r="N30" t="s">
        <v>467</v>
      </c>
      <c r="O30" t="s">
        <v>607</v>
      </c>
    </row>
    <row r="31" spans="1:15" x14ac:dyDescent="0.3">
      <c r="A31">
        <v>308</v>
      </c>
      <c r="B31" s="155">
        <v>45631.481006944399</v>
      </c>
      <c r="C31" s="155">
        <v>45631.482141203698</v>
      </c>
      <c r="D31" t="s">
        <v>205</v>
      </c>
      <c r="E31" t="s">
        <v>204</v>
      </c>
      <c r="F31" t="s">
        <v>467</v>
      </c>
      <c r="G31" t="s">
        <v>467</v>
      </c>
      <c r="H31" t="s">
        <v>468</v>
      </c>
      <c r="I31" t="s">
        <v>468</v>
      </c>
      <c r="J31" t="s">
        <v>467</v>
      </c>
      <c r="K31" t="s">
        <v>467</v>
      </c>
      <c r="L31" t="s">
        <v>468</v>
      </c>
      <c r="M31" t="s">
        <v>468</v>
      </c>
      <c r="N31" t="s">
        <v>467</v>
      </c>
    </row>
    <row r="32" spans="1:15" x14ac:dyDescent="0.3">
      <c r="A32">
        <v>309</v>
      </c>
      <c r="B32" s="155">
        <v>45631.482337963003</v>
      </c>
      <c r="C32" s="155">
        <v>45631.483449074098</v>
      </c>
      <c r="D32" t="s">
        <v>393</v>
      </c>
      <c r="E32" t="s">
        <v>392</v>
      </c>
      <c r="F32" t="s">
        <v>467</v>
      </c>
      <c r="G32" t="s">
        <v>468</v>
      </c>
      <c r="H32" t="s">
        <v>467</v>
      </c>
      <c r="I32" t="s">
        <v>468</v>
      </c>
      <c r="J32" t="s">
        <v>467</v>
      </c>
      <c r="K32" t="s">
        <v>467</v>
      </c>
      <c r="L32" t="s">
        <v>467</v>
      </c>
      <c r="M32" t="s">
        <v>467</v>
      </c>
      <c r="N32" t="s">
        <v>467</v>
      </c>
      <c r="O32" t="s">
        <v>608</v>
      </c>
    </row>
    <row r="33" spans="1:15" x14ac:dyDescent="0.3">
      <c r="A33">
        <v>310</v>
      </c>
      <c r="B33" s="155">
        <v>45631.483553240701</v>
      </c>
      <c r="C33" s="155">
        <v>45631.4854513889</v>
      </c>
      <c r="D33" t="s">
        <v>609</v>
      </c>
      <c r="E33" t="s">
        <v>68</v>
      </c>
      <c r="F33" t="s">
        <v>468</v>
      </c>
      <c r="G33" t="s">
        <v>468</v>
      </c>
      <c r="H33" t="s">
        <v>468</v>
      </c>
      <c r="I33" t="s">
        <v>468</v>
      </c>
      <c r="J33" t="s">
        <v>467</v>
      </c>
      <c r="K33" t="s">
        <v>467</v>
      </c>
      <c r="L33" t="s">
        <v>468</v>
      </c>
      <c r="M33" t="s">
        <v>468</v>
      </c>
      <c r="N33" t="s">
        <v>467</v>
      </c>
    </row>
    <row r="34" spans="1:15" x14ac:dyDescent="0.3">
      <c r="A34">
        <v>311</v>
      </c>
      <c r="B34" s="155">
        <v>45631.488298611097</v>
      </c>
      <c r="C34" s="155">
        <v>45631.489282407398</v>
      </c>
      <c r="D34" t="s">
        <v>152</v>
      </c>
      <c r="E34" t="s">
        <v>151</v>
      </c>
      <c r="F34" t="s">
        <v>468</v>
      </c>
      <c r="G34" t="s">
        <v>468</v>
      </c>
      <c r="H34" t="s">
        <v>468</v>
      </c>
      <c r="I34" t="s">
        <v>468</v>
      </c>
      <c r="J34" t="s">
        <v>468</v>
      </c>
      <c r="K34" t="s">
        <v>468</v>
      </c>
      <c r="L34" t="s">
        <v>468</v>
      </c>
      <c r="M34" t="s">
        <v>468</v>
      </c>
      <c r="N34" t="s">
        <v>468</v>
      </c>
      <c r="O34" t="s">
        <v>610</v>
      </c>
    </row>
    <row r="35" spans="1:15" x14ac:dyDescent="0.3">
      <c r="A35">
        <v>312</v>
      </c>
      <c r="B35" s="155">
        <v>45631.504039351901</v>
      </c>
      <c r="C35" s="155">
        <v>45631.5131481481</v>
      </c>
      <c r="D35" t="s">
        <v>61</v>
      </c>
      <c r="E35" t="s">
        <v>60</v>
      </c>
      <c r="F35" t="s">
        <v>467</v>
      </c>
      <c r="G35" t="s">
        <v>467</v>
      </c>
      <c r="H35" t="s">
        <v>467</v>
      </c>
      <c r="I35" t="s">
        <v>467</v>
      </c>
      <c r="J35" t="s">
        <v>467</v>
      </c>
      <c r="K35" t="s">
        <v>467</v>
      </c>
      <c r="L35" t="s">
        <v>467</v>
      </c>
      <c r="M35" t="s">
        <v>467</v>
      </c>
      <c r="N35" t="s">
        <v>467</v>
      </c>
    </row>
    <row r="36" spans="1:15" x14ac:dyDescent="0.3">
      <c r="A36">
        <v>313</v>
      </c>
      <c r="B36" s="155">
        <v>45631.527916666702</v>
      </c>
      <c r="C36" s="155">
        <v>45632.323437500003</v>
      </c>
      <c r="D36" t="s">
        <v>238</v>
      </c>
      <c r="E36" t="s">
        <v>237</v>
      </c>
      <c r="F36" t="s">
        <v>468</v>
      </c>
      <c r="G36" t="s">
        <v>468</v>
      </c>
      <c r="H36" t="s">
        <v>467</v>
      </c>
      <c r="I36" t="s">
        <v>467</v>
      </c>
      <c r="J36" t="s">
        <v>467</v>
      </c>
      <c r="K36" t="s">
        <v>467</v>
      </c>
      <c r="L36" t="s">
        <v>468</v>
      </c>
      <c r="M36" t="s">
        <v>468</v>
      </c>
      <c r="N36" t="s">
        <v>468</v>
      </c>
      <c r="O36" t="s">
        <v>611</v>
      </c>
    </row>
    <row r="37" spans="1:15" x14ac:dyDescent="0.3">
      <c r="A37">
        <v>314</v>
      </c>
      <c r="B37" s="155">
        <v>45632.332013888903</v>
      </c>
      <c r="C37" s="155">
        <v>45632.346921296303</v>
      </c>
      <c r="D37" t="s">
        <v>303</v>
      </c>
      <c r="E37" t="s">
        <v>302</v>
      </c>
      <c r="F37" t="s">
        <v>468</v>
      </c>
      <c r="G37" t="s">
        <v>596</v>
      </c>
      <c r="H37" t="s">
        <v>467</v>
      </c>
      <c r="I37" t="s">
        <v>468</v>
      </c>
      <c r="J37" t="s">
        <v>467</v>
      </c>
      <c r="K37" t="s">
        <v>468</v>
      </c>
      <c r="L37" t="s">
        <v>468</v>
      </c>
      <c r="M37" t="s">
        <v>596</v>
      </c>
      <c r="N37" t="s">
        <v>596</v>
      </c>
      <c r="O37" t="s">
        <v>612</v>
      </c>
    </row>
    <row r="38" spans="1:15" x14ac:dyDescent="0.3">
      <c r="A38">
        <v>315</v>
      </c>
      <c r="B38" s="155">
        <v>45632.374722222201</v>
      </c>
      <c r="C38" s="155">
        <v>45632.374965277799</v>
      </c>
      <c r="D38" t="s">
        <v>123</v>
      </c>
      <c r="E38" t="s">
        <v>122</v>
      </c>
      <c r="F38" t="s">
        <v>467</v>
      </c>
      <c r="G38" t="s">
        <v>467</v>
      </c>
      <c r="H38" t="s">
        <v>467</v>
      </c>
      <c r="I38" t="s">
        <v>467</v>
      </c>
      <c r="J38" t="s">
        <v>467</v>
      </c>
      <c r="K38" t="s">
        <v>467</v>
      </c>
      <c r="L38" t="s">
        <v>467</v>
      </c>
      <c r="M38" t="s">
        <v>467</v>
      </c>
      <c r="N38" t="s">
        <v>467</v>
      </c>
    </row>
    <row r="39" spans="1:15" x14ac:dyDescent="0.3">
      <c r="A39">
        <v>316</v>
      </c>
      <c r="B39" s="155">
        <v>45632.397476851896</v>
      </c>
      <c r="C39" s="155">
        <v>45632.398425925901</v>
      </c>
      <c r="D39" t="s">
        <v>128</v>
      </c>
      <c r="E39" t="s">
        <v>127</v>
      </c>
      <c r="F39" t="s">
        <v>468</v>
      </c>
      <c r="G39" t="s">
        <v>468</v>
      </c>
      <c r="H39" t="s">
        <v>467</v>
      </c>
      <c r="I39" t="s">
        <v>467</v>
      </c>
      <c r="J39" t="s">
        <v>468</v>
      </c>
      <c r="K39" t="s">
        <v>467</v>
      </c>
      <c r="L39" t="s">
        <v>467</v>
      </c>
      <c r="M39" t="s">
        <v>596</v>
      </c>
      <c r="N39" t="s">
        <v>467</v>
      </c>
    </row>
    <row r="40" spans="1:15" x14ac:dyDescent="0.3">
      <c r="A40">
        <v>317</v>
      </c>
      <c r="B40" s="155">
        <v>45632.459189814799</v>
      </c>
      <c r="C40" s="155">
        <v>45632.463912036997</v>
      </c>
      <c r="D40" t="s">
        <v>242</v>
      </c>
      <c r="E40" t="s">
        <v>241</v>
      </c>
      <c r="F40" t="s">
        <v>467</v>
      </c>
      <c r="G40" t="s">
        <v>468</v>
      </c>
      <c r="H40" t="s">
        <v>468</v>
      </c>
      <c r="I40" t="s">
        <v>467</v>
      </c>
      <c r="J40" t="s">
        <v>467</v>
      </c>
      <c r="K40" t="s">
        <v>469</v>
      </c>
      <c r="L40" t="s">
        <v>596</v>
      </c>
      <c r="M40" t="s">
        <v>596</v>
      </c>
      <c r="N40" t="s">
        <v>596</v>
      </c>
    </row>
    <row r="41" spans="1:15" x14ac:dyDescent="0.3">
      <c r="A41">
        <v>318</v>
      </c>
      <c r="B41" s="155">
        <v>45632.465590277803</v>
      </c>
      <c r="C41" s="155">
        <v>45632.466215277796</v>
      </c>
      <c r="D41" t="s">
        <v>369</v>
      </c>
      <c r="E41" t="s">
        <v>368</v>
      </c>
      <c r="F41" t="s">
        <v>468</v>
      </c>
      <c r="G41" t="s">
        <v>468</v>
      </c>
      <c r="H41" t="s">
        <v>467</v>
      </c>
      <c r="I41" t="s">
        <v>468</v>
      </c>
      <c r="J41" t="s">
        <v>596</v>
      </c>
      <c r="K41" t="s">
        <v>467</v>
      </c>
      <c r="L41" t="s">
        <v>468</v>
      </c>
      <c r="M41" t="s">
        <v>468</v>
      </c>
      <c r="N41" t="s">
        <v>467</v>
      </c>
    </row>
    <row r="42" spans="1:15" x14ac:dyDescent="0.3">
      <c r="A42">
        <v>319</v>
      </c>
      <c r="B42" s="155">
        <v>45632.466203703698</v>
      </c>
      <c r="C42" s="155">
        <v>45632.467719907399</v>
      </c>
      <c r="D42" t="s">
        <v>613</v>
      </c>
      <c r="E42" t="s">
        <v>106</v>
      </c>
      <c r="F42" t="s">
        <v>467</v>
      </c>
      <c r="G42" t="s">
        <v>467</v>
      </c>
      <c r="H42" t="s">
        <v>467</v>
      </c>
      <c r="I42" t="s">
        <v>596</v>
      </c>
      <c r="J42" t="s">
        <v>467</v>
      </c>
      <c r="K42" t="s">
        <v>467</v>
      </c>
      <c r="L42" t="s">
        <v>467</v>
      </c>
      <c r="M42" t="s">
        <v>596</v>
      </c>
      <c r="N42" t="s">
        <v>596</v>
      </c>
    </row>
    <row r="43" spans="1:15" x14ac:dyDescent="0.3">
      <c r="A43">
        <v>320</v>
      </c>
      <c r="B43" s="155">
        <v>45632.468425925901</v>
      </c>
      <c r="C43" s="155">
        <v>45632.469270833302</v>
      </c>
      <c r="D43" t="s">
        <v>224</v>
      </c>
      <c r="E43" t="s">
        <v>223</v>
      </c>
      <c r="F43" t="s">
        <v>467</v>
      </c>
      <c r="G43" t="s">
        <v>467</v>
      </c>
      <c r="H43" t="s">
        <v>467</v>
      </c>
      <c r="I43" t="s">
        <v>467</v>
      </c>
      <c r="J43" t="s">
        <v>467</v>
      </c>
      <c r="K43" t="s">
        <v>467</v>
      </c>
      <c r="L43" t="s">
        <v>596</v>
      </c>
      <c r="M43" t="s">
        <v>596</v>
      </c>
      <c r="N43" t="s">
        <v>596</v>
      </c>
      <c r="O43" t="s">
        <v>614</v>
      </c>
    </row>
    <row r="44" spans="1:15" x14ac:dyDescent="0.3">
      <c r="A44">
        <v>321</v>
      </c>
      <c r="B44" s="155">
        <v>45632.467835648102</v>
      </c>
      <c r="C44" s="155">
        <v>45632.472986111097</v>
      </c>
      <c r="D44" t="s">
        <v>359</v>
      </c>
      <c r="E44" t="s">
        <v>615</v>
      </c>
      <c r="F44" t="s">
        <v>468</v>
      </c>
      <c r="G44" t="s">
        <v>467</v>
      </c>
      <c r="H44" t="s">
        <v>468</v>
      </c>
      <c r="I44" t="s">
        <v>467</v>
      </c>
      <c r="J44" t="s">
        <v>468</v>
      </c>
      <c r="K44" t="s">
        <v>468</v>
      </c>
      <c r="L44" t="s">
        <v>468</v>
      </c>
      <c r="M44" t="s">
        <v>467</v>
      </c>
      <c r="N44" t="s">
        <v>467</v>
      </c>
      <c r="O44" t="s">
        <v>616</v>
      </c>
    </row>
    <row r="45" spans="1:15" x14ac:dyDescent="0.3">
      <c r="A45">
        <v>322</v>
      </c>
      <c r="B45" s="155">
        <v>45632.472233796303</v>
      </c>
      <c r="C45" s="155">
        <v>45632.473414351902</v>
      </c>
      <c r="D45" t="s">
        <v>350</v>
      </c>
      <c r="E45" t="s">
        <v>617</v>
      </c>
      <c r="F45" t="s">
        <v>468</v>
      </c>
      <c r="G45" t="s">
        <v>467</v>
      </c>
      <c r="H45" t="s">
        <v>468</v>
      </c>
      <c r="I45" t="s">
        <v>468</v>
      </c>
      <c r="J45" t="s">
        <v>467</v>
      </c>
      <c r="K45" t="s">
        <v>467</v>
      </c>
      <c r="L45" t="s">
        <v>596</v>
      </c>
      <c r="M45" t="s">
        <v>596</v>
      </c>
      <c r="N45" t="s">
        <v>596</v>
      </c>
    </row>
    <row r="46" spans="1:15" x14ac:dyDescent="0.3">
      <c r="A46">
        <v>323</v>
      </c>
      <c r="B46" s="155">
        <v>45632.472210648099</v>
      </c>
      <c r="C46" s="155">
        <v>45632.474027777796</v>
      </c>
      <c r="D46" t="s">
        <v>256</v>
      </c>
      <c r="E46" t="s">
        <v>255</v>
      </c>
      <c r="F46" t="s">
        <v>469</v>
      </c>
      <c r="G46" t="s">
        <v>467</v>
      </c>
      <c r="H46" t="s">
        <v>467</v>
      </c>
      <c r="I46" t="s">
        <v>467</v>
      </c>
      <c r="J46" t="s">
        <v>469</v>
      </c>
      <c r="K46" t="s">
        <v>469</v>
      </c>
      <c r="L46" t="s">
        <v>467</v>
      </c>
      <c r="M46" t="s">
        <v>596</v>
      </c>
      <c r="N46" t="s">
        <v>596</v>
      </c>
    </row>
    <row r="47" spans="1:15" x14ac:dyDescent="0.3">
      <c r="A47">
        <v>324</v>
      </c>
      <c r="B47" s="155">
        <v>45632.480590277803</v>
      </c>
      <c r="C47" s="155">
        <v>45632.482314814799</v>
      </c>
      <c r="D47" t="s">
        <v>435</v>
      </c>
      <c r="E47" t="s">
        <v>434</v>
      </c>
      <c r="F47" t="s">
        <v>468</v>
      </c>
      <c r="G47" t="s">
        <v>467</v>
      </c>
      <c r="H47" t="s">
        <v>467</v>
      </c>
      <c r="I47" t="s">
        <v>467</v>
      </c>
      <c r="J47" t="s">
        <v>467</v>
      </c>
      <c r="K47" t="s">
        <v>468</v>
      </c>
      <c r="L47" t="s">
        <v>468</v>
      </c>
      <c r="M47" t="s">
        <v>468</v>
      </c>
      <c r="N47" t="s">
        <v>467</v>
      </c>
    </row>
    <row r="48" spans="1:15" x14ac:dyDescent="0.3">
      <c r="A48">
        <v>325</v>
      </c>
      <c r="B48" s="155">
        <v>45632.468240740702</v>
      </c>
      <c r="C48" s="155">
        <v>45632.495150463001</v>
      </c>
      <c r="D48" t="s">
        <v>202</v>
      </c>
      <c r="E48" t="s">
        <v>201</v>
      </c>
      <c r="F48" t="s">
        <v>468</v>
      </c>
      <c r="G48" t="s">
        <v>468</v>
      </c>
      <c r="H48" t="s">
        <v>468</v>
      </c>
      <c r="I48" t="s">
        <v>468</v>
      </c>
      <c r="J48" t="s">
        <v>468</v>
      </c>
      <c r="K48" t="s">
        <v>468</v>
      </c>
      <c r="L48" t="s">
        <v>468</v>
      </c>
      <c r="M48" t="s">
        <v>468</v>
      </c>
      <c r="N48" t="s">
        <v>468</v>
      </c>
    </row>
    <row r="49" spans="1:15" x14ac:dyDescent="0.3">
      <c r="A49">
        <v>326</v>
      </c>
      <c r="B49" s="155">
        <v>45632.496030092603</v>
      </c>
      <c r="C49" s="155">
        <v>45632.4976157407</v>
      </c>
      <c r="D49" t="s">
        <v>337</v>
      </c>
      <c r="E49" t="s">
        <v>336</v>
      </c>
      <c r="F49" t="s">
        <v>468</v>
      </c>
      <c r="G49" t="s">
        <v>468</v>
      </c>
      <c r="H49" t="s">
        <v>468</v>
      </c>
      <c r="I49" t="s">
        <v>468</v>
      </c>
      <c r="J49" t="s">
        <v>467</v>
      </c>
      <c r="K49" t="s">
        <v>468</v>
      </c>
      <c r="L49" t="s">
        <v>596</v>
      </c>
      <c r="M49" t="s">
        <v>467</v>
      </c>
      <c r="N49" t="s">
        <v>468</v>
      </c>
      <c r="O49" t="s">
        <v>618</v>
      </c>
    </row>
    <row r="50" spans="1:15" x14ac:dyDescent="0.3">
      <c r="A50">
        <v>327</v>
      </c>
      <c r="B50" s="155">
        <v>45632.699884259302</v>
      </c>
      <c r="C50" s="155">
        <v>45632.703298611101</v>
      </c>
      <c r="D50" t="s">
        <v>179</v>
      </c>
      <c r="E50" t="s">
        <v>178</v>
      </c>
      <c r="F50" t="s">
        <v>468</v>
      </c>
      <c r="G50" t="s">
        <v>468</v>
      </c>
      <c r="H50" t="s">
        <v>468</v>
      </c>
      <c r="I50" t="s">
        <v>468</v>
      </c>
      <c r="J50" t="s">
        <v>468</v>
      </c>
      <c r="K50" t="s">
        <v>468</v>
      </c>
      <c r="L50" t="s">
        <v>467</v>
      </c>
      <c r="M50" t="s">
        <v>467</v>
      </c>
      <c r="N50" t="s">
        <v>467</v>
      </c>
    </row>
    <row r="51" spans="1:15" x14ac:dyDescent="0.3">
      <c r="A51">
        <v>328</v>
      </c>
      <c r="B51" s="155">
        <v>45633.333414351902</v>
      </c>
      <c r="C51" s="155">
        <v>45633.334467592598</v>
      </c>
      <c r="D51" t="s">
        <v>619</v>
      </c>
      <c r="E51" t="s">
        <v>555</v>
      </c>
      <c r="F51" t="s">
        <v>467</v>
      </c>
      <c r="G51" t="s">
        <v>468</v>
      </c>
      <c r="H51" t="s">
        <v>468</v>
      </c>
      <c r="I51" t="s">
        <v>467</v>
      </c>
      <c r="J51" t="s">
        <v>468</v>
      </c>
      <c r="K51" t="s">
        <v>468</v>
      </c>
      <c r="L51" t="s">
        <v>468</v>
      </c>
      <c r="M51" t="s">
        <v>468</v>
      </c>
      <c r="N51" t="s">
        <v>468</v>
      </c>
    </row>
    <row r="52" spans="1:15" x14ac:dyDescent="0.3">
      <c r="A52">
        <v>329</v>
      </c>
      <c r="B52" s="155">
        <v>45633.413483796299</v>
      </c>
      <c r="C52" s="155">
        <v>45633.416400463</v>
      </c>
      <c r="D52" t="s">
        <v>378</v>
      </c>
      <c r="E52" t="s">
        <v>620</v>
      </c>
      <c r="F52" t="s">
        <v>467</v>
      </c>
      <c r="G52" t="s">
        <v>467</v>
      </c>
      <c r="H52" t="s">
        <v>468</v>
      </c>
      <c r="I52" t="s">
        <v>467</v>
      </c>
      <c r="J52" t="s">
        <v>467</v>
      </c>
      <c r="K52" t="s">
        <v>467</v>
      </c>
      <c r="L52" t="s">
        <v>467</v>
      </c>
      <c r="M52" t="s">
        <v>467</v>
      </c>
      <c r="N52" t="s">
        <v>467</v>
      </c>
      <c r="O52" t="s">
        <v>621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17</xdr:col>
                    <xdr:colOff>228600</xdr:colOff>
                    <xdr:row>12</xdr:row>
                    <xdr:rowOff>114300</xdr:rowOff>
                  </from>
                  <to>
                    <xdr:col>18</xdr:col>
                    <xdr:colOff>365760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zoomScale="86" workbookViewId="0">
      <selection activeCell="A16" sqref="A16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6" t="s">
        <v>474</v>
      </c>
      <c r="C4" s="196" t="s">
        <v>5</v>
      </c>
      <c r="D4" s="196" t="s">
        <v>475</v>
      </c>
      <c r="E4" s="185" t="s">
        <v>476</v>
      </c>
      <c r="F4" s="185"/>
      <c r="G4" s="185"/>
      <c r="H4" s="185"/>
      <c r="I4" s="183" t="s">
        <v>477</v>
      </c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84"/>
      <c r="BT4" s="184"/>
      <c r="BU4" s="184"/>
      <c r="BV4" s="184"/>
      <c r="BW4" s="184"/>
    </row>
    <row r="5" spans="2:83" x14ac:dyDescent="0.3">
      <c r="B5" s="196"/>
      <c r="C5" s="196"/>
      <c r="D5" s="196"/>
      <c r="E5" s="185" t="s">
        <v>478</v>
      </c>
      <c r="F5" s="185"/>
      <c r="G5" s="45" t="s">
        <v>479</v>
      </c>
      <c r="H5" s="45"/>
      <c r="I5" s="198" t="s">
        <v>480</v>
      </c>
      <c r="J5" s="187" t="s">
        <v>481</v>
      </c>
      <c r="K5" s="181"/>
      <c r="L5" s="181"/>
      <c r="M5" s="181"/>
      <c r="N5" s="181"/>
      <c r="O5" s="181"/>
      <c r="P5" s="181" t="s">
        <v>482</v>
      </c>
      <c r="Q5" s="181"/>
      <c r="R5" s="181"/>
      <c r="S5" s="181"/>
      <c r="T5" s="181"/>
      <c r="U5" s="181"/>
      <c r="V5" s="181" t="s">
        <v>483</v>
      </c>
      <c r="W5" s="181"/>
      <c r="X5" s="181"/>
      <c r="Y5" s="181"/>
      <c r="Z5" s="181"/>
      <c r="AA5" s="181"/>
      <c r="AB5" s="181" t="s">
        <v>484</v>
      </c>
      <c r="AC5" s="181"/>
      <c r="AD5" s="181"/>
      <c r="AE5" s="181"/>
      <c r="AF5" s="181"/>
      <c r="AG5" s="181"/>
      <c r="AH5" s="181" t="s">
        <v>485</v>
      </c>
      <c r="AI5" s="181"/>
      <c r="AJ5" s="181"/>
      <c r="AK5" s="181"/>
      <c r="AL5" s="181"/>
      <c r="AM5" s="181"/>
      <c r="AN5" s="181" t="s">
        <v>486</v>
      </c>
      <c r="AO5" s="181"/>
      <c r="AP5" s="181"/>
      <c r="AQ5" s="181"/>
      <c r="AR5" s="181"/>
      <c r="AS5" s="181"/>
      <c r="AT5" s="181" t="s">
        <v>487</v>
      </c>
      <c r="AU5" s="181"/>
      <c r="AV5" s="181"/>
      <c r="AW5" s="181"/>
      <c r="AX5" s="181"/>
      <c r="AY5" s="181"/>
      <c r="AZ5" s="181" t="s">
        <v>488</v>
      </c>
      <c r="BA5" s="181"/>
      <c r="BB5" s="181"/>
      <c r="BC5" s="181"/>
      <c r="BD5" s="181"/>
      <c r="BE5" s="182"/>
      <c r="BF5" s="181" t="s">
        <v>517</v>
      </c>
      <c r="BG5" s="181"/>
      <c r="BH5" s="181"/>
      <c r="BI5" s="181"/>
      <c r="BJ5" s="181"/>
      <c r="BK5" s="182"/>
      <c r="BL5" s="181" t="s">
        <v>518</v>
      </c>
      <c r="BM5" s="181"/>
      <c r="BN5" s="181"/>
      <c r="BO5" s="181"/>
      <c r="BP5" s="181"/>
      <c r="BQ5" s="182"/>
      <c r="BR5" s="181" t="s">
        <v>519</v>
      </c>
      <c r="BS5" s="181"/>
      <c r="BT5" s="181"/>
      <c r="BU5" s="181"/>
      <c r="BV5" s="181"/>
      <c r="BW5" s="182"/>
      <c r="CC5" s="185" t="s">
        <v>489</v>
      </c>
      <c r="CD5" s="185"/>
      <c r="CE5" s="185"/>
    </row>
    <row r="6" spans="2:83" x14ac:dyDescent="0.3">
      <c r="B6" s="197"/>
      <c r="C6" s="197"/>
      <c r="D6" s="197"/>
      <c r="E6" s="46" t="s">
        <v>480</v>
      </c>
      <c r="F6" s="46" t="s">
        <v>490</v>
      </c>
      <c r="G6" s="46" t="s">
        <v>480</v>
      </c>
      <c r="H6" s="46" t="s">
        <v>490</v>
      </c>
      <c r="I6" s="198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L12">
        <v>4</v>
      </c>
      <c r="M12">
        <v>19</v>
      </c>
      <c r="N12">
        <v>25</v>
      </c>
      <c r="P12" s="56"/>
      <c r="R12">
        <v>4</v>
      </c>
      <c r="S12">
        <v>20</v>
      </c>
      <c r="T12">
        <v>22</v>
      </c>
      <c r="U12" s="57">
        <v>2</v>
      </c>
      <c r="V12" s="56"/>
      <c r="X12">
        <v>3</v>
      </c>
      <c r="Y12">
        <v>22</v>
      </c>
      <c r="Z12">
        <v>21</v>
      </c>
      <c r="AA12" s="57">
        <v>2</v>
      </c>
      <c r="AB12" s="56"/>
      <c r="AD12">
        <v>4</v>
      </c>
      <c r="AE12">
        <v>22</v>
      </c>
      <c r="AF12">
        <v>20</v>
      </c>
      <c r="AG12" s="57">
        <v>2</v>
      </c>
      <c r="AH12" s="56"/>
      <c r="AJ12">
        <v>7</v>
      </c>
      <c r="AK12">
        <v>21</v>
      </c>
      <c r="AL12">
        <v>12</v>
      </c>
      <c r="AM12" s="57">
        <v>8</v>
      </c>
      <c r="AN12" s="56"/>
      <c r="AP12">
        <v>7</v>
      </c>
      <c r="AQ12">
        <v>23</v>
      </c>
      <c r="AR12">
        <v>14</v>
      </c>
      <c r="AS12" s="57">
        <v>4</v>
      </c>
      <c r="AT12" s="56"/>
      <c r="AV12">
        <v>2</v>
      </c>
      <c r="AW12">
        <v>17</v>
      </c>
      <c r="AX12">
        <v>16</v>
      </c>
      <c r="AY12" s="57">
        <v>13</v>
      </c>
      <c r="AZ12" s="56"/>
      <c r="BB12">
        <v>2</v>
      </c>
      <c r="BC12">
        <v>15</v>
      </c>
      <c r="BD12">
        <v>16</v>
      </c>
      <c r="BE12" s="57">
        <v>15</v>
      </c>
      <c r="BF12" s="56"/>
      <c r="BH12">
        <v>2</v>
      </c>
      <c r="BI12">
        <v>21</v>
      </c>
      <c r="BJ12">
        <v>9</v>
      </c>
      <c r="BK12" s="57">
        <v>16</v>
      </c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501</v>
      </c>
      <c r="C20" s="74"/>
      <c r="E20" s="72"/>
      <c r="F20" s="72"/>
      <c r="G20" s="72"/>
      <c r="H20" s="72"/>
    </row>
    <row r="22" spans="2:75" x14ac:dyDescent="0.3">
      <c r="B22" s="196" t="s">
        <v>474</v>
      </c>
      <c r="C22" s="196" t="s">
        <v>5</v>
      </c>
      <c r="D22" s="196" t="s">
        <v>475</v>
      </c>
      <c r="E22" s="185" t="s">
        <v>476</v>
      </c>
      <c r="F22" s="185"/>
      <c r="G22" s="185"/>
      <c r="H22" s="185"/>
      <c r="I22" s="183" t="s">
        <v>477</v>
      </c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</row>
    <row r="23" spans="2:75" x14ac:dyDescent="0.3">
      <c r="B23" s="196"/>
      <c r="C23" s="196"/>
      <c r="D23" s="196"/>
      <c r="E23" s="185" t="s">
        <v>478</v>
      </c>
      <c r="F23" s="185"/>
      <c r="G23" s="45" t="s">
        <v>479</v>
      </c>
      <c r="H23" s="45"/>
      <c r="I23" s="198" t="s">
        <v>480</v>
      </c>
      <c r="J23" s="187" t="s">
        <v>481</v>
      </c>
      <c r="K23" s="181"/>
      <c r="L23" s="181"/>
      <c r="M23" s="181"/>
      <c r="N23" s="181"/>
      <c r="O23" s="181"/>
      <c r="P23" s="181" t="s">
        <v>482</v>
      </c>
      <c r="Q23" s="181"/>
      <c r="R23" s="181"/>
      <c r="S23" s="181"/>
      <c r="T23" s="181"/>
      <c r="U23" s="181"/>
      <c r="V23" s="181" t="s">
        <v>483</v>
      </c>
      <c r="W23" s="181"/>
      <c r="X23" s="181"/>
      <c r="Y23" s="181"/>
      <c r="Z23" s="181"/>
      <c r="AA23" s="181"/>
      <c r="AB23" s="181" t="s">
        <v>484</v>
      </c>
      <c r="AC23" s="181"/>
      <c r="AD23" s="181"/>
      <c r="AE23" s="181"/>
      <c r="AF23" s="181"/>
      <c r="AG23" s="181"/>
      <c r="AH23" s="181" t="s">
        <v>485</v>
      </c>
      <c r="AI23" s="181"/>
      <c r="AJ23" s="181"/>
      <c r="AK23" s="181"/>
      <c r="AL23" s="181"/>
      <c r="AM23" s="181"/>
      <c r="AN23" s="181" t="s">
        <v>486</v>
      </c>
      <c r="AO23" s="181"/>
      <c r="AP23" s="181"/>
      <c r="AQ23" s="181"/>
      <c r="AR23" s="181"/>
      <c r="AS23" s="181"/>
      <c r="AT23" s="181" t="s">
        <v>487</v>
      </c>
      <c r="AU23" s="181"/>
      <c r="AV23" s="181"/>
      <c r="AW23" s="181"/>
      <c r="AX23" s="181"/>
      <c r="AY23" s="181"/>
      <c r="AZ23" s="181" t="s">
        <v>488</v>
      </c>
      <c r="BA23" s="181"/>
      <c r="BB23" s="181"/>
      <c r="BC23" s="181"/>
      <c r="BD23" s="181"/>
      <c r="BE23" s="182"/>
      <c r="BF23" s="181" t="s">
        <v>517</v>
      </c>
      <c r="BG23" s="181"/>
      <c r="BH23" s="181"/>
      <c r="BI23" s="181"/>
      <c r="BJ23" s="181"/>
      <c r="BK23" s="182"/>
      <c r="BL23" s="181" t="s">
        <v>518</v>
      </c>
      <c r="BM23" s="181"/>
      <c r="BN23" s="181"/>
      <c r="BO23" s="181"/>
      <c r="BP23" s="181"/>
      <c r="BQ23" s="182"/>
      <c r="BR23" s="181" t="s">
        <v>519</v>
      </c>
      <c r="BS23" s="181"/>
      <c r="BT23" s="181"/>
      <c r="BU23" s="181"/>
      <c r="BV23" s="181"/>
      <c r="BW23" s="182"/>
    </row>
    <row r="24" spans="2:75" x14ac:dyDescent="0.3">
      <c r="B24" s="197"/>
      <c r="C24" s="197"/>
      <c r="D24" s="197"/>
      <c r="E24" s="46" t="s">
        <v>480</v>
      </c>
      <c r="F24" s="46" t="s">
        <v>490</v>
      </c>
      <c r="G24" s="46" t="s">
        <v>480</v>
      </c>
      <c r="H24" s="46" t="s">
        <v>490</v>
      </c>
      <c r="I24" s="198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0.25</v>
      </c>
      <c r="M30" s="78">
        <f t="shared" si="3"/>
        <v>1.5833333333333333</v>
      </c>
      <c r="N30" s="78">
        <f t="shared" si="3"/>
        <v>2.6041666666666665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0.2608695652173913</v>
      </c>
      <c r="S30" s="78">
        <f t="shared" si="4"/>
        <v>1.7391304347826086</v>
      </c>
      <c r="T30" s="78">
        <f t="shared" si="4"/>
        <v>2.3913043478260869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0.19565217391304349</v>
      </c>
      <c r="Y30" s="78">
        <f t="shared" si="19"/>
        <v>1.9130434782608696</v>
      </c>
      <c r="Z30" s="78">
        <f t="shared" si="19"/>
        <v>2.2826086956521738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0.2608695652173913</v>
      </c>
      <c r="AE30" s="78">
        <f t="shared" si="20"/>
        <v>1.9130434782608696</v>
      </c>
      <c r="AF30" s="78">
        <f t="shared" si="20"/>
        <v>2.1739130434782608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0.52500000000000002</v>
      </c>
      <c r="AK30" s="78">
        <f t="shared" si="24"/>
        <v>2.1</v>
      </c>
      <c r="AL30" s="78">
        <f t="shared" si="24"/>
        <v>1.5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0.47727272727272729</v>
      </c>
      <c r="AQ30" s="78">
        <f>IF(AND(AQ12&lt;&gt;"",AQ12&gt;0),(VLOOKUP(AQ$6,$CC$6:$CE$12,3,0)*AQ12)/SUM($AN12:$AR12),0)</f>
        <v>2.0909090909090908</v>
      </c>
      <c r="AR30" s="78">
        <f t="shared" si="8"/>
        <v>1.5909090909090908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0.17142857142857143</v>
      </c>
      <c r="AW30" s="78">
        <f t="shared" si="9"/>
        <v>1.9428571428571428</v>
      </c>
      <c r="AX30" s="78">
        <f t="shared" si="9"/>
        <v>2.2857142857142856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0.18181818181818182</v>
      </c>
      <c r="BC30" s="78">
        <f t="shared" si="10"/>
        <v>1.8181818181818181</v>
      </c>
      <c r="BD30" s="78">
        <f t="shared" si="10"/>
        <v>2.4242424242424243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0.1875</v>
      </c>
      <c r="BI30" s="78">
        <f t="shared" si="33"/>
        <v>2.625</v>
      </c>
      <c r="BJ30" s="78">
        <f>IF(AND(BJ12&lt;&gt;"",BJ12&gt;0),(VLOOKUP(BJ$6,$CC$6:$CE$12,3,0)*BJ12)/SUM($BF12:$BJ12),0)</f>
        <v>1.40625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502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88" t="s">
        <v>474</v>
      </c>
      <c r="F43" s="190" t="s">
        <v>5</v>
      </c>
      <c r="G43" s="191"/>
      <c r="H43" s="191"/>
      <c r="I43" s="192"/>
      <c r="J43" s="186" t="s">
        <v>503</v>
      </c>
      <c r="K43" s="184"/>
      <c r="L43" s="184"/>
      <c r="M43" s="184"/>
      <c r="N43" s="184"/>
      <c r="O43" s="184"/>
      <c r="P43" s="184"/>
      <c r="Q43" s="184"/>
      <c r="R43" s="184"/>
      <c r="S43" s="184"/>
      <c r="T43" s="184"/>
    </row>
    <row r="44" spans="2:75" x14ac:dyDescent="0.3">
      <c r="E44" s="189"/>
      <c r="F44" s="193"/>
      <c r="G44" s="194"/>
      <c r="H44" s="194"/>
      <c r="I44" s="195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504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500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67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4.4375</v>
      </c>
      <c r="K50" s="96">
        <f t="shared" si="52"/>
        <v>4.3913043478260869</v>
      </c>
      <c r="L50" s="96">
        <f t="shared" si="53"/>
        <v>4.3913043478260869</v>
      </c>
      <c r="M50" s="96">
        <f t="shared" si="54"/>
        <v>4.3478260869565215</v>
      </c>
      <c r="N50" s="96">
        <f t="shared" si="55"/>
        <v>4.125</v>
      </c>
      <c r="O50" s="96">
        <f t="shared" si="56"/>
        <v>4.1590909090909092</v>
      </c>
      <c r="P50" s="96">
        <f t="shared" si="57"/>
        <v>4.4000000000000004</v>
      </c>
      <c r="Q50" s="96">
        <f t="shared" si="59"/>
        <v>4.4242424242424239</v>
      </c>
      <c r="R50" s="141">
        <f t="shared" si="60"/>
        <v>4.21875</v>
      </c>
      <c r="S50" s="141">
        <f>SUM(BL30:BQ30)</f>
        <v>0</v>
      </c>
      <c r="T50" s="141">
        <f t="shared" si="62"/>
        <v>0</v>
      </c>
      <c r="U50" s="97">
        <f t="shared" si="58"/>
        <v>4.3345335144927537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93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85" t="s">
        <v>489</v>
      </c>
      <c r="K57" s="185"/>
      <c r="L57" s="185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505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9" priority="9">
      <formula>J7=""</formula>
    </cfRule>
  </conditionalFormatting>
  <conditionalFormatting sqref="J25:BE35">
    <cfRule type="expression" dxfId="18" priority="8">
      <formula>J25=0</formula>
    </cfRule>
  </conditionalFormatting>
  <conditionalFormatting sqref="BF7:BK17">
    <cfRule type="expression" dxfId="17" priority="7">
      <formula>BF7=""</formula>
    </cfRule>
  </conditionalFormatting>
  <conditionalFormatting sqref="BL7:BQ17">
    <cfRule type="expression" dxfId="16" priority="6">
      <formula>BL7=""</formula>
    </cfRule>
  </conditionalFormatting>
  <conditionalFormatting sqref="BR7:BW17">
    <cfRule type="expression" dxfId="15" priority="5">
      <formula>BR7=""</formula>
    </cfRule>
  </conditionalFormatting>
  <conditionalFormatting sqref="BL25:BQ35">
    <cfRule type="expression" dxfId="14" priority="3">
      <formula>BL25=0</formula>
    </cfRule>
  </conditionalFormatting>
  <conditionalFormatting sqref="BR25:BW35">
    <cfRule type="expression" dxfId="13" priority="2">
      <formula>BR25=0</formula>
    </cfRule>
  </conditionalFormatting>
  <conditionalFormatting sqref="BF25:BK35">
    <cfRule type="expression" dxfId="12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A7" sqref="A7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.88671875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6" t="s">
        <v>474</v>
      </c>
      <c r="C4" s="196" t="s">
        <v>5</v>
      </c>
      <c r="D4" s="196" t="s">
        <v>475</v>
      </c>
      <c r="E4" s="185" t="s">
        <v>476</v>
      </c>
      <c r="F4" s="185"/>
      <c r="G4" s="185"/>
      <c r="H4" s="185"/>
      <c r="I4" s="183" t="s">
        <v>477</v>
      </c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84"/>
      <c r="BT4" s="184"/>
      <c r="BU4" s="184"/>
      <c r="BV4" s="184"/>
      <c r="BW4" s="184"/>
    </row>
    <row r="5" spans="2:83" x14ac:dyDescent="0.3">
      <c r="B5" s="196"/>
      <c r="C5" s="196"/>
      <c r="D5" s="196"/>
      <c r="E5" s="185" t="s">
        <v>478</v>
      </c>
      <c r="F5" s="185"/>
      <c r="G5" s="45" t="s">
        <v>479</v>
      </c>
      <c r="H5" s="45"/>
      <c r="I5" s="198" t="s">
        <v>480</v>
      </c>
      <c r="J5" s="187" t="s">
        <v>481</v>
      </c>
      <c r="K5" s="181"/>
      <c r="L5" s="181"/>
      <c r="M5" s="181"/>
      <c r="N5" s="181"/>
      <c r="O5" s="181"/>
      <c r="P5" s="181" t="s">
        <v>482</v>
      </c>
      <c r="Q5" s="181"/>
      <c r="R5" s="181"/>
      <c r="S5" s="181"/>
      <c r="T5" s="181"/>
      <c r="U5" s="181"/>
      <c r="V5" s="181" t="s">
        <v>483</v>
      </c>
      <c r="W5" s="181"/>
      <c r="X5" s="181"/>
      <c r="Y5" s="181"/>
      <c r="Z5" s="181"/>
      <c r="AA5" s="181"/>
      <c r="AB5" s="181" t="s">
        <v>484</v>
      </c>
      <c r="AC5" s="181"/>
      <c r="AD5" s="181"/>
      <c r="AE5" s="181"/>
      <c r="AF5" s="181"/>
      <c r="AG5" s="181"/>
      <c r="AH5" s="181" t="s">
        <v>485</v>
      </c>
      <c r="AI5" s="181"/>
      <c r="AJ5" s="181"/>
      <c r="AK5" s="181"/>
      <c r="AL5" s="181"/>
      <c r="AM5" s="181"/>
      <c r="AN5" s="181" t="s">
        <v>486</v>
      </c>
      <c r="AO5" s="181"/>
      <c r="AP5" s="181"/>
      <c r="AQ5" s="181"/>
      <c r="AR5" s="181"/>
      <c r="AS5" s="181"/>
      <c r="AT5" s="181" t="s">
        <v>487</v>
      </c>
      <c r="AU5" s="181"/>
      <c r="AV5" s="181"/>
      <c r="AW5" s="181"/>
      <c r="AX5" s="181"/>
      <c r="AY5" s="181"/>
      <c r="AZ5" s="181" t="s">
        <v>488</v>
      </c>
      <c r="BA5" s="181"/>
      <c r="BB5" s="181"/>
      <c r="BC5" s="181"/>
      <c r="BD5" s="181"/>
      <c r="BE5" s="182"/>
      <c r="BF5" s="181" t="s">
        <v>517</v>
      </c>
      <c r="BG5" s="181"/>
      <c r="BH5" s="181"/>
      <c r="BI5" s="181"/>
      <c r="BJ5" s="181"/>
      <c r="BK5" s="182"/>
      <c r="BL5" s="181" t="s">
        <v>518</v>
      </c>
      <c r="BM5" s="181"/>
      <c r="BN5" s="181"/>
      <c r="BO5" s="181"/>
      <c r="BP5" s="181"/>
      <c r="BQ5" s="182"/>
      <c r="BR5" s="181" t="s">
        <v>519</v>
      </c>
      <c r="BS5" s="181"/>
      <c r="BT5" s="181"/>
      <c r="BU5" s="181"/>
      <c r="BV5" s="181"/>
      <c r="BW5" s="182"/>
      <c r="CC5" s="185" t="s">
        <v>489</v>
      </c>
      <c r="CD5" s="185"/>
      <c r="CE5" s="185"/>
    </row>
    <row r="6" spans="2:83" x14ac:dyDescent="0.3">
      <c r="B6" s="197"/>
      <c r="C6" s="197"/>
      <c r="D6" s="197"/>
      <c r="E6" s="46" t="s">
        <v>480</v>
      </c>
      <c r="F6" s="46" t="s">
        <v>490</v>
      </c>
      <c r="G6" s="46" t="s">
        <v>480</v>
      </c>
      <c r="H6" s="46" t="s">
        <v>490</v>
      </c>
      <c r="I6" s="198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L7">
        <v>1</v>
      </c>
      <c r="M7">
        <v>4</v>
      </c>
      <c r="N7">
        <v>4</v>
      </c>
      <c r="P7" s="56"/>
      <c r="R7">
        <v>1</v>
      </c>
      <c r="S7">
        <v>4</v>
      </c>
      <c r="T7">
        <v>2</v>
      </c>
      <c r="U7" s="57">
        <v>2</v>
      </c>
      <c r="V7" s="56"/>
      <c r="X7">
        <v>1</v>
      </c>
      <c r="Y7">
        <v>4</v>
      </c>
      <c r="Z7">
        <v>3</v>
      </c>
      <c r="AA7" s="57">
        <v>1</v>
      </c>
      <c r="AB7" s="56"/>
      <c r="AD7">
        <v>1</v>
      </c>
      <c r="AE7">
        <v>3</v>
      </c>
      <c r="AF7">
        <v>4</v>
      </c>
      <c r="AG7" s="57">
        <v>1</v>
      </c>
      <c r="AH7" s="56"/>
      <c r="AJ7">
        <v>1</v>
      </c>
      <c r="AK7">
        <v>3</v>
      </c>
      <c r="AL7">
        <v>2</v>
      </c>
      <c r="AM7" s="57">
        <v>3</v>
      </c>
      <c r="AN7" s="56"/>
      <c r="AP7">
        <v>1</v>
      </c>
      <c r="AQ7">
        <v>2</v>
      </c>
      <c r="AR7">
        <v>4</v>
      </c>
      <c r="AS7" s="57">
        <v>2</v>
      </c>
      <c r="AT7" s="56"/>
      <c r="AW7">
        <v>5</v>
      </c>
      <c r="AX7">
        <v>1</v>
      </c>
      <c r="AY7" s="57">
        <v>3</v>
      </c>
      <c r="AZ7" s="56"/>
      <c r="BC7">
        <v>3</v>
      </c>
      <c r="BD7">
        <v>3</v>
      </c>
      <c r="BE7" s="57">
        <v>3</v>
      </c>
      <c r="BF7" s="56"/>
      <c r="BI7">
        <v>4</v>
      </c>
      <c r="BK7" s="57">
        <v>5</v>
      </c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M8">
        <v>4</v>
      </c>
      <c r="N8">
        <v>11</v>
      </c>
      <c r="P8" s="56"/>
      <c r="S8">
        <v>6</v>
      </c>
      <c r="T8">
        <v>9</v>
      </c>
      <c r="U8" s="57"/>
      <c r="V8" s="56"/>
      <c r="Y8">
        <v>3</v>
      </c>
      <c r="Z8">
        <v>11</v>
      </c>
      <c r="AA8" s="57">
        <v>1</v>
      </c>
      <c r="AB8" s="56"/>
      <c r="AE8">
        <v>6</v>
      </c>
      <c r="AF8">
        <v>8</v>
      </c>
      <c r="AG8" s="57">
        <v>1</v>
      </c>
      <c r="AH8" s="56"/>
      <c r="AK8">
        <v>6</v>
      </c>
      <c r="AL8">
        <v>7</v>
      </c>
      <c r="AM8" s="57">
        <v>2</v>
      </c>
      <c r="AN8" s="56"/>
      <c r="AQ8">
        <v>7</v>
      </c>
      <c r="AR8">
        <v>7</v>
      </c>
      <c r="AS8" s="57">
        <v>1</v>
      </c>
      <c r="AT8" s="56"/>
      <c r="AW8">
        <v>2</v>
      </c>
      <c r="AX8">
        <v>10</v>
      </c>
      <c r="AY8" s="57">
        <v>3</v>
      </c>
      <c r="AZ8" s="56"/>
      <c r="BC8">
        <v>4</v>
      </c>
      <c r="BD8">
        <v>7</v>
      </c>
      <c r="BE8" s="57">
        <v>4</v>
      </c>
      <c r="BF8" s="56"/>
      <c r="BI8">
        <v>7</v>
      </c>
      <c r="BJ8">
        <v>4</v>
      </c>
      <c r="BK8" s="57">
        <v>4</v>
      </c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M9">
        <v>2</v>
      </c>
      <c r="P9" s="56"/>
      <c r="S9">
        <v>2</v>
      </c>
      <c r="U9" s="57"/>
      <c r="V9" s="56"/>
      <c r="Y9">
        <v>2</v>
      </c>
      <c r="AA9" s="57"/>
      <c r="AB9" s="56"/>
      <c r="AE9">
        <v>2</v>
      </c>
      <c r="AG9" s="57"/>
      <c r="AH9" s="56"/>
      <c r="AK9">
        <v>2</v>
      </c>
      <c r="AM9" s="57"/>
      <c r="AN9" s="56"/>
      <c r="AQ9">
        <v>2</v>
      </c>
      <c r="AS9" s="57"/>
      <c r="AT9" s="56"/>
      <c r="AW9">
        <v>2</v>
      </c>
      <c r="AY9" s="57"/>
      <c r="AZ9" s="56"/>
      <c r="BC9">
        <v>2</v>
      </c>
      <c r="BE9" s="57"/>
      <c r="BF9" s="56"/>
      <c r="BI9">
        <v>2</v>
      </c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L10">
        <v>2</v>
      </c>
      <c r="M10">
        <v>5</v>
      </c>
      <c r="N10">
        <v>2</v>
      </c>
      <c r="P10" s="56"/>
      <c r="R10">
        <v>3</v>
      </c>
      <c r="S10">
        <v>4</v>
      </c>
      <c r="T10">
        <v>2</v>
      </c>
      <c r="U10" s="57"/>
      <c r="V10" s="56"/>
      <c r="X10">
        <v>2</v>
      </c>
      <c r="Y10">
        <v>5</v>
      </c>
      <c r="Z10">
        <v>2</v>
      </c>
      <c r="AA10" s="57"/>
      <c r="AB10" s="56"/>
      <c r="AD10">
        <v>3</v>
      </c>
      <c r="AE10">
        <v>5</v>
      </c>
      <c r="AF10">
        <v>1</v>
      </c>
      <c r="AG10" s="57"/>
      <c r="AH10" s="56"/>
      <c r="AJ10">
        <v>4</v>
      </c>
      <c r="AK10">
        <v>3</v>
      </c>
      <c r="AM10" s="57">
        <v>2</v>
      </c>
      <c r="AN10" s="56"/>
      <c r="AP10">
        <v>4</v>
      </c>
      <c r="AQ10">
        <v>4</v>
      </c>
      <c r="AS10" s="57">
        <v>1</v>
      </c>
      <c r="AT10" s="56"/>
      <c r="AV10">
        <v>2</v>
      </c>
      <c r="AW10">
        <v>4</v>
      </c>
      <c r="AX10">
        <v>3</v>
      </c>
      <c r="AY10" s="57"/>
      <c r="AZ10" s="56"/>
      <c r="BB10">
        <v>2</v>
      </c>
      <c r="BC10">
        <v>3</v>
      </c>
      <c r="BD10">
        <v>4</v>
      </c>
      <c r="BE10" s="57"/>
      <c r="BF10" s="56"/>
      <c r="BH10">
        <v>2</v>
      </c>
      <c r="BI10">
        <v>4</v>
      </c>
      <c r="BJ10">
        <v>3</v>
      </c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L11">
        <v>1</v>
      </c>
      <c r="M11">
        <v>4</v>
      </c>
      <c r="N11">
        <v>8</v>
      </c>
      <c r="P11" s="56"/>
      <c r="S11">
        <v>4</v>
      </c>
      <c r="T11">
        <v>9</v>
      </c>
      <c r="U11" s="57"/>
      <c r="V11" s="56"/>
      <c r="Y11">
        <v>8</v>
      </c>
      <c r="Z11">
        <v>5</v>
      </c>
      <c r="AA11" s="57"/>
      <c r="AB11" s="56"/>
      <c r="AE11">
        <v>6</v>
      </c>
      <c r="AF11">
        <v>7</v>
      </c>
      <c r="AG11" s="57"/>
      <c r="AH11" s="56"/>
      <c r="AJ11">
        <v>2</v>
      </c>
      <c r="AK11">
        <v>7</v>
      </c>
      <c r="AL11">
        <v>3</v>
      </c>
      <c r="AM11" s="57">
        <v>1</v>
      </c>
      <c r="AN11" s="56"/>
      <c r="AP11">
        <v>2</v>
      </c>
      <c r="AQ11">
        <v>8</v>
      </c>
      <c r="AR11">
        <v>3</v>
      </c>
      <c r="AS11" s="57"/>
      <c r="AT11" s="56"/>
      <c r="AW11">
        <v>4</v>
      </c>
      <c r="AX11">
        <v>2</v>
      </c>
      <c r="AY11" s="57">
        <v>7</v>
      </c>
      <c r="AZ11" s="56"/>
      <c r="BC11">
        <v>3</v>
      </c>
      <c r="BD11">
        <v>2</v>
      </c>
      <c r="BE11" s="57">
        <v>8</v>
      </c>
      <c r="BF11" s="56"/>
      <c r="BI11">
        <v>4</v>
      </c>
      <c r="BJ11">
        <v>2</v>
      </c>
      <c r="BK11" s="57">
        <v>7</v>
      </c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AC12" t="s">
        <v>640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634</v>
      </c>
      <c r="C14" s="74"/>
      <c r="E14" s="72"/>
      <c r="F14" s="72"/>
      <c r="G14" s="72"/>
      <c r="H14" s="72"/>
      <c r="O14" t="s">
        <v>635</v>
      </c>
    </row>
    <row r="16" spans="2:83" x14ac:dyDescent="0.3">
      <c r="B16" s="196" t="s">
        <v>474</v>
      </c>
      <c r="C16" s="196" t="s">
        <v>5</v>
      </c>
      <c r="D16" s="196" t="s">
        <v>475</v>
      </c>
      <c r="E16" s="185" t="s">
        <v>476</v>
      </c>
      <c r="F16" s="185"/>
      <c r="G16" s="185"/>
      <c r="H16" s="185"/>
      <c r="I16" s="183" t="s">
        <v>477</v>
      </c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4"/>
      <c r="BE16" s="184"/>
      <c r="BF16" s="184"/>
      <c r="BG16" s="184"/>
      <c r="BH16" s="184"/>
      <c r="BI16" s="184"/>
      <c r="BJ16" s="184"/>
      <c r="BK16" s="184"/>
      <c r="BL16" s="184"/>
      <c r="BM16" s="184"/>
      <c r="BN16" s="184"/>
      <c r="BO16" s="184"/>
      <c r="BP16" s="184"/>
      <c r="BQ16" s="184"/>
      <c r="BR16" s="184"/>
      <c r="BS16" s="184"/>
      <c r="BT16" s="184"/>
      <c r="BU16" s="184"/>
      <c r="BV16" s="184"/>
      <c r="BW16" s="184"/>
    </row>
    <row r="17" spans="2:75" x14ac:dyDescent="0.3">
      <c r="B17" s="196"/>
      <c r="C17" s="196"/>
      <c r="D17" s="196"/>
      <c r="E17" s="185" t="s">
        <v>478</v>
      </c>
      <c r="F17" s="185"/>
      <c r="G17" s="45" t="s">
        <v>479</v>
      </c>
      <c r="H17" s="45"/>
      <c r="I17" s="198" t="s">
        <v>480</v>
      </c>
      <c r="J17" s="187" t="s">
        <v>481</v>
      </c>
      <c r="K17" s="181"/>
      <c r="L17" s="181"/>
      <c r="M17" s="181"/>
      <c r="N17" s="181"/>
      <c r="O17" s="181"/>
      <c r="P17" s="181" t="s">
        <v>482</v>
      </c>
      <c r="Q17" s="181"/>
      <c r="R17" s="181"/>
      <c r="S17" s="181"/>
      <c r="T17" s="181"/>
      <c r="U17" s="181"/>
      <c r="V17" s="181" t="s">
        <v>483</v>
      </c>
      <c r="W17" s="181"/>
      <c r="X17" s="181"/>
      <c r="Y17" s="181"/>
      <c r="Z17" s="181"/>
      <c r="AA17" s="181"/>
      <c r="AB17" s="181" t="s">
        <v>484</v>
      </c>
      <c r="AC17" s="181"/>
      <c r="AD17" s="181"/>
      <c r="AE17" s="181"/>
      <c r="AF17" s="181"/>
      <c r="AG17" s="181"/>
      <c r="AH17" s="181" t="s">
        <v>485</v>
      </c>
      <c r="AI17" s="181"/>
      <c r="AJ17" s="181"/>
      <c r="AK17" s="181"/>
      <c r="AL17" s="181"/>
      <c r="AM17" s="181"/>
      <c r="AN17" s="181" t="s">
        <v>486</v>
      </c>
      <c r="AO17" s="181"/>
      <c r="AP17" s="181"/>
      <c r="AQ17" s="181"/>
      <c r="AR17" s="181"/>
      <c r="AS17" s="181"/>
      <c r="AT17" s="181" t="s">
        <v>487</v>
      </c>
      <c r="AU17" s="181"/>
      <c r="AV17" s="181"/>
      <c r="AW17" s="181"/>
      <c r="AX17" s="181"/>
      <c r="AY17" s="181"/>
      <c r="AZ17" s="181" t="s">
        <v>488</v>
      </c>
      <c r="BA17" s="181"/>
      <c r="BB17" s="181"/>
      <c r="BC17" s="181"/>
      <c r="BD17" s="181"/>
      <c r="BE17" s="182"/>
      <c r="BF17" s="181" t="s">
        <v>517</v>
      </c>
      <c r="BG17" s="181"/>
      <c r="BH17" s="181"/>
      <c r="BI17" s="181"/>
      <c r="BJ17" s="181"/>
      <c r="BK17" s="182"/>
      <c r="BL17" s="181" t="s">
        <v>518</v>
      </c>
      <c r="BM17" s="181"/>
      <c r="BN17" s="181"/>
      <c r="BO17" s="181"/>
      <c r="BP17" s="181"/>
      <c r="BQ17" s="182"/>
      <c r="BR17" s="181" t="s">
        <v>519</v>
      </c>
      <c r="BS17" s="181"/>
      <c r="BT17" s="181"/>
      <c r="BU17" s="181"/>
      <c r="BV17" s="181"/>
      <c r="BW17" s="182"/>
    </row>
    <row r="18" spans="2:75" x14ac:dyDescent="0.3">
      <c r="B18" s="197"/>
      <c r="C18" s="197"/>
      <c r="D18" s="197"/>
      <c r="E18" s="46" t="s">
        <v>480</v>
      </c>
      <c r="F18" s="46" t="s">
        <v>490</v>
      </c>
      <c r="G18" s="46" t="s">
        <v>480</v>
      </c>
      <c r="H18" s="46" t="s">
        <v>490</v>
      </c>
      <c r="I18" s="198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0.33333333333333331</v>
      </c>
      <c r="M19" s="78">
        <f>IF(AND(M7&lt;&gt;"",M7&gt;0),(VLOOKUP(M$6,$CC$6:$CE$12,3,0)*M7)/SUM($J7:$N7),0)</f>
        <v>1.7777777777777777</v>
      </c>
      <c r="N19" s="78">
        <f>IF(AND(N7&lt;&gt;"",N7&gt;0),(VLOOKUP(N$6,$CC$6:$CE$12,3,0)*N7)/SUM($J7:$N7),0)</f>
        <v>2.2222222222222223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0.42857142857142855</v>
      </c>
      <c r="S19" s="78">
        <f t="shared" si="2"/>
        <v>2.2857142857142856</v>
      </c>
      <c r="T19" s="78">
        <f t="shared" si="2"/>
        <v>1.4285714285714286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0.375</v>
      </c>
      <c r="Y19" s="78">
        <f t="shared" si="4"/>
        <v>2</v>
      </c>
      <c r="Z19" s="78">
        <f t="shared" si="4"/>
        <v>1.875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0.375</v>
      </c>
      <c r="AE19" s="78">
        <f t="shared" si="5"/>
        <v>1.5</v>
      </c>
      <c r="AF19" s="78">
        <f t="shared" si="5"/>
        <v>2.5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0.5</v>
      </c>
      <c r="AK19" s="78">
        <f t="shared" si="6"/>
        <v>2</v>
      </c>
      <c r="AL19" s="78">
        <f t="shared" si="6"/>
        <v>1.6666666666666667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0.42857142857142855</v>
      </c>
      <c r="AQ19" s="78">
        <f t="shared" si="7"/>
        <v>1.1428571428571428</v>
      </c>
      <c r="AR19" s="78">
        <f t="shared" si="7"/>
        <v>2.8571428571428572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3.3333333333333335</v>
      </c>
      <c r="AX19" s="78">
        <f t="shared" si="8"/>
        <v>0.83333333333333337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2</v>
      </c>
      <c r="BD19" s="78">
        <f t="shared" si="9"/>
        <v>2.5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4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1.0666666666666667</v>
      </c>
      <c r="N20" s="78">
        <f t="shared" ref="N20" si="13">IF(AND(N8&lt;&gt;"",N8&gt;0),(VLOOKUP(N$6,$CC$6:$CE$12,3,0)*N8)/SUM($J8:$N8),0)</f>
        <v>3.6666666666666665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1.6</v>
      </c>
      <c r="T20" s="78">
        <f t="shared" si="2"/>
        <v>3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0.8571428571428571</v>
      </c>
      <c r="Z20" s="78">
        <f t="shared" si="4"/>
        <v>3.9285714285714284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1.7142857142857142</v>
      </c>
      <c r="AF20" s="78">
        <f t="shared" si="5"/>
        <v>2.8571428571428572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1.8461538461538463</v>
      </c>
      <c r="AL20" s="78">
        <f t="shared" si="6"/>
        <v>2.6923076923076925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2</v>
      </c>
      <c r="AR20" s="78">
        <f t="shared" si="7"/>
        <v>2.5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0.66666666666666663</v>
      </c>
      <c r="AX20" s="78">
        <f>IF(AND(AX8&lt;&gt;"",AX8&gt;0),(VLOOKUP(AX$6,$CC$6:$CE$11,3,0)*AX8)/SUM($AT8:$AX8),0)</f>
        <v>4.166666666666667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1.4545454545454546</v>
      </c>
      <c r="BD20" s="78">
        <f t="shared" si="9"/>
        <v>3.1818181818181817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2.5454545454545454</v>
      </c>
      <c r="BJ20" s="78">
        <f>IF(AND(BJ8&lt;&gt;"",BJ8&gt;0),(VLOOKUP(BJ$6,$CC$6:$CE$12,3,0)*BJ8)/SUM($BF8:$BJ8),0)</f>
        <v>1.8181818181818181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4</v>
      </c>
      <c r="N21" s="78">
        <f t="shared" si="23"/>
        <v>0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4</v>
      </c>
      <c r="T21" s="78">
        <f t="shared" si="2"/>
        <v>0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4</v>
      </c>
      <c r="Z21" s="78">
        <f t="shared" si="4"/>
        <v>0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4</v>
      </c>
      <c r="AF21" s="78">
        <f t="shared" si="5"/>
        <v>0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4</v>
      </c>
      <c r="AL21" s="78">
        <f t="shared" si="6"/>
        <v>0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4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4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4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4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0.66666666666666663</v>
      </c>
      <c r="M22" s="78">
        <f t="shared" ref="M22:N22" si="27">IF(AND(M10&lt;&gt;"",M10&gt;0),(VLOOKUP(M$6,$CC$6:$CE$12,3,0)*M10)/SUM($J10:$N10),0)</f>
        <v>2.2222222222222223</v>
      </c>
      <c r="N22" s="78">
        <f t="shared" si="27"/>
        <v>1.1111111111111112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1</v>
      </c>
      <c r="S22" s="78">
        <f t="shared" si="2"/>
        <v>1.7777777777777777</v>
      </c>
      <c r="T22" s="78">
        <f t="shared" si="2"/>
        <v>1.1111111111111112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0.66666666666666663</v>
      </c>
      <c r="Y22" s="78">
        <f t="shared" si="4"/>
        <v>2.2222222222222223</v>
      </c>
      <c r="Z22" s="78">
        <f t="shared" si="4"/>
        <v>1.1111111111111112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1</v>
      </c>
      <c r="AE22" s="78">
        <f t="shared" si="5"/>
        <v>2.2222222222222223</v>
      </c>
      <c r="AF22" s="78">
        <f t="shared" si="5"/>
        <v>0.55555555555555558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1.7142857142857142</v>
      </c>
      <c r="AK22" s="78">
        <f t="shared" si="6"/>
        <v>1.7142857142857142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1.5</v>
      </c>
      <c r="AQ22" s="78">
        <f t="shared" si="7"/>
        <v>2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0.66666666666666663</v>
      </c>
      <c r="AW22" s="78">
        <f t="shared" si="8"/>
        <v>1.7777777777777777</v>
      </c>
      <c r="AX22" s="78">
        <f t="shared" si="8"/>
        <v>1.6666666666666667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0.66666666666666663</v>
      </c>
      <c r="BC22" s="78">
        <f t="shared" si="9"/>
        <v>1.3333333333333333</v>
      </c>
      <c r="BD22" s="78">
        <f t="shared" si="9"/>
        <v>2.2222222222222223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0.66666666666666663</v>
      </c>
      <c r="BI22" s="78">
        <f t="shared" si="20"/>
        <v>1.7777777777777777</v>
      </c>
      <c r="BJ22" s="78">
        <f>IF(AND(BJ10&lt;&gt;"",BJ10&gt;0),(VLOOKUP(BJ$6,$CC$6:$CE$12,3,0)*BJ10)/SUM($BF10:$BJ10),0)</f>
        <v>1.6666666666666667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0.23076923076923078</v>
      </c>
      <c r="M23" s="78">
        <f t="shared" ref="M23:N23" si="30">IF(AND(M11&lt;&gt;"",M11&gt;0),(VLOOKUP(M$6,$CC$6:$CE$12,3,0)*M11)/SUM($J11:$N11),0)</f>
        <v>1.2307692307692308</v>
      </c>
      <c r="N23" s="78">
        <f t="shared" si="30"/>
        <v>3.0769230769230771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1.2307692307692308</v>
      </c>
      <c r="T23" s="78">
        <f t="shared" si="2"/>
        <v>3.4615384615384617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2.4615384615384617</v>
      </c>
      <c r="Z23" s="78">
        <f t="shared" si="4"/>
        <v>1.9230769230769231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1.8461538461538463</v>
      </c>
      <c r="AF23" s="78">
        <f t="shared" si="5"/>
        <v>2.6923076923076925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0.5</v>
      </c>
      <c r="AK23" s="78">
        <f t="shared" si="6"/>
        <v>2.3333333333333335</v>
      </c>
      <c r="AL23" s="78">
        <f t="shared" si="6"/>
        <v>1.25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0.46153846153846156</v>
      </c>
      <c r="AQ23" s="78">
        <f t="shared" si="7"/>
        <v>2.4615384615384617</v>
      </c>
      <c r="AR23" s="78">
        <f t="shared" si="7"/>
        <v>1.1538461538461537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2.6666666666666665</v>
      </c>
      <c r="AX23" s="78">
        <f t="shared" si="8"/>
        <v>1.6666666666666667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2.4</v>
      </c>
      <c r="BD23" s="78">
        <f>IF(AND(BD11&lt;&gt;"",BD11&gt;0),(VLOOKUP(BD$6,$CC$6:$CE$11,3,0)*BD11)/SUM($AZ11:$BD11),0)</f>
        <v>2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2.6666666666666665</v>
      </c>
      <c r="BJ23" s="78">
        <f t="shared" si="20"/>
        <v>1.6666666666666667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502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88" t="s">
        <v>474</v>
      </c>
      <c r="F31" s="190" t="s">
        <v>5</v>
      </c>
      <c r="G31" s="191"/>
      <c r="H31" s="191"/>
      <c r="I31" s="192"/>
      <c r="J31" s="186" t="s">
        <v>503</v>
      </c>
      <c r="K31" s="184"/>
      <c r="L31" s="184"/>
      <c r="M31" s="184"/>
      <c r="N31" s="184"/>
      <c r="O31" s="184"/>
      <c r="P31" s="184"/>
      <c r="Q31" s="184"/>
      <c r="R31" s="184"/>
      <c r="S31" s="184"/>
      <c r="T31" s="184"/>
    </row>
    <row r="32" spans="2:75" x14ac:dyDescent="0.3">
      <c r="E32" s="189"/>
      <c r="F32" s="193"/>
      <c r="G32" s="194"/>
      <c r="H32" s="194"/>
      <c r="I32" s="195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504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4.3333333333333339</v>
      </c>
      <c r="K33" s="91">
        <f>SUM(P19:U19)</f>
        <v>4.1428571428571423</v>
      </c>
      <c r="L33" s="91">
        <f>SUM(V19:AA19)</f>
        <v>4.25</v>
      </c>
      <c r="M33" s="91">
        <f>SUM(AB19:AG19)</f>
        <v>4.375</v>
      </c>
      <c r="N33" s="91">
        <f>SUM(AH19:AM19)</f>
        <v>4.166666666666667</v>
      </c>
      <c r="O33" s="91">
        <f>SUM(AN19:AS19)</f>
        <v>4.4285714285714288</v>
      </c>
      <c r="P33" s="91">
        <f>SUM(AT19:AY19)</f>
        <v>4.166666666666667</v>
      </c>
      <c r="Q33" s="91">
        <f>SUM(AZ19:BE19)</f>
        <v>4.5</v>
      </c>
      <c r="R33" s="91">
        <f>SUM(BF19:BK19)</f>
        <v>4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4.2953869047619051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4.7333333333333334</v>
      </c>
      <c r="K34" s="96">
        <f>SUM(P20:U20)</f>
        <v>4.5999999999999996</v>
      </c>
      <c r="L34" s="96">
        <f>SUM(V20:AA20)</f>
        <v>4.7857142857142856</v>
      </c>
      <c r="M34" s="96">
        <f>SUM(AB20:AG20)</f>
        <v>4.5714285714285712</v>
      </c>
      <c r="N34" s="96">
        <f>SUM(AH20:AM20)</f>
        <v>4.5384615384615383</v>
      </c>
      <c r="O34" s="96">
        <f>SUM(AN20:AS20)</f>
        <v>4.5</v>
      </c>
      <c r="P34" s="96">
        <f>SUM(AT20:AY20)</f>
        <v>4.8333333333333339</v>
      </c>
      <c r="Q34" s="96">
        <f>SUM(AZ20:BE20)</f>
        <v>4.6363636363636367</v>
      </c>
      <c r="R34" s="91">
        <f t="shared" ref="R34:R37" si="33">SUM(BF20:BK20)</f>
        <v>4.3636363636363633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4.6498293373293382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4</v>
      </c>
      <c r="K35" s="96">
        <f>SUM(P21:U21)</f>
        <v>4</v>
      </c>
      <c r="L35" s="96">
        <f>SUM(V21:AA21)</f>
        <v>4</v>
      </c>
      <c r="M35" s="96">
        <f>SUM(AB21:AG21)</f>
        <v>4</v>
      </c>
      <c r="N35" s="96">
        <f>SUM(AH21:AM21)</f>
        <v>4</v>
      </c>
      <c r="O35" s="96">
        <f>SUM(AN21:AS21)</f>
        <v>4</v>
      </c>
      <c r="P35" s="96">
        <f>SUM(AT21:AY21)</f>
        <v>4</v>
      </c>
      <c r="Q35" s="96">
        <f>SUM(AZ21:BE21)</f>
        <v>4</v>
      </c>
      <c r="R35" s="91">
        <f t="shared" si="33"/>
        <v>4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4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4</v>
      </c>
      <c r="K36" s="96">
        <f>SUM(P22:U22)</f>
        <v>3.8888888888888888</v>
      </c>
      <c r="L36" s="96">
        <f>SUM(V22:AA22)</f>
        <v>4</v>
      </c>
      <c r="M36" s="96">
        <f>SUM(AB22:AG22)</f>
        <v>3.7777777777777777</v>
      </c>
      <c r="N36" s="96">
        <f>SUM(AH22:AM22)</f>
        <v>3.4285714285714284</v>
      </c>
      <c r="O36" s="96">
        <f>SUM(AN22:AS22)</f>
        <v>3.5</v>
      </c>
      <c r="P36" s="96">
        <f>SUM(AT22:AY22)</f>
        <v>4.1111111111111107</v>
      </c>
      <c r="Q36" s="96">
        <f>SUM(AZ22:BE22)</f>
        <v>4.2222222222222223</v>
      </c>
      <c r="R36" s="91">
        <f>SUM(BF22:BK22)</f>
        <v>4.1111111111111107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3.8660714285714284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4.5384615384615383</v>
      </c>
      <c r="K37" s="96">
        <f>SUM(P23:U23)</f>
        <v>4.6923076923076925</v>
      </c>
      <c r="L37" s="96">
        <f>SUM(V23:AA23)</f>
        <v>4.384615384615385</v>
      </c>
      <c r="M37" s="96">
        <f>SUM(AB23:AG23)</f>
        <v>4.5384615384615383</v>
      </c>
      <c r="N37" s="96">
        <f>SUM(AH23:AM23)</f>
        <v>4.0833333333333339</v>
      </c>
      <c r="O37" s="96">
        <f>SUM(AN23:AS23)</f>
        <v>4.0769230769230766</v>
      </c>
      <c r="P37" s="96">
        <f>SUM(AT23:AY23)</f>
        <v>4.333333333333333</v>
      </c>
      <c r="Q37" s="96">
        <f>SUM(AZ23:BE23)</f>
        <v>4.4000000000000004</v>
      </c>
      <c r="R37" s="91">
        <f t="shared" si="33"/>
        <v>4.333333333333333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4.380929487179487</v>
      </c>
      <c r="V37" s="93"/>
      <c r="X37" s="99">
        <v>4.5289999999999999</v>
      </c>
    </row>
    <row r="39" spans="5:24" ht="15.6" x14ac:dyDescent="0.3">
      <c r="J39" s="185" t="s">
        <v>489</v>
      </c>
      <c r="K39" s="185"/>
      <c r="L39" s="185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505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11" priority="14">
      <formula>J7=""</formula>
    </cfRule>
  </conditionalFormatting>
  <conditionalFormatting sqref="P19:AF23 AH19:BK23 J19:N23">
    <cfRule type="expression" dxfId="10" priority="13">
      <formula>J19=0</formula>
    </cfRule>
  </conditionalFormatting>
  <conditionalFormatting sqref="BF7:BK11">
    <cfRule type="expression" dxfId="9" priority="12">
      <formula>BF7=""</formula>
    </cfRule>
  </conditionalFormatting>
  <conditionalFormatting sqref="BL7:BQ11">
    <cfRule type="expression" dxfId="8" priority="11">
      <formula>BL7=""</formula>
    </cfRule>
  </conditionalFormatting>
  <conditionalFormatting sqref="BR7:BW11">
    <cfRule type="expression" dxfId="7" priority="10">
      <formula>BR7=""</formula>
    </cfRule>
  </conditionalFormatting>
  <conditionalFormatting sqref="O19:O23">
    <cfRule type="expression" dxfId="6" priority="4">
      <formula>O19=0</formula>
    </cfRule>
  </conditionalFormatting>
  <conditionalFormatting sqref="AG19:AG23">
    <cfRule type="expression" dxfId="5" priority="3">
      <formula>AG19=0</formula>
    </cfRule>
  </conditionalFormatting>
  <conditionalFormatting sqref="BL19:BQ23">
    <cfRule type="expression" dxfId="4" priority="2">
      <formula>BL19=0</formula>
    </cfRule>
  </conditionalFormatting>
  <conditionalFormatting sqref="BR19:BW23">
    <cfRule type="expression" dxfId="3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0C41-8E71-4F46-9D09-268F57269049}">
  <sheetPr codeName="Hoja4"/>
  <dimension ref="A1:L17"/>
  <sheetViews>
    <sheetView tabSelected="1" workbookViewId="0">
      <pane ySplit="1" topLeftCell="A2" activePane="bottomLeft" state="frozenSplit"/>
      <selection pane="bottomLeft" activeCell="A21" sqref="A21"/>
    </sheetView>
  </sheetViews>
  <sheetFormatPr baseColWidth="10" defaultRowHeight="14.4" x14ac:dyDescent="0.3"/>
  <cols>
    <col min="1" max="1" width="241.109375" bestFit="1" customWidth="1"/>
  </cols>
  <sheetData>
    <row r="1" spans="1:12" x14ac:dyDescent="0.3">
      <c r="A1" s="154" t="s">
        <v>622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</row>
    <row r="3" spans="1:12" x14ac:dyDescent="0.3">
      <c r="A3" t="s">
        <v>598</v>
      </c>
    </row>
    <row r="4" spans="1:12" x14ac:dyDescent="0.3">
      <c r="A4" t="s">
        <v>600</v>
      </c>
    </row>
    <row r="5" spans="1:12" x14ac:dyDescent="0.3">
      <c r="A5" t="s">
        <v>601</v>
      </c>
    </row>
    <row r="6" spans="1:12" x14ac:dyDescent="0.3">
      <c r="A6" t="s">
        <v>602</v>
      </c>
    </row>
    <row r="7" spans="1:12" x14ac:dyDescent="0.3">
      <c r="A7" t="s">
        <v>603</v>
      </c>
    </row>
    <row r="8" spans="1:12" x14ac:dyDescent="0.3">
      <c r="A8" t="s">
        <v>604</v>
      </c>
    </row>
    <row r="9" spans="1:12" x14ac:dyDescent="0.3">
      <c r="A9" t="s">
        <v>607</v>
      </c>
    </row>
    <row r="10" spans="1:12" x14ac:dyDescent="0.3">
      <c r="A10" t="s">
        <v>608</v>
      </c>
    </row>
    <row r="11" spans="1:12" x14ac:dyDescent="0.3">
      <c r="A11" t="s">
        <v>610</v>
      </c>
    </row>
    <row r="12" spans="1:12" x14ac:dyDescent="0.3">
      <c r="A12" t="s">
        <v>611</v>
      </c>
    </row>
    <row r="13" spans="1:12" x14ac:dyDescent="0.3">
      <c r="A13" t="s">
        <v>612</v>
      </c>
    </row>
    <row r="14" spans="1:12" x14ac:dyDescent="0.3">
      <c r="A14" t="s">
        <v>614</v>
      </c>
    </row>
    <row r="15" spans="1:12" x14ac:dyDescent="0.3">
      <c r="A15" t="s">
        <v>616</v>
      </c>
    </row>
    <row r="16" spans="1:12" x14ac:dyDescent="0.3">
      <c r="A16" t="s">
        <v>618</v>
      </c>
    </row>
    <row r="17" spans="1:1" x14ac:dyDescent="0.3">
      <c r="A17" t="s">
        <v>621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D7C02-D269-4FE2-B2AD-98386122CC2E}">
  <sheetPr codeName="Hoja5"/>
  <dimension ref="A1:I442"/>
  <sheetViews>
    <sheetView topLeftCell="E7" workbookViewId="0">
      <selection activeCell="M15" sqref="M15"/>
    </sheetView>
  </sheetViews>
  <sheetFormatPr baseColWidth="10" defaultRowHeight="14.4" x14ac:dyDescent="0.3"/>
  <cols>
    <col min="1" max="1" width="18.33203125" customWidth="1"/>
    <col min="8" max="8" width="16.5546875" customWidth="1"/>
    <col min="9" max="9" width="18.5546875" bestFit="1" customWidth="1"/>
  </cols>
  <sheetData>
    <row r="1" spans="1:9" x14ac:dyDescent="0.3">
      <c r="A1" t="s">
        <v>585</v>
      </c>
      <c r="B1" t="s">
        <v>452</v>
      </c>
      <c r="C1" t="s">
        <v>625</v>
      </c>
      <c r="D1" t="s">
        <v>58</v>
      </c>
      <c r="E1" t="s">
        <v>5</v>
      </c>
      <c r="F1" t="s">
        <v>633</v>
      </c>
    </row>
    <row r="2" spans="1:9" x14ac:dyDescent="0.3">
      <c r="A2" t="s">
        <v>188</v>
      </c>
      <c r="B2" t="s">
        <v>19</v>
      </c>
      <c r="C2" s="163">
        <v>4</v>
      </c>
      <c r="D2" t="str">
        <f>VLOOKUP(A2,DataUsuario!B:D,2,FALSE)</f>
        <v>Industrial y de Mantenimiento</v>
      </c>
      <c r="E2" t="str">
        <f>VLOOKUP(A2,DataUsuario!B:D,3,FALSE)</f>
        <v>Mantenimiento Industrial</v>
      </c>
      <c r="F2" t="s">
        <v>74</v>
      </c>
    </row>
    <row r="3" spans="1:9" x14ac:dyDescent="0.3">
      <c r="A3" t="s">
        <v>188</v>
      </c>
      <c r="B3" t="s">
        <v>20</v>
      </c>
      <c r="C3" s="163">
        <v>4</v>
      </c>
      <c r="D3" t="str">
        <f>VLOOKUP(A3,DataUsuario!B:D,2,FALSE)</f>
        <v>Industrial y de Mantenimiento</v>
      </c>
      <c r="E3" t="str">
        <f>VLOOKUP(A3,DataUsuario!B:D,3,FALSE)</f>
        <v>Mantenimiento Industrial</v>
      </c>
      <c r="F3" t="s">
        <v>74</v>
      </c>
    </row>
    <row r="4" spans="1:9" x14ac:dyDescent="0.3">
      <c r="A4" t="s">
        <v>188</v>
      </c>
      <c r="B4" t="s">
        <v>21</v>
      </c>
      <c r="C4" s="163">
        <v>4</v>
      </c>
      <c r="D4" t="str">
        <f>VLOOKUP(A4,DataUsuario!B:D,2,FALSE)</f>
        <v>Industrial y de Mantenimiento</v>
      </c>
      <c r="E4" t="str">
        <f>VLOOKUP(A4,DataUsuario!B:D,3,FALSE)</f>
        <v>Mantenimiento Industrial</v>
      </c>
      <c r="F4" t="s">
        <v>74</v>
      </c>
      <c r="G4" t="s">
        <v>19</v>
      </c>
    </row>
    <row r="5" spans="1:9" x14ac:dyDescent="0.3">
      <c r="A5" t="s">
        <v>188</v>
      </c>
      <c r="B5" t="s">
        <v>22</v>
      </c>
      <c r="C5" s="163">
        <v>4</v>
      </c>
      <c r="D5" t="str">
        <f>VLOOKUP(A5,DataUsuario!B:D,2,FALSE)</f>
        <v>Industrial y de Mantenimiento</v>
      </c>
      <c r="E5" t="str">
        <f>VLOOKUP(A5,DataUsuario!B:D,3,FALSE)</f>
        <v>Mantenimiento Industrial</v>
      </c>
      <c r="F5" t="s">
        <v>74</v>
      </c>
      <c r="G5" t="s">
        <v>20</v>
      </c>
    </row>
    <row r="6" spans="1:9" x14ac:dyDescent="0.3">
      <c r="A6" t="s">
        <v>188</v>
      </c>
      <c r="B6" t="s">
        <v>23</v>
      </c>
      <c r="C6" s="163" t="s">
        <v>623</v>
      </c>
      <c r="D6" t="str">
        <f>VLOOKUP(A6,DataUsuario!B:D,2,FALSE)</f>
        <v>Industrial y de Mantenimiento</v>
      </c>
      <c r="E6" t="str">
        <f>VLOOKUP(A6,DataUsuario!B:D,3,FALSE)</f>
        <v>Mantenimiento Industrial</v>
      </c>
      <c r="F6" t="s">
        <v>74</v>
      </c>
      <c r="G6" t="s">
        <v>21</v>
      </c>
    </row>
    <row r="7" spans="1:9" x14ac:dyDescent="0.3">
      <c r="A7" t="s">
        <v>188</v>
      </c>
      <c r="B7" t="s">
        <v>463</v>
      </c>
      <c r="C7" s="163">
        <v>3</v>
      </c>
      <c r="D7" t="str">
        <f>VLOOKUP(A7,DataUsuario!B:D,2,FALSE)</f>
        <v>Industrial y de Mantenimiento</v>
      </c>
      <c r="E7" t="str">
        <f>VLOOKUP(A7,DataUsuario!B:D,3,FALSE)</f>
        <v>Mantenimiento Industrial</v>
      </c>
      <c r="F7" t="s">
        <v>74</v>
      </c>
      <c r="G7" t="s">
        <v>22</v>
      </c>
    </row>
    <row r="8" spans="1:9" x14ac:dyDescent="0.3">
      <c r="A8" t="s">
        <v>188</v>
      </c>
      <c r="B8" t="s">
        <v>464</v>
      </c>
      <c r="C8" s="163">
        <v>4</v>
      </c>
      <c r="D8" t="str">
        <f>VLOOKUP(A8,DataUsuario!B:D,2,FALSE)</f>
        <v>Industrial y de Mantenimiento</v>
      </c>
      <c r="E8" t="str">
        <f>VLOOKUP(A8,DataUsuario!B:D,3,FALSE)</f>
        <v>Mantenimiento Industrial</v>
      </c>
      <c r="F8" t="s">
        <v>74</v>
      </c>
      <c r="G8" t="s">
        <v>23</v>
      </c>
    </row>
    <row r="9" spans="1:9" x14ac:dyDescent="0.3">
      <c r="A9" t="s">
        <v>188</v>
      </c>
      <c r="B9" t="s">
        <v>465</v>
      </c>
      <c r="C9" s="163">
        <v>4</v>
      </c>
      <c r="D9" t="str">
        <f>VLOOKUP(A9,DataUsuario!B:D,2,FALSE)</f>
        <v>Industrial y de Mantenimiento</v>
      </c>
      <c r="E9" t="str">
        <f>VLOOKUP(A9,DataUsuario!B:D,3,FALSE)</f>
        <v>Mantenimiento Industrial</v>
      </c>
      <c r="F9" t="s">
        <v>74</v>
      </c>
      <c r="G9" t="s">
        <v>463</v>
      </c>
    </row>
    <row r="10" spans="1:9" x14ac:dyDescent="0.3">
      <c r="A10" t="s">
        <v>188</v>
      </c>
      <c r="B10" t="s">
        <v>466</v>
      </c>
      <c r="C10" s="163">
        <v>4</v>
      </c>
      <c r="D10" t="str">
        <f>VLOOKUP(A10,DataUsuario!B:D,2,FALSE)</f>
        <v>Industrial y de Mantenimiento</v>
      </c>
      <c r="E10" t="str">
        <f>VLOOKUP(A10,DataUsuario!B:D,3,FALSE)</f>
        <v>Mantenimiento Industrial</v>
      </c>
      <c r="F10" t="s">
        <v>74</v>
      </c>
      <c r="G10" t="s">
        <v>464</v>
      </c>
    </row>
    <row r="11" spans="1:9" x14ac:dyDescent="0.3">
      <c r="A11" s="156" t="s">
        <v>138</v>
      </c>
      <c r="B11" t="s">
        <v>19</v>
      </c>
      <c r="C11" s="159">
        <v>4</v>
      </c>
      <c r="D11" t="str">
        <f>VLOOKUP(A11,DataUsuario!B:D,2,FALSE)</f>
        <v>Gestión Humana y Sostenibilidad</v>
      </c>
      <c r="E11" t="str">
        <f>VLOOKUP(A11,DataUsuario!B:D,3,FALSE)</f>
        <v>Gestion del Talento</v>
      </c>
      <c r="F11" t="s">
        <v>62</v>
      </c>
      <c r="G11" t="s">
        <v>465</v>
      </c>
    </row>
    <row r="12" spans="1:9" x14ac:dyDescent="0.3">
      <c r="A12" s="157" t="s">
        <v>145</v>
      </c>
      <c r="B12" t="s">
        <v>19</v>
      </c>
      <c r="C12" s="160">
        <v>5</v>
      </c>
      <c r="D12" t="str">
        <f>VLOOKUP(A12,DataUsuario!B:D,2,FALSE)</f>
        <v>Administración y Finanzas</v>
      </c>
      <c r="E12" t="str">
        <f>VLOOKUP(A12,DataUsuario!B:D,3,FALSE)</f>
        <v>Legal</v>
      </c>
      <c r="F12" t="s">
        <v>66</v>
      </c>
      <c r="G12" t="s">
        <v>466</v>
      </c>
    </row>
    <row r="13" spans="1:9" x14ac:dyDescent="0.3">
      <c r="A13" s="156" t="s">
        <v>322</v>
      </c>
      <c r="B13" t="s">
        <v>19</v>
      </c>
      <c r="C13" s="159">
        <v>3</v>
      </c>
      <c r="D13" t="str">
        <f>VLOOKUP(A13,DataUsuario!B:D,2,FALSE)</f>
        <v>Administración y Finanzas</v>
      </c>
      <c r="E13" t="str">
        <f>VLOOKUP(A13,DataUsuario!B:D,3,FALSE)</f>
        <v>Finanzas y Tesorería</v>
      </c>
      <c r="F13" t="s">
        <v>66</v>
      </c>
      <c r="H13" s="175" t="s">
        <v>5</v>
      </c>
      <c r="I13" t="s">
        <v>639</v>
      </c>
    </row>
    <row r="14" spans="1:9" x14ac:dyDescent="0.3">
      <c r="A14" s="157" t="s">
        <v>133</v>
      </c>
      <c r="B14" t="s">
        <v>19</v>
      </c>
      <c r="C14" s="160">
        <v>5</v>
      </c>
      <c r="D14" t="str">
        <f>VLOOKUP(A14,DataUsuario!B:D,2,FALSE)</f>
        <v>Industrial y de Mantenimiento</v>
      </c>
      <c r="E14" t="str">
        <f>VLOOKUP(A14,DataUsuario!B:D,3,FALSE)</f>
        <v>Electricidad</v>
      </c>
      <c r="F14" t="s">
        <v>74</v>
      </c>
    </row>
    <row r="15" spans="1:9" x14ac:dyDescent="0.3">
      <c r="A15" s="156" t="s">
        <v>421</v>
      </c>
      <c r="B15" t="s">
        <v>19</v>
      </c>
      <c r="C15" s="159">
        <v>4</v>
      </c>
      <c r="D15" t="str">
        <f>VLOOKUP(A15,DataUsuario!B:D,2,FALSE)</f>
        <v>Operaciones</v>
      </c>
      <c r="E15" t="str">
        <f>VLOOKUP(A15,DataUsuario!B:D,3,FALSE)</f>
        <v>Cosecha</v>
      </c>
      <c r="F15" t="s">
        <v>70</v>
      </c>
      <c r="H15" s="175" t="s">
        <v>636</v>
      </c>
      <c r="I15" t="s">
        <v>638</v>
      </c>
    </row>
    <row r="16" spans="1:9" x14ac:dyDescent="0.3">
      <c r="A16" s="157" t="s">
        <v>221</v>
      </c>
      <c r="B16" t="s">
        <v>19</v>
      </c>
      <c r="C16" s="160">
        <v>5</v>
      </c>
      <c r="D16" t="str">
        <f>VLOOKUP(A16,DataUsuario!B:D,2,FALSE)</f>
        <v>Administración y Finanzas</v>
      </c>
      <c r="E16" t="str">
        <f>VLOOKUP(A16,DataUsuario!B:D,3,FALSE)</f>
        <v>Sistemas y TI</v>
      </c>
      <c r="F16" t="s">
        <v>66</v>
      </c>
      <c r="H16" s="146" t="s">
        <v>19</v>
      </c>
      <c r="I16">
        <v>48</v>
      </c>
    </row>
    <row r="17" spans="1:9" x14ac:dyDescent="0.3">
      <c r="A17" s="156" t="s">
        <v>318</v>
      </c>
      <c r="B17" t="s">
        <v>19</v>
      </c>
      <c r="C17" s="159">
        <v>5</v>
      </c>
      <c r="D17" t="str">
        <f>VLOOKUP(A17,DataUsuario!B:D,2,FALSE)</f>
        <v>Operaciones</v>
      </c>
      <c r="E17" t="str">
        <f>VLOOKUP(A17,DataUsuario!B:D,3,FALSE)</f>
        <v>Cosecha</v>
      </c>
      <c r="F17" t="s">
        <v>70</v>
      </c>
      <c r="H17" s="176">
        <v>3</v>
      </c>
      <c r="I17">
        <v>4</v>
      </c>
    </row>
    <row r="18" spans="1:9" x14ac:dyDescent="0.3">
      <c r="A18" s="157" t="s">
        <v>372</v>
      </c>
      <c r="B18" t="s">
        <v>19</v>
      </c>
      <c r="C18" s="160">
        <v>5</v>
      </c>
      <c r="D18" t="str">
        <f>VLOOKUP(A18,DataUsuario!B:D,2,FALSE)</f>
        <v>Agrícola</v>
      </c>
      <c r="E18" t="str">
        <f>VLOOKUP(A18,DataUsuario!B:D,3,FALSE)</f>
        <v>Laboratorio e Investigación Agricola</v>
      </c>
      <c r="F18" t="s">
        <v>89</v>
      </c>
      <c r="H18" s="176">
        <v>4</v>
      </c>
      <c r="I18">
        <v>19</v>
      </c>
    </row>
    <row r="19" spans="1:9" x14ac:dyDescent="0.3">
      <c r="A19" s="156" t="s">
        <v>599</v>
      </c>
      <c r="B19" t="s">
        <v>19</v>
      </c>
      <c r="C19" s="159">
        <v>4</v>
      </c>
      <c r="D19" t="str">
        <f>VLOOKUP(A19,DataUsuario!B:D,2,FALSE)</f>
        <v>Administración y Finanzas</v>
      </c>
      <c r="E19" t="str">
        <f>VLOOKUP(A19,DataUsuario!B:D,3,FALSE)</f>
        <v>Compras</v>
      </c>
      <c r="F19" t="s">
        <v>66</v>
      </c>
      <c r="H19" s="176">
        <v>5</v>
      </c>
      <c r="I19">
        <v>25</v>
      </c>
    </row>
    <row r="20" spans="1:9" x14ac:dyDescent="0.3">
      <c r="A20" s="157" t="s">
        <v>198</v>
      </c>
      <c r="B20" t="s">
        <v>19</v>
      </c>
      <c r="C20" s="160">
        <v>4</v>
      </c>
      <c r="D20" t="str">
        <f>VLOOKUP(A20,DataUsuario!B:D,2,FALSE)</f>
        <v>Agrícola</v>
      </c>
      <c r="E20" t="str">
        <f>VLOOKUP(A20,DataUsuario!B:D,3,FALSE)</f>
        <v>Fundo Lobo</v>
      </c>
      <c r="F20" t="s">
        <v>89</v>
      </c>
      <c r="H20" s="146" t="s">
        <v>465</v>
      </c>
      <c r="I20">
        <v>48</v>
      </c>
    </row>
    <row r="21" spans="1:9" x14ac:dyDescent="0.3">
      <c r="A21" s="156" t="s">
        <v>431</v>
      </c>
      <c r="B21" t="s">
        <v>19</v>
      </c>
      <c r="C21" s="159">
        <v>5</v>
      </c>
      <c r="D21" t="str">
        <f>VLOOKUP(A21,DataUsuario!B:D,2,FALSE)</f>
        <v>Agrícola</v>
      </c>
      <c r="E21" t="str">
        <f>VLOOKUP(A21,DataUsuario!B:D,3,FALSE)</f>
        <v>Fundo San Vicente</v>
      </c>
      <c r="F21" t="s">
        <v>89</v>
      </c>
      <c r="H21" s="176">
        <v>3</v>
      </c>
      <c r="I21">
        <v>2</v>
      </c>
    </row>
    <row r="22" spans="1:9" x14ac:dyDescent="0.3">
      <c r="A22" s="157" t="s">
        <v>176</v>
      </c>
      <c r="B22" t="s">
        <v>19</v>
      </c>
      <c r="C22" s="160">
        <v>4</v>
      </c>
      <c r="D22" t="str">
        <f>VLOOKUP(A22,DataUsuario!B:D,2,FALSE)</f>
        <v>Administración y Finanzas</v>
      </c>
      <c r="E22" t="str">
        <f>VLOOKUP(A22,DataUsuario!B:D,3,FALSE)</f>
        <v>Cadenas Productivas</v>
      </c>
      <c r="F22" t="s">
        <v>66</v>
      </c>
      <c r="H22" s="176">
        <v>4</v>
      </c>
      <c r="I22">
        <v>15</v>
      </c>
    </row>
    <row r="23" spans="1:9" x14ac:dyDescent="0.3">
      <c r="A23" s="156" t="s">
        <v>236</v>
      </c>
      <c r="B23" t="s">
        <v>19</v>
      </c>
      <c r="C23" s="159">
        <v>4</v>
      </c>
      <c r="D23" t="str">
        <f>VLOOKUP(A23,DataUsuario!B:D,2,FALSE)</f>
        <v>Administración y Finanzas</v>
      </c>
      <c r="E23" t="str">
        <f>VLOOKUP(A23,DataUsuario!B:D,3,FALSE)</f>
        <v>Sistemas y TI</v>
      </c>
      <c r="F23" t="s">
        <v>66</v>
      </c>
      <c r="H23" s="176">
        <v>5</v>
      </c>
      <c r="I23">
        <v>16</v>
      </c>
    </row>
    <row r="24" spans="1:9" x14ac:dyDescent="0.3">
      <c r="A24" s="157" t="s">
        <v>136</v>
      </c>
      <c r="B24" t="s">
        <v>19</v>
      </c>
      <c r="C24" s="160">
        <v>5</v>
      </c>
      <c r="D24" t="str">
        <f>VLOOKUP(A24,DataUsuario!B:D,2,FALSE)</f>
        <v>Operaciones</v>
      </c>
      <c r="E24" t="str">
        <f>VLOOKUP(A24,DataUsuario!B:D,3,FALSE)</f>
        <v>Comercial</v>
      </c>
      <c r="F24" t="s">
        <v>70</v>
      </c>
      <c r="H24" s="176" t="s">
        <v>623</v>
      </c>
      <c r="I24">
        <v>15</v>
      </c>
    </row>
    <row r="25" spans="1:9" x14ac:dyDescent="0.3">
      <c r="A25" s="156" t="s">
        <v>343</v>
      </c>
      <c r="B25" t="s">
        <v>19</v>
      </c>
      <c r="C25" s="159">
        <v>5</v>
      </c>
      <c r="D25" t="str">
        <f>VLOOKUP(A25,DataUsuario!B:D,2,FALSE)</f>
        <v>Operaciones</v>
      </c>
      <c r="E25" t="str">
        <f>VLOOKUP(A25,DataUsuario!B:D,3,FALSE)</f>
        <v>Comercial No Giro</v>
      </c>
      <c r="F25" t="s">
        <v>70</v>
      </c>
      <c r="H25" s="146" t="s">
        <v>20</v>
      </c>
      <c r="I25">
        <v>48</v>
      </c>
    </row>
    <row r="26" spans="1:9" x14ac:dyDescent="0.3">
      <c r="A26" s="157" t="s">
        <v>376</v>
      </c>
      <c r="B26" t="s">
        <v>19</v>
      </c>
      <c r="C26" s="160">
        <v>5</v>
      </c>
      <c r="D26" t="str">
        <f>VLOOKUP(A26,DataUsuario!B:D,2,FALSE)</f>
        <v>Administración y Finanzas</v>
      </c>
      <c r="E26" t="str">
        <f>VLOOKUP(A26,DataUsuario!B:D,3,FALSE)</f>
        <v>Control de Gestión</v>
      </c>
      <c r="F26" t="s">
        <v>66</v>
      </c>
      <c r="H26" s="176">
        <v>3</v>
      </c>
      <c r="I26">
        <v>4</v>
      </c>
    </row>
    <row r="27" spans="1:9" x14ac:dyDescent="0.3">
      <c r="A27" s="156" t="s">
        <v>285</v>
      </c>
      <c r="B27" t="s">
        <v>19</v>
      </c>
      <c r="C27" s="159">
        <v>5</v>
      </c>
      <c r="D27" t="str">
        <f>VLOOKUP(A27,DataUsuario!B:D,2,FALSE)</f>
        <v>Operaciones</v>
      </c>
      <c r="E27" t="str">
        <f>VLOOKUP(A27,DataUsuario!B:D,3,FALSE)</f>
        <v>Comercial</v>
      </c>
      <c r="F27" t="s">
        <v>70</v>
      </c>
      <c r="H27" s="176">
        <v>4</v>
      </c>
      <c r="I27">
        <v>20</v>
      </c>
    </row>
    <row r="28" spans="1:9" x14ac:dyDescent="0.3">
      <c r="A28" s="157" t="s">
        <v>251</v>
      </c>
      <c r="B28" t="s">
        <v>19</v>
      </c>
      <c r="C28" s="160">
        <v>3</v>
      </c>
      <c r="D28" t="str">
        <f>VLOOKUP(A28,DataUsuario!B:D,2,FALSE)</f>
        <v>Industrial y de Mantenimiento</v>
      </c>
      <c r="E28" t="str">
        <f>VLOOKUP(A28,DataUsuario!B:D,3,FALSE)</f>
        <v>Automatización</v>
      </c>
      <c r="F28" t="s">
        <v>74</v>
      </c>
      <c r="H28" s="176">
        <v>5</v>
      </c>
      <c r="I28">
        <v>22</v>
      </c>
    </row>
    <row r="29" spans="1:9" x14ac:dyDescent="0.3">
      <c r="A29" s="156" t="s">
        <v>287</v>
      </c>
      <c r="B29" t="s">
        <v>19</v>
      </c>
      <c r="C29" s="159">
        <v>5</v>
      </c>
      <c r="D29" t="str">
        <f>VLOOKUP(A29,DataUsuario!B:D,2,FALSE)</f>
        <v>Operaciones</v>
      </c>
      <c r="E29" t="str">
        <f>VLOOKUP(A29,DataUsuario!B:D,3,FALSE)</f>
        <v>Calidad</v>
      </c>
      <c r="F29" t="s">
        <v>70</v>
      </c>
      <c r="H29" s="176" t="s">
        <v>623</v>
      </c>
      <c r="I29">
        <v>2</v>
      </c>
    </row>
    <row r="30" spans="1:9" x14ac:dyDescent="0.3">
      <c r="A30" s="157" t="s">
        <v>85</v>
      </c>
      <c r="B30" t="s">
        <v>19</v>
      </c>
      <c r="C30" s="160">
        <v>5</v>
      </c>
      <c r="D30" t="str">
        <f>VLOOKUP(A30,DataUsuario!B:D,2,FALSE)</f>
        <v>Operaciones</v>
      </c>
      <c r="E30" t="str">
        <f>VLOOKUP(A30,DataUsuario!B:D,3,FALSE)</f>
        <v>Comercial</v>
      </c>
      <c r="F30" t="s">
        <v>70</v>
      </c>
      <c r="H30" s="146" t="s">
        <v>466</v>
      </c>
      <c r="I30">
        <v>48</v>
      </c>
    </row>
    <row r="31" spans="1:9" x14ac:dyDescent="0.3">
      <c r="A31" s="156" t="s">
        <v>260</v>
      </c>
      <c r="B31" t="s">
        <v>19</v>
      </c>
      <c r="C31" s="159">
        <v>4</v>
      </c>
      <c r="D31" t="str">
        <f>VLOOKUP(A31,DataUsuario!B:D,2,FALSE)</f>
        <v>Industrial y de Mantenimiento</v>
      </c>
      <c r="E31" t="str">
        <f>VLOOKUP(A31,DataUsuario!B:D,3,FALSE)</f>
        <v>Producción</v>
      </c>
      <c r="F31" t="s">
        <v>74</v>
      </c>
      <c r="H31" s="176">
        <v>3</v>
      </c>
      <c r="I31">
        <v>2</v>
      </c>
    </row>
    <row r="32" spans="1:9" x14ac:dyDescent="0.3">
      <c r="A32" s="157" t="s">
        <v>423</v>
      </c>
      <c r="B32" t="s">
        <v>19</v>
      </c>
      <c r="C32" s="160">
        <v>4</v>
      </c>
      <c r="D32" t="str">
        <f>VLOOKUP(A32,DataUsuario!B:D,2,FALSE)</f>
        <v>Industrial y de Mantenimiento</v>
      </c>
      <c r="E32" t="str">
        <f>VLOOKUP(A32,DataUsuario!B:D,3,FALSE)</f>
        <v>Producción</v>
      </c>
      <c r="F32" t="s">
        <v>74</v>
      </c>
      <c r="H32" s="176">
        <v>4</v>
      </c>
      <c r="I32">
        <v>21</v>
      </c>
    </row>
    <row r="33" spans="1:9" x14ac:dyDescent="0.3">
      <c r="A33" s="156" t="s">
        <v>154</v>
      </c>
      <c r="B33" t="s">
        <v>19</v>
      </c>
      <c r="C33" s="159">
        <v>4</v>
      </c>
      <c r="D33" t="str">
        <f>VLOOKUP(A33,DataUsuario!B:D,2,FALSE)</f>
        <v>Industrial y de Mantenimiento</v>
      </c>
      <c r="E33" t="str">
        <f>VLOOKUP(A33,DataUsuario!B:D,3,FALSE)</f>
        <v>Mantenimiento Industrial</v>
      </c>
      <c r="F33" t="s">
        <v>74</v>
      </c>
      <c r="H33" s="176">
        <v>5</v>
      </c>
      <c r="I33">
        <v>9</v>
      </c>
    </row>
    <row r="34" spans="1:9" x14ac:dyDescent="0.3">
      <c r="A34" s="157" t="s">
        <v>305</v>
      </c>
      <c r="B34" t="s">
        <v>19</v>
      </c>
      <c r="C34" s="160">
        <v>3</v>
      </c>
      <c r="D34" t="str">
        <f>VLOOKUP(A34,DataUsuario!B:D,2,FALSE)</f>
        <v>Industrial y de Mantenimiento</v>
      </c>
      <c r="E34" t="str">
        <f>VLOOKUP(A34,DataUsuario!B:D,3,FALSE)</f>
        <v>Producción</v>
      </c>
      <c r="F34" t="s">
        <v>74</v>
      </c>
      <c r="H34" s="176" t="s">
        <v>623</v>
      </c>
      <c r="I34">
        <v>16</v>
      </c>
    </row>
    <row r="35" spans="1:9" x14ac:dyDescent="0.3">
      <c r="A35" s="156" t="s">
        <v>77</v>
      </c>
      <c r="B35" t="s">
        <v>19</v>
      </c>
      <c r="C35" s="159">
        <v>5</v>
      </c>
      <c r="D35" t="str">
        <f>VLOOKUP(A35,DataUsuario!B:D,2,FALSE)</f>
        <v>Operaciones</v>
      </c>
      <c r="E35" t="str">
        <f>VLOOKUP(A35,DataUsuario!B:D,3,FALSE)</f>
        <v>Comercial No Giro</v>
      </c>
      <c r="F35" t="s">
        <v>70</v>
      </c>
      <c r="H35" s="146" t="s">
        <v>463</v>
      </c>
      <c r="I35">
        <v>48</v>
      </c>
    </row>
    <row r="36" spans="1:9" x14ac:dyDescent="0.3">
      <c r="A36" s="157" t="s">
        <v>606</v>
      </c>
      <c r="B36" t="s">
        <v>19</v>
      </c>
      <c r="C36" s="160">
        <v>5</v>
      </c>
      <c r="D36" t="str">
        <f>VLOOKUP(A36,DataUsuario!B:D,2,FALSE)</f>
        <v>Operaciones</v>
      </c>
      <c r="E36" t="str">
        <f>VLOOKUP(A36,DataUsuario!B:D,3,FALSE)</f>
        <v xml:space="preserve">Almacén </v>
      </c>
      <c r="F36" t="s">
        <v>70</v>
      </c>
      <c r="H36" s="176">
        <v>3</v>
      </c>
      <c r="I36">
        <v>7</v>
      </c>
    </row>
    <row r="37" spans="1:9" x14ac:dyDescent="0.3">
      <c r="A37" s="156" t="s">
        <v>205</v>
      </c>
      <c r="B37" t="s">
        <v>19</v>
      </c>
      <c r="C37" s="159">
        <v>4</v>
      </c>
      <c r="D37" t="str">
        <f>VLOOKUP(A37,DataUsuario!B:D,2,FALSE)</f>
        <v>Operaciones</v>
      </c>
      <c r="E37" t="str">
        <f>VLOOKUP(A37,DataUsuario!B:D,3,FALSE)</f>
        <v>Almacenes y Distribución PT</v>
      </c>
      <c r="F37" t="s">
        <v>70</v>
      </c>
      <c r="H37" s="176">
        <v>4</v>
      </c>
      <c r="I37">
        <v>23</v>
      </c>
    </row>
    <row r="38" spans="1:9" x14ac:dyDescent="0.3">
      <c r="A38" s="157" t="s">
        <v>393</v>
      </c>
      <c r="B38" t="s">
        <v>19</v>
      </c>
      <c r="C38" s="160">
        <v>4</v>
      </c>
      <c r="D38" t="str">
        <f>VLOOKUP(A38,DataUsuario!B:D,2,FALSE)</f>
        <v>Agrícola</v>
      </c>
      <c r="E38" t="str">
        <f>VLOOKUP(A38,DataUsuario!B:D,3,FALSE)</f>
        <v>Sistema Integral de Gestión</v>
      </c>
      <c r="F38" t="s">
        <v>89</v>
      </c>
      <c r="H38" s="176">
        <v>5</v>
      </c>
      <c r="I38">
        <v>14</v>
      </c>
    </row>
    <row r="39" spans="1:9" x14ac:dyDescent="0.3">
      <c r="A39" s="156" t="s">
        <v>609</v>
      </c>
      <c r="B39" t="s">
        <v>19</v>
      </c>
      <c r="C39" s="159">
        <v>5</v>
      </c>
      <c r="D39" t="str">
        <f>VLOOKUP(A39,DataUsuario!B:D,2,FALSE)</f>
        <v>Operaciones</v>
      </c>
      <c r="E39" t="str">
        <f>VLOOKUP(A39,DataUsuario!B:D,3,FALSE)</f>
        <v>Almacenes y Distribución PT</v>
      </c>
      <c r="F39" t="s">
        <v>70</v>
      </c>
      <c r="H39" s="176" t="s">
        <v>623</v>
      </c>
      <c r="I39">
        <v>4</v>
      </c>
    </row>
    <row r="40" spans="1:9" x14ac:dyDescent="0.3">
      <c r="A40" s="157" t="s">
        <v>152</v>
      </c>
      <c r="B40" t="s">
        <v>19</v>
      </c>
      <c r="C40" s="160">
        <v>5</v>
      </c>
      <c r="D40" t="str">
        <f>VLOOKUP(A40,DataUsuario!B:D,2,FALSE)</f>
        <v>Operaciones</v>
      </c>
      <c r="E40" t="str">
        <f>VLOOKUP(A40,DataUsuario!B:D,3,FALSE)</f>
        <v>Almacenes y Distribución PT</v>
      </c>
      <c r="F40" t="s">
        <v>70</v>
      </c>
      <c r="H40" s="146" t="s">
        <v>21</v>
      </c>
      <c r="I40">
        <v>48</v>
      </c>
    </row>
    <row r="41" spans="1:9" x14ac:dyDescent="0.3">
      <c r="A41" s="156" t="s">
        <v>61</v>
      </c>
      <c r="B41" t="s">
        <v>19</v>
      </c>
      <c r="C41" s="159">
        <v>4</v>
      </c>
      <c r="D41" t="str">
        <f>VLOOKUP(A41,DataUsuario!B:D,2,FALSE)</f>
        <v>Gestión Humana y Sostenibilidad</v>
      </c>
      <c r="E41" t="str">
        <f>VLOOKUP(A41,DataUsuario!B:D,3,FALSE)</f>
        <v>Compensación y Nóminas</v>
      </c>
      <c r="F41" t="s">
        <v>62</v>
      </c>
      <c r="H41" s="176">
        <v>3</v>
      </c>
      <c r="I41">
        <v>3</v>
      </c>
    </row>
    <row r="42" spans="1:9" x14ac:dyDescent="0.3">
      <c r="A42" s="157" t="s">
        <v>238</v>
      </c>
      <c r="B42" t="s">
        <v>19</v>
      </c>
      <c r="C42" s="160">
        <v>5</v>
      </c>
      <c r="D42" t="str">
        <f>VLOOKUP(A42,DataUsuario!B:D,2,FALSE)</f>
        <v>Industrial y de Mantenimiento</v>
      </c>
      <c r="E42" t="str">
        <f>VLOOKUP(A42,DataUsuario!B:D,3,FALSE)</f>
        <v>Producción</v>
      </c>
      <c r="F42" t="s">
        <v>74</v>
      </c>
      <c r="H42" s="176">
        <v>4</v>
      </c>
      <c r="I42">
        <v>22</v>
      </c>
    </row>
    <row r="43" spans="1:9" x14ac:dyDescent="0.3">
      <c r="A43" s="156" t="s">
        <v>303</v>
      </c>
      <c r="B43" t="s">
        <v>19</v>
      </c>
      <c r="C43" s="159">
        <v>5</v>
      </c>
      <c r="D43" t="str">
        <f>VLOOKUP(A43,DataUsuario!B:D,2,FALSE)</f>
        <v>Administración y Finanzas</v>
      </c>
      <c r="E43" t="str">
        <f>VLOOKUP(A43,DataUsuario!B:D,3,FALSE)</f>
        <v>Control de Gestión</v>
      </c>
      <c r="F43" t="s">
        <v>66</v>
      </c>
      <c r="H43" s="176">
        <v>5</v>
      </c>
      <c r="I43">
        <v>21</v>
      </c>
    </row>
    <row r="44" spans="1:9" x14ac:dyDescent="0.3">
      <c r="A44" s="157" t="s">
        <v>123</v>
      </c>
      <c r="B44" t="s">
        <v>19</v>
      </c>
      <c r="C44" s="160">
        <v>4</v>
      </c>
      <c r="D44" t="str">
        <f>VLOOKUP(A44,DataUsuario!B:D,2,FALSE)</f>
        <v>Administración y Finanzas</v>
      </c>
      <c r="E44" t="str">
        <f>VLOOKUP(A44,DataUsuario!B:D,3,FALSE)</f>
        <v>Gerencia Administración y Finanzas</v>
      </c>
      <c r="F44" t="s">
        <v>66</v>
      </c>
      <c r="H44" s="176" t="s">
        <v>623</v>
      </c>
      <c r="I44">
        <v>2</v>
      </c>
    </row>
    <row r="45" spans="1:9" x14ac:dyDescent="0.3">
      <c r="A45" s="156" t="s">
        <v>128</v>
      </c>
      <c r="B45" t="s">
        <v>19</v>
      </c>
      <c r="C45" s="159">
        <v>5</v>
      </c>
      <c r="D45" t="str">
        <f>VLOOKUP(A45,DataUsuario!B:D,2,FALSE)</f>
        <v>Agrícola</v>
      </c>
      <c r="E45" t="str">
        <f>VLOOKUP(A45,DataUsuario!B:D,3,FALSE)</f>
        <v>Fundo Lobo</v>
      </c>
      <c r="F45" t="s">
        <v>89</v>
      </c>
      <c r="H45" s="146" t="s">
        <v>22</v>
      </c>
      <c r="I45">
        <v>48</v>
      </c>
    </row>
    <row r="46" spans="1:9" x14ac:dyDescent="0.3">
      <c r="A46" s="157" t="s">
        <v>242</v>
      </c>
      <c r="B46" t="s">
        <v>19</v>
      </c>
      <c r="C46" s="160">
        <v>4</v>
      </c>
      <c r="D46" t="str">
        <f>VLOOKUP(A46,DataUsuario!B:D,2,FALSE)</f>
        <v>Agrícola</v>
      </c>
      <c r="E46" t="str">
        <f>VLOOKUP(A46,DataUsuario!B:D,3,FALSE)</f>
        <v>Fundo Montelima</v>
      </c>
      <c r="F46" t="s">
        <v>89</v>
      </c>
      <c r="H46" s="176">
        <v>3</v>
      </c>
      <c r="I46">
        <v>4</v>
      </c>
    </row>
    <row r="47" spans="1:9" x14ac:dyDescent="0.3">
      <c r="A47" s="156" t="s">
        <v>369</v>
      </c>
      <c r="B47" t="s">
        <v>19</v>
      </c>
      <c r="C47" s="159">
        <v>5</v>
      </c>
      <c r="D47" t="str">
        <f>VLOOKUP(A47,DataUsuario!B:D,2,FALSE)</f>
        <v>Agrícola</v>
      </c>
      <c r="E47" t="str">
        <f>VLOOKUP(A47,DataUsuario!B:D,3,FALSE)</f>
        <v>Sistema Integral de Gestión</v>
      </c>
      <c r="F47" t="s">
        <v>89</v>
      </c>
      <c r="H47" s="176">
        <v>4</v>
      </c>
      <c r="I47">
        <v>22</v>
      </c>
    </row>
    <row r="48" spans="1:9" x14ac:dyDescent="0.3">
      <c r="A48" s="157" t="s">
        <v>613</v>
      </c>
      <c r="B48" t="s">
        <v>19</v>
      </c>
      <c r="C48" s="160">
        <v>4</v>
      </c>
      <c r="D48" t="str">
        <f>VLOOKUP(A48,DataUsuario!B:D,2,FALSE)</f>
        <v>Operaciones</v>
      </c>
      <c r="E48" t="str">
        <f>VLOOKUP(A48,DataUsuario!B:D,3,FALSE)</f>
        <v>Transporte</v>
      </c>
      <c r="F48" t="s">
        <v>70</v>
      </c>
      <c r="H48" s="176">
        <v>5</v>
      </c>
      <c r="I48">
        <v>20</v>
      </c>
    </row>
    <row r="49" spans="1:9" x14ac:dyDescent="0.3">
      <c r="A49" s="156" t="s">
        <v>224</v>
      </c>
      <c r="B49" t="s">
        <v>19</v>
      </c>
      <c r="C49" s="159">
        <v>4</v>
      </c>
      <c r="D49" t="str">
        <f>VLOOKUP(A49,DataUsuario!B:D,2,FALSE)</f>
        <v>Agrícola</v>
      </c>
      <c r="E49" t="str">
        <f>VLOOKUP(A49,DataUsuario!B:D,3,FALSE)</f>
        <v>Laboratorio e Investigación Agricola</v>
      </c>
      <c r="F49" t="s">
        <v>89</v>
      </c>
      <c r="H49" s="176" t="s">
        <v>623</v>
      </c>
      <c r="I49">
        <v>2</v>
      </c>
    </row>
    <row r="50" spans="1:9" x14ac:dyDescent="0.3">
      <c r="A50" s="157" t="s">
        <v>359</v>
      </c>
      <c r="B50" t="s">
        <v>19</v>
      </c>
      <c r="C50" s="160">
        <v>5</v>
      </c>
      <c r="D50" t="str">
        <f>VLOOKUP(A50,DataUsuario!B:D,2,FALSE)</f>
        <v>Operaciones</v>
      </c>
      <c r="E50" t="str">
        <f>VLOOKUP(A50,DataUsuario!B:D,3,FALSE)</f>
        <v>Gerencia de Operaciones</v>
      </c>
      <c r="F50" t="s">
        <v>70</v>
      </c>
      <c r="H50" s="146" t="s">
        <v>23</v>
      </c>
      <c r="I50">
        <v>48</v>
      </c>
    </row>
    <row r="51" spans="1:9" x14ac:dyDescent="0.3">
      <c r="A51" s="156" t="s">
        <v>350</v>
      </c>
      <c r="B51" t="s">
        <v>19</v>
      </c>
      <c r="C51" s="159">
        <v>5</v>
      </c>
      <c r="D51" t="str">
        <f>VLOOKUP(A51,DataUsuario!B:D,2,FALSE)</f>
        <v>Agrícola</v>
      </c>
      <c r="E51" t="str">
        <f>VLOOKUP(A51,DataUsuario!B:D,3,FALSE)</f>
        <v>Planificador Agrícola</v>
      </c>
      <c r="F51" t="s">
        <v>89</v>
      </c>
      <c r="H51" s="176">
        <v>3</v>
      </c>
      <c r="I51">
        <v>7</v>
      </c>
    </row>
    <row r="52" spans="1:9" x14ac:dyDescent="0.3">
      <c r="A52" s="157" t="s">
        <v>256</v>
      </c>
      <c r="B52" t="s">
        <v>19</v>
      </c>
      <c r="C52" s="160">
        <v>3</v>
      </c>
      <c r="D52" t="str">
        <f>VLOOKUP(A52,DataUsuario!B:D,2,FALSE)</f>
        <v>Agrícola</v>
      </c>
      <c r="E52" t="str">
        <f>VLOOKUP(A52,DataUsuario!B:D,3,FALSE)</f>
        <v>Fundo Montelima</v>
      </c>
      <c r="F52" t="s">
        <v>89</v>
      </c>
      <c r="H52" s="176">
        <v>4</v>
      </c>
      <c r="I52">
        <v>21</v>
      </c>
    </row>
    <row r="53" spans="1:9" x14ac:dyDescent="0.3">
      <c r="A53" s="156" t="s">
        <v>435</v>
      </c>
      <c r="B53" t="s">
        <v>19</v>
      </c>
      <c r="C53" s="159">
        <v>5</v>
      </c>
      <c r="D53" t="str">
        <f>VLOOKUP(A53,DataUsuario!B:D,2,FALSE)</f>
        <v>Operaciones</v>
      </c>
      <c r="E53" t="str">
        <f>VLOOKUP(A53,DataUsuario!B:D,3,FALSE)</f>
        <v>Almacenes y Distribución PT</v>
      </c>
      <c r="F53" t="s">
        <v>70</v>
      </c>
      <c r="H53" s="176">
        <v>5</v>
      </c>
      <c r="I53">
        <v>12</v>
      </c>
    </row>
    <row r="54" spans="1:9" x14ac:dyDescent="0.3">
      <c r="A54" s="157" t="s">
        <v>202</v>
      </c>
      <c r="B54" t="s">
        <v>19</v>
      </c>
      <c r="C54" s="160">
        <v>5</v>
      </c>
      <c r="D54" t="str">
        <f>VLOOKUP(A54,DataUsuario!B:D,2,FALSE)</f>
        <v>Agrícola</v>
      </c>
      <c r="E54" t="str">
        <f>VLOOKUP(A54,DataUsuario!B:D,3,FALSE)</f>
        <v>Fundo La Huaca</v>
      </c>
      <c r="F54" t="s">
        <v>89</v>
      </c>
      <c r="H54" s="176" t="s">
        <v>623</v>
      </c>
      <c r="I54">
        <v>8</v>
      </c>
    </row>
    <row r="55" spans="1:9" x14ac:dyDescent="0.3">
      <c r="A55" s="156" t="s">
        <v>337</v>
      </c>
      <c r="B55" t="s">
        <v>19</v>
      </c>
      <c r="C55" s="159">
        <v>5</v>
      </c>
      <c r="D55" t="str">
        <f>VLOOKUP(A55,DataUsuario!B:D,2,FALSE)</f>
        <v>Agrícola</v>
      </c>
      <c r="E55" t="str">
        <f>VLOOKUP(A55,DataUsuario!B:D,3,FALSE)</f>
        <v>Fundo San Vicente</v>
      </c>
      <c r="F55" t="s">
        <v>89</v>
      </c>
      <c r="H55" s="146" t="s">
        <v>464</v>
      </c>
      <c r="I55">
        <v>48</v>
      </c>
    </row>
    <row r="56" spans="1:9" x14ac:dyDescent="0.3">
      <c r="A56" s="157" t="s">
        <v>179</v>
      </c>
      <c r="B56" t="s">
        <v>19</v>
      </c>
      <c r="C56" s="160">
        <v>5</v>
      </c>
      <c r="D56" t="str">
        <f>VLOOKUP(A56,DataUsuario!B:D,2,FALSE)</f>
        <v>Agrícola</v>
      </c>
      <c r="E56" t="str">
        <f>VLOOKUP(A56,DataUsuario!B:D,3,FALSE)</f>
        <v>Fundo Montelima</v>
      </c>
      <c r="F56" t="s">
        <v>89</v>
      </c>
      <c r="H56" s="176">
        <v>3</v>
      </c>
      <c r="I56">
        <v>2</v>
      </c>
    </row>
    <row r="57" spans="1:9" x14ac:dyDescent="0.3">
      <c r="A57" s="156" t="s">
        <v>619</v>
      </c>
      <c r="B57" t="s">
        <v>19</v>
      </c>
      <c r="C57" s="159">
        <v>4</v>
      </c>
      <c r="D57" t="str">
        <f>VLOOKUP(A57,DataUsuario!B:D,2,FALSE)</f>
        <v>Operaciones</v>
      </c>
      <c r="E57" t="str">
        <f>VLOOKUP(A57,DataUsuario!B:D,3,FALSE)</f>
        <v xml:space="preserve">Almacén </v>
      </c>
      <c r="F57" t="s">
        <v>70</v>
      </c>
      <c r="H57" s="176">
        <v>4</v>
      </c>
      <c r="I57">
        <v>17</v>
      </c>
    </row>
    <row r="58" spans="1:9" x14ac:dyDescent="0.3">
      <c r="A58" s="158" t="s">
        <v>378</v>
      </c>
      <c r="B58" t="s">
        <v>19</v>
      </c>
      <c r="C58" s="161">
        <v>4</v>
      </c>
      <c r="D58" t="str">
        <f>VLOOKUP(A58,DataUsuario!B:D,2,FALSE)</f>
        <v>Industrial y de Mantenimiento</v>
      </c>
      <c r="E58" t="str">
        <f>VLOOKUP(A58,DataUsuario!B:D,3,FALSE)</f>
        <v>Gerencia industrial y de Mantenimiento</v>
      </c>
      <c r="F58" t="s">
        <v>74</v>
      </c>
      <c r="H58" s="176">
        <v>5</v>
      </c>
      <c r="I58">
        <v>16</v>
      </c>
    </row>
    <row r="59" spans="1:9" x14ac:dyDescent="0.3">
      <c r="A59" s="156" t="s">
        <v>138</v>
      </c>
      <c r="B59" t="s">
        <v>20</v>
      </c>
      <c r="C59" s="159">
        <v>4</v>
      </c>
      <c r="D59" t="str">
        <f>VLOOKUP(A59,DataUsuario!B:D,2,FALSE)</f>
        <v>Gestión Humana y Sostenibilidad</v>
      </c>
      <c r="E59" t="str">
        <f>VLOOKUP(A59,DataUsuario!B:D,3,FALSE)</f>
        <v>Gestion del Talento</v>
      </c>
      <c r="F59" t="s">
        <v>62</v>
      </c>
      <c r="H59" s="176" t="s">
        <v>623</v>
      </c>
      <c r="I59">
        <v>13</v>
      </c>
    </row>
    <row r="60" spans="1:9" x14ac:dyDescent="0.3">
      <c r="A60" s="157" t="s">
        <v>145</v>
      </c>
      <c r="B60" t="s">
        <v>20</v>
      </c>
      <c r="C60" s="160" t="s">
        <v>623</v>
      </c>
      <c r="D60" t="str">
        <f>VLOOKUP(A60,DataUsuario!B:D,2,FALSE)</f>
        <v>Administración y Finanzas</v>
      </c>
      <c r="E60" t="str">
        <f>VLOOKUP(A60,DataUsuario!B:D,3,FALSE)</f>
        <v>Legal</v>
      </c>
      <c r="F60" t="s">
        <v>66</v>
      </c>
      <c r="H60" s="146" t="s">
        <v>637</v>
      </c>
      <c r="I60">
        <v>432</v>
      </c>
    </row>
    <row r="61" spans="1:9" x14ac:dyDescent="0.3">
      <c r="A61" s="156" t="s">
        <v>322</v>
      </c>
      <c r="B61" t="s">
        <v>20</v>
      </c>
      <c r="C61" s="159">
        <v>3</v>
      </c>
      <c r="D61" t="str">
        <f>VLOOKUP(A61,DataUsuario!B:D,2,FALSE)</f>
        <v>Administración y Finanzas</v>
      </c>
      <c r="E61" t="str">
        <f>VLOOKUP(A61,DataUsuario!B:D,3,FALSE)</f>
        <v>Finanzas y Tesorería</v>
      </c>
      <c r="F61" t="s">
        <v>66</v>
      </c>
    </row>
    <row r="62" spans="1:9" x14ac:dyDescent="0.3">
      <c r="A62" s="157" t="s">
        <v>133</v>
      </c>
      <c r="B62" t="s">
        <v>20</v>
      </c>
      <c r="C62" s="160">
        <v>5</v>
      </c>
      <c r="D62" t="str">
        <f>VLOOKUP(A62,DataUsuario!B:D,2,FALSE)</f>
        <v>Industrial y de Mantenimiento</v>
      </c>
      <c r="E62" t="str">
        <f>VLOOKUP(A62,DataUsuario!B:D,3,FALSE)</f>
        <v>Electricidad</v>
      </c>
      <c r="F62" t="s">
        <v>74</v>
      </c>
    </row>
    <row r="63" spans="1:9" x14ac:dyDescent="0.3">
      <c r="A63" s="156" t="s">
        <v>421</v>
      </c>
      <c r="B63" t="s">
        <v>20</v>
      </c>
      <c r="C63" s="159">
        <v>4</v>
      </c>
      <c r="D63" t="str">
        <f>VLOOKUP(A63,DataUsuario!B:D,2,FALSE)</f>
        <v>Operaciones</v>
      </c>
      <c r="E63" t="str">
        <f>VLOOKUP(A63,DataUsuario!B:D,3,FALSE)</f>
        <v>Cosecha</v>
      </c>
      <c r="F63" t="s">
        <v>70</v>
      </c>
    </row>
    <row r="64" spans="1:9" x14ac:dyDescent="0.3">
      <c r="A64" s="157" t="s">
        <v>221</v>
      </c>
      <c r="B64" t="s">
        <v>20</v>
      </c>
      <c r="C64" s="160">
        <v>5</v>
      </c>
      <c r="D64" t="str">
        <f>VLOOKUP(A64,DataUsuario!B:D,2,FALSE)</f>
        <v>Administración y Finanzas</v>
      </c>
      <c r="E64" t="str">
        <f>VLOOKUP(A64,DataUsuario!B:D,3,FALSE)</f>
        <v>Sistemas y TI</v>
      </c>
      <c r="F64" t="s">
        <v>66</v>
      </c>
    </row>
    <row r="65" spans="1:6" x14ac:dyDescent="0.3">
      <c r="A65" s="156" t="s">
        <v>318</v>
      </c>
      <c r="B65" t="s">
        <v>20</v>
      </c>
      <c r="C65" s="159">
        <v>5</v>
      </c>
      <c r="D65" t="str">
        <f>VLOOKUP(A65,DataUsuario!B:D,2,FALSE)</f>
        <v>Operaciones</v>
      </c>
      <c r="E65" t="str">
        <f>VLOOKUP(A65,DataUsuario!B:D,3,FALSE)</f>
        <v>Cosecha</v>
      </c>
      <c r="F65" t="s">
        <v>70</v>
      </c>
    </row>
    <row r="66" spans="1:6" x14ac:dyDescent="0.3">
      <c r="A66" s="157" t="s">
        <v>372</v>
      </c>
      <c r="B66" t="s">
        <v>20</v>
      </c>
      <c r="C66" s="160">
        <v>5</v>
      </c>
      <c r="D66" t="str">
        <f>VLOOKUP(A66,DataUsuario!B:D,2,FALSE)</f>
        <v>Agrícola</v>
      </c>
      <c r="E66" t="str">
        <f>VLOOKUP(A66,DataUsuario!B:D,3,FALSE)</f>
        <v>Laboratorio e Investigación Agricola</v>
      </c>
      <c r="F66" t="s">
        <v>89</v>
      </c>
    </row>
    <row r="67" spans="1:6" x14ac:dyDescent="0.3">
      <c r="A67" s="156" t="s">
        <v>599</v>
      </c>
      <c r="B67" t="s">
        <v>20</v>
      </c>
      <c r="C67" s="159">
        <v>4</v>
      </c>
      <c r="D67" t="str">
        <f>VLOOKUP(A67,DataUsuario!B:D,2,FALSE)</f>
        <v>Administración y Finanzas</v>
      </c>
      <c r="E67" t="str">
        <f>VLOOKUP(A67,DataUsuario!B:D,3,FALSE)</f>
        <v>Compras</v>
      </c>
      <c r="F67" t="s">
        <v>66</v>
      </c>
    </row>
    <row r="68" spans="1:6" x14ac:dyDescent="0.3">
      <c r="A68" s="157" t="s">
        <v>198</v>
      </c>
      <c r="B68" t="s">
        <v>20</v>
      </c>
      <c r="C68" s="160">
        <v>4</v>
      </c>
      <c r="D68" t="str">
        <f>VLOOKUP(A68,DataUsuario!B:D,2,FALSE)</f>
        <v>Agrícola</v>
      </c>
      <c r="E68" t="str">
        <f>VLOOKUP(A68,DataUsuario!B:D,3,FALSE)</f>
        <v>Fundo Lobo</v>
      </c>
      <c r="F68" t="s">
        <v>89</v>
      </c>
    </row>
    <row r="69" spans="1:6" x14ac:dyDescent="0.3">
      <c r="A69" s="156" t="s">
        <v>431</v>
      </c>
      <c r="B69" t="s">
        <v>20</v>
      </c>
      <c r="C69" s="159">
        <v>5</v>
      </c>
      <c r="D69" t="str">
        <f>VLOOKUP(A69,DataUsuario!B:D,2,FALSE)</f>
        <v>Agrícola</v>
      </c>
      <c r="E69" t="str">
        <f>VLOOKUP(A69,DataUsuario!B:D,3,FALSE)</f>
        <v>Fundo San Vicente</v>
      </c>
      <c r="F69" t="s">
        <v>89</v>
      </c>
    </row>
    <row r="70" spans="1:6" x14ac:dyDescent="0.3">
      <c r="A70" s="157" t="s">
        <v>176</v>
      </c>
      <c r="B70" t="s">
        <v>20</v>
      </c>
      <c r="C70" s="160">
        <v>4</v>
      </c>
      <c r="D70" t="str">
        <f>VLOOKUP(A70,DataUsuario!B:D,2,FALSE)</f>
        <v>Administración y Finanzas</v>
      </c>
      <c r="E70" t="str">
        <f>VLOOKUP(A70,DataUsuario!B:D,3,FALSE)</f>
        <v>Cadenas Productivas</v>
      </c>
      <c r="F70" t="s">
        <v>66</v>
      </c>
    </row>
    <row r="71" spans="1:6" x14ac:dyDescent="0.3">
      <c r="A71" s="156" t="s">
        <v>236</v>
      </c>
      <c r="B71" t="s">
        <v>20</v>
      </c>
      <c r="C71" s="159">
        <v>4</v>
      </c>
      <c r="D71" t="str">
        <f>VLOOKUP(A71,DataUsuario!B:D,2,FALSE)</f>
        <v>Administración y Finanzas</v>
      </c>
      <c r="E71" t="str">
        <f>VLOOKUP(A71,DataUsuario!B:D,3,FALSE)</f>
        <v>Sistemas y TI</v>
      </c>
      <c r="F71" t="s">
        <v>66</v>
      </c>
    </row>
    <row r="72" spans="1:6" x14ac:dyDescent="0.3">
      <c r="A72" s="157" t="s">
        <v>136</v>
      </c>
      <c r="B72" t="s">
        <v>20</v>
      </c>
      <c r="C72" s="160">
        <v>5</v>
      </c>
      <c r="D72" t="str">
        <f>VLOOKUP(A72,DataUsuario!B:D,2,FALSE)</f>
        <v>Operaciones</v>
      </c>
      <c r="E72" t="str">
        <f>VLOOKUP(A72,DataUsuario!B:D,3,FALSE)</f>
        <v>Comercial</v>
      </c>
      <c r="F72" t="s">
        <v>70</v>
      </c>
    </row>
    <row r="73" spans="1:6" x14ac:dyDescent="0.3">
      <c r="A73" s="156" t="s">
        <v>343</v>
      </c>
      <c r="B73" t="s">
        <v>20</v>
      </c>
      <c r="C73" s="159">
        <v>5</v>
      </c>
      <c r="D73" t="str">
        <f>VLOOKUP(A73,DataUsuario!B:D,2,FALSE)</f>
        <v>Operaciones</v>
      </c>
      <c r="E73" t="str">
        <f>VLOOKUP(A73,DataUsuario!B:D,3,FALSE)</f>
        <v>Comercial No Giro</v>
      </c>
      <c r="F73" t="s">
        <v>70</v>
      </c>
    </row>
    <row r="74" spans="1:6" x14ac:dyDescent="0.3">
      <c r="A74" s="157" t="s">
        <v>376</v>
      </c>
      <c r="B74" t="s">
        <v>20</v>
      </c>
      <c r="C74" s="160">
        <v>5</v>
      </c>
      <c r="D74" t="str">
        <f>VLOOKUP(A74,DataUsuario!B:D,2,FALSE)</f>
        <v>Administración y Finanzas</v>
      </c>
      <c r="E74" t="str">
        <f>VLOOKUP(A74,DataUsuario!B:D,3,FALSE)</f>
        <v>Control de Gestión</v>
      </c>
      <c r="F74" t="s">
        <v>66</v>
      </c>
    </row>
    <row r="75" spans="1:6" x14ac:dyDescent="0.3">
      <c r="A75" s="156" t="s">
        <v>285</v>
      </c>
      <c r="B75" t="s">
        <v>20</v>
      </c>
      <c r="C75" s="159">
        <v>5</v>
      </c>
      <c r="D75" t="str">
        <f>VLOOKUP(A75,DataUsuario!B:D,2,FALSE)</f>
        <v>Operaciones</v>
      </c>
      <c r="E75" t="str">
        <f>VLOOKUP(A75,DataUsuario!B:D,3,FALSE)</f>
        <v>Comercial</v>
      </c>
      <c r="F75" t="s">
        <v>70</v>
      </c>
    </row>
    <row r="76" spans="1:6" x14ac:dyDescent="0.3">
      <c r="A76" s="157" t="s">
        <v>251</v>
      </c>
      <c r="B76" t="s">
        <v>20</v>
      </c>
      <c r="C76" s="160">
        <v>3</v>
      </c>
      <c r="D76" t="str">
        <f>VLOOKUP(A76,DataUsuario!B:D,2,FALSE)</f>
        <v>Industrial y de Mantenimiento</v>
      </c>
      <c r="E76" t="str">
        <f>VLOOKUP(A76,DataUsuario!B:D,3,FALSE)</f>
        <v>Automatización</v>
      </c>
      <c r="F76" t="s">
        <v>74</v>
      </c>
    </row>
    <row r="77" spans="1:6" x14ac:dyDescent="0.3">
      <c r="A77" s="156" t="s">
        <v>287</v>
      </c>
      <c r="B77" t="s">
        <v>20</v>
      </c>
      <c r="C77" s="159">
        <v>5</v>
      </c>
      <c r="D77" t="str">
        <f>VLOOKUP(A77,DataUsuario!B:D,2,FALSE)</f>
        <v>Operaciones</v>
      </c>
      <c r="E77" t="str">
        <f>VLOOKUP(A77,DataUsuario!B:D,3,FALSE)</f>
        <v>Calidad</v>
      </c>
      <c r="F77" t="s">
        <v>70</v>
      </c>
    </row>
    <row r="78" spans="1:6" x14ac:dyDescent="0.3">
      <c r="A78" s="157" t="s">
        <v>85</v>
      </c>
      <c r="B78" t="s">
        <v>20</v>
      </c>
      <c r="C78" s="160">
        <v>5</v>
      </c>
      <c r="D78" t="str">
        <f>VLOOKUP(A78,DataUsuario!B:D,2,FALSE)</f>
        <v>Operaciones</v>
      </c>
      <c r="E78" t="str">
        <f>VLOOKUP(A78,DataUsuario!B:D,3,FALSE)</f>
        <v>Comercial</v>
      </c>
      <c r="F78" t="s">
        <v>70</v>
      </c>
    </row>
    <row r="79" spans="1:6" x14ac:dyDescent="0.3">
      <c r="A79" s="156" t="s">
        <v>260</v>
      </c>
      <c r="B79" t="s">
        <v>20</v>
      </c>
      <c r="C79" s="159">
        <v>4</v>
      </c>
      <c r="D79" t="str">
        <f>VLOOKUP(A79,DataUsuario!B:D,2,FALSE)</f>
        <v>Industrial y de Mantenimiento</v>
      </c>
      <c r="E79" t="str">
        <f>VLOOKUP(A79,DataUsuario!B:D,3,FALSE)</f>
        <v>Producción</v>
      </c>
      <c r="F79" t="s">
        <v>74</v>
      </c>
    </row>
    <row r="80" spans="1:6" x14ac:dyDescent="0.3">
      <c r="A80" s="157" t="s">
        <v>423</v>
      </c>
      <c r="B80" t="s">
        <v>20</v>
      </c>
      <c r="C80" s="160">
        <v>3</v>
      </c>
      <c r="D80" t="str">
        <f>VLOOKUP(A80,DataUsuario!B:D,2,FALSE)</f>
        <v>Industrial y de Mantenimiento</v>
      </c>
      <c r="E80" t="str">
        <f>VLOOKUP(A80,DataUsuario!B:D,3,FALSE)</f>
        <v>Producción</v>
      </c>
      <c r="F80" t="s">
        <v>74</v>
      </c>
    </row>
    <row r="81" spans="1:6" x14ac:dyDescent="0.3">
      <c r="A81" s="156" t="s">
        <v>154</v>
      </c>
      <c r="B81" t="s">
        <v>20</v>
      </c>
      <c r="C81" s="159">
        <v>4</v>
      </c>
      <c r="D81" t="str">
        <f>VLOOKUP(A81,DataUsuario!B:D,2,FALSE)</f>
        <v>Industrial y de Mantenimiento</v>
      </c>
      <c r="E81" t="str">
        <f>VLOOKUP(A81,DataUsuario!B:D,3,FALSE)</f>
        <v>Mantenimiento Industrial</v>
      </c>
      <c r="F81" t="s">
        <v>74</v>
      </c>
    </row>
    <row r="82" spans="1:6" x14ac:dyDescent="0.3">
      <c r="A82" s="157" t="s">
        <v>305</v>
      </c>
      <c r="B82" t="s">
        <v>20</v>
      </c>
      <c r="C82" s="160">
        <v>3</v>
      </c>
      <c r="D82" t="str">
        <f>VLOOKUP(A82,DataUsuario!B:D,2,FALSE)</f>
        <v>Industrial y de Mantenimiento</v>
      </c>
      <c r="E82" t="str">
        <f>VLOOKUP(A82,DataUsuario!B:D,3,FALSE)</f>
        <v>Producción</v>
      </c>
      <c r="F82" t="s">
        <v>74</v>
      </c>
    </row>
    <row r="83" spans="1:6" x14ac:dyDescent="0.3">
      <c r="A83" s="156" t="s">
        <v>77</v>
      </c>
      <c r="B83" t="s">
        <v>20</v>
      </c>
      <c r="C83" s="159">
        <v>4</v>
      </c>
      <c r="D83" t="str">
        <f>VLOOKUP(A83,DataUsuario!B:D,2,FALSE)</f>
        <v>Operaciones</v>
      </c>
      <c r="E83" t="str">
        <f>VLOOKUP(A83,DataUsuario!B:D,3,FALSE)</f>
        <v>Comercial No Giro</v>
      </c>
      <c r="F83" t="s">
        <v>70</v>
      </c>
    </row>
    <row r="84" spans="1:6" x14ac:dyDescent="0.3">
      <c r="A84" s="157" t="s">
        <v>606</v>
      </c>
      <c r="B84" t="s">
        <v>20</v>
      </c>
      <c r="C84" s="160">
        <v>5</v>
      </c>
      <c r="D84" t="str">
        <f>VLOOKUP(A84,DataUsuario!B:D,2,FALSE)</f>
        <v>Operaciones</v>
      </c>
      <c r="E84" t="str">
        <f>VLOOKUP(A84,DataUsuario!B:D,3,FALSE)</f>
        <v xml:space="preserve">Almacén </v>
      </c>
      <c r="F84" t="s">
        <v>70</v>
      </c>
    </row>
    <row r="85" spans="1:6" x14ac:dyDescent="0.3">
      <c r="A85" s="156" t="s">
        <v>205</v>
      </c>
      <c r="B85" t="s">
        <v>20</v>
      </c>
      <c r="C85" s="159">
        <v>4</v>
      </c>
      <c r="D85" t="str">
        <f>VLOOKUP(A85,DataUsuario!B:D,2,FALSE)</f>
        <v>Operaciones</v>
      </c>
      <c r="E85" t="str">
        <f>VLOOKUP(A85,DataUsuario!B:D,3,FALSE)</f>
        <v>Almacenes y Distribución PT</v>
      </c>
      <c r="F85" t="s">
        <v>70</v>
      </c>
    </row>
    <row r="86" spans="1:6" x14ac:dyDescent="0.3">
      <c r="A86" s="157" t="s">
        <v>393</v>
      </c>
      <c r="B86" t="s">
        <v>20</v>
      </c>
      <c r="C86" s="160">
        <v>5</v>
      </c>
      <c r="D86" t="str">
        <f>VLOOKUP(A86,DataUsuario!B:D,2,FALSE)</f>
        <v>Agrícola</v>
      </c>
      <c r="E86" t="str">
        <f>VLOOKUP(A86,DataUsuario!B:D,3,FALSE)</f>
        <v>Sistema Integral de Gestión</v>
      </c>
      <c r="F86" t="s">
        <v>89</v>
      </c>
    </row>
    <row r="87" spans="1:6" x14ac:dyDescent="0.3">
      <c r="A87" s="156" t="s">
        <v>609</v>
      </c>
      <c r="B87" t="s">
        <v>20</v>
      </c>
      <c r="C87" s="159">
        <v>5</v>
      </c>
      <c r="D87" t="str">
        <f>VLOOKUP(A87,DataUsuario!B:D,2,FALSE)</f>
        <v>Operaciones</v>
      </c>
      <c r="E87" t="str">
        <f>VLOOKUP(A87,DataUsuario!B:D,3,FALSE)</f>
        <v>Almacenes y Distribución PT</v>
      </c>
      <c r="F87" t="s">
        <v>70</v>
      </c>
    </row>
    <row r="88" spans="1:6" x14ac:dyDescent="0.3">
      <c r="A88" s="157" t="s">
        <v>152</v>
      </c>
      <c r="B88" t="s">
        <v>20</v>
      </c>
      <c r="C88" s="160">
        <v>5</v>
      </c>
      <c r="D88" t="str">
        <f>VLOOKUP(A88,DataUsuario!B:D,2,FALSE)</f>
        <v>Operaciones</v>
      </c>
      <c r="E88" t="str">
        <f>VLOOKUP(A88,DataUsuario!B:D,3,FALSE)</f>
        <v>Almacenes y Distribución PT</v>
      </c>
      <c r="F88" t="s">
        <v>70</v>
      </c>
    </row>
    <row r="89" spans="1:6" x14ac:dyDescent="0.3">
      <c r="A89" s="156" t="s">
        <v>61</v>
      </c>
      <c r="B89" t="s">
        <v>20</v>
      </c>
      <c r="C89" s="159">
        <v>4</v>
      </c>
      <c r="D89" t="str">
        <f>VLOOKUP(A89,DataUsuario!B:D,2,FALSE)</f>
        <v>Gestión Humana y Sostenibilidad</v>
      </c>
      <c r="E89" t="str">
        <f>VLOOKUP(A89,DataUsuario!B:D,3,FALSE)</f>
        <v>Compensación y Nóminas</v>
      </c>
      <c r="F89" t="s">
        <v>62</v>
      </c>
    </row>
    <row r="90" spans="1:6" x14ac:dyDescent="0.3">
      <c r="A90" s="157" t="s">
        <v>238</v>
      </c>
      <c r="B90" t="s">
        <v>20</v>
      </c>
      <c r="C90" s="160">
        <v>5</v>
      </c>
      <c r="D90" t="str">
        <f>VLOOKUP(A90,DataUsuario!B:D,2,FALSE)</f>
        <v>Industrial y de Mantenimiento</v>
      </c>
      <c r="E90" t="str">
        <f>VLOOKUP(A90,DataUsuario!B:D,3,FALSE)</f>
        <v>Producción</v>
      </c>
      <c r="F90" t="s">
        <v>74</v>
      </c>
    </row>
    <row r="91" spans="1:6" x14ac:dyDescent="0.3">
      <c r="A91" s="156" t="s">
        <v>303</v>
      </c>
      <c r="B91" t="s">
        <v>20</v>
      </c>
      <c r="C91" s="159" t="s">
        <v>623</v>
      </c>
      <c r="D91" t="str">
        <f>VLOOKUP(A91,DataUsuario!B:D,2,FALSE)</f>
        <v>Administración y Finanzas</v>
      </c>
      <c r="E91" t="str">
        <f>VLOOKUP(A91,DataUsuario!B:D,3,FALSE)</f>
        <v>Control de Gestión</v>
      </c>
      <c r="F91" t="s">
        <v>66</v>
      </c>
    </row>
    <row r="92" spans="1:6" x14ac:dyDescent="0.3">
      <c r="A92" s="157" t="s">
        <v>123</v>
      </c>
      <c r="B92" t="s">
        <v>20</v>
      </c>
      <c r="C92" s="160">
        <v>4</v>
      </c>
      <c r="D92" t="str">
        <f>VLOOKUP(A92,DataUsuario!B:D,2,FALSE)</f>
        <v>Administración y Finanzas</v>
      </c>
      <c r="E92" t="str">
        <f>VLOOKUP(A92,DataUsuario!B:D,3,FALSE)</f>
        <v>Gerencia Administración y Finanzas</v>
      </c>
      <c r="F92" t="s">
        <v>66</v>
      </c>
    </row>
    <row r="93" spans="1:6" x14ac:dyDescent="0.3">
      <c r="A93" s="156" t="s">
        <v>128</v>
      </c>
      <c r="B93" t="s">
        <v>20</v>
      </c>
      <c r="C93" s="159">
        <v>5</v>
      </c>
      <c r="D93" t="str">
        <f>VLOOKUP(A93,DataUsuario!B:D,2,FALSE)</f>
        <v>Agrícola</v>
      </c>
      <c r="E93" t="str">
        <f>VLOOKUP(A93,DataUsuario!B:D,3,FALSE)</f>
        <v>Fundo Lobo</v>
      </c>
      <c r="F93" t="s">
        <v>89</v>
      </c>
    </row>
    <row r="94" spans="1:6" x14ac:dyDescent="0.3">
      <c r="A94" s="157" t="s">
        <v>242</v>
      </c>
      <c r="B94" t="s">
        <v>20</v>
      </c>
      <c r="C94" s="160">
        <v>5</v>
      </c>
      <c r="D94" t="str">
        <f>VLOOKUP(A94,DataUsuario!B:D,2,FALSE)</f>
        <v>Agrícola</v>
      </c>
      <c r="E94" t="str">
        <f>VLOOKUP(A94,DataUsuario!B:D,3,FALSE)</f>
        <v>Fundo Montelima</v>
      </c>
      <c r="F94" t="s">
        <v>89</v>
      </c>
    </row>
    <row r="95" spans="1:6" x14ac:dyDescent="0.3">
      <c r="A95" s="156" t="s">
        <v>369</v>
      </c>
      <c r="B95" t="s">
        <v>20</v>
      </c>
      <c r="C95" s="159">
        <v>5</v>
      </c>
      <c r="D95" t="str">
        <f>VLOOKUP(A95,DataUsuario!B:D,2,FALSE)</f>
        <v>Agrícola</v>
      </c>
      <c r="E95" t="str">
        <f>VLOOKUP(A95,DataUsuario!B:D,3,FALSE)</f>
        <v>Sistema Integral de Gestión</v>
      </c>
      <c r="F95" t="s">
        <v>89</v>
      </c>
    </row>
    <row r="96" spans="1:6" x14ac:dyDescent="0.3">
      <c r="A96" s="157" t="s">
        <v>613</v>
      </c>
      <c r="B96" t="s">
        <v>20</v>
      </c>
      <c r="C96" s="160">
        <v>4</v>
      </c>
      <c r="D96" t="str">
        <f>VLOOKUP(A96,DataUsuario!B:D,2,FALSE)</f>
        <v>Operaciones</v>
      </c>
      <c r="E96" t="str">
        <f>VLOOKUP(A96,DataUsuario!B:D,3,FALSE)</f>
        <v>Transporte</v>
      </c>
      <c r="F96" t="s">
        <v>70</v>
      </c>
    </row>
    <row r="97" spans="1:6" x14ac:dyDescent="0.3">
      <c r="A97" s="156" t="s">
        <v>224</v>
      </c>
      <c r="B97" t="s">
        <v>20</v>
      </c>
      <c r="C97" s="159">
        <v>4</v>
      </c>
      <c r="D97" t="str">
        <f>VLOOKUP(A97,DataUsuario!B:D,2,FALSE)</f>
        <v>Agrícola</v>
      </c>
      <c r="E97" t="str">
        <f>VLOOKUP(A97,DataUsuario!B:D,3,FALSE)</f>
        <v>Laboratorio e Investigación Agricola</v>
      </c>
      <c r="F97" t="s">
        <v>89</v>
      </c>
    </row>
    <row r="98" spans="1:6" x14ac:dyDescent="0.3">
      <c r="A98" s="157" t="s">
        <v>359</v>
      </c>
      <c r="B98" t="s">
        <v>20</v>
      </c>
      <c r="C98" s="160">
        <v>4</v>
      </c>
      <c r="D98" t="str">
        <f>VLOOKUP(A98,DataUsuario!B:D,2,FALSE)</f>
        <v>Operaciones</v>
      </c>
      <c r="E98" t="str">
        <f>VLOOKUP(A98,DataUsuario!B:D,3,FALSE)</f>
        <v>Gerencia de Operaciones</v>
      </c>
      <c r="F98" t="s">
        <v>70</v>
      </c>
    </row>
    <row r="99" spans="1:6" x14ac:dyDescent="0.3">
      <c r="A99" s="156" t="s">
        <v>350</v>
      </c>
      <c r="B99" t="s">
        <v>20</v>
      </c>
      <c r="C99" s="159">
        <v>4</v>
      </c>
      <c r="D99" t="str">
        <f>VLOOKUP(A99,DataUsuario!B:D,2,FALSE)</f>
        <v>Agrícola</v>
      </c>
      <c r="E99" t="str">
        <f>VLOOKUP(A99,DataUsuario!B:D,3,FALSE)</f>
        <v>Planificador Agrícola</v>
      </c>
      <c r="F99" t="s">
        <v>89</v>
      </c>
    </row>
    <row r="100" spans="1:6" x14ac:dyDescent="0.3">
      <c r="A100" s="157" t="s">
        <v>256</v>
      </c>
      <c r="B100" t="s">
        <v>20</v>
      </c>
      <c r="C100" s="160">
        <v>4</v>
      </c>
      <c r="D100" t="str">
        <f>VLOOKUP(A100,DataUsuario!B:D,2,FALSE)</f>
        <v>Agrícola</v>
      </c>
      <c r="E100" t="str">
        <f>VLOOKUP(A100,DataUsuario!B:D,3,FALSE)</f>
        <v>Fundo Montelima</v>
      </c>
      <c r="F100" t="s">
        <v>89</v>
      </c>
    </row>
    <row r="101" spans="1:6" x14ac:dyDescent="0.3">
      <c r="A101" s="156" t="s">
        <v>435</v>
      </c>
      <c r="B101" t="s">
        <v>20</v>
      </c>
      <c r="C101" s="159">
        <v>4</v>
      </c>
      <c r="D101" t="str">
        <f>VLOOKUP(A101,DataUsuario!B:D,2,FALSE)</f>
        <v>Operaciones</v>
      </c>
      <c r="E101" t="str">
        <f>VLOOKUP(A101,DataUsuario!B:D,3,FALSE)</f>
        <v>Almacenes y Distribución PT</v>
      </c>
      <c r="F101" t="s">
        <v>70</v>
      </c>
    </row>
    <row r="102" spans="1:6" x14ac:dyDescent="0.3">
      <c r="A102" s="157" t="s">
        <v>202</v>
      </c>
      <c r="B102" t="s">
        <v>20</v>
      </c>
      <c r="C102" s="160">
        <v>5</v>
      </c>
      <c r="D102" t="str">
        <f>VLOOKUP(A102,DataUsuario!B:D,2,FALSE)</f>
        <v>Agrícola</v>
      </c>
      <c r="E102" t="str">
        <f>VLOOKUP(A102,DataUsuario!B:D,3,FALSE)</f>
        <v>Fundo La Huaca</v>
      </c>
      <c r="F102" t="s">
        <v>89</v>
      </c>
    </row>
    <row r="103" spans="1:6" x14ac:dyDescent="0.3">
      <c r="A103" s="156" t="s">
        <v>337</v>
      </c>
      <c r="B103" t="s">
        <v>20</v>
      </c>
      <c r="C103" s="159">
        <v>5</v>
      </c>
      <c r="D103" t="str">
        <f>VLOOKUP(A103,DataUsuario!B:D,2,FALSE)</f>
        <v>Agrícola</v>
      </c>
      <c r="E103" t="str">
        <f>VLOOKUP(A103,DataUsuario!B:D,3,FALSE)</f>
        <v>Fundo San Vicente</v>
      </c>
      <c r="F103" t="s">
        <v>89</v>
      </c>
    </row>
    <row r="104" spans="1:6" x14ac:dyDescent="0.3">
      <c r="A104" s="157" t="s">
        <v>179</v>
      </c>
      <c r="B104" t="s">
        <v>20</v>
      </c>
      <c r="C104" s="160">
        <v>5</v>
      </c>
      <c r="D104" t="str">
        <f>VLOOKUP(A104,DataUsuario!B:D,2,FALSE)</f>
        <v>Agrícola</v>
      </c>
      <c r="E104" t="str">
        <f>VLOOKUP(A104,DataUsuario!B:D,3,FALSE)</f>
        <v>Fundo Montelima</v>
      </c>
      <c r="F104" t="s">
        <v>89</v>
      </c>
    </row>
    <row r="105" spans="1:6" x14ac:dyDescent="0.3">
      <c r="A105" s="156" t="s">
        <v>619</v>
      </c>
      <c r="B105" t="s">
        <v>20</v>
      </c>
      <c r="C105" s="159">
        <v>5</v>
      </c>
      <c r="D105" t="str">
        <f>VLOOKUP(A105,DataUsuario!B:D,2,FALSE)</f>
        <v>Operaciones</v>
      </c>
      <c r="E105" t="str">
        <f>VLOOKUP(A105,DataUsuario!B:D,3,FALSE)</f>
        <v xml:space="preserve">Almacén </v>
      </c>
      <c r="F105" t="s">
        <v>70</v>
      </c>
    </row>
    <row r="106" spans="1:6" x14ac:dyDescent="0.3">
      <c r="A106" s="158" t="s">
        <v>378</v>
      </c>
      <c r="B106" t="s">
        <v>20</v>
      </c>
      <c r="C106" s="161">
        <v>4</v>
      </c>
      <c r="D106" t="str">
        <f>VLOOKUP(A106,DataUsuario!B:D,2,FALSE)</f>
        <v>Industrial y de Mantenimiento</v>
      </c>
      <c r="E106" t="str">
        <f>VLOOKUP(A106,DataUsuario!B:D,3,FALSE)</f>
        <v>Gerencia industrial y de Mantenimiento</v>
      </c>
      <c r="F106" t="s">
        <v>74</v>
      </c>
    </row>
    <row r="107" spans="1:6" x14ac:dyDescent="0.3">
      <c r="A107" s="156" t="s">
        <v>138</v>
      </c>
      <c r="B107" t="s">
        <v>21</v>
      </c>
      <c r="C107" s="159">
        <v>4</v>
      </c>
      <c r="D107" t="str">
        <f>VLOOKUP(A107,DataUsuario!B:D,2,FALSE)</f>
        <v>Gestión Humana y Sostenibilidad</v>
      </c>
      <c r="E107" t="str">
        <f>VLOOKUP(A107,DataUsuario!B:D,3,FALSE)</f>
        <v>Gestion del Talento</v>
      </c>
      <c r="F107" t="s">
        <v>62</v>
      </c>
    </row>
    <row r="108" spans="1:6" x14ac:dyDescent="0.3">
      <c r="A108" s="157" t="s">
        <v>145</v>
      </c>
      <c r="B108" t="s">
        <v>21</v>
      </c>
      <c r="C108" s="160" t="s">
        <v>623</v>
      </c>
      <c r="D108" t="str">
        <f>VLOOKUP(A108,DataUsuario!B:D,2,FALSE)</f>
        <v>Administración y Finanzas</v>
      </c>
      <c r="E108" t="str">
        <f>VLOOKUP(A108,DataUsuario!B:D,3,FALSE)</f>
        <v>Legal</v>
      </c>
      <c r="F108" t="s">
        <v>66</v>
      </c>
    </row>
    <row r="109" spans="1:6" x14ac:dyDescent="0.3">
      <c r="A109" s="156" t="s">
        <v>322</v>
      </c>
      <c r="B109" t="s">
        <v>21</v>
      </c>
      <c r="C109" s="159">
        <v>3</v>
      </c>
      <c r="D109" t="str">
        <f>VLOOKUP(A109,DataUsuario!B:D,2,FALSE)</f>
        <v>Administración y Finanzas</v>
      </c>
      <c r="E109" t="str">
        <f>VLOOKUP(A109,DataUsuario!B:D,3,FALSE)</f>
        <v>Finanzas y Tesorería</v>
      </c>
      <c r="F109" t="s">
        <v>66</v>
      </c>
    </row>
    <row r="110" spans="1:6" x14ac:dyDescent="0.3">
      <c r="A110" s="157" t="s">
        <v>133</v>
      </c>
      <c r="B110" t="s">
        <v>21</v>
      </c>
      <c r="C110" s="160">
        <v>5</v>
      </c>
      <c r="D110" t="str">
        <f>VLOOKUP(A110,DataUsuario!B:D,2,FALSE)</f>
        <v>Industrial y de Mantenimiento</v>
      </c>
      <c r="E110" t="str">
        <f>VLOOKUP(A110,DataUsuario!B:D,3,FALSE)</f>
        <v>Electricidad</v>
      </c>
      <c r="F110" t="s">
        <v>74</v>
      </c>
    </row>
    <row r="111" spans="1:6" x14ac:dyDescent="0.3">
      <c r="A111" s="156" t="s">
        <v>421</v>
      </c>
      <c r="B111" t="s">
        <v>21</v>
      </c>
      <c r="C111" s="159">
        <v>4</v>
      </c>
      <c r="D111" t="str">
        <f>VLOOKUP(A111,DataUsuario!B:D,2,FALSE)</f>
        <v>Operaciones</v>
      </c>
      <c r="E111" t="str">
        <f>VLOOKUP(A111,DataUsuario!B:D,3,FALSE)</f>
        <v>Cosecha</v>
      </c>
      <c r="F111" t="s">
        <v>70</v>
      </c>
    </row>
    <row r="112" spans="1:6" x14ac:dyDescent="0.3">
      <c r="A112" s="157" t="s">
        <v>221</v>
      </c>
      <c r="B112" t="s">
        <v>21</v>
      </c>
      <c r="C112" s="160">
        <v>5</v>
      </c>
      <c r="D112" t="str">
        <f>VLOOKUP(A112,DataUsuario!B:D,2,FALSE)</f>
        <v>Administración y Finanzas</v>
      </c>
      <c r="E112" t="str">
        <f>VLOOKUP(A112,DataUsuario!B:D,3,FALSE)</f>
        <v>Sistemas y TI</v>
      </c>
      <c r="F112" t="s">
        <v>66</v>
      </c>
    </row>
    <row r="113" spans="1:6" x14ac:dyDescent="0.3">
      <c r="A113" s="156" t="s">
        <v>318</v>
      </c>
      <c r="B113" t="s">
        <v>21</v>
      </c>
      <c r="C113" s="159">
        <v>5</v>
      </c>
      <c r="D113" t="str">
        <f>VLOOKUP(A113,DataUsuario!B:D,2,FALSE)</f>
        <v>Operaciones</v>
      </c>
      <c r="E113" t="str">
        <f>VLOOKUP(A113,DataUsuario!B:D,3,FALSE)</f>
        <v>Cosecha</v>
      </c>
      <c r="F113" t="s">
        <v>70</v>
      </c>
    </row>
    <row r="114" spans="1:6" x14ac:dyDescent="0.3">
      <c r="A114" s="157" t="s">
        <v>372</v>
      </c>
      <c r="B114" t="s">
        <v>21</v>
      </c>
      <c r="C114" s="160">
        <v>4</v>
      </c>
      <c r="D114" t="str">
        <f>VLOOKUP(A114,DataUsuario!B:D,2,FALSE)</f>
        <v>Agrícola</v>
      </c>
      <c r="E114" t="str">
        <f>VLOOKUP(A114,DataUsuario!B:D,3,FALSE)</f>
        <v>Laboratorio e Investigación Agricola</v>
      </c>
      <c r="F114" t="s">
        <v>89</v>
      </c>
    </row>
    <row r="115" spans="1:6" x14ac:dyDescent="0.3">
      <c r="A115" s="156" t="s">
        <v>599</v>
      </c>
      <c r="B115" t="s">
        <v>21</v>
      </c>
      <c r="C115" s="159">
        <v>4</v>
      </c>
      <c r="D115" t="str">
        <f>VLOOKUP(A115,DataUsuario!B:D,2,FALSE)</f>
        <v>Administración y Finanzas</v>
      </c>
      <c r="E115" t="str">
        <f>VLOOKUP(A115,DataUsuario!B:D,3,FALSE)</f>
        <v>Compras</v>
      </c>
      <c r="F115" t="s">
        <v>66</v>
      </c>
    </row>
    <row r="116" spans="1:6" x14ac:dyDescent="0.3">
      <c r="A116" s="157" t="s">
        <v>198</v>
      </c>
      <c r="B116" t="s">
        <v>21</v>
      </c>
      <c r="C116" s="160">
        <v>4</v>
      </c>
      <c r="D116" t="str">
        <f>VLOOKUP(A116,DataUsuario!B:D,2,FALSE)</f>
        <v>Agrícola</v>
      </c>
      <c r="E116" t="str">
        <f>VLOOKUP(A116,DataUsuario!B:D,3,FALSE)</f>
        <v>Fundo Lobo</v>
      </c>
      <c r="F116" t="s">
        <v>89</v>
      </c>
    </row>
    <row r="117" spans="1:6" x14ac:dyDescent="0.3">
      <c r="A117" s="156" t="s">
        <v>431</v>
      </c>
      <c r="B117" t="s">
        <v>21</v>
      </c>
      <c r="C117" s="159">
        <v>4</v>
      </c>
      <c r="D117" t="str">
        <f>VLOOKUP(A117,DataUsuario!B:D,2,FALSE)</f>
        <v>Agrícola</v>
      </c>
      <c r="E117" t="str">
        <f>VLOOKUP(A117,DataUsuario!B:D,3,FALSE)</f>
        <v>Fundo San Vicente</v>
      </c>
      <c r="F117" t="s">
        <v>89</v>
      </c>
    </row>
    <row r="118" spans="1:6" x14ac:dyDescent="0.3">
      <c r="A118" s="157" t="s">
        <v>176</v>
      </c>
      <c r="B118" t="s">
        <v>21</v>
      </c>
      <c r="C118" s="160">
        <v>4</v>
      </c>
      <c r="D118" t="str">
        <f>VLOOKUP(A118,DataUsuario!B:D,2,FALSE)</f>
        <v>Administración y Finanzas</v>
      </c>
      <c r="E118" t="str">
        <f>VLOOKUP(A118,DataUsuario!B:D,3,FALSE)</f>
        <v>Cadenas Productivas</v>
      </c>
      <c r="F118" t="s">
        <v>66</v>
      </c>
    </row>
    <row r="119" spans="1:6" x14ac:dyDescent="0.3">
      <c r="A119" s="156" t="s">
        <v>236</v>
      </c>
      <c r="B119" t="s">
        <v>21</v>
      </c>
      <c r="C119" s="159">
        <v>5</v>
      </c>
      <c r="D119" t="str">
        <f>VLOOKUP(A119,DataUsuario!B:D,2,FALSE)</f>
        <v>Administración y Finanzas</v>
      </c>
      <c r="E119" t="str">
        <f>VLOOKUP(A119,DataUsuario!B:D,3,FALSE)</f>
        <v>Sistemas y TI</v>
      </c>
      <c r="F119" t="s">
        <v>66</v>
      </c>
    </row>
    <row r="120" spans="1:6" x14ac:dyDescent="0.3">
      <c r="A120" s="157" t="s">
        <v>136</v>
      </c>
      <c r="B120" t="s">
        <v>21</v>
      </c>
      <c r="C120" s="160">
        <v>5</v>
      </c>
      <c r="D120" t="str">
        <f>VLOOKUP(A120,DataUsuario!B:D,2,FALSE)</f>
        <v>Operaciones</v>
      </c>
      <c r="E120" t="str">
        <f>VLOOKUP(A120,DataUsuario!B:D,3,FALSE)</f>
        <v>Comercial</v>
      </c>
      <c r="F120" t="s">
        <v>70</v>
      </c>
    </row>
    <row r="121" spans="1:6" x14ac:dyDescent="0.3">
      <c r="A121" s="156" t="s">
        <v>343</v>
      </c>
      <c r="B121" t="s">
        <v>21</v>
      </c>
      <c r="C121" s="159">
        <v>5</v>
      </c>
      <c r="D121" t="str">
        <f>VLOOKUP(A121,DataUsuario!B:D,2,FALSE)</f>
        <v>Operaciones</v>
      </c>
      <c r="E121" t="str">
        <f>VLOOKUP(A121,DataUsuario!B:D,3,FALSE)</f>
        <v>Comercial No Giro</v>
      </c>
      <c r="F121" t="s">
        <v>70</v>
      </c>
    </row>
    <row r="122" spans="1:6" x14ac:dyDescent="0.3">
      <c r="A122" s="157" t="s">
        <v>376</v>
      </c>
      <c r="B122" t="s">
        <v>21</v>
      </c>
      <c r="C122" s="160">
        <v>5</v>
      </c>
      <c r="D122" t="str">
        <f>VLOOKUP(A122,DataUsuario!B:D,2,FALSE)</f>
        <v>Administración y Finanzas</v>
      </c>
      <c r="E122" t="str">
        <f>VLOOKUP(A122,DataUsuario!B:D,3,FALSE)</f>
        <v>Control de Gestión</v>
      </c>
      <c r="F122" t="s">
        <v>66</v>
      </c>
    </row>
    <row r="123" spans="1:6" x14ac:dyDescent="0.3">
      <c r="A123" s="156" t="s">
        <v>285</v>
      </c>
      <c r="B123" t="s">
        <v>21</v>
      </c>
      <c r="C123" s="159" t="s">
        <v>623</v>
      </c>
      <c r="D123" t="str">
        <f>VLOOKUP(A123,DataUsuario!B:D,2,FALSE)</f>
        <v>Operaciones</v>
      </c>
      <c r="E123" t="str">
        <f>VLOOKUP(A123,DataUsuario!B:D,3,FALSE)</f>
        <v>Comercial</v>
      </c>
      <c r="F123" t="s">
        <v>70</v>
      </c>
    </row>
    <row r="124" spans="1:6" x14ac:dyDescent="0.3">
      <c r="A124" s="157" t="s">
        <v>251</v>
      </c>
      <c r="B124" t="s">
        <v>21</v>
      </c>
      <c r="C124" s="160">
        <v>4</v>
      </c>
      <c r="D124" t="str">
        <f>VLOOKUP(A124,DataUsuario!B:D,2,FALSE)</f>
        <v>Industrial y de Mantenimiento</v>
      </c>
      <c r="E124" t="str">
        <f>VLOOKUP(A124,DataUsuario!B:D,3,FALSE)</f>
        <v>Automatización</v>
      </c>
      <c r="F124" t="s">
        <v>74</v>
      </c>
    </row>
    <row r="125" spans="1:6" x14ac:dyDescent="0.3">
      <c r="A125" s="156" t="s">
        <v>287</v>
      </c>
      <c r="B125" t="s">
        <v>21</v>
      </c>
      <c r="C125" s="159">
        <v>5</v>
      </c>
      <c r="D125" t="str">
        <f>VLOOKUP(A125,DataUsuario!B:D,2,FALSE)</f>
        <v>Operaciones</v>
      </c>
      <c r="E125" t="str">
        <f>VLOOKUP(A125,DataUsuario!B:D,3,FALSE)</f>
        <v>Calidad</v>
      </c>
      <c r="F125" t="s">
        <v>70</v>
      </c>
    </row>
    <row r="126" spans="1:6" x14ac:dyDescent="0.3">
      <c r="A126" s="157" t="s">
        <v>85</v>
      </c>
      <c r="B126" t="s">
        <v>21</v>
      </c>
      <c r="C126" s="160">
        <v>5</v>
      </c>
      <c r="D126" t="str">
        <f>VLOOKUP(A126,DataUsuario!B:D,2,FALSE)</f>
        <v>Operaciones</v>
      </c>
      <c r="E126" t="str">
        <f>VLOOKUP(A126,DataUsuario!B:D,3,FALSE)</f>
        <v>Comercial</v>
      </c>
      <c r="F126" t="s">
        <v>70</v>
      </c>
    </row>
    <row r="127" spans="1:6" x14ac:dyDescent="0.3">
      <c r="A127" s="156" t="s">
        <v>260</v>
      </c>
      <c r="B127" t="s">
        <v>21</v>
      </c>
      <c r="C127" s="159">
        <v>3</v>
      </c>
      <c r="D127" t="str">
        <f>VLOOKUP(A127,DataUsuario!B:D,2,FALSE)</f>
        <v>Industrial y de Mantenimiento</v>
      </c>
      <c r="E127" t="str">
        <f>VLOOKUP(A127,DataUsuario!B:D,3,FALSE)</f>
        <v>Producción</v>
      </c>
      <c r="F127" t="s">
        <v>74</v>
      </c>
    </row>
    <row r="128" spans="1:6" x14ac:dyDescent="0.3">
      <c r="A128" s="157" t="s">
        <v>423</v>
      </c>
      <c r="B128" t="s">
        <v>21</v>
      </c>
      <c r="C128" s="160">
        <v>4</v>
      </c>
      <c r="D128" t="str">
        <f>VLOOKUP(A128,DataUsuario!B:D,2,FALSE)</f>
        <v>Industrial y de Mantenimiento</v>
      </c>
      <c r="E128" t="str">
        <f>VLOOKUP(A128,DataUsuario!B:D,3,FALSE)</f>
        <v>Producción</v>
      </c>
      <c r="F128" t="s">
        <v>74</v>
      </c>
    </row>
    <row r="129" spans="1:6" x14ac:dyDescent="0.3">
      <c r="A129" s="156" t="s">
        <v>154</v>
      </c>
      <c r="B129" t="s">
        <v>21</v>
      </c>
      <c r="C129" s="159">
        <v>4</v>
      </c>
      <c r="D129" t="str">
        <f>VLOOKUP(A129,DataUsuario!B:D,2,FALSE)</f>
        <v>Industrial y de Mantenimiento</v>
      </c>
      <c r="E129" t="str">
        <f>VLOOKUP(A129,DataUsuario!B:D,3,FALSE)</f>
        <v>Mantenimiento Industrial</v>
      </c>
      <c r="F129" t="s">
        <v>74</v>
      </c>
    </row>
    <row r="130" spans="1:6" x14ac:dyDescent="0.3">
      <c r="A130" s="157" t="s">
        <v>305</v>
      </c>
      <c r="B130" t="s">
        <v>21</v>
      </c>
      <c r="C130" s="160">
        <v>3</v>
      </c>
      <c r="D130" t="str">
        <f>VLOOKUP(A130,DataUsuario!B:D,2,FALSE)</f>
        <v>Industrial y de Mantenimiento</v>
      </c>
      <c r="E130" t="str">
        <f>VLOOKUP(A130,DataUsuario!B:D,3,FALSE)</f>
        <v>Producción</v>
      </c>
      <c r="F130" t="s">
        <v>74</v>
      </c>
    </row>
    <row r="131" spans="1:6" x14ac:dyDescent="0.3">
      <c r="A131" s="156" t="s">
        <v>77</v>
      </c>
      <c r="B131" t="s">
        <v>21</v>
      </c>
      <c r="C131" s="159">
        <v>5</v>
      </c>
      <c r="D131" t="str">
        <f>VLOOKUP(A131,DataUsuario!B:D,2,FALSE)</f>
        <v>Operaciones</v>
      </c>
      <c r="E131" t="str">
        <f>VLOOKUP(A131,DataUsuario!B:D,3,FALSE)</f>
        <v>Comercial No Giro</v>
      </c>
      <c r="F131" t="s">
        <v>70</v>
      </c>
    </row>
    <row r="132" spans="1:6" x14ac:dyDescent="0.3">
      <c r="A132" s="157" t="s">
        <v>606</v>
      </c>
      <c r="B132" t="s">
        <v>21</v>
      </c>
      <c r="C132" s="160">
        <v>5</v>
      </c>
      <c r="D132" t="str">
        <f>VLOOKUP(A132,DataUsuario!B:D,2,FALSE)</f>
        <v>Operaciones</v>
      </c>
      <c r="E132" t="str">
        <f>VLOOKUP(A132,DataUsuario!B:D,3,FALSE)</f>
        <v xml:space="preserve">Almacén </v>
      </c>
      <c r="F132" t="s">
        <v>70</v>
      </c>
    </row>
    <row r="133" spans="1:6" x14ac:dyDescent="0.3">
      <c r="A133" s="156" t="s">
        <v>205</v>
      </c>
      <c r="B133" t="s">
        <v>21</v>
      </c>
      <c r="C133" s="159">
        <v>5</v>
      </c>
      <c r="D133" t="str">
        <f>VLOOKUP(A133,DataUsuario!B:D,2,FALSE)</f>
        <v>Operaciones</v>
      </c>
      <c r="E133" t="str">
        <f>VLOOKUP(A133,DataUsuario!B:D,3,FALSE)</f>
        <v>Almacenes y Distribución PT</v>
      </c>
      <c r="F133" t="s">
        <v>70</v>
      </c>
    </row>
    <row r="134" spans="1:6" x14ac:dyDescent="0.3">
      <c r="A134" s="157" t="s">
        <v>393</v>
      </c>
      <c r="B134" t="s">
        <v>21</v>
      </c>
      <c r="C134" s="160">
        <v>4</v>
      </c>
      <c r="D134" t="str">
        <f>VLOOKUP(A134,DataUsuario!B:D,2,FALSE)</f>
        <v>Agrícola</v>
      </c>
      <c r="E134" t="str">
        <f>VLOOKUP(A134,DataUsuario!B:D,3,FALSE)</f>
        <v>Sistema Integral de Gestión</v>
      </c>
      <c r="F134" t="s">
        <v>89</v>
      </c>
    </row>
    <row r="135" spans="1:6" x14ac:dyDescent="0.3">
      <c r="A135" s="156" t="s">
        <v>609</v>
      </c>
      <c r="B135" t="s">
        <v>21</v>
      </c>
      <c r="C135" s="159">
        <v>5</v>
      </c>
      <c r="D135" t="str">
        <f>VLOOKUP(A135,DataUsuario!B:D,2,FALSE)</f>
        <v>Operaciones</v>
      </c>
      <c r="E135" t="str">
        <f>VLOOKUP(A135,DataUsuario!B:D,3,FALSE)</f>
        <v>Almacenes y Distribución PT</v>
      </c>
      <c r="F135" t="s">
        <v>70</v>
      </c>
    </row>
    <row r="136" spans="1:6" x14ac:dyDescent="0.3">
      <c r="A136" s="157" t="s">
        <v>152</v>
      </c>
      <c r="B136" t="s">
        <v>21</v>
      </c>
      <c r="C136" s="160">
        <v>5</v>
      </c>
      <c r="D136" t="str">
        <f>VLOOKUP(A136,DataUsuario!B:D,2,FALSE)</f>
        <v>Operaciones</v>
      </c>
      <c r="E136" t="str">
        <f>VLOOKUP(A136,DataUsuario!B:D,3,FALSE)</f>
        <v>Almacenes y Distribución PT</v>
      </c>
      <c r="F136" t="s">
        <v>70</v>
      </c>
    </row>
    <row r="137" spans="1:6" x14ac:dyDescent="0.3">
      <c r="A137" s="156" t="s">
        <v>61</v>
      </c>
      <c r="B137" t="s">
        <v>21</v>
      </c>
      <c r="C137" s="159">
        <v>4</v>
      </c>
      <c r="D137" t="str">
        <f>VLOOKUP(A137,DataUsuario!B:D,2,FALSE)</f>
        <v>Gestión Humana y Sostenibilidad</v>
      </c>
      <c r="E137" t="str">
        <f>VLOOKUP(A137,DataUsuario!B:D,3,FALSE)</f>
        <v>Compensación y Nóminas</v>
      </c>
      <c r="F137" t="s">
        <v>62</v>
      </c>
    </row>
    <row r="138" spans="1:6" x14ac:dyDescent="0.3">
      <c r="A138" s="157" t="s">
        <v>238</v>
      </c>
      <c r="B138" t="s">
        <v>21</v>
      </c>
      <c r="C138" s="160">
        <v>4</v>
      </c>
      <c r="D138" t="str">
        <f>VLOOKUP(A138,DataUsuario!B:D,2,FALSE)</f>
        <v>Industrial y de Mantenimiento</v>
      </c>
      <c r="E138" t="str">
        <f>VLOOKUP(A138,DataUsuario!B:D,3,FALSE)</f>
        <v>Producción</v>
      </c>
      <c r="F138" t="s">
        <v>74</v>
      </c>
    </row>
    <row r="139" spans="1:6" x14ac:dyDescent="0.3">
      <c r="A139" s="156" t="s">
        <v>303</v>
      </c>
      <c r="B139" t="s">
        <v>21</v>
      </c>
      <c r="C139" s="159">
        <v>4</v>
      </c>
      <c r="D139" t="str">
        <f>VLOOKUP(A139,DataUsuario!B:D,2,FALSE)</f>
        <v>Administración y Finanzas</v>
      </c>
      <c r="E139" t="str">
        <f>VLOOKUP(A139,DataUsuario!B:D,3,FALSE)</f>
        <v>Control de Gestión</v>
      </c>
      <c r="F139" t="s">
        <v>66</v>
      </c>
    </row>
    <row r="140" spans="1:6" x14ac:dyDescent="0.3">
      <c r="A140" s="157" t="s">
        <v>123</v>
      </c>
      <c r="B140" t="s">
        <v>21</v>
      </c>
      <c r="C140" s="160">
        <v>4</v>
      </c>
      <c r="D140" t="str">
        <f>VLOOKUP(A140,DataUsuario!B:D,2,FALSE)</f>
        <v>Administración y Finanzas</v>
      </c>
      <c r="E140" t="str">
        <f>VLOOKUP(A140,DataUsuario!B:D,3,FALSE)</f>
        <v>Gerencia Administración y Finanzas</v>
      </c>
      <c r="F140" t="s">
        <v>66</v>
      </c>
    </row>
    <row r="141" spans="1:6" x14ac:dyDescent="0.3">
      <c r="A141" s="156" t="s">
        <v>128</v>
      </c>
      <c r="B141" t="s">
        <v>21</v>
      </c>
      <c r="C141" s="159">
        <v>4</v>
      </c>
      <c r="D141" t="str">
        <f>VLOOKUP(A141,DataUsuario!B:D,2,FALSE)</f>
        <v>Agrícola</v>
      </c>
      <c r="E141" t="str">
        <f>VLOOKUP(A141,DataUsuario!B:D,3,FALSE)</f>
        <v>Fundo Lobo</v>
      </c>
      <c r="F141" t="s">
        <v>89</v>
      </c>
    </row>
    <row r="142" spans="1:6" x14ac:dyDescent="0.3">
      <c r="A142" s="157" t="s">
        <v>242</v>
      </c>
      <c r="B142" t="s">
        <v>21</v>
      </c>
      <c r="C142" s="160">
        <v>5</v>
      </c>
      <c r="D142" t="str">
        <f>VLOOKUP(A142,DataUsuario!B:D,2,FALSE)</f>
        <v>Agrícola</v>
      </c>
      <c r="E142" t="str">
        <f>VLOOKUP(A142,DataUsuario!B:D,3,FALSE)</f>
        <v>Fundo Montelima</v>
      </c>
      <c r="F142" t="s">
        <v>89</v>
      </c>
    </row>
    <row r="143" spans="1:6" x14ac:dyDescent="0.3">
      <c r="A143" s="156" t="s">
        <v>369</v>
      </c>
      <c r="B143" t="s">
        <v>21</v>
      </c>
      <c r="C143" s="159">
        <v>4</v>
      </c>
      <c r="D143" t="str">
        <f>VLOOKUP(A143,DataUsuario!B:D,2,FALSE)</f>
        <v>Agrícola</v>
      </c>
      <c r="E143" t="str">
        <f>VLOOKUP(A143,DataUsuario!B:D,3,FALSE)</f>
        <v>Sistema Integral de Gestión</v>
      </c>
      <c r="F143" t="s">
        <v>89</v>
      </c>
    </row>
    <row r="144" spans="1:6" x14ac:dyDescent="0.3">
      <c r="A144" s="157" t="s">
        <v>613</v>
      </c>
      <c r="B144" t="s">
        <v>21</v>
      </c>
      <c r="C144" s="160">
        <v>4</v>
      </c>
      <c r="D144" t="str">
        <f>VLOOKUP(A144,DataUsuario!B:D,2,FALSE)</f>
        <v>Operaciones</v>
      </c>
      <c r="E144" t="str">
        <f>VLOOKUP(A144,DataUsuario!B:D,3,FALSE)</f>
        <v>Transporte</v>
      </c>
      <c r="F144" t="s">
        <v>70</v>
      </c>
    </row>
    <row r="145" spans="1:6" x14ac:dyDescent="0.3">
      <c r="A145" s="156" t="s">
        <v>224</v>
      </c>
      <c r="B145" t="s">
        <v>21</v>
      </c>
      <c r="C145" s="159">
        <v>4</v>
      </c>
      <c r="D145" t="str">
        <f>VLOOKUP(A145,DataUsuario!B:D,2,FALSE)</f>
        <v>Agrícola</v>
      </c>
      <c r="E145" t="str">
        <f>VLOOKUP(A145,DataUsuario!B:D,3,FALSE)</f>
        <v>Laboratorio e Investigación Agricola</v>
      </c>
      <c r="F145" t="s">
        <v>89</v>
      </c>
    </row>
    <row r="146" spans="1:6" x14ac:dyDescent="0.3">
      <c r="A146" s="157" t="s">
        <v>359</v>
      </c>
      <c r="B146" t="s">
        <v>21</v>
      </c>
      <c r="C146" s="160">
        <v>5</v>
      </c>
      <c r="D146" t="str">
        <f>VLOOKUP(A146,DataUsuario!B:D,2,FALSE)</f>
        <v>Operaciones</v>
      </c>
      <c r="E146" t="str">
        <f>VLOOKUP(A146,DataUsuario!B:D,3,FALSE)</f>
        <v>Gerencia de Operaciones</v>
      </c>
      <c r="F146" t="s">
        <v>70</v>
      </c>
    </row>
    <row r="147" spans="1:6" x14ac:dyDescent="0.3">
      <c r="A147" s="156" t="s">
        <v>350</v>
      </c>
      <c r="B147" t="s">
        <v>21</v>
      </c>
      <c r="C147" s="159">
        <v>5</v>
      </c>
      <c r="D147" t="str">
        <f>VLOOKUP(A147,DataUsuario!B:D,2,FALSE)</f>
        <v>Agrícola</v>
      </c>
      <c r="E147" t="str">
        <f>VLOOKUP(A147,DataUsuario!B:D,3,FALSE)</f>
        <v>Planificador Agrícola</v>
      </c>
      <c r="F147" t="s">
        <v>89</v>
      </c>
    </row>
    <row r="148" spans="1:6" x14ac:dyDescent="0.3">
      <c r="A148" s="157" t="s">
        <v>256</v>
      </c>
      <c r="B148" t="s">
        <v>21</v>
      </c>
      <c r="C148" s="160">
        <v>4</v>
      </c>
      <c r="D148" t="str">
        <f>VLOOKUP(A148,DataUsuario!B:D,2,FALSE)</f>
        <v>Agrícola</v>
      </c>
      <c r="E148" t="str">
        <f>VLOOKUP(A148,DataUsuario!B:D,3,FALSE)</f>
        <v>Fundo Montelima</v>
      </c>
      <c r="F148" t="s">
        <v>89</v>
      </c>
    </row>
    <row r="149" spans="1:6" x14ac:dyDescent="0.3">
      <c r="A149" s="156" t="s">
        <v>435</v>
      </c>
      <c r="B149" t="s">
        <v>21</v>
      </c>
      <c r="C149" s="159">
        <v>4</v>
      </c>
      <c r="D149" t="str">
        <f>VLOOKUP(A149,DataUsuario!B:D,2,FALSE)</f>
        <v>Operaciones</v>
      </c>
      <c r="E149" t="str">
        <f>VLOOKUP(A149,DataUsuario!B:D,3,FALSE)</f>
        <v>Almacenes y Distribución PT</v>
      </c>
      <c r="F149" t="s">
        <v>70</v>
      </c>
    </row>
    <row r="150" spans="1:6" x14ac:dyDescent="0.3">
      <c r="A150" s="157" t="s">
        <v>202</v>
      </c>
      <c r="B150" t="s">
        <v>21</v>
      </c>
      <c r="C150" s="160">
        <v>5</v>
      </c>
      <c r="D150" t="str">
        <f>VLOOKUP(A150,DataUsuario!B:D,2,FALSE)</f>
        <v>Agrícola</v>
      </c>
      <c r="E150" t="str">
        <f>VLOOKUP(A150,DataUsuario!B:D,3,FALSE)</f>
        <v>Fundo La Huaca</v>
      </c>
      <c r="F150" t="s">
        <v>89</v>
      </c>
    </row>
    <row r="151" spans="1:6" x14ac:dyDescent="0.3">
      <c r="A151" s="156" t="s">
        <v>337</v>
      </c>
      <c r="B151" t="s">
        <v>21</v>
      </c>
      <c r="C151" s="159">
        <v>5</v>
      </c>
      <c r="D151" t="str">
        <f>VLOOKUP(A151,DataUsuario!B:D,2,FALSE)</f>
        <v>Agrícola</v>
      </c>
      <c r="E151" t="str">
        <f>VLOOKUP(A151,DataUsuario!B:D,3,FALSE)</f>
        <v>Fundo San Vicente</v>
      </c>
      <c r="F151" t="s">
        <v>89</v>
      </c>
    </row>
    <row r="152" spans="1:6" x14ac:dyDescent="0.3">
      <c r="A152" s="157" t="s">
        <v>179</v>
      </c>
      <c r="B152" t="s">
        <v>21</v>
      </c>
      <c r="C152" s="160">
        <v>5</v>
      </c>
      <c r="D152" t="str">
        <f>VLOOKUP(A152,DataUsuario!B:D,2,FALSE)</f>
        <v>Agrícola</v>
      </c>
      <c r="E152" t="str">
        <f>VLOOKUP(A152,DataUsuario!B:D,3,FALSE)</f>
        <v>Fundo Montelima</v>
      </c>
      <c r="F152" t="s">
        <v>89</v>
      </c>
    </row>
    <row r="153" spans="1:6" x14ac:dyDescent="0.3">
      <c r="A153" s="156" t="s">
        <v>619</v>
      </c>
      <c r="B153" t="s">
        <v>21</v>
      </c>
      <c r="C153" s="159">
        <v>5</v>
      </c>
      <c r="D153" t="str">
        <f>VLOOKUP(A153,DataUsuario!B:D,2,FALSE)</f>
        <v>Operaciones</v>
      </c>
      <c r="E153" t="str">
        <f>VLOOKUP(A153,DataUsuario!B:D,3,FALSE)</f>
        <v xml:space="preserve">Almacén </v>
      </c>
      <c r="F153" t="s">
        <v>70</v>
      </c>
    </row>
    <row r="154" spans="1:6" x14ac:dyDescent="0.3">
      <c r="A154" s="158" t="s">
        <v>378</v>
      </c>
      <c r="B154" t="s">
        <v>21</v>
      </c>
      <c r="C154" s="161">
        <v>5</v>
      </c>
      <c r="D154" t="str">
        <f>VLOOKUP(A154,DataUsuario!B:D,2,FALSE)</f>
        <v>Industrial y de Mantenimiento</v>
      </c>
      <c r="E154" t="str">
        <f>VLOOKUP(A154,DataUsuario!B:D,3,FALSE)</f>
        <v>Gerencia industrial y de Mantenimiento</v>
      </c>
      <c r="F154" t="s">
        <v>74</v>
      </c>
    </row>
    <row r="155" spans="1:6" x14ac:dyDescent="0.3">
      <c r="A155" s="156" t="s">
        <v>138</v>
      </c>
      <c r="B155" t="s">
        <v>22</v>
      </c>
      <c r="C155" s="159">
        <v>4</v>
      </c>
      <c r="D155" t="str">
        <f>VLOOKUP(A155,DataUsuario!B:D,2,FALSE)</f>
        <v>Gestión Humana y Sostenibilidad</v>
      </c>
      <c r="E155" t="str">
        <f>VLOOKUP(A155,DataUsuario!B:D,3,FALSE)</f>
        <v>Gestion del Talento</v>
      </c>
      <c r="F155" t="s">
        <v>62</v>
      </c>
    </row>
    <row r="156" spans="1:6" x14ac:dyDescent="0.3">
      <c r="A156" s="157" t="s">
        <v>145</v>
      </c>
      <c r="B156" t="s">
        <v>22</v>
      </c>
      <c r="C156" s="160" t="s">
        <v>623</v>
      </c>
      <c r="D156" t="str">
        <f>VLOOKUP(A156,DataUsuario!B:D,2,FALSE)</f>
        <v>Administración y Finanzas</v>
      </c>
      <c r="E156" t="str">
        <f>VLOOKUP(A156,DataUsuario!B:D,3,FALSE)</f>
        <v>Legal</v>
      </c>
      <c r="F156" t="s">
        <v>66</v>
      </c>
    </row>
    <row r="157" spans="1:6" x14ac:dyDescent="0.3">
      <c r="A157" s="156" t="s">
        <v>322</v>
      </c>
      <c r="B157" t="s">
        <v>22</v>
      </c>
      <c r="C157" s="159">
        <v>3</v>
      </c>
      <c r="D157" t="str">
        <f>VLOOKUP(A157,DataUsuario!B:D,2,FALSE)</f>
        <v>Administración y Finanzas</v>
      </c>
      <c r="E157" t="str">
        <f>VLOOKUP(A157,DataUsuario!B:D,3,FALSE)</f>
        <v>Finanzas y Tesorería</v>
      </c>
      <c r="F157" t="s">
        <v>66</v>
      </c>
    </row>
    <row r="158" spans="1:6" x14ac:dyDescent="0.3">
      <c r="A158" s="157" t="s">
        <v>133</v>
      </c>
      <c r="B158" t="s">
        <v>22</v>
      </c>
      <c r="C158" s="160">
        <v>5</v>
      </c>
      <c r="D158" t="str">
        <f>VLOOKUP(A158,DataUsuario!B:D,2,FALSE)</f>
        <v>Industrial y de Mantenimiento</v>
      </c>
      <c r="E158" t="str">
        <f>VLOOKUP(A158,DataUsuario!B:D,3,FALSE)</f>
        <v>Electricidad</v>
      </c>
      <c r="F158" t="s">
        <v>74</v>
      </c>
    </row>
    <row r="159" spans="1:6" x14ac:dyDescent="0.3">
      <c r="A159" s="156" t="s">
        <v>421</v>
      </c>
      <c r="B159" t="s">
        <v>22</v>
      </c>
      <c r="C159" s="159">
        <v>4</v>
      </c>
      <c r="D159" t="str">
        <f>VLOOKUP(A159,DataUsuario!B:D,2,FALSE)</f>
        <v>Operaciones</v>
      </c>
      <c r="E159" t="str">
        <f>VLOOKUP(A159,DataUsuario!B:D,3,FALSE)</f>
        <v>Cosecha</v>
      </c>
      <c r="F159" t="s">
        <v>70</v>
      </c>
    </row>
    <row r="160" spans="1:6" x14ac:dyDescent="0.3">
      <c r="A160" s="157" t="s">
        <v>221</v>
      </c>
      <c r="B160" t="s">
        <v>22</v>
      </c>
      <c r="C160" s="160">
        <v>5</v>
      </c>
      <c r="D160" t="str">
        <f>VLOOKUP(A160,DataUsuario!B:D,2,FALSE)</f>
        <v>Administración y Finanzas</v>
      </c>
      <c r="E160" t="str">
        <f>VLOOKUP(A160,DataUsuario!B:D,3,FALSE)</f>
        <v>Sistemas y TI</v>
      </c>
      <c r="F160" t="s">
        <v>66</v>
      </c>
    </row>
    <row r="161" spans="1:6" x14ac:dyDescent="0.3">
      <c r="A161" s="156" t="s">
        <v>318</v>
      </c>
      <c r="B161" t="s">
        <v>22</v>
      </c>
      <c r="C161" s="159">
        <v>5</v>
      </c>
      <c r="D161" t="str">
        <f>VLOOKUP(A161,DataUsuario!B:D,2,FALSE)</f>
        <v>Operaciones</v>
      </c>
      <c r="E161" t="str">
        <f>VLOOKUP(A161,DataUsuario!B:D,3,FALSE)</f>
        <v>Cosecha</v>
      </c>
      <c r="F161" t="s">
        <v>70</v>
      </c>
    </row>
    <row r="162" spans="1:6" x14ac:dyDescent="0.3">
      <c r="A162" s="157" t="s">
        <v>372</v>
      </c>
      <c r="B162" t="s">
        <v>22</v>
      </c>
      <c r="C162" s="160">
        <v>4</v>
      </c>
      <c r="D162" t="str">
        <f>VLOOKUP(A162,DataUsuario!B:D,2,FALSE)</f>
        <v>Agrícola</v>
      </c>
      <c r="E162" t="str">
        <f>VLOOKUP(A162,DataUsuario!B:D,3,FALSE)</f>
        <v>Laboratorio e Investigación Agricola</v>
      </c>
      <c r="F162" t="s">
        <v>89</v>
      </c>
    </row>
    <row r="163" spans="1:6" x14ac:dyDescent="0.3">
      <c r="A163" s="156" t="s">
        <v>599</v>
      </c>
      <c r="B163" t="s">
        <v>22</v>
      </c>
      <c r="C163" s="159">
        <v>4</v>
      </c>
      <c r="D163" t="str">
        <f>VLOOKUP(A163,DataUsuario!B:D,2,FALSE)</f>
        <v>Administración y Finanzas</v>
      </c>
      <c r="E163" t="str">
        <f>VLOOKUP(A163,DataUsuario!B:D,3,FALSE)</f>
        <v>Compras</v>
      </c>
      <c r="F163" t="s">
        <v>66</v>
      </c>
    </row>
    <row r="164" spans="1:6" x14ac:dyDescent="0.3">
      <c r="A164" s="157" t="s">
        <v>198</v>
      </c>
      <c r="B164" t="s">
        <v>22</v>
      </c>
      <c r="C164" s="160">
        <v>5</v>
      </c>
      <c r="D164" t="str">
        <f>VLOOKUP(A164,DataUsuario!B:D,2,FALSE)</f>
        <v>Agrícola</v>
      </c>
      <c r="E164" t="str">
        <f>VLOOKUP(A164,DataUsuario!B:D,3,FALSE)</f>
        <v>Fundo Lobo</v>
      </c>
      <c r="F164" t="s">
        <v>89</v>
      </c>
    </row>
    <row r="165" spans="1:6" x14ac:dyDescent="0.3">
      <c r="A165" s="156" t="s">
        <v>431</v>
      </c>
      <c r="B165" t="s">
        <v>22</v>
      </c>
      <c r="C165" s="159">
        <v>4</v>
      </c>
      <c r="D165" t="str">
        <f>VLOOKUP(A165,DataUsuario!B:D,2,FALSE)</f>
        <v>Agrícola</v>
      </c>
      <c r="E165" t="str">
        <f>VLOOKUP(A165,DataUsuario!B:D,3,FALSE)</f>
        <v>Fundo San Vicente</v>
      </c>
      <c r="F165" t="s">
        <v>89</v>
      </c>
    </row>
    <row r="166" spans="1:6" x14ac:dyDescent="0.3">
      <c r="A166" s="157" t="s">
        <v>176</v>
      </c>
      <c r="B166" t="s">
        <v>22</v>
      </c>
      <c r="C166" s="160">
        <v>4</v>
      </c>
      <c r="D166" t="str">
        <f>VLOOKUP(A166,DataUsuario!B:D,2,FALSE)</f>
        <v>Administración y Finanzas</v>
      </c>
      <c r="E166" t="str">
        <f>VLOOKUP(A166,DataUsuario!B:D,3,FALSE)</f>
        <v>Cadenas Productivas</v>
      </c>
      <c r="F166" t="s">
        <v>66</v>
      </c>
    </row>
    <row r="167" spans="1:6" x14ac:dyDescent="0.3">
      <c r="A167" s="156" t="s">
        <v>236</v>
      </c>
      <c r="B167" t="s">
        <v>22</v>
      </c>
      <c r="C167" s="159">
        <v>5</v>
      </c>
      <c r="D167" t="str">
        <f>VLOOKUP(A167,DataUsuario!B:D,2,FALSE)</f>
        <v>Administración y Finanzas</v>
      </c>
      <c r="E167" t="str">
        <f>VLOOKUP(A167,DataUsuario!B:D,3,FALSE)</f>
        <v>Sistemas y TI</v>
      </c>
      <c r="F167" t="s">
        <v>66</v>
      </c>
    </row>
    <row r="168" spans="1:6" x14ac:dyDescent="0.3">
      <c r="A168" s="157" t="s">
        <v>136</v>
      </c>
      <c r="B168" t="s">
        <v>22</v>
      </c>
      <c r="C168" s="160">
        <v>5</v>
      </c>
      <c r="D168" t="str">
        <f>VLOOKUP(A168,DataUsuario!B:D,2,FALSE)</f>
        <v>Operaciones</v>
      </c>
      <c r="E168" t="str">
        <f>VLOOKUP(A168,DataUsuario!B:D,3,FALSE)</f>
        <v>Comercial</v>
      </c>
      <c r="F168" t="s">
        <v>70</v>
      </c>
    </row>
    <row r="169" spans="1:6" x14ac:dyDescent="0.3">
      <c r="A169" s="156" t="s">
        <v>343</v>
      </c>
      <c r="B169" t="s">
        <v>22</v>
      </c>
      <c r="C169" s="159">
        <v>5</v>
      </c>
      <c r="D169" t="str">
        <f>VLOOKUP(A169,DataUsuario!B:D,2,FALSE)</f>
        <v>Operaciones</v>
      </c>
      <c r="E169" t="str">
        <f>VLOOKUP(A169,DataUsuario!B:D,3,FALSE)</f>
        <v>Comercial No Giro</v>
      </c>
      <c r="F169" t="s">
        <v>70</v>
      </c>
    </row>
    <row r="170" spans="1:6" x14ac:dyDescent="0.3">
      <c r="A170" s="157" t="s">
        <v>376</v>
      </c>
      <c r="B170" t="s">
        <v>22</v>
      </c>
      <c r="C170" s="160">
        <v>5</v>
      </c>
      <c r="D170" t="str">
        <f>VLOOKUP(A170,DataUsuario!B:D,2,FALSE)</f>
        <v>Administración y Finanzas</v>
      </c>
      <c r="E170" t="str">
        <f>VLOOKUP(A170,DataUsuario!B:D,3,FALSE)</f>
        <v>Control de Gestión</v>
      </c>
      <c r="F170" t="s">
        <v>66</v>
      </c>
    </row>
    <row r="171" spans="1:6" x14ac:dyDescent="0.3">
      <c r="A171" s="156" t="s">
        <v>285</v>
      </c>
      <c r="B171" t="s">
        <v>22</v>
      </c>
      <c r="C171" s="159">
        <v>4</v>
      </c>
      <c r="D171" t="str">
        <f>VLOOKUP(A171,DataUsuario!B:D,2,FALSE)</f>
        <v>Operaciones</v>
      </c>
      <c r="E171" t="str">
        <f>VLOOKUP(A171,DataUsuario!B:D,3,FALSE)</f>
        <v>Comercial</v>
      </c>
      <c r="F171" t="s">
        <v>70</v>
      </c>
    </row>
    <row r="172" spans="1:6" x14ac:dyDescent="0.3">
      <c r="A172" s="157" t="s">
        <v>251</v>
      </c>
      <c r="B172" t="s">
        <v>22</v>
      </c>
      <c r="C172" s="160">
        <v>3</v>
      </c>
      <c r="D172" t="str">
        <f>VLOOKUP(A172,DataUsuario!B:D,2,FALSE)</f>
        <v>Industrial y de Mantenimiento</v>
      </c>
      <c r="E172" t="str">
        <f>VLOOKUP(A172,DataUsuario!B:D,3,FALSE)</f>
        <v>Automatización</v>
      </c>
      <c r="F172" t="s">
        <v>74</v>
      </c>
    </row>
    <row r="173" spans="1:6" x14ac:dyDescent="0.3">
      <c r="A173" s="156" t="s">
        <v>287</v>
      </c>
      <c r="B173" t="s">
        <v>22</v>
      </c>
      <c r="C173" s="159">
        <v>5</v>
      </c>
      <c r="D173" t="str">
        <f>VLOOKUP(A173,DataUsuario!B:D,2,FALSE)</f>
        <v>Operaciones</v>
      </c>
      <c r="E173" t="str">
        <f>VLOOKUP(A173,DataUsuario!B:D,3,FALSE)</f>
        <v>Calidad</v>
      </c>
      <c r="F173" t="s">
        <v>70</v>
      </c>
    </row>
    <row r="174" spans="1:6" x14ac:dyDescent="0.3">
      <c r="A174" s="157" t="s">
        <v>85</v>
      </c>
      <c r="B174" t="s">
        <v>22</v>
      </c>
      <c r="C174" s="160">
        <v>5</v>
      </c>
      <c r="D174" t="str">
        <f>VLOOKUP(A174,DataUsuario!B:D,2,FALSE)</f>
        <v>Operaciones</v>
      </c>
      <c r="E174" t="str">
        <f>VLOOKUP(A174,DataUsuario!B:D,3,FALSE)</f>
        <v>Comercial</v>
      </c>
      <c r="F174" t="s">
        <v>70</v>
      </c>
    </row>
    <row r="175" spans="1:6" x14ac:dyDescent="0.3">
      <c r="A175" s="156" t="s">
        <v>260</v>
      </c>
      <c r="B175" t="s">
        <v>22</v>
      </c>
      <c r="C175" s="159">
        <v>3</v>
      </c>
      <c r="D175" t="str">
        <f>VLOOKUP(A175,DataUsuario!B:D,2,FALSE)</f>
        <v>Industrial y de Mantenimiento</v>
      </c>
      <c r="E175" t="str">
        <f>VLOOKUP(A175,DataUsuario!B:D,3,FALSE)</f>
        <v>Producción</v>
      </c>
      <c r="F175" t="s">
        <v>74</v>
      </c>
    </row>
    <row r="176" spans="1:6" x14ac:dyDescent="0.3">
      <c r="A176" s="157" t="s">
        <v>423</v>
      </c>
      <c r="B176" t="s">
        <v>22</v>
      </c>
      <c r="C176" s="160">
        <v>4</v>
      </c>
      <c r="D176" t="str">
        <f>VLOOKUP(A176,DataUsuario!B:D,2,FALSE)</f>
        <v>Industrial y de Mantenimiento</v>
      </c>
      <c r="E176" t="str">
        <f>VLOOKUP(A176,DataUsuario!B:D,3,FALSE)</f>
        <v>Producción</v>
      </c>
      <c r="F176" t="s">
        <v>74</v>
      </c>
    </row>
    <row r="177" spans="1:6" x14ac:dyDescent="0.3">
      <c r="A177" s="156" t="s">
        <v>154</v>
      </c>
      <c r="B177" t="s">
        <v>22</v>
      </c>
      <c r="C177" s="159">
        <v>4</v>
      </c>
      <c r="D177" t="str">
        <f>VLOOKUP(A177,DataUsuario!B:D,2,FALSE)</f>
        <v>Industrial y de Mantenimiento</v>
      </c>
      <c r="E177" t="str">
        <f>VLOOKUP(A177,DataUsuario!B:D,3,FALSE)</f>
        <v>Mantenimiento Industrial</v>
      </c>
      <c r="F177" t="s">
        <v>74</v>
      </c>
    </row>
    <row r="178" spans="1:6" x14ac:dyDescent="0.3">
      <c r="A178" s="157" t="s">
        <v>305</v>
      </c>
      <c r="B178" t="s">
        <v>22</v>
      </c>
      <c r="C178" s="160">
        <v>3</v>
      </c>
      <c r="D178" t="str">
        <f>VLOOKUP(A178,DataUsuario!B:D,2,FALSE)</f>
        <v>Industrial y de Mantenimiento</v>
      </c>
      <c r="E178" t="str">
        <f>VLOOKUP(A178,DataUsuario!B:D,3,FALSE)</f>
        <v>Producción</v>
      </c>
      <c r="F178" t="s">
        <v>74</v>
      </c>
    </row>
    <row r="179" spans="1:6" x14ac:dyDescent="0.3">
      <c r="A179" s="156" t="s">
        <v>77</v>
      </c>
      <c r="B179" t="s">
        <v>22</v>
      </c>
      <c r="C179" s="159">
        <v>4</v>
      </c>
      <c r="D179" t="str">
        <f>VLOOKUP(A179,DataUsuario!B:D,2,FALSE)</f>
        <v>Operaciones</v>
      </c>
      <c r="E179" t="str">
        <f>VLOOKUP(A179,DataUsuario!B:D,3,FALSE)</f>
        <v>Comercial No Giro</v>
      </c>
      <c r="F179" t="s">
        <v>70</v>
      </c>
    </row>
    <row r="180" spans="1:6" x14ac:dyDescent="0.3">
      <c r="A180" s="157" t="s">
        <v>606</v>
      </c>
      <c r="B180" t="s">
        <v>22</v>
      </c>
      <c r="C180" s="160">
        <v>5</v>
      </c>
      <c r="D180" t="str">
        <f>VLOOKUP(A180,DataUsuario!B:D,2,FALSE)</f>
        <v>Operaciones</v>
      </c>
      <c r="E180" t="str">
        <f>VLOOKUP(A180,DataUsuario!B:D,3,FALSE)</f>
        <v xml:space="preserve">Almacén </v>
      </c>
      <c r="F180" t="s">
        <v>70</v>
      </c>
    </row>
    <row r="181" spans="1:6" x14ac:dyDescent="0.3">
      <c r="A181" s="156" t="s">
        <v>205</v>
      </c>
      <c r="B181" t="s">
        <v>22</v>
      </c>
      <c r="C181" s="159">
        <v>5</v>
      </c>
      <c r="D181" t="str">
        <f>VLOOKUP(A181,DataUsuario!B:D,2,FALSE)</f>
        <v>Operaciones</v>
      </c>
      <c r="E181" t="str">
        <f>VLOOKUP(A181,DataUsuario!B:D,3,FALSE)</f>
        <v>Almacenes y Distribución PT</v>
      </c>
      <c r="F181" t="s">
        <v>70</v>
      </c>
    </row>
    <row r="182" spans="1:6" x14ac:dyDescent="0.3">
      <c r="A182" s="157" t="s">
        <v>393</v>
      </c>
      <c r="B182" t="s">
        <v>22</v>
      </c>
      <c r="C182" s="160">
        <v>5</v>
      </c>
      <c r="D182" t="str">
        <f>VLOOKUP(A182,DataUsuario!B:D,2,FALSE)</f>
        <v>Agrícola</v>
      </c>
      <c r="E182" t="str">
        <f>VLOOKUP(A182,DataUsuario!B:D,3,FALSE)</f>
        <v>Sistema Integral de Gestión</v>
      </c>
      <c r="F182" t="s">
        <v>89</v>
      </c>
    </row>
    <row r="183" spans="1:6" x14ac:dyDescent="0.3">
      <c r="A183" s="156" t="s">
        <v>609</v>
      </c>
      <c r="B183" t="s">
        <v>22</v>
      </c>
      <c r="C183" s="159">
        <v>5</v>
      </c>
      <c r="D183" t="str">
        <f>VLOOKUP(A183,DataUsuario!B:D,2,FALSE)</f>
        <v>Operaciones</v>
      </c>
      <c r="E183" t="str">
        <f>VLOOKUP(A183,DataUsuario!B:D,3,FALSE)</f>
        <v>Almacenes y Distribución PT</v>
      </c>
      <c r="F183" t="s">
        <v>70</v>
      </c>
    </row>
    <row r="184" spans="1:6" x14ac:dyDescent="0.3">
      <c r="A184" s="157" t="s">
        <v>152</v>
      </c>
      <c r="B184" t="s">
        <v>22</v>
      </c>
      <c r="C184" s="160">
        <v>5</v>
      </c>
      <c r="D184" t="str">
        <f>VLOOKUP(A184,DataUsuario!B:D,2,FALSE)</f>
        <v>Operaciones</v>
      </c>
      <c r="E184" t="str">
        <f>VLOOKUP(A184,DataUsuario!B:D,3,FALSE)</f>
        <v>Almacenes y Distribución PT</v>
      </c>
      <c r="F184" t="s">
        <v>70</v>
      </c>
    </row>
    <row r="185" spans="1:6" x14ac:dyDescent="0.3">
      <c r="A185" s="156" t="s">
        <v>61</v>
      </c>
      <c r="B185" t="s">
        <v>22</v>
      </c>
      <c r="C185" s="159">
        <v>4</v>
      </c>
      <c r="D185" t="str">
        <f>VLOOKUP(A185,DataUsuario!B:D,2,FALSE)</f>
        <v>Gestión Humana y Sostenibilidad</v>
      </c>
      <c r="E185" t="str">
        <f>VLOOKUP(A185,DataUsuario!B:D,3,FALSE)</f>
        <v>Compensación y Nóminas</v>
      </c>
      <c r="F185" t="s">
        <v>62</v>
      </c>
    </row>
    <row r="186" spans="1:6" x14ac:dyDescent="0.3">
      <c r="A186" s="157" t="s">
        <v>238</v>
      </c>
      <c r="B186" t="s">
        <v>22</v>
      </c>
      <c r="C186" s="160">
        <v>4</v>
      </c>
      <c r="D186" t="str">
        <f>VLOOKUP(A186,DataUsuario!B:D,2,FALSE)</f>
        <v>Industrial y de Mantenimiento</v>
      </c>
      <c r="E186" t="str">
        <f>VLOOKUP(A186,DataUsuario!B:D,3,FALSE)</f>
        <v>Producción</v>
      </c>
      <c r="F186" t="s">
        <v>74</v>
      </c>
    </row>
    <row r="187" spans="1:6" x14ac:dyDescent="0.3">
      <c r="A187" s="156" t="s">
        <v>303</v>
      </c>
      <c r="B187" t="s">
        <v>22</v>
      </c>
      <c r="C187" s="159">
        <v>5</v>
      </c>
      <c r="D187" t="str">
        <f>VLOOKUP(A187,DataUsuario!B:D,2,FALSE)</f>
        <v>Administración y Finanzas</v>
      </c>
      <c r="E187" t="str">
        <f>VLOOKUP(A187,DataUsuario!B:D,3,FALSE)</f>
        <v>Control de Gestión</v>
      </c>
      <c r="F187" t="s">
        <v>66</v>
      </c>
    </row>
    <row r="188" spans="1:6" x14ac:dyDescent="0.3">
      <c r="A188" s="157" t="s">
        <v>123</v>
      </c>
      <c r="B188" t="s">
        <v>22</v>
      </c>
      <c r="C188" s="160">
        <v>4</v>
      </c>
      <c r="D188" t="str">
        <f>VLOOKUP(A188,DataUsuario!B:D,2,FALSE)</f>
        <v>Administración y Finanzas</v>
      </c>
      <c r="E188" t="str">
        <f>VLOOKUP(A188,DataUsuario!B:D,3,FALSE)</f>
        <v>Gerencia Administración y Finanzas</v>
      </c>
      <c r="F188" t="s">
        <v>66</v>
      </c>
    </row>
    <row r="189" spans="1:6" x14ac:dyDescent="0.3">
      <c r="A189" s="156" t="s">
        <v>128</v>
      </c>
      <c r="B189" t="s">
        <v>22</v>
      </c>
      <c r="C189" s="159">
        <v>4</v>
      </c>
      <c r="D189" t="str">
        <f>VLOOKUP(A189,DataUsuario!B:D,2,FALSE)</f>
        <v>Agrícola</v>
      </c>
      <c r="E189" t="str">
        <f>VLOOKUP(A189,DataUsuario!B:D,3,FALSE)</f>
        <v>Fundo Lobo</v>
      </c>
      <c r="F189" t="s">
        <v>89</v>
      </c>
    </row>
    <row r="190" spans="1:6" x14ac:dyDescent="0.3">
      <c r="A190" s="157" t="s">
        <v>242</v>
      </c>
      <c r="B190" t="s">
        <v>22</v>
      </c>
      <c r="C190" s="160">
        <v>4</v>
      </c>
      <c r="D190" t="str">
        <f>VLOOKUP(A190,DataUsuario!B:D,2,FALSE)</f>
        <v>Agrícola</v>
      </c>
      <c r="E190" t="str">
        <f>VLOOKUP(A190,DataUsuario!B:D,3,FALSE)</f>
        <v>Fundo Montelima</v>
      </c>
      <c r="F190" t="s">
        <v>89</v>
      </c>
    </row>
    <row r="191" spans="1:6" x14ac:dyDescent="0.3">
      <c r="A191" s="156" t="s">
        <v>369</v>
      </c>
      <c r="B191" t="s">
        <v>22</v>
      </c>
      <c r="C191" s="159">
        <v>5</v>
      </c>
      <c r="D191" t="str">
        <f>VLOOKUP(A191,DataUsuario!B:D,2,FALSE)</f>
        <v>Agrícola</v>
      </c>
      <c r="E191" t="str">
        <f>VLOOKUP(A191,DataUsuario!B:D,3,FALSE)</f>
        <v>Sistema Integral de Gestión</v>
      </c>
      <c r="F191" t="s">
        <v>89</v>
      </c>
    </row>
    <row r="192" spans="1:6" x14ac:dyDescent="0.3">
      <c r="A192" s="157" t="s">
        <v>613</v>
      </c>
      <c r="B192" t="s">
        <v>22</v>
      </c>
      <c r="C192" s="160" t="s">
        <v>623</v>
      </c>
      <c r="D192" t="str">
        <f>VLOOKUP(A192,DataUsuario!B:D,2,FALSE)</f>
        <v>Operaciones</v>
      </c>
      <c r="E192" t="str">
        <f>VLOOKUP(A192,DataUsuario!B:D,3,FALSE)</f>
        <v>Transporte</v>
      </c>
      <c r="F192" t="s">
        <v>70</v>
      </c>
    </row>
    <row r="193" spans="1:6" x14ac:dyDescent="0.3">
      <c r="A193" s="156" t="s">
        <v>224</v>
      </c>
      <c r="B193" t="s">
        <v>22</v>
      </c>
      <c r="C193" s="159">
        <v>4</v>
      </c>
      <c r="D193" t="str">
        <f>VLOOKUP(A193,DataUsuario!B:D,2,FALSE)</f>
        <v>Agrícola</v>
      </c>
      <c r="E193" t="str">
        <f>VLOOKUP(A193,DataUsuario!B:D,3,FALSE)</f>
        <v>Laboratorio e Investigación Agricola</v>
      </c>
      <c r="F193" t="s">
        <v>89</v>
      </c>
    </row>
    <row r="194" spans="1:6" x14ac:dyDescent="0.3">
      <c r="A194" s="157" t="s">
        <v>359</v>
      </c>
      <c r="B194" t="s">
        <v>22</v>
      </c>
      <c r="C194" s="160">
        <v>4</v>
      </c>
      <c r="D194" t="str">
        <f>VLOOKUP(A194,DataUsuario!B:D,2,FALSE)</f>
        <v>Operaciones</v>
      </c>
      <c r="E194" t="str">
        <f>VLOOKUP(A194,DataUsuario!B:D,3,FALSE)</f>
        <v>Gerencia de Operaciones</v>
      </c>
      <c r="F194" t="s">
        <v>70</v>
      </c>
    </row>
    <row r="195" spans="1:6" x14ac:dyDescent="0.3">
      <c r="A195" s="156" t="s">
        <v>350</v>
      </c>
      <c r="B195" t="s">
        <v>22</v>
      </c>
      <c r="C195" s="159">
        <v>5</v>
      </c>
      <c r="D195" t="str">
        <f>VLOOKUP(A195,DataUsuario!B:D,2,FALSE)</f>
        <v>Agrícola</v>
      </c>
      <c r="E195" t="str">
        <f>VLOOKUP(A195,DataUsuario!B:D,3,FALSE)</f>
        <v>Planificador Agrícola</v>
      </c>
      <c r="F195" t="s">
        <v>89</v>
      </c>
    </row>
    <row r="196" spans="1:6" x14ac:dyDescent="0.3">
      <c r="A196" s="157" t="s">
        <v>256</v>
      </c>
      <c r="B196" t="s">
        <v>22</v>
      </c>
      <c r="C196" s="160">
        <v>4</v>
      </c>
      <c r="D196" t="str">
        <f>VLOOKUP(A196,DataUsuario!B:D,2,FALSE)</f>
        <v>Agrícola</v>
      </c>
      <c r="E196" t="str">
        <f>VLOOKUP(A196,DataUsuario!B:D,3,FALSE)</f>
        <v>Fundo Montelima</v>
      </c>
      <c r="F196" t="s">
        <v>89</v>
      </c>
    </row>
    <row r="197" spans="1:6" x14ac:dyDescent="0.3">
      <c r="A197" s="156" t="s">
        <v>435</v>
      </c>
      <c r="B197" t="s">
        <v>22</v>
      </c>
      <c r="C197" s="159">
        <v>4</v>
      </c>
      <c r="D197" t="str">
        <f>VLOOKUP(A197,DataUsuario!B:D,2,FALSE)</f>
        <v>Operaciones</v>
      </c>
      <c r="E197" t="str">
        <f>VLOOKUP(A197,DataUsuario!B:D,3,FALSE)</f>
        <v>Almacenes y Distribución PT</v>
      </c>
      <c r="F197" t="s">
        <v>70</v>
      </c>
    </row>
    <row r="198" spans="1:6" x14ac:dyDescent="0.3">
      <c r="A198" s="157" t="s">
        <v>202</v>
      </c>
      <c r="B198" t="s">
        <v>22</v>
      </c>
      <c r="C198" s="160">
        <v>5</v>
      </c>
      <c r="D198" t="str">
        <f>VLOOKUP(A198,DataUsuario!B:D,2,FALSE)</f>
        <v>Agrícola</v>
      </c>
      <c r="E198" t="str">
        <f>VLOOKUP(A198,DataUsuario!B:D,3,FALSE)</f>
        <v>Fundo La Huaca</v>
      </c>
      <c r="F198" t="s">
        <v>89</v>
      </c>
    </row>
    <row r="199" spans="1:6" x14ac:dyDescent="0.3">
      <c r="A199" s="156" t="s">
        <v>337</v>
      </c>
      <c r="B199" t="s">
        <v>22</v>
      </c>
      <c r="C199" s="159">
        <v>5</v>
      </c>
      <c r="D199" t="str">
        <f>VLOOKUP(A199,DataUsuario!B:D,2,FALSE)</f>
        <v>Agrícola</v>
      </c>
      <c r="E199" t="str">
        <f>VLOOKUP(A199,DataUsuario!B:D,3,FALSE)</f>
        <v>Fundo San Vicente</v>
      </c>
      <c r="F199" t="s">
        <v>89</v>
      </c>
    </row>
    <row r="200" spans="1:6" x14ac:dyDescent="0.3">
      <c r="A200" s="157" t="s">
        <v>179</v>
      </c>
      <c r="B200" t="s">
        <v>22</v>
      </c>
      <c r="C200" s="160">
        <v>5</v>
      </c>
      <c r="D200" t="str">
        <f>VLOOKUP(A200,DataUsuario!B:D,2,FALSE)</f>
        <v>Agrícola</v>
      </c>
      <c r="E200" t="str">
        <f>VLOOKUP(A200,DataUsuario!B:D,3,FALSE)</f>
        <v>Fundo Montelima</v>
      </c>
      <c r="F200" t="s">
        <v>89</v>
      </c>
    </row>
    <row r="201" spans="1:6" x14ac:dyDescent="0.3">
      <c r="A201" s="156" t="s">
        <v>619</v>
      </c>
      <c r="B201" t="s">
        <v>22</v>
      </c>
      <c r="C201" s="159">
        <v>4</v>
      </c>
      <c r="D201" t="str">
        <f>VLOOKUP(A201,DataUsuario!B:D,2,FALSE)</f>
        <v>Operaciones</v>
      </c>
      <c r="E201" t="str">
        <f>VLOOKUP(A201,DataUsuario!B:D,3,FALSE)</f>
        <v xml:space="preserve">Almacén </v>
      </c>
      <c r="F201" t="s">
        <v>70</v>
      </c>
    </row>
    <row r="202" spans="1:6" x14ac:dyDescent="0.3">
      <c r="A202" s="158" t="s">
        <v>378</v>
      </c>
      <c r="B202" t="s">
        <v>22</v>
      </c>
      <c r="C202" s="161">
        <v>4</v>
      </c>
      <c r="D202" t="str">
        <f>VLOOKUP(A202,DataUsuario!B:D,2,FALSE)</f>
        <v>Industrial y de Mantenimiento</v>
      </c>
      <c r="E202" t="str">
        <f>VLOOKUP(A202,DataUsuario!B:D,3,FALSE)</f>
        <v>Gerencia industrial y de Mantenimiento</v>
      </c>
      <c r="F202" t="s">
        <v>74</v>
      </c>
    </row>
    <row r="203" spans="1:6" x14ac:dyDescent="0.3">
      <c r="A203" s="156" t="s">
        <v>138</v>
      </c>
      <c r="B203" t="s">
        <v>23</v>
      </c>
      <c r="C203" s="159">
        <v>4</v>
      </c>
      <c r="D203" t="str">
        <f>VLOOKUP(A203,DataUsuario!B:D,2,FALSE)</f>
        <v>Gestión Humana y Sostenibilidad</v>
      </c>
      <c r="E203" t="str">
        <f>VLOOKUP(A203,DataUsuario!B:D,3,FALSE)</f>
        <v>Gestion del Talento</v>
      </c>
      <c r="F203" t="s">
        <v>62</v>
      </c>
    </row>
    <row r="204" spans="1:6" x14ac:dyDescent="0.3">
      <c r="A204" s="157" t="s">
        <v>145</v>
      </c>
      <c r="B204" t="s">
        <v>23</v>
      </c>
      <c r="C204" s="160" t="s">
        <v>623</v>
      </c>
      <c r="D204" t="str">
        <f>VLOOKUP(A204,DataUsuario!B:D,2,FALSE)</f>
        <v>Administración y Finanzas</v>
      </c>
      <c r="E204" t="str">
        <f>VLOOKUP(A204,DataUsuario!B:D,3,FALSE)</f>
        <v>Legal</v>
      </c>
      <c r="F204" t="s">
        <v>66</v>
      </c>
    </row>
    <row r="205" spans="1:6" x14ac:dyDescent="0.3">
      <c r="A205" s="156" t="s">
        <v>322</v>
      </c>
      <c r="B205" t="s">
        <v>23</v>
      </c>
      <c r="C205" s="159">
        <v>3</v>
      </c>
      <c r="D205" t="str">
        <f>VLOOKUP(A205,DataUsuario!B:D,2,FALSE)</f>
        <v>Administración y Finanzas</v>
      </c>
      <c r="E205" t="str">
        <f>VLOOKUP(A205,DataUsuario!B:D,3,FALSE)</f>
        <v>Finanzas y Tesorería</v>
      </c>
      <c r="F205" t="s">
        <v>66</v>
      </c>
    </row>
    <row r="206" spans="1:6" x14ac:dyDescent="0.3">
      <c r="A206" s="157" t="s">
        <v>133</v>
      </c>
      <c r="B206" t="s">
        <v>23</v>
      </c>
      <c r="C206" s="160" t="s">
        <v>623</v>
      </c>
      <c r="D206" t="str">
        <f>VLOOKUP(A206,DataUsuario!B:D,2,FALSE)</f>
        <v>Industrial y de Mantenimiento</v>
      </c>
      <c r="E206" t="str">
        <f>VLOOKUP(A206,DataUsuario!B:D,3,FALSE)</f>
        <v>Electricidad</v>
      </c>
      <c r="F206" t="s">
        <v>74</v>
      </c>
    </row>
    <row r="207" spans="1:6" x14ac:dyDescent="0.3">
      <c r="A207" s="156" t="s">
        <v>421</v>
      </c>
      <c r="B207" t="s">
        <v>23</v>
      </c>
      <c r="C207" s="159">
        <v>4</v>
      </c>
      <c r="D207" t="str">
        <f>VLOOKUP(A207,DataUsuario!B:D,2,FALSE)</f>
        <v>Operaciones</v>
      </c>
      <c r="E207" t="str">
        <f>VLOOKUP(A207,DataUsuario!B:D,3,FALSE)</f>
        <v>Cosecha</v>
      </c>
      <c r="F207" t="s">
        <v>70</v>
      </c>
    </row>
    <row r="208" spans="1:6" x14ac:dyDescent="0.3">
      <c r="A208" s="157" t="s">
        <v>221</v>
      </c>
      <c r="B208" t="s">
        <v>23</v>
      </c>
      <c r="C208" s="160">
        <v>5</v>
      </c>
      <c r="D208" t="str">
        <f>VLOOKUP(A208,DataUsuario!B:D,2,FALSE)</f>
        <v>Administración y Finanzas</v>
      </c>
      <c r="E208" t="str">
        <f>VLOOKUP(A208,DataUsuario!B:D,3,FALSE)</f>
        <v>Sistemas y TI</v>
      </c>
      <c r="F208" t="s">
        <v>66</v>
      </c>
    </row>
    <row r="209" spans="1:6" x14ac:dyDescent="0.3">
      <c r="A209" s="156" t="s">
        <v>318</v>
      </c>
      <c r="B209" t="s">
        <v>23</v>
      </c>
      <c r="C209" s="159">
        <v>5</v>
      </c>
      <c r="D209" t="str">
        <f>VLOOKUP(A209,DataUsuario!B:D,2,FALSE)</f>
        <v>Operaciones</v>
      </c>
      <c r="E209" t="str">
        <f>VLOOKUP(A209,DataUsuario!B:D,3,FALSE)</f>
        <v>Cosecha</v>
      </c>
      <c r="F209" t="s">
        <v>70</v>
      </c>
    </row>
    <row r="210" spans="1:6" x14ac:dyDescent="0.3">
      <c r="A210" s="157" t="s">
        <v>372</v>
      </c>
      <c r="B210" t="s">
        <v>23</v>
      </c>
      <c r="C210" s="160">
        <v>4</v>
      </c>
      <c r="D210" t="str">
        <f>VLOOKUP(A210,DataUsuario!B:D,2,FALSE)</f>
        <v>Agrícola</v>
      </c>
      <c r="E210" t="str">
        <f>VLOOKUP(A210,DataUsuario!B:D,3,FALSE)</f>
        <v>Laboratorio e Investigación Agricola</v>
      </c>
      <c r="F210" t="s">
        <v>89</v>
      </c>
    </row>
    <row r="211" spans="1:6" x14ac:dyDescent="0.3">
      <c r="A211" s="156" t="s">
        <v>599</v>
      </c>
      <c r="B211" t="s">
        <v>23</v>
      </c>
      <c r="C211" s="159" t="s">
        <v>623</v>
      </c>
      <c r="D211" t="str">
        <f>VLOOKUP(A211,DataUsuario!B:D,2,FALSE)</f>
        <v>Administración y Finanzas</v>
      </c>
      <c r="E211" t="str">
        <f>VLOOKUP(A211,DataUsuario!B:D,3,FALSE)</f>
        <v>Compras</v>
      </c>
      <c r="F211" t="s">
        <v>66</v>
      </c>
    </row>
    <row r="212" spans="1:6" x14ac:dyDescent="0.3">
      <c r="A212" s="157" t="s">
        <v>198</v>
      </c>
      <c r="B212" t="s">
        <v>23</v>
      </c>
      <c r="C212" s="160">
        <v>3</v>
      </c>
      <c r="D212" t="str">
        <f>VLOOKUP(A212,DataUsuario!B:D,2,FALSE)</f>
        <v>Agrícola</v>
      </c>
      <c r="E212" t="str">
        <f>VLOOKUP(A212,DataUsuario!B:D,3,FALSE)</f>
        <v>Fundo Lobo</v>
      </c>
      <c r="F212" t="s">
        <v>89</v>
      </c>
    </row>
    <row r="213" spans="1:6" x14ac:dyDescent="0.3">
      <c r="A213" s="156" t="s">
        <v>431</v>
      </c>
      <c r="B213" t="s">
        <v>23</v>
      </c>
      <c r="C213" s="159">
        <v>4</v>
      </c>
      <c r="D213" t="str">
        <f>VLOOKUP(A213,DataUsuario!B:D,2,FALSE)</f>
        <v>Agrícola</v>
      </c>
      <c r="E213" t="str">
        <f>VLOOKUP(A213,DataUsuario!B:D,3,FALSE)</f>
        <v>Fundo San Vicente</v>
      </c>
      <c r="F213" t="s">
        <v>89</v>
      </c>
    </row>
    <row r="214" spans="1:6" x14ac:dyDescent="0.3">
      <c r="A214" s="157" t="s">
        <v>176</v>
      </c>
      <c r="B214" t="s">
        <v>23</v>
      </c>
      <c r="C214" s="160">
        <v>4</v>
      </c>
      <c r="D214" t="str">
        <f>VLOOKUP(A214,DataUsuario!B:D,2,FALSE)</f>
        <v>Administración y Finanzas</v>
      </c>
      <c r="E214" t="str">
        <f>VLOOKUP(A214,DataUsuario!B:D,3,FALSE)</f>
        <v>Cadenas Productivas</v>
      </c>
      <c r="F214" t="s">
        <v>66</v>
      </c>
    </row>
    <row r="215" spans="1:6" x14ac:dyDescent="0.3">
      <c r="A215" s="156" t="s">
        <v>236</v>
      </c>
      <c r="B215" t="s">
        <v>23</v>
      </c>
      <c r="C215" s="159" t="s">
        <v>623</v>
      </c>
      <c r="D215" t="str">
        <f>VLOOKUP(A215,DataUsuario!B:D,2,FALSE)</f>
        <v>Administración y Finanzas</v>
      </c>
      <c r="E215" t="str">
        <f>VLOOKUP(A215,DataUsuario!B:D,3,FALSE)</f>
        <v>Sistemas y TI</v>
      </c>
      <c r="F215" t="s">
        <v>66</v>
      </c>
    </row>
    <row r="216" spans="1:6" x14ac:dyDescent="0.3">
      <c r="A216" s="157" t="s">
        <v>136</v>
      </c>
      <c r="B216" t="s">
        <v>23</v>
      </c>
      <c r="C216" s="160">
        <v>4</v>
      </c>
      <c r="D216" t="str">
        <f>VLOOKUP(A216,DataUsuario!B:D,2,FALSE)</f>
        <v>Operaciones</v>
      </c>
      <c r="E216" t="str">
        <f>VLOOKUP(A216,DataUsuario!B:D,3,FALSE)</f>
        <v>Comercial</v>
      </c>
      <c r="F216" t="s">
        <v>70</v>
      </c>
    </row>
    <row r="217" spans="1:6" x14ac:dyDescent="0.3">
      <c r="A217" s="156" t="s">
        <v>343</v>
      </c>
      <c r="B217" t="s">
        <v>23</v>
      </c>
      <c r="C217" s="159">
        <v>5</v>
      </c>
      <c r="D217" t="str">
        <f>VLOOKUP(A217,DataUsuario!B:D,2,FALSE)</f>
        <v>Operaciones</v>
      </c>
      <c r="E217" t="str">
        <f>VLOOKUP(A217,DataUsuario!B:D,3,FALSE)</f>
        <v>Comercial No Giro</v>
      </c>
      <c r="F217" t="s">
        <v>70</v>
      </c>
    </row>
    <row r="218" spans="1:6" x14ac:dyDescent="0.3">
      <c r="A218" s="157" t="s">
        <v>376</v>
      </c>
      <c r="B218" t="s">
        <v>23</v>
      </c>
      <c r="C218" s="160">
        <v>5</v>
      </c>
      <c r="D218" t="str">
        <f>VLOOKUP(A218,DataUsuario!B:D,2,FALSE)</f>
        <v>Administración y Finanzas</v>
      </c>
      <c r="E218" t="str">
        <f>VLOOKUP(A218,DataUsuario!B:D,3,FALSE)</f>
        <v>Control de Gestión</v>
      </c>
      <c r="F218" t="s">
        <v>66</v>
      </c>
    </row>
    <row r="219" spans="1:6" x14ac:dyDescent="0.3">
      <c r="A219" s="156" t="s">
        <v>285</v>
      </c>
      <c r="B219" t="s">
        <v>23</v>
      </c>
      <c r="C219" s="159" t="s">
        <v>623</v>
      </c>
      <c r="D219" t="str">
        <f>VLOOKUP(A219,DataUsuario!B:D,2,FALSE)</f>
        <v>Operaciones</v>
      </c>
      <c r="E219" t="str">
        <f>VLOOKUP(A219,DataUsuario!B:D,3,FALSE)</f>
        <v>Comercial</v>
      </c>
      <c r="F219" t="s">
        <v>70</v>
      </c>
    </row>
    <row r="220" spans="1:6" x14ac:dyDescent="0.3">
      <c r="A220" s="157" t="s">
        <v>251</v>
      </c>
      <c r="B220" t="s">
        <v>23</v>
      </c>
      <c r="C220" s="160">
        <v>4</v>
      </c>
      <c r="D220" t="str">
        <f>VLOOKUP(A220,DataUsuario!B:D,2,FALSE)</f>
        <v>Industrial y de Mantenimiento</v>
      </c>
      <c r="E220" t="str">
        <f>VLOOKUP(A220,DataUsuario!B:D,3,FALSE)</f>
        <v>Automatización</v>
      </c>
      <c r="F220" t="s">
        <v>74</v>
      </c>
    </row>
    <row r="221" spans="1:6" x14ac:dyDescent="0.3">
      <c r="A221" s="156" t="s">
        <v>287</v>
      </c>
      <c r="B221" t="s">
        <v>23</v>
      </c>
      <c r="C221" s="159">
        <v>5</v>
      </c>
      <c r="D221" t="str">
        <f>VLOOKUP(A221,DataUsuario!B:D,2,FALSE)</f>
        <v>Operaciones</v>
      </c>
      <c r="E221" t="str">
        <f>VLOOKUP(A221,DataUsuario!B:D,3,FALSE)</f>
        <v>Calidad</v>
      </c>
      <c r="F221" t="s">
        <v>70</v>
      </c>
    </row>
    <row r="222" spans="1:6" x14ac:dyDescent="0.3">
      <c r="A222" s="157" t="s">
        <v>85</v>
      </c>
      <c r="B222" t="s">
        <v>23</v>
      </c>
      <c r="C222" s="160">
        <v>5</v>
      </c>
      <c r="D222" t="str">
        <f>VLOOKUP(A222,DataUsuario!B:D,2,FALSE)</f>
        <v>Operaciones</v>
      </c>
      <c r="E222" t="str">
        <f>VLOOKUP(A222,DataUsuario!B:D,3,FALSE)</f>
        <v>Comercial</v>
      </c>
      <c r="F222" t="s">
        <v>70</v>
      </c>
    </row>
    <row r="223" spans="1:6" x14ac:dyDescent="0.3">
      <c r="A223" s="156" t="s">
        <v>260</v>
      </c>
      <c r="B223" t="s">
        <v>23</v>
      </c>
      <c r="C223" s="159">
        <v>3</v>
      </c>
      <c r="D223" t="str">
        <f>VLOOKUP(A223,DataUsuario!B:D,2,FALSE)</f>
        <v>Industrial y de Mantenimiento</v>
      </c>
      <c r="E223" t="str">
        <f>VLOOKUP(A223,DataUsuario!B:D,3,FALSE)</f>
        <v>Producción</v>
      </c>
      <c r="F223" t="s">
        <v>74</v>
      </c>
    </row>
    <row r="224" spans="1:6" x14ac:dyDescent="0.3">
      <c r="A224" s="157" t="s">
        <v>423</v>
      </c>
      <c r="B224" t="s">
        <v>23</v>
      </c>
      <c r="C224" s="160">
        <v>3</v>
      </c>
      <c r="D224" t="str">
        <f>VLOOKUP(A224,DataUsuario!B:D,2,FALSE)</f>
        <v>Industrial y de Mantenimiento</v>
      </c>
      <c r="E224" t="str">
        <f>VLOOKUP(A224,DataUsuario!B:D,3,FALSE)</f>
        <v>Producción</v>
      </c>
      <c r="F224" t="s">
        <v>74</v>
      </c>
    </row>
    <row r="225" spans="1:6" x14ac:dyDescent="0.3">
      <c r="A225" s="156" t="s">
        <v>154</v>
      </c>
      <c r="B225" t="s">
        <v>23</v>
      </c>
      <c r="C225" s="159">
        <v>3</v>
      </c>
      <c r="D225" t="str">
        <f>VLOOKUP(A225,DataUsuario!B:D,2,FALSE)</f>
        <v>Industrial y de Mantenimiento</v>
      </c>
      <c r="E225" t="str">
        <f>VLOOKUP(A225,DataUsuario!B:D,3,FALSE)</f>
        <v>Mantenimiento Industrial</v>
      </c>
      <c r="F225" t="s">
        <v>74</v>
      </c>
    </row>
    <row r="226" spans="1:6" x14ac:dyDescent="0.3">
      <c r="A226" s="157" t="s">
        <v>305</v>
      </c>
      <c r="B226" t="s">
        <v>23</v>
      </c>
      <c r="C226" s="160">
        <v>3</v>
      </c>
      <c r="D226" t="str">
        <f>VLOOKUP(A226,DataUsuario!B:D,2,FALSE)</f>
        <v>Industrial y de Mantenimiento</v>
      </c>
      <c r="E226" t="str">
        <f>VLOOKUP(A226,DataUsuario!B:D,3,FALSE)</f>
        <v>Producción</v>
      </c>
      <c r="F226" t="s">
        <v>74</v>
      </c>
    </row>
    <row r="227" spans="1:6" x14ac:dyDescent="0.3">
      <c r="A227" s="156" t="s">
        <v>77</v>
      </c>
      <c r="B227" t="s">
        <v>23</v>
      </c>
      <c r="C227" s="159" t="s">
        <v>623</v>
      </c>
      <c r="D227" t="str">
        <f>VLOOKUP(A227,DataUsuario!B:D,2,FALSE)</f>
        <v>Operaciones</v>
      </c>
      <c r="E227" t="str">
        <f>VLOOKUP(A227,DataUsuario!B:D,3,FALSE)</f>
        <v>Comercial No Giro</v>
      </c>
      <c r="F227" t="s">
        <v>70</v>
      </c>
    </row>
    <row r="228" spans="1:6" x14ac:dyDescent="0.3">
      <c r="A228" s="157" t="s">
        <v>606</v>
      </c>
      <c r="B228" t="s">
        <v>23</v>
      </c>
      <c r="C228" s="160">
        <v>5</v>
      </c>
      <c r="D228" t="str">
        <f>VLOOKUP(A228,DataUsuario!B:D,2,FALSE)</f>
        <v>Operaciones</v>
      </c>
      <c r="E228" t="str">
        <f>VLOOKUP(A228,DataUsuario!B:D,3,FALSE)</f>
        <v xml:space="preserve">Almacén </v>
      </c>
      <c r="F228" t="s">
        <v>70</v>
      </c>
    </row>
    <row r="229" spans="1:6" x14ac:dyDescent="0.3">
      <c r="A229" s="156" t="s">
        <v>205</v>
      </c>
      <c r="B229" t="s">
        <v>23</v>
      </c>
      <c r="C229" s="159">
        <v>4</v>
      </c>
      <c r="D229" t="str">
        <f>VLOOKUP(A229,DataUsuario!B:D,2,FALSE)</f>
        <v>Operaciones</v>
      </c>
      <c r="E229" t="str">
        <f>VLOOKUP(A229,DataUsuario!B:D,3,FALSE)</f>
        <v>Almacenes y Distribución PT</v>
      </c>
      <c r="F229" t="s">
        <v>70</v>
      </c>
    </row>
    <row r="230" spans="1:6" x14ac:dyDescent="0.3">
      <c r="A230" s="157" t="s">
        <v>393</v>
      </c>
      <c r="B230" t="s">
        <v>23</v>
      </c>
      <c r="C230" s="160">
        <v>4</v>
      </c>
      <c r="D230" t="str">
        <f>VLOOKUP(A230,DataUsuario!B:D,2,FALSE)</f>
        <v>Agrícola</v>
      </c>
      <c r="E230" t="str">
        <f>VLOOKUP(A230,DataUsuario!B:D,3,FALSE)</f>
        <v>Sistema Integral de Gestión</v>
      </c>
      <c r="F230" t="s">
        <v>89</v>
      </c>
    </row>
    <row r="231" spans="1:6" x14ac:dyDescent="0.3">
      <c r="A231" s="156" t="s">
        <v>609</v>
      </c>
      <c r="B231" t="s">
        <v>23</v>
      </c>
      <c r="C231" s="159">
        <v>4</v>
      </c>
      <c r="D231" t="str">
        <f>VLOOKUP(A231,DataUsuario!B:D,2,FALSE)</f>
        <v>Operaciones</v>
      </c>
      <c r="E231" t="str">
        <f>VLOOKUP(A231,DataUsuario!B:D,3,FALSE)</f>
        <v>Almacenes y Distribución PT</v>
      </c>
      <c r="F231" t="s">
        <v>70</v>
      </c>
    </row>
    <row r="232" spans="1:6" x14ac:dyDescent="0.3">
      <c r="A232" s="157" t="s">
        <v>152</v>
      </c>
      <c r="B232" t="s">
        <v>23</v>
      </c>
      <c r="C232" s="160">
        <v>5</v>
      </c>
      <c r="D232" t="str">
        <f>VLOOKUP(A232,DataUsuario!B:D,2,FALSE)</f>
        <v>Operaciones</v>
      </c>
      <c r="E232" t="str">
        <f>VLOOKUP(A232,DataUsuario!B:D,3,FALSE)</f>
        <v>Almacenes y Distribución PT</v>
      </c>
      <c r="F232" t="s">
        <v>70</v>
      </c>
    </row>
    <row r="233" spans="1:6" x14ac:dyDescent="0.3">
      <c r="A233" s="156" t="s">
        <v>61</v>
      </c>
      <c r="B233" t="s">
        <v>23</v>
      </c>
      <c r="C233" s="159">
        <v>4</v>
      </c>
      <c r="D233" t="str">
        <f>VLOOKUP(A233,DataUsuario!B:D,2,FALSE)</f>
        <v>Gestión Humana y Sostenibilidad</v>
      </c>
      <c r="E233" t="str">
        <f>VLOOKUP(A233,DataUsuario!B:D,3,FALSE)</f>
        <v>Compensación y Nóminas</v>
      </c>
      <c r="F233" t="s">
        <v>62</v>
      </c>
    </row>
    <row r="234" spans="1:6" x14ac:dyDescent="0.3">
      <c r="A234" s="157" t="s">
        <v>238</v>
      </c>
      <c r="B234" t="s">
        <v>23</v>
      </c>
      <c r="C234" s="160">
        <v>4</v>
      </c>
      <c r="D234" t="str">
        <f>VLOOKUP(A234,DataUsuario!B:D,2,FALSE)</f>
        <v>Industrial y de Mantenimiento</v>
      </c>
      <c r="E234" t="str">
        <f>VLOOKUP(A234,DataUsuario!B:D,3,FALSE)</f>
        <v>Producción</v>
      </c>
      <c r="F234" t="s">
        <v>74</v>
      </c>
    </row>
    <row r="235" spans="1:6" x14ac:dyDescent="0.3">
      <c r="A235" s="156" t="s">
        <v>303</v>
      </c>
      <c r="B235" t="s">
        <v>23</v>
      </c>
      <c r="C235" s="159">
        <v>4</v>
      </c>
      <c r="D235" t="str">
        <f>VLOOKUP(A235,DataUsuario!B:D,2,FALSE)</f>
        <v>Administración y Finanzas</v>
      </c>
      <c r="E235" t="str">
        <f>VLOOKUP(A235,DataUsuario!B:D,3,FALSE)</f>
        <v>Control de Gestión</v>
      </c>
      <c r="F235" t="s">
        <v>66</v>
      </c>
    </row>
    <row r="236" spans="1:6" x14ac:dyDescent="0.3">
      <c r="A236" s="157" t="s">
        <v>123</v>
      </c>
      <c r="B236" t="s">
        <v>23</v>
      </c>
      <c r="C236" s="160">
        <v>4</v>
      </c>
      <c r="D236" t="str">
        <f>VLOOKUP(A236,DataUsuario!B:D,2,FALSE)</f>
        <v>Administración y Finanzas</v>
      </c>
      <c r="E236" t="str">
        <f>VLOOKUP(A236,DataUsuario!B:D,3,FALSE)</f>
        <v>Gerencia Administración y Finanzas</v>
      </c>
      <c r="F236" t="s">
        <v>66</v>
      </c>
    </row>
    <row r="237" spans="1:6" x14ac:dyDescent="0.3">
      <c r="A237" s="156" t="s">
        <v>128</v>
      </c>
      <c r="B237" t="s">
        <v>23</v>
      </c>
      <c r="C237" s="159">
        <v>5</v>
      </c>
      <c r="D237" t="str">
        <f>VLOOKUP(A237,DataUsuario!B:D,2,FALSE)</f>
        <v>Agrícola</v>
      </c>
      <c r="E237" t="str">
        <f>VLOOKUP(A237,DataUsuario!B:D,3,FALSE)</f>
        <v>Fundo Lobo</v>
      </c>
      <c r="F237" t="s">
        <v>89</v>
      </c>
    </row>
    <row r="238" spans="1:6" x14ac:dyDescent="0.3">
      <c r="A238" s="157" t="s">
        <v>242</v>
      </c>
      <c r="B238" t="s">
        <v>23</v>
      </c>
      <c r="C238" s="160">
        <v>4</v>
      </c>
      <c r="D238" t="str">
        <f>VLOOKUP(A238,DataUsuario!B:D,2,FALSE)</f>
        <v>Agrícola</v>
      </c>
      <c r="E238" t="str">
        <f>VLOOKUP(A238,DataUsuario!B:D,3,FALSE)</f>
        <v>Fundo Montelima</v>
      </c>
      <c r="F238" t="s">
        <v>89</v>
      </c>
    </row>
    <row r="239" spans="1:6" x14ac:dyDescent="0.3">
      <c r="A239" s="156" t="s">
        <v>369</v>
      </c>
      <c r="B239" t="s">
        <v>23</v>
      </c>
      <c r="C239" s="159" t="s">
        <v>623</v>
      </c>
      <c r="D239" t="str">
        <f>VLOOKUP(A239,DataUsuario!B:D,2,FALSE)</f>
        <v>Agrícola</v>
      </c>
      <c r="E239" t="str">
        <f>VLOOKUP(A239,DataUsuario!B:D,3,FALSE)</f>
        <v>Sistema Integral de Gestión</v>
      </c>
      <c r="F239" t="s">
        <v>89</v>
      </c>
    </row>
    <row r="240" spans="1:6" x14ac:dyDescent="0.3">
      <c r="A240" s="157" t="s">
        <v>613</v>
      </c>
      <c r="B240" t="s">
        <v>23</v>
      </c>
      <c r="C240" s="160">
        <v>4</v>
      </c>
      <c r="D240" t="str">
        <f>VLOOKUP(A240,DataUsuario!B:D,2,FALSE)</f>
        <v>Operaciones</v>
      </c>
      <c r="E240" t="str">
        <f>VLOOKUP(A240,DataUsuario!B:D,3,FALSE)</f>
        <v>Transporte</v>
      </c>
      <c r="F240" t="s">
        <v>70</v>
      </c>
    </row>
    <row r="241" spans="1:6" x14ac:dyDescent="0.3">
      <c r="A241" s="156" t="s">
        <v>224</v>
      </c>
      <c r="B241" t="s">
        <v>23</v>
      </c>
      <c r="C241" s="159">
        <v>4</v>
      </c>
      <c r="D241" t="str">
        <f>VLOOKUP(A241,DataUsuario!B:D,2,FALSE)</f>
        <v>Agrícola</v>
      </c>
      <c r="E241" t="str">
        <f>VLOOKUP(A241,DataUsuario!B:D,3,FALSE)</f>
        <v>Laboratorio e Investigación Agricola</v>
      </c>
      <c r="F241" t="s">
        <v>89</v>
      </c>
    </row>
    <row r="242" spans="1:6" x14ac:dyDescent="0.3">
      <c r="A242" s="157" t="s">
        <v>359</v>
      </c>
      <c r="B242" t="s">
        <v>23</v>
      </c>
      <c r="C242" s="160">
        <v>5</v>
      </c>
      <c r="D242" t="str">
        <f>VLOOKUP(A242,DataUsuario!B:D,2,FALSE)</f>
        <v>Operaciones</v>
      </c>
      <c r="E242" t="str">
        <f>VLOOKUP(A242,DataUsuario!B:D,3,FALSE)</f>
        <v>Gerencia de Operaciones</v>
      </c>
      <c r="F242" t="s">
        <v>70</v>
      </c>
    </row>
    <row r="243" spans="1:6" x14ac:dyDescent="0.3">
      <c r="A243" s="156" t="s">
        <v>350</v>
      </c>
      <c r="B243" t="s">
        <v>23</v>
      </c>
      <c r="C243" s="159">
        <v>4</v>
      </c>
      <c r="D243" t="str">
        <f>VLOOKUP(A243,DataUsuario!B:D,2,FALSE)</f>
        <v>Agrícola</v>
      </c>
      <c r="E243" t="str">
        <f>VLOOKUP(A243,DataUsuario!B:D,3,FALSE)</f>
        <v>Planificador Agrícola</v>
      </c>
      <c r="F243" t="s">
        <v>89</v>
      </c>
    </row>
    <row r="244" spans="1:6" x14ac:dyDescent="0.3">
      <c r="A244" s="157" t="s">
        <v>256</v>
      </c>
      <c r="B244" t="s">
        <v>23</v>
      </c>
      <c r="C244" s="160">
        <v>3</v>
      </c>
      <c r="D244" t="str">
        <f>VLOOKUP(A244,DataUsuario!B:D,2,FALSE)</f>
        <v>Agrícola</v>
      </c>
      <c r="E244" t="str">
        <f>VLOOKUP(A244,DataUsuario!B:D,3,FALSE)</f>
        <v>Fundo Montelima</v>
      </c>
      <c r="F244" t="s">
        <v>89</v>
      </c>
    </row>
    <row r="245" spans="1:6" x14ac:dyDescent="0.3">
      <c r="A245" s="156" t="s">
        <v>435</v>
      </c>
      <c r="B245" t="s">
        <v>23</v>
      </c>
      <c r="C245" s="159">
        <v>4</v>
      </c>
      <c r="D245" t="str">
        <f>VLOOKUP(A245,DataUsuario!B:D,2,FALSE)</f>
        <v>Operaciones</v>
      </c>
      <c r="E245" t="str">
        <f>VLOOKUP(A245,DataUsuario!B:D,3,FALSE)</f>
        <v>Almacenes y Distribución PT</v>
      </c>
      <c r="F245" t="s">
        <v>70</v>
      </c>
    </row>
    <row r="246" spans="1:6" x14ac:dyDescent="0.3">
      <c r="A246" s="157" t="s">
        <v>202</v>
      </c>
      <c r="B246" t="s">
        <v>23</v>
      </c>
      <c r="C246" s="160">
        <v>5</v>
      </c>
      <c r="D246" t="str">
        <f>VLOOKUP(A246,DataUsuario!B:D,2,FALSE)</f>
        <v>Agrícola</v>
      </c>
      <c r="E246" t="str">
        <f>VLOOKUP(A246,DataUsuario!B:D,3,FALSE)</f>
        <v>Fundo La Huaca</v>
      </c>
      <c r="F246" t="s">
        <v>89</v>
      </c>
    </row>
    <row r="247" spans="1:6" x14ac:dyDescent="0.3">
      <c r="A247" s="156" t="s">
        <v>337</v>
      </c>
      <c r="B247" t="s">
        <v>23</v>
      </c>
      <c r="C247" s="159">
        <v>4</v>
      </c>
      <c r="D247" t="str">
        <f>VLOOKUP(A247,DataUsuario!B:D,2,FALSE)</f>
        <v>Agrícola</v>
      </c>
      <c r="E247" t="str">
        <f>VLOOKUP(A247,DataUsuario!B:D,3,FALSE)</f>
        <v>Fundo San Vicente</v>
      </c>
      <c r="F247" t="s">
        <v>89</v>
      </c>
    </row>
    <row r="248" spans="1:6" x14ac:dyDescent="0.3">
      <c r="A248" s="157" t="s">
        <v>179</v>
      </c>
      <c r="B248" t="s">
        <v>23</v>
      </c>
      <c r="C248" s="160">
        <v>5</v>
      </c>
      <c r="D248" t="str">
        <f>VLOOKUP(A248,DataUsuario!B:D,2,FALSE)</f>
        <v>Agrícola</v>
      </c>
      <c r="E248" t="str">
        <f>VLOOKUP(A248,DataUsuario!B:D,3,FALSE)</f>
        <v>Fundo Montelima</v>
      </c>
      <c r="F248" t="s">
        <v>89</v>
      </c>
    </row>
    <row r="249" spans="1:6" x14ac:dyDescent="0.3">
      <c r="A249" s="156" t="s">
        <v>619</v>
      </c>
      <c r="B249" t="s">
        <v>23</v>
      </c>
      <c r="C249" s="159">
        <v>5</v>
      </c>
      <c r="D249" t="str">
        <f>VLOOKUP(A249,DataUsuario!B:D,2,FALSE)</f>
        <v>Operaciones</v>
      </c>
      <c r="E249" t="str">
        <f>VLOOKUP(A249,DataUsuario!B:D,3,FALSE)</f>
        <v xml:space="preserve">Almacén </v>
      </c>
      <c r="F249" t="s">
        <v>70</v>
      </c>
    </row>
    <row r="250" spans="1:6" x14ac:dyDescent="0.3">
      <c r="A250" s="158" t="s">
        <v>378</v>
      </c>
      <c r="B250" t="s">
        <v>23</v>
      </c>
      <c r="C250" s="161">
        <v>4</v>
      </c>
      <c r="D250" t="str">
        <f>VLOOKUP(A250,DataUsuario!B:D,2,FALSE)</f>
        <v>Industrial y de Mantenimiento</v>
      </c>
      <c r="E250" t="str">
        <f>VLOOKUP(A250,DataUsuario!B:D,3,FALSE)</f>
        <v>Gerencia industrial y de Mantenimiento</v>
      </c>
      <c r="F250" t="s">
        <v>74</v>
      </c>
    </row>
    <row r="251" spans="1:6" x14ac:dyDescent="0.3">
      <c r="A251" s="156" t="s">
        <v>138</v>
      </c>
      <c r="B251" t="s">
        <v>463</v>
      </c>
      <c r="C251" s="159">
        <v>4</v>
      </c>
      <c r="D251" t="str">
        <f>VLOOKUP(A251,DataUsuario!B:D,2,FALSE)</f>
        <v>Gestión Humana y Sostenibilidad</v>
      </c>
      <c r="E251" t="str">
        <f>VLOOKUP(A251,DataUsuario!B:D,3,FALSE)</f>
        <v>Gestion del Talento</v>
      </c>
      <c r="F251" t="s">
        <v>62</v>
      </c>
    </row>
    <row r="252" spans="1:6" x14ac:dyDescent="0.3">
      <c r="A252" s="157" t="s">
        <v>145</v>
      </c>
      <c r="B252" t="s">
        <v>463</v>
      </c>
      <c r="C252" s="160" t="s">
        <v>623</v>
      </c>
      <c r="D252" t="str">
        <f>VLOOKUP(A252,DataUsuario!B:D,2,FALSE)</f>
        <v>Administración y Finanzas</v>
      </c>
      <c r="E252" t="str">
        <f>VLOOKUP(A252,DataUsuario!B:D,3,FALSE)</f>
        <v>Legal</v>
      </c>
      <c r="F252" t="s">
        <v>66</v>
      </c>
    </row>
    <row r="253" spans="1:6" x14ac:dyDescent="0.3">
      <c r="A253" s="156" t="s">
        <v>322</v>
      </c>
      <c r="B253" t="s">
        <v>463</v>
      </c>
      <c r="C253" s="159">
        <v>3</v>
      </c>
      <c r="D253" t="str">
        <f>VLOOKUP(A253,DataUsuario!B:D,2,FALSE)</f>
        <v>Administración y Finanzas</v>
      </c>
      <c r="E253" t="str">
        <f>VLOOKUP(A253,DataUsuario!B:D,3,FALSE)</f>
        <v>Finanzas y Tesorería</v>
      </c>
      <c r="F253" t="s">
        <v>66</v>
      </c>
    </row>
    <row r="254" spans="1:6" x14ac:dyDescent="0.3">
      <c r="A254" s="157" t="s">
        <v>133</v>
      </c>
      <c r="B254" t="s">
        <v>463</v>
      </c>
      <c r="C254" s="160" t="s">
        <v>623</v>
      </c>
      <c r="D254" t="str">
        <f>VLOOKUP(A254,DataUsuario!B:D,2,FALSE)</f>
        <v>Industrial y de Mantenimiento</v>
      </c>
      <c r="E254" t="str">
        <f>VLOOKUP(A254,DataUsuario!B:D,3,FALSE)</f>
        <v>Electricidad</v>
      </c>
      <c r="F254" t="s">
        <v>74</v>
      </c>
    </row>
    <row r="255" spans="1:6" x14ac:dyDescent="0.3">
      <c r="A255" s="156" t="s">
        <v>421</v>
      </c>
      <c r="B255" t="s">
        <v>463</v>
      </c>
      <c r="C255" s="159">
        <v>4</v>
      </c>
      <c r="D255" t="str">
        <f>VLOOKUP(A255,DataUsuario!B:D,2,FALSE)</f>
        <v>Operaciones</v>
      </c>
      <c r="E255" t="str">
        <f>VLOOKUP(A255,DataUsuario!B:D,3,FALSE)</f>
        <v>Cosecha</v>
      </c>
      <c r="F255" t="s">
        <v>70</v>
      </c>
    </row>
    <row r="256" spans="1:6" x14ac:dyDescent="0.3">
      <c r="A256" s="157" t="s">
        <v>221</v>
      </c>
      <c r="B256" t="s">
        <v>463</v>
      </c>
      <c r="C256" s="160">
        <v>5</v>
      </c>
      <c r="D256" t="str">
        <f>VLOOKUP(A256,DataUsuario!B:D,2,FALSE)</f>
        <v>Administración y Finanzas</v>
      </c>
      <c r="E256" t="str">
        <f>VLOOKUP(A256,DataUsuario!B:D,3,FALSE)</f>
        <v>Sistemas y TI</v>
      </c>
      <c r="F256" t="s">
        <v>66</v>
      </c>
    </row>
    <row r="257" spans="1:6" x14ac:dyDescent="0.3">
      <c r="A257" s="156" t="s">
        <v>318</v>
      </c>
      <c r="B257" t="s">
        <v>463</v>
      </c>
      <c r="C257" s="159">
        <v>5</v>
      </c>
      <c r="D257" t="str">
        <f>VLOOKUP(A257,DataUsuario!B:D,2,FALSE)</f>
        <v>Operaciones</v>
      </c>
      <c r="E257" t="str">
        <f>VLOOKUP(A257,DataUsuario!B:D,3,FALSE)</f>
        <v>Cosecha</v>
      </c>
      <c r="F257" t="s">
        <v>70</v>
      </c>
    </row>
    <row r="258" spans="1:6" x14ac:dyDescent="0.3">
      <c r="A258" s="157" t="s">
        <v>372</v>
      </c>
      <c r="B258" t="s">
        <v>463</v>
      </c>
      <c r="C258" s="160">
        <v>4</v>
      </c>
      <c r="D258" t="str">
        <f>VLOOKUP(A258,DataUsuario!B:D,2,FALSE)</f>
        <v>Agrícola</v>
      </c>
      <c r="E258" t="str">
        <f>VLOOKUP(A258,DataUsuario!B:D,3,FALSE)</f>
        <v>Laboratorio e Investigación Agricola</v>
      </c>
      <c r="F258" t="s">
        <v>89</v>
      </c>
    </row>
    <row r="259" spans="1:6" x14ac:dyDescent="0.3">
      <c r="A259" s="156" t="s">
        <v>599</v>
      </c>
      <c r="B259" t="s">
        <v>463</v>
      </c>
      <c r="C259" s="159" t="s">
        <v>623</v>
      </c>
      <c r="D259" t="str">
        <f>VLOOKUP(A259,DataUsuario!B:D,2,FALSE)</f>
        <v>Administración y Finanzas</v>
      </c>
      <c r="E259" t="str">
        <f>VLOOKUP(A259,DataUsuario!B:D,3,FALSE)</f>
        <v>Compras</v>
      </c>
      <c r="F259" t="s">
        <v>66</v>
      </c>
    </row>
    <row r="260" spans="1:6" x14ac:dyDescent="0.3">
      <c r="A260" s="157" t="s">
        <v>198</v>
      </c>
      <c r="B260" t="s">
        <v>463</v>
      </c>
      <c r="C260" s="160">
        <v>4</v>
      </c>
      <c r="D260" t="str">
        <f>VLOOKUP(A260,DataUsuario!B:D,2,FALSE)</f>
        <v>Agrícola</v>
      </c>
      <c r="E260" t="str">
        <f>VLOOKUP(A260,DataUsuario!B:D,3,FALSE)</f>
        <v>Fundo Lobo</v>
      </c>
      <c r="F260" t="s">
        <v>89</v>
      </c>
    </row>
    <row r="261" spans="1:6" x14ac:dyDescent="0.3">
      <c r="A261" s="156" t="s">
        <v>431</v>
      </c>
      <c r="B261" t="s">
        <v>463</v>
      </c>
      <c r="C261" s="159">
        <v>4</v>
      </c>
      <c r="D261" t="str">
        <f>VLOOKUP(A261,DataUsuario!B:D,2,FALSE)</f>
        <v>Agrícola</v>
      </c>
      <c r="E261" t="str">
        <f>VLOOKUP(A261,DataUsuario!B:D,3,FALSE)</f>
        <v>Fundo San Vicente</v>
      </c>
      <c r="F261" t="s">
        <v>89</v>
      </c>
    </row>
    <row r="262" spans="1:6" x14ac:dyDescent="0.3">
      <c r="A262" s="157" t="s">
        <v>176</v>
      </c>
      <c r="B262" t="s">
        <v>463</v>
      </c>
      <c r="C262" s="160">
        <v>4</v>
      </c>
      <c r="D262" t="str">
        <f>VLOOKUP(A262,DataUsuario!B:D,2,FALSE)</f>
        <v>Administración y Finanzas</v>
      </c>
      <c r="E262" t="str">
        <f>VLOOKUP(A262,DataUsuario!B:D,3,FALSE)</f>
        <v>Cadenas Productivas</v>
      </c>
      <c r="F262" t="s">
        <v>66</v>
      </c>
    </row>
    <row r="263" spans="1:6" x14ac:dyDescent="0.3">
      <c r="A263" s="156" t="s">
        <v>236</v>
      </c>
      <c r="B263" t="s">
        <v>463</v>
      </c>
      <c r="C263" s="159">
        <v>5</v>
      </c>
      <c r="D263" t="str">
        <f>VLOOKUP(A263,DataUsuario!B:D,2,FALSE)</f>
        <v>Administración y Finanzas</v>
      </c>
      <c r="E263" t="str">
        <f>VLOOKUP(A263,DataUsuario!B:D,3,FALSE)</f>
        <v>Sistemas y TI</v>
      </c>
      <c r="F263" t="s">
        <v>66</v>
      </c>
    </row>
    <row r="264" spans="1:6" x14ac:dyDescent="0.3">
      <c r="A264" s="157" t="s">
        <v>136</v>
      </c>
      <c r="B264" t="s">
        <v>463</v>
      </c>
      <c r="C264" s="160">
        <v>4</v>
      </c>
      <c r="D264" t="str">
        <f>VLOOKUP(A264,DataUsuario!B:D,2,FALSE)</f>
        <v>Operaciones</v>
      </c>
      <c r="E264" t="str">
        <f>VLOOKUP(A264,DataUsuario!B:D,3,FALSE)</f>
        <v>Comercial</v>
      </c>
      <c r="F264" t="s">
        <v>70</v>
      </c>
    </row>
    <row r="265" spans="1:6" x14ac:dyDescent="0.3">
      <c r="A265" s="156" t="s">
        <v>343</v>
      </c>
      <c r="B265" t="s">
        <v>463</v>
      </c>
      <c r="C265" s="159">
        <v>5</v>
      </c>
      <c r="D265" t="str">
        <f>VLOOKUP(A265,DataUsuario!B:D,2,FALSE)</f>
        <v>Operaciones</v>
      </c>
      <c r="E265" t="str">
        <f>VLOOKUP(A265,DataUsuario!B:D,3,FALSE)</f>
        <v>Comercial No Giro</v>
      </c>
      <c r="F265" t="s">
        <v>70</v>
      </c>
    </row>
    <row r="266" spans="1:6" x14ac:dyDescent="0.3">
      <c r="A266" s="157" t="s">
        <v>376</v>
      </c>
      <c r="B266" t="s">
        <v>463</v>
      </c>
      <c r="C266" s="160">
        <v>5</v>
      </c>
      <c r="D266" t="str">
        <f>VLOOKUP(A266,DataUsuario!B:D,2,FALSE)</f>
        <v>Administración y Finanzas</v>
      </c>
      <c r="E266" t="str">
        <f>VLOOKUP(A266,DataUsuario!B:D,3,FALSE)</f>
        <v>Control de Gestión</v>
      </c>
      <c r="F266" t="s">
        <v>66</v>
      </c>
    </row>
    <row r="267" spans="1:6" x14ac:dyDescent="0.3">
      <c r="A267" s="156" t="s">
        <v>285</v>
      </c>
      <c r="B267" t="s">
        <v>463</v>
      </c>
      <c r="C267" s="159">
        <v>4</v>
      </c>
      <c r="D267" t="str">
        <f>VLOOKUP(A267,DataUsuario!B:D,2,FALSE)</f>
        <v>Operaciones</v>
      </c>
      <c r="E267" t="str">
        <f>VLOOKUP(A267,DataUsuario!B:D,3,FALSE)</f>
        <v>Comercial</v>
      </c>
      <c r="F267" t="s">
        <v>70</v>
      </c>
    </row>
    <row r="268" spans="1:6" x14ac:dyDescent="0.3">
      <c r="A268" s="157" t="s">
        <v>251</v>
      </c>
      <c r="B268" t="s">
        <v>463</v>
      </c>
      <c r="C268" s="160">
        <v>4</v>
      </c>
      <c r="D268" t="str">
        <f>VLOOKUP(A268,DataUsuario!B:D,2,FALSE)</f>
        <v>Industrial y de Mantenimiento</v>
      </c>
      <c r="E268" t="str">
        <f>VLOOKUP(A268,DataUsuario!B:D,3,FALSE)</f>
        <v>Automatización</v>
      </c>
      <c r="F268" t="s">
        <v>74</v>
      </c>
    </row>
    <row r="269" spans="1:6" x14ac:dyDescent="0.3">
      <c r="A269" s="156" t="s">
        <v>287</v>
      </c>
      <c r="B269" t="s">
        <v>463</v>
      </c>
      <c r="C269" s="159">
        <v>5</v>
      </c>
      <c r="D269" t="str">
        <f>VLOOKUP(A269,DataUsuario!B:D,2,FALSE)</f>
        <v>Operaciones</v>
      </c>
      <c r="E269" t="str">
        <f>VLOOKUP(A269,DataUsuario!B:D,3,FALSE)</f>
        <v>Calidad</v>
      </c>
      <c r="F269" t="s">
        <v>70</v>
      </c>
    </row>
    <row r="270" spans="1:6" x14ac:dyDescent="0.3">
      <c r="A270" s="157" t="s">
        <v>85</v>
      </c>
      <c r="B270" t="s">
        <v>463</v>
      </c>
      <c r="C270" s="160">
        <v>5</v>
      </c>
      <c r="D270" t="str">
        <f>VLOOKUP(A270,DataUsuario!B:D,2,FALSE)</f>
        <v>Operaciones</v>
      </c>
      <c r="E270" t="str">
        <f>VLOOKUP(A270,DataUsuario!B:D,3,FALSE)</f>
        <v>Comercial</v>
      </c>
      <c r="F270" t="s">
        <v>70</v>
      </c>
    </row>
    <row r="271" spans="1:6" x14ac:dyDescent="0.3">
      <c r="A271" s="156" t="s">
        <v>260</v>
      </c>
      <c r="B271" t="s">
        <v>463</v>
      </c>
      <c r="C271" s="159">
        <v>3</v>
      </c>
      <c r="D271" t="str">
        <f>VLOOKUP(A271,DataUsuario!B:D,2,FALSE)</f>
        <v>Industrial y de Mantenimiento</v>
      </c>
      <c r="E271" t="str">
        <f>VLOOKUP(A271,DataUsuario!B:D,3,FALSE)</f>
        <v>Producción</v>
      </c>
      <c r="F271" t="s">
        <v>74</v>
      </c>
    </row>
    <row r="272" spans="1:6" x14ac:dyDescent="0.3">
      <c r="A272" s="157" t="s">
        <v>423</v>
      </c>
      <c r="B272" t="s">
        <v>463</v>
      </c>
      <c r="C272" s="160">
        <v>3</v>
      </c>
      <c r="D272" t="str">
        <f>VLOOKUP(A272,DataUsuario!B:D,2,FALSE)</f>
        <v>Industrial y de Mantenimiento</v>
      </c>
      <c r="E272" t="str">
        <f>VLOOKUP(A272,DataUsuario!B:D,3,FALSE)</f>
        <v>Producción</v>
      </c>
      <c r="F272" t="s">
        <v>74</v>
      </c>
    </row>
    <row r="273" spans="1:6" x14ac:dyDescent="0.3">
      <c r="A273" s="156" t="s">
        <v>154</v>
      </c>
      <c r="B273" t="s">
        <v>463</v>
      </c>
      <c r="C273" s="159">
        <v>4</v>
      </c>
      <c r="D273" t="str">
        <f>VLOOKUP(A273,DataUsuario!B:D,2,FALSE)</f>
        <v>Industrial y de Mantenimiento</v>
      </c>
      <c r="E273" t="str">
        <f>VLOOKUP(A273,DataUsuario!B:D,3,FALSE)</f>
        <v>Mantenimiento Industrial</v>
      </c>
      <c r="F273" t="s">
        <v>74</v>
      </c>
    </row>
    <row r="274" spans="1:6" x14ac:dyDescent="0.3">
      <c r="A274" s="157" t="s">
        <v>305</v>
      </c>
      <c r="B274" t="s">
        <v>463</v>
      </c>
      <c r="C274" s="160">
        <v>3</v>
      </c>
      <c r="D274" t="str">
        <f>VLOOKUP(A274,DataUsuario!B:D,2,FALSE)</f>
        <v>Industrial y de Mantenimiento</v>
      </c>
      <c r="E274" t="str">
        <f>VLOOKUP(A274,DataUsuario!B:D,3,FALSE)</f>
        <v>Producción</v>
      </c>
      <c r="F274" t="s">
        <v>74</v>
      </c>
    </row>
    <row r="275" spans="1:6" x14ac:dyDescent="0.3">
      <c r="A275" s="156" t="s">
        <v>77</v>
      </c>
      <c r="B275" t="s">
        <v>463</v>
      </c>
      <c r="C275" s="159" t="s">
        <v>623</v>
      </c>
      <c r="D275" t="str">
        <f>VLOOKUP(A275,DataUsuario!B:D,2,FALSE)</f>
        <v>Operaciones</v>
      </c>
      <c r="E275" t="str">
        <f>VLOOKUP(A275,DataUsuario!B:D,3,FALSE)</f>
        <v>Comercial No Giro</v>
      </c>
      <c r="F275" t="s">
        <v>70</v>
      </c>
    </row>
    <row r="276" spans="1:6" x14ac:dyDescent="0.3">
      <c r="A276" s="157" t="s">
        <v>606</v>
      </c>
      <c r="B276" t="s">
        <v>463</v>
      </c>
      <c r="C276" s="160">
        <v>4</v>
      </c>
      <c r="D276" t="str">
        <f>VLOOKUP(A276,DataUsuario!B:D,2,FALSE)</f>
        <v>Operaciones</v>
      </c>
      <c r="E276" t="str">
        <f>VLOOKUP(A276,DataUsuario!B:D,3,FALSE)</f>
        <v xml:space="preserve">Almacén </v>
      </c>
      <c r="F276" t="s">
        <v>70</v>
      </c>
    </row>
    <row r="277" spans="1:6" x14ac:dyDescent="0.3">
      <c r="A277" s="156" t="s">
        <v>205</v>
      </c>
      <c r="B277" t="s">
        <v>463</v>
      </c>
      <c r="C277" s="159">
        <v>4</v>
      </c>
      <c r="D277" t="str">
        <f>VLOOKUP(A277,DataUsuario!B:D,2,FALSE)</f>
        <v>Operaciones</v>
      </c>
      <c r="E277" t="str">
        <f>VLOOKUP(A277,DataUsuario!B:D,3,FALSE)</f>
        <v>Almacenes y Distribución PT</v>
      </c>
      <c r="F277" t="s">
        <v>70</v>
      </c>
    </row>
    <row r="278" spans="1:6" x14ac:dyDescent="0.3">
      <c r="A278" s="157" t="s">
        <v>393</v>
      </c>
      <c r="B278" t="s">
        <v>463</v>
      </c>
      <c r="C278" s="160">
        <v>4</v>
      </c>
      <c r="D278" t="str">
        <f>VLOOKUP(A278,DataUsuario!B:D,2,FALSE)</f>
        <v>Agrícola</v>
      </c>
      <c r="E278" t="str">
        <f>VLOOKUP(A278,DataUsuario!B:D,3,FALSE)</f>
        <v>Sistema Integral de Gestión</v>
      </c>
      <c r="F278" t="s">
        <v>89</v>
      </c>
    </row>
    <row r="279" spans="1:6" x14ac:dyDescent="0.3">
      <c r="A279" s="156" t="s">
        <v>609</v>
      </c>
      <c r="B279" t="s">
        <v>463</v>
      </c>
      <c r="C279" s="159">
        <v>4</v>
      </c>
      <c r="D279" t="str">
        <f>VLOOKUP(A279,DataUsuario!B:D,2,FALSE)</f>
        <v>Operaciones</v>
      </c>
      <c r="E279" t="str">
        <f>VLOOKUP(A279,DataUsuario!B:D,3,FALSE)</f>
        <v>Almacenes y Distribución PT</v>
      </c>
      <c r="F279" t="s">
        <v>70</v>
      </c>
    </row>
    <row r="280" spans="1:6" x14ac:dyDescent="0.3">
      <c r="A280" s="157" t="s">
        <v>152</v>
      </c>
      <c r="B280" t="s">
        <v>463</v>
      </c>
      <c r="C280" s="160">
        <v>5</v>
      </c>
      <c r="D280" t="str">
        <f>VLOOKUP(A280,DataUsuario!B:D,2,FALSE)</f>
        <v>Operaciones</v>
      </c>
      <c r="E280" t="str">
        <f>VLOOKUP(A280,DataUsuario!B:D,3,FALSE)</f>
        <v>Almacenes y Distribución PT</v>
      </c>
      <c r="F280" t="s">
        <v>70</v>
      </c>
    </row>
    <row r="281" spans="1:6" x14ac:dyDescent="0.3">
      <c r="A281" s="156" t="s">
        <v>61</v>
      </c>
      <c r="B281" t="s">
        <v>463</v>
      </c>
      <c r="C281" s="159">
        <v>4</v>
      </c>
      <c r="D281" t="str">
        <f>VLOOKUP(A281,DataUsuario!B:D,2,FALSE)</f>
        <v>Gestión Humana y Sostenibilidad</v>
      </c>
      <c r="E281" t="str">
        <f>VLOOKUP(A281,DataUsuario!B:D,3,FALSE)</f>
        <v>Compensación y Nóminas</v>
      </c>
      <c r="F281" t="s">
        <v>62</v>
      </c>
    </row>
    <row r="282" spans="1:6" x14ac:dyDescent="0.3">
      <c r="A282" s="157" t="s">
        <v>238</v>
      </c>
      <c r="B282" t="s">
        <v>463</v>
      </c>
      <c r="C282" s="160">
        <v>4</v>
      </c>
      <c r="D282" t="str">
        <f>VLOOKUP(A282,DataUsuario!B:D,2,FALSE)</f>
        <v>Industrial y de Mantenimiento</v>
      </c>
      <c r="E282" t="str">
        <f>VLOOKUP(A282,DataUsuario!B:D,3,FALSE)</f>
        <v>Producción</v>
      </c>
      <c r="F282" t="s">
        <v>74</v>
      </c>
    </row>
    <row r="283" spans="1:6" x14ac:dyDescent="0.3">
      <c r="A283" s="156" t="s">
        <v>303</v>
      </c>
      <c r="B283" t="s">
        <v>463</v>
      </c>
      <c r="C283" s="159">
        <v>5</v>
      </c>
      <c r="D283" t="str">
        <f>VLOOKUP(A283,DataUsuario!B:D,2,FALSE)</f>
        <v>Administración y Finanzas</v>
      </c>
      <c r="E283" t="str">
        <f>VLOOKUP(A283,DataUsuario!B:D,3,FALSE)</f>
        <v>Control de Gestión</v>
      </c>
      <c r="F283" t="s">
        <v>66</v>
      </c>
    </row>
    <row r="284" spans="1:6" x14ac:dyDescent="0.3">
      <c r="A284" s="157" t="s">
        <v>123</v>
      </c>
      <c r="B284" t="s">
        <v>463</v>
      </c>
      <c r="C284" s="160">
        <v>4</v>
      </c>
      <c r="D284" t="str">
        <f>VLOOKUP(A284,DataUsuario!B:D,2,FALSE)</f>
        <v>Administración y Finanzas</v>
      </c>
      <c r="E284" t="str">
        <f>VLOOKUP(A284,DataUsuario!B:D,3,FALSE)</f>
        <v>Gerencia Administración y Finanzas</v>
      </c>
      <c r="F284" t="s">
        <v>66</v>
      </c>
    </row>
    <row r="285" spans="1:6" x14ac:dyDescent="0.3">
      <c r="A285" s="156" t="s">
        <v>128</v>
      </c>
      <c r="B285" t="s">
        <v>463</v>
      </c>
      <c r="C285" s="159">
        <v>4</v>
      </c>
      <c r="D285" t="str">
        <f>VLOOKUP(A285,DataUsuario!B:D,2,FALSE)</f>
        <v>Agrícola</v>
      </c>
      <c r="E285" t="str">
        <f>VLOOKUP(A285,DataUsuario!B:D,3,FALSE)</f>
        <v>Fundo Lobo</v>
      </c>
      <c r="F285" t="s">
        <v>89</v>
      </c>
    </row>
    <row r="286" spans="1:6" x14ac:dyDescent="0.3">
      <c r="A286" s="157" t="s">
        <v>242</v>
      </c>
      <c r="B286" t="s">
        <v>463</v>
      </c>
      <c r="C286" s="160">
        <v>3</v>
      </c>
      <c r="D286" t="str">
        <f>VLOOKUP(A286,DataUsuario!B:D,2,FALSE)</f>
        <v>Agrícola</v>
      </c>
      <c r="E286" t="str">
        <f>VLOOKUP(A286,DataUsuario!B:D,3,FALSE)</f>
        <v>Fundo Montelima</v>
      </c>
      <c r="F286" t="s">
        <v>89</v>
      </c>
    </row>
    <row r="287" spans="1:6" x14ac:dyDescent="0.3">
      <c r="A287" s="156" t="s">
        <v>369</v>
      </c>
      <c r="B287" t="s">
        <v>463</v>
      </c>
      <c r="C287" s="159">
        <v>4</v>
      </c>
      <c r="D287" t="str">
        <f>VLOOKUP(A287,DataUsuario!B:D,2,FALSE)</f>
        <v>Agrícola</v>
      </c>
      <c r="E287" t="str">
        <f>VLOOKUP(A287,DataUsuario!B:D,3,FALSE)</f>
        <v>Sistema Integral de Gestión</v>
      </c>
      <c r="F287" t="s">
        <v>89</v>
      </c>
    </row>
    <row r="288" spans="1:6" x14ac:dyDescent="0.3">
      <c r="A288" s="157" t="s">
        <v>613</v>
      </c>
      <c r="B288" t="s">
        <v>463</v>
      </c>
      <c r="C288" s="160">
        <v>4</v>
      </c>
      <c r="D288" t="str">
        <f>VLOOKUP(A288,DataUsuario!B:D,2,FALSE)</f>
        <v>Operaciones</v>
      </c>
      <c r="E288" t="str">
        <f>VLOOKUP(A288,DataUsuario!B:D,3,FALSE)</f>
        <v>Transporte</v>
      </c>
      <c r="F288" t="s">
        <v>70</v>
      </c>
    </row>
    <row r="289" spans="1:6" x14ac:dyDescent="0.3">
      <c r="A289" s="156" t="s">
        <v>224</v>
      </c>
      <c r="B289" t="s">
        <v>463</v>
      </c>
      <c r="C289" s="159">
        <v>4</v>
      </c>
      <c r="D289" t="str">
        <f>VLOOKUP(A289,DataUsuario!B:D,2,FALSE)</f>
        <v>Agrícola</v>
      </c>
      <c r="E289" t="str">
        <f>VLOOKUP(A289,DataUsuario!B:D,3,FALSE)</f>
        <v>Laboratorio e Investigación Agricola</v>
      </c>
      <c r="F289" t="s">
        <v>89</v>
      </c>
    </row>
    <row r="290" spans="1:6" x14ac:dyDescent="0.3">
      <c r="A290" s="157" t="s">
        <v>359</v>
      </c>
      <c r="B290" t="s">
        <v>463</v>
      </c>
      <c r="C290" s="160">
        <v>5</v>
      </c>
      <c r="D290" t="str">
        <f>VLOOKUP(A290,DataUsuario!B:D,2,FALSE)</f>
        <v>Operaciones</v>
      </c>
      <c r="E290" t="str">
        <f>VLOOKUP(A290,DataUsuario!B:D,3,FALSE)</f>
        <v>Gerencia de Operaciones</v>
      </c>
      <c r="F290" t="s">
        <v>70</v>
      </c>
    </row>
    <row r="291" spans="1:6" x14ac:dyDescent="0.3">
      <c r="A291" s="156" t="s">
        <v>350</v>
      </c>
      <c r="B291" t="s">
        <v>463</v>
      </c>
      <c r="C291" s="159">
        <v>4</v>
      </c>
      <c r="D291" t="str">
        <f>VLOOKUP(A291,DataUsuario!B:D,2,FALSE)</f>
        <v>Agrícola</v>
      </c>
      <c r="E291" t="str">
        <f>VLOOKUP(A291,DataUsuario!B:D,3,FALSE)</f>
        <v>Planificador Agrícola</v>
      </c>
      <c r="F291" t="s">
        <v>89</v>
      </c>
    </row>
    <row r="292" spans="1:6" x14ac:dyDescent="0.3">
      <c r="A292" s="157" t="s">
        <v>256</v>
      </c>
      <c r="B292" t="s">
        <v>463</v>
      </c>
      <c r="C292" s="160">
        <v>3</v>
      </c>
      <c r="D292" t="str">
        <f>VLOOKUP(A292,DataUsuario!B:D,2,FALSE)</f>
        <v>Agrícola</v>
      </c>
      <c r="E292" t="str">
        <f>VLOOKUP(A292,DataUsuario!B:D,3,FALSE)</f>
        <v>Fundo Montelima</v>
      </c>
      <c r="F292" t="s">
        <v>89</v>
      </c>
    </row>
    <row r="293" spans="1:6" x14ac:dyDescent="0.3">
      <c r="A293" s="156" t="s">
        <v>435</v>
      </c>
      <c r="B293" t="s">
        <v>463</v>
      </c>
      <c r="C293" s="159">
        <v>5</v>
      </c>
      <c r="D293" t="str">
        <f>VLOOKUP(A293,DataUsuario!B:D,2,FALSE)</f>
        <v>Operaciones</v>
      </c>
      <c r="E293" t="str">
        <f>VLOOKUP(A293,DataUsuario!B:D,3,FALSE)</f>
        <v>Almacenes y Distribución PT</v>
      </c>
      <c r="F293" t="s">
        <v>70</v>
      </c>
    </row>
    <row r="294" spans="1:6" x14ac:dyDescent="0.3">
      <c r="A294" s="157" t="s">
        <v>202</v>
      </c>
      <c r="B294" t="s">
        <v>463</v>
      </c>
      <c r="C294" s="160">
        <v>5</v>
      </c>
      <c r="D294" t="str">
        <f>VLOOKUP(A294,DataUsuario!B:D,2,FALSE)</f>
        <v>Agrícola</v>
      </c>
      <c r="E294" t="str">
        <f>VLOOKUP(A294,DataUsuario!B:D,3,FALSE)</f>
        <v>Fundo La Huaca</v>
      </c>
      <c r="F294" t="s">
        <v>89</v>
      </c>
    </row>
    <row r="295" spans="1:6" x14ac:dyDescent="0.3">
      <c r="A295" s="156" t="s">
        <v>337</v>
      </c>
      <c r="B295" t="s">
        <v>463</v>
      </c>
      <c r="C295" s="159">
        <v>5</v>
      </c>
      <c r="D295" t="str">
        <f>VLOOKUP(A295,DataUsuario!B:D,2,FALSE)</f>
        <v>Agrícola</v>
      </c>
      <c r="E295" t="str">
        <f>VLOOKUP(A295,DataUsuario!B:D,3,FALSE)</f>
        <v>Fundo San Vicente</v>
      </c>
      <c r="F295" t="s">
        <v>89</v>
      </c>
    </row>
    <row r="296" spans="1:6" x14ac:dyDescent="0.3">
      <c r="A296" s="157" t="s">
        <v>179</v>
      </c>
      <c r="B296" t="s">
        <v>463</v>
      </c>
      <c r="C296" s="160">
        <v>5</v>
      </c>
      <c r="D296" t="str">
        <f>VLOOKUP(A296,DataUsuario!B:D,2,FALSE)</f>
        <v>Agrícola</v>
      </c>
      <c r="E296" t="str">
        <f>VLOOKUP(A296,DataUsuario!B:D,3,FALSE)</f>
        <v>Fundo Montelima</v>
      </c>
      <c r="F296" t="s">
        <v>89</v>
      </c>
    </row>
    <row r="297" spans="1:6" x14ac:dyDescent="0.3">
      <c r="A297" s="156" t="s">
        <v>619</v>
      </c>
      <c r="B297" t="s">
        <v>463</v>
      </c>
      <c r="C297" s="159">
        <v>5</v>
      </c>
      <c r="D297" t="str">
        <f>VLOOKUP(A297,DataUsuario!B:D,2,FALSE)</f>
        <v>Operaciones</v>
      </c>
      <c r="E297" t="str">
        <f>VLOOKUP(A297,DataUsuario!B:D,3,FALSE)</f>
        <v xml:space="preserve">Almacén </v>
      </c>
      <c r="F297" t="s">
        <v>70</v>
      </c>
    </row>
    <row r="298" spans="1:6" x14ac:dyDescent="0.3">
      <c r="A298" s="158" t="s">
        <v>378</v>
      </c>
      <c r="B298" t="s">
        <v>463</v>
      </c>
      <c r="C298" s="161">
        <v>4</v>
      </c>
      <c r="D298" t="str">
        <f>VLOOKUP(A298,DataUsuario!B:D,2,FALSE)</f>
        <v>Industrial y de Mantenimiento</v>
      </c>
      <c r="E298" t="str">
        <f>VLOOKUP(A298,DataUsuario!B:D,3,FALSE)</f>
        <v>Gerencia industrial y de Mantenimiento</v>
      </c>
      <c r="F298" t="s">
        <v>74</v>
      </c>
    </row>
    <row r="299" spans="1:6" x14ac:dyDescent="0.3">
      <c r="A299" s="156" t="s">
        <v>138</v>
      </c>
      <c r="B299" t="s">
        <v>464</v>
      </c>
      <c r="C299" s="159">
        <v>4</v>
      </c>
      <c r="D299" t="str">
        <f>VLOOKUP(A299,DataUsuario!B:D,2,FALSE)</f>
        <v>Gestión Humana y Sostenibilidad</v>
      </c>
      <c r="E299" t="str">
        <f>VLOOKUP(A299,DataUsuario!B:D,3,FALSE)</f>
        <v>Gestion del Talento</v>
      </c>
      <c r="F299" t="s">
        <v>62</v>
      </c>
    </row>
    <row r="300" spans="1:6" x14ac:dyDescent="0.3">
      <c r="A300" s="157" t="s">
        <v>145</v>
      </c>
      <c r="B300" t="s">
        <v>464</v>
      </c>
      <c r="C300" s="160" t="s">
        <v>623</v>
      </c>
      <c r="D300" t="str">
        <f>VLOOKUP(A300,DataUsuario!B:D,2,FALSE)</f>
        <v>Administración y Finanzas</v>
      </c>
      <c r="E300" t="str">
        <f>VLOOKUP(A300,DataUsuario!B:D,3,FALSE)</f>
        <v>Legal</v>
      </c>
      <c r="F300" t="s">
        <v>66</v>
      </c>
    </row>
    <row r="301" spans="1:6" x14ac:dyDescent="0.3">
      <c r="A301" s="156" t="s">
        <v>322</v>
      </c>
      <c r="B301" t="s">
        <v>464</v>
      </c>
      <c r="C301" s="159">
        <v>4</v>
      </c>
      <c r="D301" t="str">
        <f>VLOOKUP(A301,DataUsuario!B:D,2,FALSE)</f>
        <v>Administración y Finanzas</v>
      </c>
      <c r="E301" t="str">
        <f>VLOOKUP(A301,DataUsuario!B:D,3,FALSE)</f>
        <v>Finanzas y Tesorería</v>
      </c>
      <c r="F301" t="s">
        <v>66</v>
      </c>
    </row>
    <row r="302" spans="1:6" x14ac:dyDescent="0.3">
      <c r="A302" s="157" t="s">
        <v>133</v>
      </c>
      <c r="B302" t="s">
        <v>464</v>
      </c>
      <c r="C302" s="160">
        <v>5</v>
      </c>
      <c r="D302" t="str">
        <f>VLOOKUP(A302,DataUsuario!B:D,2,FALSE)</f>
        <v>Industrial y de Mantenimiento</v>
      </c>
      <c r="E302" t="str">
        <f>VLOOKUP(A302,DataUsuario!B:D,3,FALSE)</f>
        <v>Electricidad</v>
      </c>
      <c r="F302" t="s">
        <v>74</v>
      </c>
    </row>
    <row r="303" spans="1:6" x14ac:dyDescent="0.3">
      <c r="A303" s="156" t="s">
        <v>421</v>
      </c>
      <c r="B303" t="s">
        <v>464</v>
      </c>
      <c r="C303" s="159">
        <v>4</v>
      </c>
      <c r="D303" t="str">
        <f>VLOOKUP(A303,DataUsuario!B:D,2,FALSE)</f>
        <v>Operaciones</v>
      </c>
      <c r="E303" t="str">
        <f>VLOOKUP(A303,DataUsuario!B:D,3,FALSE)</f>
        <v>Cosecha</v>
      </c>
      <c r="F303" t="s">
        <v>70</v>
      </c>
    </row>
    <row r="304" spans="1:6" x14ac:dyDescent="0.3">
      <c r="A304" s="157" t="s">
        <v>221</v>
      </c>
      <c r="B304" t="s">
        <v>464</v>
      </c>
      <c r="C304" s="160" t="s">
        <v>623</v>
      </c>
      <c r="D304" t="str">
        <f>VLOOKUP(A304,DataUsuario!B:D,2,FALSE)</f>
        <v>Administración y Finanzas</v>
      </c>
      <c r="E304" t="str">
        <f>VLOOKUP(A304,DataUsuario!B:D,3,FALSE)</f>
        <v>Sistemas y TI</v>
      </c>
      <c r="F304" t="s">
        <v>66</v>
      </c>
    </row>
    <row r="305" spans="1:6" x14ac:dyDescent="0.3">
      <c r="A305" s="156" t="s">
        <v>318</v>
      </c>
      <c r="B305" t="s">
        <v>464</v>
      </c>
      <c r="C305" s="159">
        <v>5</v>
      </c>
      <c r="D305" t="str">
        <f>VLOOKUP(A305,DataUsuario!B:D,2,FALSE)</f>
        <v>Operaciones</v>
      </c>
      <c r="E305" t="str">
        <f>VLOOKUP(A305,DataUsuario!B:D,3,FALSE)</f>
        <v>Cosecha</v>
      </c>
      <c r="F305" t="s">
        <v>70</v>
      </c>
    </row>
    <row r="306" spans="1:6" x14ac:dyDescent="0.3">
      <c r="A306" s="157" t="s">
        <v>372</v>
      </c>
      <c r="B306" t="s">
        <v>464</v>
      </c>
      <c r="C306" s="160" t="s">
        <v>623</v>
      </c>
      <c r="D306" t="str">
        <f>VLOOKUP(A306,DataUsuario!B:D,2,FALSE)</f>
        <v>Agrícola</v>
      </c>
      <c r="E306" t="str">
        <f>VLOOKUP(A306,DataUsuario!B:D,3,FALSE)</f>
        <v>Laboratorio e Investigación Agricola</v>
      </c>
      <c r="F306" t="s">
        <v>89</v>
      </c>
    </row>
    <row r="307" spans="1:6" x14ac:dyDescent="0.3">
      <c r="A307" s="156" t="s">
        <v>599</v>
      </c>
      <c r="B307" t="s">
        <v>464</v>
      </c>
      <c r="C307" s="159">
        <v>4</v>
      </c>
      <c r="D307" t="str">
        <f>VLOOKUP(A307,DataUsuario!B:D,2,FALSE)</f>
        <v>Administración y Finanzas</v>
      </c>
      <c r="E307" t="str">
        <f>VLOOKUP(A307,DataUsuario!B:D,3,FALSE)</f>
        <v>Compras</v>
      </c>
      <c r="F307" t="s">
        <v>66</v>
      </c>
    </row>
    <row r="308" spans="1:6" x14ac:dyDescent="0.3">
      <c r="A308" s="157" t="s">
        <v>198</v>
      </c>
      <c r="B308" t="s">
        <v>464</v>
      </c>
      <c r="C308" s="160" t="s">
        <v>623</v>
      </c>
      <c r="D308" t="str">
        <f>VLOOKUP(A308,DataUsuario!B:D,2,FALSE)</f>
        <v>Agrícola</v>
      </c>
      <c r="E308" t="str">
        <f>VLOOKUP(A308,DataUsuario!B:D,3,FALSE)</f>
        <v>Fundo Lobo</v>
      </c>
      <c r="F308" t="s">
        <v>89</v>
      </c>
    </row>
    <row r="309" spans="1:6" x14ac:dyDescent="0.3">
      <c r="A309" s="156" t="s">
        <v>431</v>
      </c>
      <c r="B309" t="s">
        <v>464</v>
      </c>
      <c r="C309" s="159" t="s">
        <v>623</v>
      </c>
      <c r="D309" t="str">
        <f>VLOOKUP(A309,DataUsuario!B:D,2,FALSE)</f>
        <v>Agrícola</v>
      </c>
      <c r="E309" t="str">
        <f>VLOOKUP(A309,DataUsuario!B:D,3,FALSE)</f>
        <v>Fundo San Vicente</v>
      </c>
      <c r="F309" t="s">
        <v>89</v>
      </c>
    </row>
    <row r="310" spans="1:6" x14ac:dyDescent="0.3">
      <c r="A310" s="157" t="s">
        <v>176</v>
      </c>
      <c r="B310" t="s">
        <v>464</v>
      </c>
      <c r="C310" s="160">
        <v>4</v>
      </c>
      <c r="D310" t="str">
        <f>VLOOKUP(A310,DataUsuario!B:D,2,FALSE)</f>
        <v>Administración y Finanzas</v>
      </c>
      <c r="E310" t="str">
        <f>VLOOKUP(A310,DataUsuario!B:D,3,FALSE)</f>
        <v>Cadenas Productivas</v>
      </c>
      <c r="F310" t="s">
        <v>66</v>
      </c>
    </row>
    <row r="311" spans="1:6" x14ac:dyDescent="0.3">
      <c r="A311" s="156" t="s">
        <v>236</v>
      </c>
      <c r="B311" t="s">
        <v>464</v>
      </c>
      <c r="C311" s="159">
        <v>4</v>
      </c>
      <c r="D311" t="str">
        <f>VLOOKUP(A311,DataUsuario!B:D,2,FALSE)</f>
        <v>Administración y Finanzas</v>
      </c>
      <c r="E311" t="str">
        <f>VLOOKUP(A311,DataUsuario!B:D,3,FALSE)</f>
        <v>Sistemas y TI</v>
      </c>
      <c r="F311" t="s">
        <v>66</v>
      </c>
    </row>
    <row r="312" spans="1:6" x14ac:dyDescent="0.3">
      <c r="A312" s="157" t="s">
        <v>136</v>
      </c>
      <c r="B312" t="s">
        <v>464</v>
      </c>
      <c r="C312" s="160">
        <v>5</v>
      </c>
      <c r="D312" t="str">
        <f>VLOOKUP(A312,DataUsuario!B:D,2,FALSE)</f>
        <v>Operaciones</v>
      </c>
      <c r="E312" t="str">
        <f>VLOOKUP(A312,DataUsuario!B:D,3,FALSE)</f>
        <v>Comercial</v>
      </c>
      <c r="F312" t="s">
        <v>70</v>
      </c>
    </row>
    <row r="313" spans="1:6" x14ac:dyDescent="0.3">
      <c r="A313" s="156" t="s">
        <v>343</v>
      </c>
      <c r="B313" t="s">
        <v>464</v>
      </c>
      <c r="C313" s="159" t="s">
        <v>623</v>
      </c>
      <c r="D313" t="str">
        <f>VLOOKUP(A313,DataUsuario!B:D,2,FALSE)</f>
        <v>Operaciones</v>
      </c>
      <c r="E313" t="str">
        <f>VLOOKUP(A313,DataUsuario!B:D,3,FALSE)</f>
        <v>Comercial No Giro</v>
      </c>
      <c r="F313" t="s">
        <v>70</v>
      </c>
    </row>
    <row r="314" spans="1:6" x14ac:dyDescent="0.3">
      <c r="A314" s="157" t="s">
        <v>376</v>
      </c>
      <c r="B314" t="s">
        <v>464</v>
      </c>
      <c r="C314" s="160" t="s">
        <v>623</v>
      </c>
      <c r="D314" t="str">
        <f>VLOOKUP(A314,DataUsuario!B:D,2,FALSE)</f>
        <v>Administración y Finanzas</v>
      </c>
      <c r="E314" t="str">
        <f>VLOOKUP(A314,DataUsuario!B:D,3,FALSE)</f>
        <v>Control de Gestión</v>
      </c>
      <c r="F314" t="s">
        <v>66</v>
      </c>
    </row>
    <row r="315" spans="1:6" x14ac:dyDescent="0.3">
      <c r="A315" s="156" t="s">
        <v>285</v>
      </c>
      <c r="B315" t="s">
        <v>464</v>
      </c>
      <c r="C315" s="159">
        <v>5</v>
      </c>
      <c r="D315" t="str">
        <f>VLOOKUP(A315,DataUsuario!B:D,2,FALSE)</f>
        <v>Operaciones</v>
      </c>
      <c r="E315" t="str">
        <f>VLOOKUP(A315,DataUsuario!B:D,3,FALSE)</f>
        <v>Comercial</v>
      </c>
      <c r="F315" t="s">
        <v>70</v>
      </c>
    </row>
    <row r="316" spans="1:6" x14ac:dyDescent="0.3">
      <c r="A316" s="157" t="s">
        <v>251</v>
      </c>
      <c r="B316" t="s">
        <v>464</v>
      </c>
      <c r="C316" s="160">
        <v>5</v>
      </c>
      <c r="D316" t="str">
        <f>VLOOKUP(A316,DataUsuario!B:D,2,FALSE)</f>
        <v>Industrial y de Mantenimiento</v>
      </c>
      <c r="E316" t="str">
        <f>VLOOKUP(A316,DataUsuario!B:D,3,FALSE)</f>
        <v>Automatización</v>
      </c>
      <c r="F316" t="s">
        <v>74</v>
      </c>
    </row>
    <row r="317" spans="1:6" x14ac:dyDescent="0.3">
      <c r="A317" s="156" t="s">
        <v>287</v>
      </c>
      <c r="B317" t="s">
        <v>464</v>
      </c>
      <c r="C317" s="159">
        <v>5</v>
      </c>
      <c r="D317" t="str">
        <f>VLOOKUP(A317,DataUsuario!B:D,2,FALSE)</f>
        <v>Operaciones</v>
      </c>
      <c r="E317" t="str">
        <f>VLOOKUP(A317,DataUsuario!B:D,3,FALSE)</f>
        <v>Calidad</v>
      </c>
      <c r="F317" t="s">
        <v>70</v>
      </c>
    </row>
    <row r="318" spans="1:6" x14ac:dyDescent="0.3">
      <c r="A318" s="157" t="s">
        <v>85</v>
      </c>
      <c r="B318" t="s">
        <v>464</v>
      </c>
      <c r="C318" s="160" t="s">
        <v>623</v>
      </c>
      <c r="D318" t="str">
        <f>VLOOKUP(A318,DataUsuario!B:D,2,FALSE)</f>
        <v>Operaciones</v>
      </c>
      <c r="E318" t="str">
        <f>VLOOKUP(A318,DataUsuario!B:D,3,FALSE)</f>
        <v>Comercial</v>
      </c>
      <c r="F318" t="s">
        <v>70</v>
      </c>
    </row>
    <row r="319" spans="1:6" x14ac:dyDescent="0.3">
      <c r="A319" s="156" t="s">
        <v>260</v>
      </c>
      <c r="B319" t="s">
        <v>464</v>
      </c>
      <c r="C319" s="159">
        <v>3</v>
      </c>
      <c r="D319" t="str">
        <f>VLOOKUP(A319,DataUsuario!B:D,2,FALSE)</f>
        <v>Industrial y de Mantenimiento</v>
      </c>
      <c r="E319" t="str">
        <f>VLOOKUP(A319,DataUsuario!B:D,3,FALSE)</f>
        <v>Producción</v>
      </c>
      <c r="F319" t="s">
        <v>74</v>
      </c>
    </row>
    <row r="320" spans="1:6" x14ac:dyDescent="0.3">
      <c r="A320" s="157" t="s">
        <v>423</v>
      </c>
      <c r="B320" t="s">
        <v>464</v>
      </c>
      <c r="C320" s="160">
        <v>4</v>
      </c>
      <c r="D320" t="str">
        <f>VLOOKUP(A320,DataUsuario!B:D,2,FALSE)</f>
        <v>Industrial y de Mantenimiento</v>
      </c>
      <c r="E320" t="str">
        <f>VLOOKUP(A320,DataUsuario!B:D,3,FALSE)</f>
        <v>Producción</v>
      </c>
      <c r="F320" t="s">
        <v>74</v>
      </c>
    </row>
    <row r="321" spans="1:6" x14ac:dyDescent="0.3">
      <c r="A321" s="156" t="s">
        <v>154</v>
      </c>
      <c r="B321" t="s">
        <v>464</v>
      </c>
      <c r="C321" s="159">
        <v>4</v>
      </c>
      <c r="D321" t="str">
        <f>VLOOKUP(A321,DataUsuario!B:D,2,FALSE)</f>
        <v>Industrial y de Mantenimiento</v>
      </c>
      <c r="E321" t="str">
        <f>VLOOKUP(A321,DataUsuario!B:D,3,FALSE)</f>
        <v>Mantenimiento Industrial</v>
      </c>
      <c r="F321" t="s">
        <v>74</v>
      </c>
    </row>
    <row r="322" spans="1:6" x14ac:dyDescent="0.3">
      <c r="A322" s="157" t="s">
        <v>305</v>
      </c>
      <c r="B322" t="s">
        <v>464</v>
      </c>
      <c r="C322" s="160">
        <v>3</v>
      </c>
      <c r="D322" t="str">
        <f>VLOOKUP(A322,DataUsuario!B:D,2,FALSE)</f>
        <v>Industrial y de Mantenimiento</v>
      </c>
      <c r="E322" t="str">
        <f>VLOOKUP(A322,DataUsuario!B:D,3,FALSE)</f>
        <v>Producción</v>
      </c>
      <c r="F322" t="s">
        <v>74</v>
      </c>
    </row>
    <row r="323" spans="1:6" x14ac:dyDescent="0.3">
      <c r="A323" s="156" t="s">
        <v>77</v>
      </c>
      <c r="B323" t="s">
        <v>464</v>
      </c>
      <c r="C323" s="159" t="s">
        <v>623</v>
      </c>
      <c r="D323" t="str">
        <f>VLOOKUP(A323,DataUsuario!B:D,2,FALSE)</f>
        <v>Operaciones</v>
      </c>
      <c r="E323" t="str">
        <f>VLOOKUP(A323,DataUsuario!B:D,3,FALSE)</f>
        <v>Comercial No Giro</v>
      </c>
      <c r="F323" t="s">
        <v>70</v>
      </c>
    </row>
    <row r="324" spans="1:6" x14ac:dyDescent="0.3">
      <c r="A324" s="157" t="s">
        <v>606</v>
      </c>
      <c r="B324" t="s">
        <v>464</v>
      </c>
      <c r="C324" s="160">
        <v>5</v>
      </c>
      <c r="D324" t="str">
        <f>VLOOKUP(A324,DataUsuario!B:D,2,FALSE)</f>
        <v>Operaciones</v>
      </c>
      <c r="E324" t="str">
        <f>VLOOKUP(A324,DataUsuario!B:D,3,FALSE)</f>
        <v xml:space="preserve">Almacén </v>
      </c>
      <c r="F324" t="s">
        <v>70</v>
      </c>
    </row>
    <row r="325" spans="1:6" x14ac:dyDescent="0.3">
      <c r="A325" s="156" t="s">
        <v>205</v>
      </c>
      <c r="B325" t="s">
        <v>464</v>
      </c>
      <c r="C325" s="159">
        <v>5</v>
      </c>
      <c r="D325" t="str">
        <f>VLOOKUP(A325,DataUsuario!B:D,2,FALSE)</f>
        <v>Operaciones</v>
      </c>
      <c r="E325" t="str">
        <f>VLOOKUP(A325,DataUsuario!B:D,3,FALSE)</f>
        <v>Almacenes y Distribución PT</v>
      </c>
      <c r="F325" t="s">
        <v>70</v>
      </c>
    </row>
    <row r="326" spans="1:6" x14ac:dyDescent="0.3">
      <c r="A326" s="157" t="s">
        <v>393</v>
      </c>
      <c r="B326" t="s">
        <v>464</v>
      </c>
      <c r="C326" s="160">
        <v>4</v>
      </c>
      <c r="D326" t="str">
        <f>VLOOKUP(A326,DataUsuario!B:D,2,FALSE)</f>
        <v>Agrícola</v>
      </c>
      <c r="E326" t="str">
        <f>VLOOKUP(A326,DataUsuario!B:D,3,FALSE)</f>
        <v>Sistema Integral de Gestión</v>
      </c>
      <c r="F326" t="s">
        <v>89</v>
      </c>
    </row>
    <row r="327" spans="1:6" x14ac:dyDescent="0.3">
      <c r="A327" s="156" t="s">
        <v>609</v>
      </c>
      <c r="B327" t="s">
        <v>464</v>
      </c>
      <c r="C327" s="159">
        <v>5</v>
      </c>
      <c r="D327" t="str">
        <f>VLOOKUP(A327,DataUsuario!B:D,2,FALSE)</f>
        <v>Operaciones</v>
      </c>
      <c r="E327" t="str">
        <f>VLOOKUP(A327,DataUsuario!B:D,3,FALSE)</f>
        <v>Almacenes y Distribución PT</v>
      </c>
      <c r="F327" t="s">
        <v>70</v>
      </c>
    </row>
    <row r="328" spans="1:6" x14ac:dyDescent="0.3">
      <c r="A328" s="157" t="s">
        <v>152</v>
      </c>
      <c r="B328" t="s">
        <v>464</v>
      </c>
      <c r="C328" s="160">
        <v>5</v>
      </c>
      <c r="D328" t="str">
        <f>VLOOKUP(A328,DataUsuario!B:D,2,FALSE)</f>
        <v>Operaciones</v>
      </c>
      <c r="E328" t="str">
        <f>VLOOKUP(A328,DataUsuario!B:D,3,FALSE)</f>
        <v>Almacenes y Distribución PT</v>
      </c>
      <c r="F328" t="s">
        <v>70</v>
      </c>
    </row>
    <row r="329" spans="1:6" x14ac:dyDescent="0.3">
      <c r="A329" s="156" t="s">
        <v>61</v>
      </c>
      <c r="B329" t="s">
        <v>464</v>
      </c>
      <c r="C329" s="159">
        <v>4</v>
      </c>
      <c r="D329" t="str">
        <f>VLOOKUP(A329,DataUsuario!B:D,2,FALSE)</f>
        <v>Gestión Humana y Sostenibilidad</v>
      </c>
      <c r="E329" t="str">
        <f>VLOOKUP(A329,DataUsuario!B:D,3,FALSE)</f>
        <v>Compensación y Nóminas</v>
      </c>
      <c r="F329" t="s">
        <v>62</v>
      </c>
    </row>
    <row r="330" spans="1:6" x14ac:dyDescent="0.3">
      <c r="A330" s="157" t="s">
        <v>238</v>
      </c>
      <c r="B330" t="s">
        <v>464</v>
      </c>
      <c r="C330" s="160">
        <v>5</v>
      </c>
      <c r="D330" t="str">
        <f>VLOOKUP(A330,DataUsuario!B:D,2,FALSE)</f>
        <v>Industrial y de Mantenimiento</v>
      </c>
      <c r="E330" t="str">
        <f>VLOOKUP(A330,DataUsuario!B:D,3,FALSE)</f>
        <v>Producción</v>
      </c>
      <c r="F330" t="s">
        <v>74</v>
      </c>
    </row>
    <row r="331" spans="1:6" x14ac:dyDescent="0.3">
      <c r="A331" s="156" t="s">
        <v>303</v>
      </c>
      <c r="B331" t="s">
        <v>464</v>
      </c>
      <c r="C331" s="159">
        <v>5</v>
      </c>
      <c r="D331" t="str">
        <f>VLOOKUP(A331,DataUsuario!B:D,2,FALSE)</f>
        <v>Administración y Finanzas</v>
      </c>
      <c r="E331" t="str">
        <f>VLOOKUP(A331,DataUsuario!B:D,3,FALSE)</f>
        <v>Control de Gestión</v>
      </c>
      <c r="F331" t="s">
        <v>66</v>
      </c>
    </row>
    <row r="332" spans="1:6" x14ac:dyDescent="0.3">
      <c r="A332" s="157" t="s">
        <v>123</v>
      </c>
      <c r="B332" t="s">
        <v>464</v>
      </c>
      <c r="C332" s="160">
        <v>4</v>
      </c>
      <c r="D332" t="str">
        <f>VLOOKUP(A332,DataUsuario!B:D,2,FALSE)</f>
        <v>Administración y Finanzas</v>
      </c>
      <c r="E332" t="str">
        <f>VLOOKUP(A332,DataUsuario!B:D,3,FALSE)</f>
        <v>Gerencia Administración y Finanzas</v>
      </c>
      <c r="F332" t="s">
        <v>66</v>
      </c>
    </row>
    <row r="333" spans="1:6" x14ac:dyDescent="0.3">
      <c r="A333" s="156" t="s">
        <v>128</v>
      </c>
      <c r="B333" t="s">
        <v>464</v>
      </c>
      <c r="C333" s="159">
        <v>4</v>
      </c>
      <c r="D333" t="str">
        <f>VLOOKUP(A333,DataUsuario!B:D,2,FALSE)</f>
        <v>Agrícola</v>
      </c>
      <c r="E333" t="str">
        <f>VLOOKUP(A333,DataUsuario!B:D,3,FALSE)</f>
        <v>Fundo Lobo</v>
      </c>
      <c r="F333" t="s">
        <v>89</v>
      </c>
    </row>
    <row r="334" spans="1:6" x14ac:dyDescent="0.3">
      <c r="A334" s="157" t="s">
        <v>242</v>
      </c>
      <c r="B334" t="s">
        <v>464</v>
      </c>
      <c r="C334" s="160" t="s">
        <v>623</v>
      </c>
      <c r="D334" t="str">
        <f>VLOOKUP(A334,DataUsuario!B:D,2,FALSE)</f>
        <v>Agrícola</v>
      </c>
      <c r="E334" t="str">
        <f>VLOOKUP(A334,DataUsuario!B:D,3,FALSE)</f>
        <v>Fundo Montelima</v>
      </c>
      <c r="F334" t="s">
        <v>89</v>
      </c>
    </row>
    <row r="335" spans="1:6" x14ac:dyDescent="0.3">
      <c r="A335" s="156" t="s">
        <v>369</v>
      </c>
      <c r="B335" t="s">
        <v>464</v>
      </c>
      <c r="C335" s="159">
        <v>5</v>
      </c>
      <c r="D335" t="str">
        <f>VLOOKUP(A335,DataUsuario!B:D,2,FALSE)</f>
        <v>Agrícola</v>
      </c>
      <c r="E335" t="str">
        <f>VLOOKUP(A335,DataUsuario!B:D,3,FALSE)</f>
        <v>Sistema Integral de Gestión</v>
      </c>
      <c r="F335" t="s">
        <v>89</v>
      </c>
    </row>
    <row r="336" spans="1:6" x14ac:dyDescent="0.3">
      <c r="A336" s="157" t="s">
        <v>613</v>
      </c>
      <c r="B336" t="s">
        <v>464</v>
      </c>
      <c r="C336" s="160">
        <v>4</v>
      </c>
      <c r="D336" t="str">
        <f>VLOOKUP(A336,DataUsuario!B:D,2,FALSE)</f>
        <v>Operaciones</v>
      </c>
      <c r="E336" t="str">
        <f>VLOOKUP(A336,DataUsuario!B:D,3,FALSE)</f>
        <v>Transporte</v>
      </c>
      <c r="F336" t="s">
        <v>70</v>
      </c>
    </row>
    <row r="337" spans="1:6" x14ac:dyDescent="0.3">
      <c r="A337" s="156" t="s">
        <v>224</v>
      </c>
      <c r="B337" t="s">
        <v>464</v>
      </c>
      <c r="C337" s="159" t="s">
        <v>623</v>
      </c>
      <c r="D337" t="str">
        <f>VLOOKUP(A337,DataUsuario!B:D,2,FALSE)</f>
        <v>Agrícola</v>
      </c>
      <c r="E337" t="str">
        <f>VLOOKUP(A337,DataUsuario!B:D,3,FALSE)</f>
        <v>Laboratorio e Investigación Agricola</v>
      </c>
      <c r="F337" t="s">
        <v>89</v>
      </c>
    </row>
    <row r="338" spans="1:6" x14ac:dyDescent="0.3">
      <c r="A338" s="157" t="s">
        <v>359</v>
      </c>
      <c r="B338" t="s">
        <v>464</v>
      </c>
      <c r="C338" s="160">
        <v>5</v>
      </c>
      <c r="D338" t="str">
        <f>VLOOKUP(A338,DataUsuario!B:D,2,FALSE)</f>
        <v>Operaciones</v>
      </c>
      <c r="E338" t="str">
        <f>VLOOKUP(A338,DataUsuario!B:D,3,FALSE)</f>
        <v>Gerencia de Operaciones</v>
      </c>
      <c r="F338" t="s">
        <v>70</v>
      </c>
    </row>
    <row r="339" spans="1:6" x14ac:dyDescent="0.3">
      <c r="A339" s="156" t="s">
        <v>350</v>
      </c>
      <c r="B339" t="s">
        <v>464</v>
      </c>
      <c r="C339" s="159" t="s">
        <v>623</v>
      </c>
      <c r="D339" t="str">
        <f>VLOOKUP(A339,DataUsuario!B:D,2,FALSE)</f>
        <v>Agrícola</v>
      </c>
      <c r="E339" t="str">
        <f>VLOOKUP(A339,DataUsuario!B:D,3,FALSE)</f>
        <v>Planificador Agrícola</v>
      </c>
      <c r="F339" t="s">
        <v>89</v>
      </c>
    </row>
    <row r="340" spans="1:6" x14ac:dyDescent="0.3">
      <c r="A340" s="157" t="s">
        <v>256</v>
      </c>
      <c r="B340" t="s">
        <v>464</v>
      </c>
      <c r="C340" s="160">
        <v>4</v>
      </c>
      <c r="D340" t="str">
        <f>VLOOKUP(A340,DataUsuario!B:D,2,FALSE)</f>
        <v>Agrícola</v>
      </c>
      <c r="E340" t="str">
        <f>VLOOKUP(A340,DataUsuario!B:D,3,FALSE)</f>
        <v>Fundo Montelima</v>
      </c>
      <c r="F340" t="s">
        <v>89</v>
      </c>
    </row>
    <row r="341" spans="1:6" x14ac:dyDescent="0.3">
      <c r="A341" s="156" t="s">
        <v>435</v>
      </c>
      <c r="B341" t="s">
        <v>464</v>
      </c>
      <c r="C341" s="159">
        <v>5</v>
      </c>
      <c r="D341" t="str">
        <f>VLOOKUP(A341,DataUsuario!B:D,2,FALSE)</f>
        <v>Operaciones</v>
      </c>
      <c r="E341" t="str">
        <f>VLOOKUP(A341,DataUsuario!B:D,3,FALSE)</f>
        <v>Almacenes y Distribución PT</v>
      </c>
      <c r="F341" t="s">
        <v>70</v>
      </c>
    </row>
    <row r="342" spans="1:6" x14ac:dyDescent="0.3">
      <c r="A342" s="157" t="s">
        <v>202</v>
      </c>
      <c r="B342" t="s">
        <v>464</v>
      </c>
      <c r="C342" s="160">
        <v>5</v>
      </c>
      <c r="D342" t="str">
        <f>VLOOKUP(A342,DataUsuario!B:D,2,FALSE)</f>
        <v>Agrícola</v>
      </c>
      <c r="E342" t="str">
        <f>VLOOKUP(A342,DataUsuario!B:D,3,FALSE)</f>
        <v>Fundo La Huaca</v>
      </c>
      <c r="F342" t="s">
        <v>89</v>
      </c>
    </row>
    <row r="343" spans="1:6" x14ac:dyDescent="0.3">
      <c r="A343" s="156" t="s">
        <v>337</v>
      </c>
      <c r="B343" t="s">
        <v>464</v>
      </c>
      <c r="C343" s="159" t="s">
        <v>623</v>
      </c>
      <c r="D343" t="str">
        <f>VLOOKUP(A343,DataUsuario!B:D,2,FALSE)</f>
        <v>Agrícola</v>
      </c>
      <c r="E343" t="str">
        <f>VLOOKUP(A343,DataUsuario!B:D,3,FALSE)</f>
        <v>Fundo San Vicente</v>
      </c>
      <c r="F343" t="s">
        <v>89</v>
      </c>
    </row>
    <row r="344" spans="1:6" x14ac:dyDescent="0.3">
      <c r="A344" s="157" t="s">
        <v>179</v>
      </c>
      <c r="B344" t="s">
        <v>464</v>
      </c>
      <c r="C344" s="160">
        <v>4</v>
      </c>
      <c r="D344" t="str">
        <f>VLOOKUP(A344,DataUsuario!B:D,2,FALSE)</f>
        <v>Agrícola</v>
      </c>
      <c r="E344" t="str">
        <f>VLOOKUP(A344,DataUsuario!B:D,3,FALSE)</f>
        <v>Fundo Montelima</v>
      </c>
      <c r="F344" t="s">
        <v>89</v>
      </c>
    </row>
    <row r="345" spans="1:6" x14ac:dyDescent="0.3">
      <c r="A345" s="156" t="s">
        <v>619</v>
      </c>
      <c r="B345" t="s">
        <v>464</v>
      </c>
      <c r="C345" s="159">
        <v>5</v>
      </c>
      <c r="D345" t="str">
        <f>VLOOKUP(A345,DataUsuario!B:D,2,FALSE)</f>
        <v>Operaciones</v>
      </c>
      <c r="E345" t="str">
        <f>VLOOKUP(A345,DataUsuario!B:D,3,FALSE)</f>
        <v xml:space="preserve">Almacén </v>
      </c>
      <c r="F345" t="s">
        <v>70</v>
      </c>
    </row>
    <row r="346" spans="1:6" x14ac:dyDescent="0.3">
      <c r="A346" s="158" t="s">
        <v>378</v>
      </c>
      <c r="B346" t="s">
        <v>464</v>
      </c>
      <c r="C346" s="161">
        <v>4</v>
      </c>
      <c r="D346" t="str">
        <f>VLOOKUP(A346,DataUsuario!B:D,2,FALSE)</f>
        <v>Industrial y de Mantenimiento</v>
      </c>
      <c r="E346" t="str">
        <f>VLOOKUP(A346,DataUsuario!B:D,3,FALSE)</f>
        <v>Gerencia industrial y de Mantenimiento</v>
      </c>
      <c r="F346" t="s">
        <v>74</v>
      </c>
    </row>
    <row r="347" spans="1:6" x14ac:dyDescent="0.3">
      <c r="A347" s="156" t="s">
        <v>138</v>
      </c>
      <c r="B347" t="s">
        <v>465</v>
      </c>
      <c r="C347" s="159">
        <v>4</v>
      </c>
      <c r="D347" t="str">
        <f>VLOOKUP(A347,DataUsuario!B:D,2,FALSE)</f>
        <v>Gestión Humana y Sostenibilidad</v>
      </c>
      <c r="E347" t="str">
        <f>VLOOKUP(A347,DataUsuario!B:D,3,FALSE)</f>
        <v>Gestion del Talento</v>
      </c>
      <c r="F347" t="s">
        <v>62</v>
      </c>
    </row>
    <row r="348" spans="1:6" x14ac:dyDescent="0.3">
      <c r="A348" s="157" t="s">
        <v>145</v>
      </c>
      <c r="B348" t="s">
        <v>465</v>
      </c>
      <c r="C348" s="160">
        <v>5</v>
      </c>
      <c r="D348" t="str">
        <f>VLOOKUP(A348,DataUsuario!B:D,2,FALSE)</f>
        <v>Administración y Finanzas</v>
      </c>
      <c r="E348" t="str">
        <f>VLOOKUP(A348,DataUsuario!B:D,3,FALSE)</f>
        <v>Legal</v>
      </c>
      <c r="F348" t="s">
        <v>66</v>
      </c>
    </row>
    <row r="349" spans="1:6" x14ac:dyDescent="0.3">
      <c r="A349" s="156" t="s">
        <v>322</v>
      </c>
      <c r="B349" t="s">
        <v>465</v>
      </c>
      <c r="C349" s="159">
        <v>4</v>
      </c>
      <c r="D349" t="str">
        <f>VLOOKUP(A349,DataUsuario!B:D,2,FALSE)</f>
        <v>Administración y Finanzas</v>
      </c>
      <c r="E349" t="str">
        <f>VLOOKUP(A349,DataUsuario!B:D,3,FALSE)</f>
        <v>Finanzas y Tesorería</v>
      </c>
      <c r="F349" t="s">
        <v>66</v>
      </c>
    </row>
    <row r="350" spans="1:6" x14ac:dyDescent="0.3">
      <c r="A350" s="157" t="s">
        <v>133</v>
      </c>
      <c r="B350" t="s">
        <v>465</v>
      </c>
      <c r="C350" s="160">
        <v>5</v>
      </c>
      <c r="D350" t="str">
        <f>VLOOKUP(A350,DataUsuario!B:D,2,FALSE)</f>
        <v>Industrial y de Mantenimiento</v>
      </c>
      <c r="E350" t="str">
        <f>VLOOKUP(A350,DataUsuario!B:D,3,FALSE)</f>
        <v>Electricidad</v>
      </c>
      <c r="F350" t="s">
        <v>74</v>
      </c>
    </row>
    <row r="351" spans="1:6" x14ac:dyDescent="0.3">
      <c r="A351" s="156" t="s">
        <v>421</v>
      </c>
      <c r="B351" t="s">
        <v>465</v>
      </c>
      <c r="C351" s="159">
        <v>4</v>
      </c>
      <c r="D351" t="str">
        <f>VLOOKUP(A351,DataUsuario!B:D,2,FALSE)</f>
        <v>Operaciones</v>
      </c>
      <c r="E351" t="str">
        <f>VLOOKUP(A351,DataUsuario!B:D,3,FALSE)</f>
        <v>Cosecha</v>
      </c>
      <c r="F351" t="s">
        <v>70</v>
      </c>
    </row>
    <row r="352" spans="1:6" x14ac:dyDescent="0.3">
      <c r="A352" s="157" t="s">
        <v>221</v>
      </c>
      <c r="B352" t="s">
        <v>465</v>
      </c>
      <c r="C352" s="160" t="s">
        <v>623</v>
      </c>
      <c r="D352" t="str">
        <f>VLOOKUP(A352,DataUsuario!B:D,2,FALSE)</f>
        <v>Administración y Finanzas</v>
      </c>
      <c r="E352" t="str">
        <f>VLOOKUP(A352,DataUsuario!B:D,3,FALSE)</f>
        <v>Sistemas y TI</v>
      </c>
      <c r="F352" t="s">
        <v>66</v>
      </c>
    </row>
    <row r="353" spans="1:6" x14ac:dyDescent="0.3">
      <c r="A353" s="156" t="s">
        <v>318</v>
      </c>
      <c r="B353" t="s">
        <v>465</v>
      </c>
      <c r="C353" s="159" t="s">
        <v>623</v>
      </c>
      <c r="D353" t="str">
        <f>VLOOKUP(A353,DataUsuario!B:D,2,FALSE)</f>
        <v>Operaciones</v>
      </c>
      <c r="E353" t="str">
        <f>VLOOKUP(A353,DataUsuario!B:D,3,FALSE)</f>
        <v>Cosecha</v>
      </c>
      <c r="F353" t="s">
        <v>70</v>
      </c>
    </row>
    <row r="354" spans="1:6" x14ac:dyDescent="0.3">
      <c r="A354" s="157" t="s">
        <v>372</v>
      </c>
      <c r="B354" t="s">
        <v>465</v>
      </c>
      <c r="C354" s="160" t="s">
        <v>623</v>
      </c>
      <c r="D354" t="str">
        <f>VLOOKUP(A354,DataUsuario!B:D,2,FALSE)</f>
        <v>Agrícola</v>
      </c>
      <c r="E354" t="str">
        <f>VLOOKUP(A354,DataUsuario!B:D,3,FALSE)</f>
        <v>Laboratorio e Investigación Agricola</v>
      </c>
      <c r="F354" t="s">
        <v>89</v>
      </c>
    </row>
    <row r="355" spans="1:6" x14ac:dyDescent="0.3">
      <c r="A355" s="156" t="s">
        <v>599</v>
      </c>
      <c r="B355" t="s">
        <v>465</v>
      </c>
      <c r="C355" s="159">
        <v>4</v>
      </c>
      <c r="D355" t="str">
        <f>VLOOKUP(A355,DataUsuario!B:D,2,FALSE)</f>
        <v>Administración y Finanzas</v>
      </c>
      <c r="E355" t="str">
        <f>VLOOKUP(A355,DataUsuario!B:D,3,FALSE)</f>
        <v>Compras</v>
      </c>
      <c r="F355" t="s">
        <v>66</v>
      </c>
    </row>
    <row r="356" spans="1:6" x14ac:dyDescent="0.3">
      <c r="A356" s="157" t="s">
        <v>198</v>
      </c>
      <c r="B356" t="s">
        <v>465</v>
      </c>
      <c r="C356" s="160" t="s">
        <v>623</v>
      </c>
      <c r="D356" t="str">
        <f>VLOOKUP(A356,DataUsuario!B:D,2,FALSE)</f>
        <v>Agrícola</v>
      </c>
      <c r="E356" t="str">
        <f>VLOOKUP(A356,DataUsuario!B:D,3,FALSE)</f>
        <v>Fundo Lobo</v>
      </c>
      <c r="F356" t="s">
        <v>89</v>
      </c>
    </row>
    <row r="357" spans="1:6" x14ac:dyDescent="0.3">
      <c r="A357" s="156" t="s">
        <v>431</v>
      </c>
      <c r="B357" t="s">
        <v>465</v>
      </c>
      <c r="C357" s="159" t="s">
        <v>623</v>
      </c>
      <c r="D357" t="str">
        <f>VLOOKUP(A357,DataUsuario!B:D,2,FALSE)</f>
        <v>Agrícola</v>
      </c>
      <c r="E357" t="str">
        <f>VLOOKUP(A357,DataUsuario!B:D,3,FALSE)</f>
        <v>Fundo San Vicente</v>
      </c>
      <c r="F357" t="s">
        <v>89</v>
      </c>
    </row>
    <row r="358" spans="1:6" x14ac:dyDescent="0.3">
      <c r="A358" s="157" t="s">
        <v>176</v>
      </c>
      <c r="B358" t="s">
        <v>465</v>
      </c>
      <c r="C358" s="160" t="s">
        <v>623</v>
      </c>
      <c r="D358" t="str">
        <f>VLOOKUP(A358,DataUsuario!B:D,2,FALSE)</f>
        <v>Administración y Finanzas</v>
      </c>
      <c r="E358" t="str">
        <f>VLOOKUP(A358,DataUsuario!B:D,3,FALSE)</f>
        <v>Cadenas Productivas</v>
      </c>
      <c r="F358" t="s">
        <v>66</v>
      </c>
    </row>
    <row r="359" spans="1:6" x14ac:dyDescent="0.3">
      <c r="A359" s="156" t="s">
        <v>236</v>
      </c>
      <c r="B359" t="s">
        <v>465</v>
      </c>
      <c r="C359" s="159">
        <v>5</v>
      </c>
      <c r="D359" t="str">
        <f>VLOOKUP(A359,DataUsuario!B:D,2,FALSE)</f>
        <v>Administración y Finanzas</v>
      </c>
      <c r="E359" t="str">
        <f>VLOOKUP(A359,DataUsuario!B:D,3,FALSE)</f>
        <v>Sistemas y TI</v>
      </c>
      <c r="F359" t="s">
        <v>66</v>
      </c>
    </row>
    <row r="360" spans="1:6" x14ac:dyDescent="0.3">
      <c r="A360" s="157" t="s">
        <v>136</v>
      </c>
      <c r="B360" t="s">
        <v>465</v>
      </c>
      <c r="C360" s="160">
        <v>5</v>
      </c>
      <c r="D360" t="str">
        <f>VLOOKUP(A360,DataUsuario!B:D,2,FALSE)</f>
        <v>Operaciones</v>
      </c>
      <c r="E360" t="str">
        <f>VLOOKUP(A360,DataUsuario!B:D,3,FALSE)</f>
        <v>Comercial</v>
      </c>
      <c r="F360" t="s">
        <v>70</v>
      </c>
    </row>
    <row r="361" spans="1:6" x14ac:dyDescent="0.3">
      <c r="A361" s="156" t="s">
        <v>343</v>
      </c>
      <c r="B361" t="s">
        <v>465</v>
      </c>
      <c r="C361" s="159" t="s">
        <v>623</v>
      </c>
      <c r="D361" t="str">
        <f>VLOOKUP(A361,DataUsuario!B:D,2,FALSE)</f>
        <v>Operaciones</v>
      </c>
      <c r="E361" t="str">
        <f>VLOOKUP(A361,DataUsuario!B:D,3,FALSE)</f>
        <v>Comercial No Giro</v>
      </c>
      <c r="F361" t="s">
        <v>70</v>
      </c>
    </row>
    <row r="362" spans="1:6" x14ac:dyDescent="0.3">
      <c r="A362" s="157" t="s">
        <v>376</v>
      </c>
      <c r="B362" t="s">
        <v>465</v>
      </c>
      <c r="C362" s="160">
        <v>5</v>
      </c>
      <c r="D362" t="str">
        <f>VLOOKUP(A362,DataUsuario!B:D,2,FALSE)</f>
        <v>Administración y Finanzas</v>
      </c>
      <c r="E362" t="str">
        <f>VLOOKUP(A362,DataUsuario!B:D,3,FALSE)</f>
        <v>Control de Gestión</v>
      </c>
      <c r="F362" t="s">
        <v>66</v>
      </c>
    </row>
    <row r="363" spans="1:6" x14ac:dyDescent="0.3">
      <c r="A363" s="156" t="s">
        <v>285</v>
      </c>
      <c r="B363" t="s">
        <v>465</v>
      </c>
      <c r="C363" s="159">
        <v>4</v>
      </c>
      <c r="D363" t="str">
        <f>VLOOKUP(A363,DataUsuario!B:D,2,FALSE)</f>
        <v>Operaciones</v>
      </c>
      <c r="E363" t="str">
        <f>VLOOKUP(A363,DataUsuario!B:D,3,FALSE)</f>
        <v>Comercial</v>
      </c>
      <c r="F363" t="s">
        <v>70</v>
      </c>
    </row>
    <row r="364" spans="1:6" x14ac:dyDescent="0.3">
      <c r="A364" s="157" t="s">
        <v>251</v>
      </c>
      <c r="B364" t="s">
        <v>465</v>
      </c>
      <c r="C364" s="160">
        <v>5</v>
      </c>
      <c r="D364" t="str">
        <f>VLOOKUP(A364,DataUsuario!B:D,2,FALSE)</f>
        <v>Industrial y de Mantenimiento</v>
      </c>
      <c r="E364" t="str">
        <f>VLOOKUP(A364,DataUsuario!B:D,3,FALSE)</f>
        <v>Automatización</v>
      </c>
      <c r="F364" t="s">
        <v>74</v>
      </c>
    </row>
    <row r="365" spans="1:6" x14ac:dyDescent="0.3">
      <c r="A365" s="156" t="s">
        <v>287</v>
      </c>
      <c r="B365" t="s">
        <v>465</v>
      </c>
      <c r="C365" s="159">
        <v>5</v>
      </c>
      <c r="D365" t="str">
        <f>VLOOKUP(A365,DataUsuario!B:D,2,FALSE)</f>
        <v>Operaciones</v>
      </c>
      <c r="E365" t="str">
        <f>VLOOKUP(A365,DataUsuario!B:D,3,FALSE)</f>
        <v>Calidad</v>
      </c>
      <c r="F365" t="s">
        <v>70</v>
      </c>
    </row>
    <row r="366" spans="1:6" x14ac:dyDescent="0.3">
      <c r="A366" s="157" t="s">
        <v>85</v>
      </c>
      <c r="B366" t="s">
        <v>465</v>
      </c>
      <c r="C366" s="160" t="s">
        <v>623</v>
      </c>
      <c r="D366" t="str">
        <f>VLOOKUP(A366,DataUsuario!B:D,2,FALSE)</f>
        <v>Operaciones</v>
      </c>
      <c r="E366" t="str">
        <f>VLOOKUP(A366,DataUsuario!B:D,3,FALSE)</f>
        <v>Comercial</v>
      </c>
      <c r="F366" t="s">
        <v>70</v>
      </c>
    </row>
    <row r="367" spans="1:6" x14ac:dyDescent="0.3">
      <c r="A367" s="156" t="s">
        <v>260</v>
      </c>
      <c r="B367" t="s">
        <v>465</v>
      </c>
      <c r="C367" s="159">
        <v>3</v>
      </c>
      <c r="D367" t="str">
        <f>VLOOKUP(A367,DataUsuario!B:D,2,FALSE)</f>
        <v>Industrial y de Mantenimiento</v>
      </c>
      <c r="E367" t="str">
        <f>VLOOKUP(A367,DataUsuario!B:D,3,FALSE)</f>
        <v>Producción</v>
      </c>
      <c r="F367" t="s">
        <v>74</v>
      </c>
    </row>
    <row r="368" spans="1:6" x14ac:dyDescent="0.3">
      <c r="A368" s="157" t="s">
        <v>423</v>
      </c>
      <c r="B368" t="s">
        <v>465</v>
      </c>
      <c r="C368" s="160">
        <v>5</v>
      </c>
      <c r="D368" t="str">
        <f>VLOOKUP(A368,DataUsuario!B:D,2,FALSE)</f>
        <v>Industrial y de Mantenimiento</v>
      </c>
      <c r="E368" t="str">
        <f>VLOOKUP(A368,DataUsuario!B:D,3,FALSE)</f>
        <v>Producción</v>
      </c>
      <c r="F368" t="s">
        <v>74</v>
      </c>
    </row>
    <row r="369" spans="1:6" x14ac:dyDescent="0.3">
      <c r="A369" s="156" t="s">
        <v>154</v>
      </c>
      <c r="B369" t="s">
        <v>465</v>
      </c>
      <c r="C369" s="159">
        <v>4</v>
      </c>
      <c r="D369" t="str">
        <f>VLOOKUP(A369,DataUsuario!B:D,2,FALSE)</f>
        <v>Industrial y de Mantenimiento</v>
      </c>
      <c r="E369" t="str">
        <f>VLOOKUP(A369,DataUsuario!B:D,3,FALSE)</f>
        <v>Mantenimiento Industrial</v>
      </c>
      <c r="F369" t="s">
        <v>74</v>
      </c>
    </row>
    <row r="370" spans="1:6" x14ac:dyDescent="0.3">
      <c r="A370" s="157" t="s">
        <v>305</v>
      </c>
      <c r="B370" t="s">
        <v>465</v>
      </c>
      <c r="C370" s="160">
        <v>3</v>
      </c>
      <c r="D370" t="str">
        <f>VLOOKUP(A370,DataUsuario!B:D,2,FALSE)</f>
        <v>Industrial y de Mantenimiento</v>
      </c>
      <c r="E370" t="str">
        <f>VLOOKUP(A370,DataUsuario!B:D,3,FALSE)</f>
        <v>Producción</v>
      </c>
      <c r="F370" t="s">
        <v>74</v>
      </c>
    </row>
    <row r="371" spans="1:6" x14ac:dyDescent="0.3">
      <c r="A371" s="156" t="s">
        <v>77</v>
      </c>
      <c r="B371" t="s">
        <v>465</v>
      </c>
      <c r="C371" s="159">
        <v>4</v>
      </c>
      <c r="D371" t="str">
        <f>VLOOKUP(A371,DataUsuario!B:D,2,FALSE)</f>
        <v>Operaciones</v>
      </c>
      <c r="E371" t="str">
        <f>VLOOKUP(A371,DataUsuario!B:D,3,FALSE)</f>
        <v>Comercial No Giro</v>
      </c>
      <c r="F371" t="s">
        <v>70</v>
      </c>
    </row>
    <row r="372" spans="1:6" x14ac:dyDescent="0.3">
      <c r="A372" s="157" t="s">
        <v>606</v>
      </c>
      <c r="B372" t="s">
        <v>465</v>
      </c>
      <c r="C372" s="160">
        <v>5</v>
      </c>
      <c r="D372" t="str">
        <f>VLOOKUP(A372,DataUsuario!B:D,2,FALSE)</f>
        <v>Operaciones</v>
      </c>
      <c r="E372" t="str">
        <f>VLOOKUP(A372,DataUsuario!B:D,3,FALSE)</f>
        <v xml:space="preserve">Almacén </v>
      </c>
      <c r="F372" t="s">
        <v>70</v>
      </c>
    </row>
    <row r="373" spans="1:6" x14ac:dyDescent="0.3">
      <c r="A373" s="156" t="s">
        <v>205</v>
      </c>
      <c r="B373" t="s">
        <v>465</v>
      </c>
      <c r="C373" s="159">
        <v>5</v>
      </c>
      <c r="D373" t="str">
        <f>VLOOKUP(A373,DataUsuario!B:D,2,FALSE)</f>
        <v>Operaciones</v>
      </c>
      <c r="E373" t="str">
        <f>VLOOKUP(A373,DataUsuario!B:D,3,FALSE)</f>
        <v>Almacenes y Distribución PT</v>
      </c>
      <c r="F373" t="s">
        <v>70</v>
      </c>
    </row>
    <row r="374" spans="1:6" x14ac:dyDescent="0.3">
      <c r="A374" s="157" t="s">
        <v>393</v>
      </c>
      <c r="B374" t="s">
        <v>465</v>
      </c>
      <c r="C374" s="160">
        <v>4</v>
      </c>
      <c r="D374" t="str">
        <f>VLOOKUP(A374,DataUsuario!B:D,2,FALSE)</f>
        <v>Agrícola</v>
      </c>
      <c r="E374" t="str">
        <f>VLOOKUP(A374,DataUsuario!B:D,3,FALSE)</f>
        <v>Sistema Integral de Gestión</v>
      </c>
      <c r="F374" t="s">
        <v>89</v>
      </c>
    </row>
    <row r="375" spans="1:6" x14ac:dyDescent="0.3">
      <c r="A375" s="156" t="s">
        <v>609</v>
      </c>
      <c r="B375" t="s">
        <v>465</v>
      </c>
      <c r="C375" s="159">
        <v>5</v>
      </c>
      <c r="D375" t="str">
        <f>VLOOKUP(A375,DataUsuario!B:D,2,FALSE)</f>
        <v>Operaciones</v>
      </c>
      <c r="E375" t="str">
        <f>VLOOKUP(A375,DataUsuario!B:D,3,FALSE)</f>
        <v>Almacenes y Distribución PT</v>
      </c>
      <c r="F375" t="s">
        <v>70</v>
      </c>
    </row>
    <row r="376" spans="1:6" x14ac:dyDescent="0.3">
      <c r="A376" s="157" t="s">
        <v>152</v>
      </c>
      <c r="B376" t="s">
        <v>465</v>
      </c>
      <c r="C376" s="160">
        <v>5</v>
      </c>
      <c r="D376" t="str">
        <f>VLOOKUP(A376,DataUsuario!B:D,2,FALSE)</f>
        <v>Operaciones</v>
      </c>
      <c r="E376" t="str">
        <f>VLOOKUP(A376,DataUsuario!B:D,3,FALSE)</f>
        <v>Almacenes y Distribución PT</v>
      </c>
      <c r="F376" t="s">
        <v>70</v>
      </c>
    </row>
    <row r="377" spans="1:6" x14ac:dyDescent="0.3">
      <c r="A377" s="156" t="s">
        <v>61</v>
      </c>
      <c r="B377" t="s">
        <v>465</v>
      </c>
      <c r="C377" s="159">
        <v>4</v>
      </c>
      <c r="D377" t="str">
        <f>VLOOKUP(A377,DataUsuario!B:D,2,FALSE)</f>
        <v>Gestión Humana y Sostenibilidad</v>
      </c>
      <c r="E377" t="str">
        <f>VLOOKUP(A377,DataUsuario!B:D,3,FALSE)</f>
        <v>Compensación y Nóminas</v>
      </c>
      <c r="F377" t="s">
        <v>62</v>
      </c>
    </row>
    <row r="378" spans="1:6" x14ac:dyDescent="0.3">
      <c r="A378" s="157" t="s">
        <v>238</v>
      </c>
      <c r="B378" t="s">
        <v>465</v>
      </c>
      <c r="C378" s="160">
        <v>5</v>
      </c>
      <c r="D378" t="str">
        <f>VLOOKUP(A378,DataUsuario!B:D,2,FALSE)</f>
        <v>Industrial y de Mantenimiento</v>
      </c>
      <c r="E378" t="str">
        <f>VLOOKUP(A378,DataUsuario!B:D,3,FALSE)</f>
        <v>Producción</v>
      </c>
      <c r="F378" t="s">
        <v>74</v>
      </c>
    </row>
    <row r="379" spans="1:6" x14ac:dyDescent="0.3">
      <c r="A379" s="156" t="s">
        <v>303</v>
      </c>
      <c r="B379" t="s">
        <v>465</v>
      </c>
      <c r="C379" s="159" t="s">
        <v>623</v>
      </c>
      <c r="D379" t="str">
        <f>VLOOKUP(A379,DataUsuario!B:D,2,FALSE)</f>
        <v>Administración y Finanzas</v>
      </c>
      <c r="E379" t="str">
        <f>VLOOKUP(A379,DataUsuario!B:D,3,FALSE)</f>
        <v>Control de Gestión</v>
      </c>
      <c r="F379" t="s">
        <v>66</v>
      </c>
    </row>
    <row r="380" spans="1:6" x14ac:dyDescent="0.3">
      <c r="A380" s="157" t="s">
        <v>123</v>
      </c>
      <c r="B380" t="s">
        <v>465</v>
      </c>
      <c r="C380" s="160">
        <v>4</v>
      </c>
      <c r="D380" t="str">
        <f>VLOOKUP(A380,DataUsuario!B:D,2,FALSE)</f>
        <v>Administración y Finanzas</v>
      </c>
      <c r="E380" t="str">
        <f>VLOOKUP(A380,DataUsuario!B:D,3,FALSE)</f>
        <v>Gerencia Administración y Finanzas</v>
      </c>
      <c r="F380" t="s">
        <v>66</v>
      </c>
    </row>
    <row r="381" spans="1:6" x14ac:dyDescent="0.3">
      <c r="A381" s="156" t="s">
        <v>128</v>
      </c>
      <c r="B381" t="s">
        <v>465</v>
      </c>
      <c r="C381" s="159" t="s">
        <v>623</v>
      </c>
      <c r="D381" t="str">
        <f>VLOOKUP(A381,DataUsuario!B:D,2,FALSE)</f>
        <v>Agrícola</v>
      </c>
      <c r="E381" t="str">
        <f>VLOOKUP(A381,DataUsuario!B:D,3,FALSE)</f>
        <v>Fundo Lobo</v>
      </c>
      <c r="F381" t="s">
        <v>89</v>
      </c>
    </row>
    <row r="382" spans="1:6" x14ac:dyDescent="0.3">
      <c r="A382" s="157" t="s">
        <v>242</v>
      </c>
      <c r="B382" t="s">
        <v>465</v>
      </c>
      <c r="C382" s="160" t="s">
        <v>623</v>
      </c>
      <c r="D382" t="str">
        <f>VLOOKUP(A382,DataUsuario!B:D,2,FALSE)</f>
        <v>Agrícola</v>
      </c>
      <c r="E382" t="str">
        <f>VLOOKUP(A382,DataUsuario!B:D,3,FALSE)</f>
        <v>Fundo Montelima</v>
      </c>
      <c r="F382" t="s">
        <v>89</v>
      </c>
    </row>
    <row r="383" spans="1:6" x14ac:dyDescent="0.3">
      <c r="A383" s="156" t="s">
        <v>369</v>
      </c>
      <c r="B383" t="s">
        <v>465</v>
      </c>
      <c r="C383" s="159">
        <v>5</v>
      </c>
      <c r="D383" t="str">
        <f>VLOOKUP(A383,DataUsuario!B:D,2,FALSE)</f>
        <v>Agrícola</v>
      </c>
      <c r="E383" t="str">
        <f>VLOOKUP(A383,DataUsuario!B:D,3,FALSE)</f>
        <v>Sistema Integral de Gestión</v>
      </c>
      <c r="F383" t="s">
        <v>89</v>
      </c>
    </row>
    <row r="384" spans="1:6" x14ac:dyDescent="0.3">
      <c r="A384" s="157" t="s">
        <v>613</v>
      </c>
      <c r="B384" t="s">
        <v>465</v>
      </c>
      <c r="C384" s="160" t="s">
        <v>623</v>
      </c>
      <c r="D384" t="str">
        <f>VLOOKUP(A384,DataUsuario!B:D,2,FALSE)</f>
        <v>Operaciones</v>
      </c>
      <c r="E384" t="str">
        <f>VLOOKUP(A384,DataUsuario!B:D,3,FALSE)</f>
        <v>Transporte</v>
      </c>
      <c r="F384" t="s">
        <v>70</v>
      </c>
    </row>
    <row r="385" spans="1:6" x14ac:dyDescent="0.3">
      <c r="A385" s="156" t="s">
        <v>224</v>
      </c>
      <c r="B385" t="s">
        <v>465</v>
      </c>
      <c r="C385" s="159" t="s">
        <v>623</v>
      </c>
      <c r="D385" t="str">
        <f>VLOOKUP(A385,DataUsuario!B:D,2,FALSE)</f>
        <v>Agrícola</v>
      </c>
      <c r="E385" t="str">
        <f>VLOOKUP(A385,DataUsuario!B:D,3,FALSE)</f>
        <v>Laboratorio e Investigación Agricola</v>
      </c>
      <c r="F385" t="s">
        <v>89</v>
      </c>
    </row>
    <row r="386" spans="1:6" x14ac:dyDescent="0.3">
      <c r="A386" s="157" t="s">
        <v>359</v>
      </c>
      <c r="B386" t="s">
        <v>465</v>
      </c>
      <c r="C386" s="160">
        <v>4</v>
      </c>
      <c r="D386" t="str">
        <f>VLOOKUP(A386,DataUsuario!B:D,2,FALSE)</f>
        <v>Operaciones</v>
      </c>
      <c r="E386" t="str">
        <f>VLOOKUP(A386,DataUsuario!B:D,3,FALSE)</f>
        <v>Gerencia de Operaciones</v>
      </c>
      <c r="F386" t="s">
        <v>70</v>
      </c>
    </row>
    <row r="387" spans="1:6" x14ac:dyDescent="0.3">
      <c r="A387" s="156" t="s">
        <v>350</v>
      </c>
      <c r="B387" t="s">
        <v>465</v>
      </c>
      <c r="C387" s="159" t="s">
        <v>623</v>
      </c>
      <c r="D387" t="str">
        <f>VLOOKUP(A387,DataUsuario!B:D,2,FALSE)</f>
        <v>Agrícola</v>
      </c>
      <c r="E387" t="str">
        <f>VLOOKUP(A387,DataUsuario!B:D,3,FALSE)</f>
        <v>Planificador Agrícola</v>
      </c>
      <c r="F387" t="s">
        <v>89</v>
      </c>
    </row>
    <row r="388" spans="1:6" x14ac:dyDescent="0.3">
      <c r="A388" s="157" t="s">
        <v>256</v>
      </c>
      <c r="B388" t="s">
        <v>465</v>
      </c>
      <c r="C388" s="160" t="s">
        <v>623</v>
      </c>
      <c r="D388" t="str">
        <f>VLOOKUP(A388,DataUsuario!B:D,2,FALSE)</f>
        <v>Agrícola</v>
      </c>
      <c r="E388" t="str">
        <f>VLOOKUP(A388,DataUsuario!B:D,3,FALSE)</f>
        <v>Fundo Montelima</v>
      </c>
      <c r="F388" t="s">
        <v>89</v>
      </c>
    </row>
    <row r="389" spans="1:6" x14ac:dyDescent="0.3">
      <c r="A389" s="156" t="s">
        <v>435</v>
      </c>
      <c r="B389" t="s">
        <v>465</v>
      </c>
      <c r="C389" s="159">
        <v>5</v>
      </c>
      <c r="D389" t="str">
        <f>VLOOKUP(A389,DataUsuario!B:D,2,FALSE)</f>
        <v>Operaciones</v>
      </c>
      <c r="E389" t="str">
        <f>VLOOKUP(A389,DataUsuario!B:D,3,FALSE)</f>
        <v>Almacenes y Distribución PT</v>
      </c>
      <c r="F389" t="s">
        <v>70</v>
      </c>
    </row>
    <row r="390" spans="1:6" x14ac:dyDescent="0.3">
      <c r="A390" s="157" t="s">
        <v>202</v>
      </c>
      <c r="B390" t="s">
        <v>465</v>
      </c>
      <c r="C390" s="160">
        <v>5</v>
      </c>
      <c r="D390" t="str">
        <f>VLOOKUP(A390,DataUsuario!B:D,2,FALSE)</f>
        <v>Agrícola</v>
      </c>
      <c r="E390" t="str">
        <f>VLOOKUP(A390,DataUsuario!B:D,3,FALSE)</f>
        <v>Fundo La Huaca</v>
      </c>
      <c r="F390" t="s">
        <v>89</v>
      </c>
    </row>
    <row r="391" spans="1:6" x14ac:dyDescent="0.3">
      <c r="A391" s="156" t="s">
        <v>337</v>
      </c>
      <c r="B391" t="s">
        <v>465</v>
      </c>
      <c r="C391" s="159">
        <v>4</v>
      </c>
      <c r="D391" t="str">
        <f>VLOOKUP(A391,DataUsuario!B:D,2,FALSE)</f>
        <v>Agrícola</v>
      </c>
      <c r="E391" t="str">
        <f>VLOOKUP(A391,DataUsuario!B:D,3,FALSE)</f>
        <v>Fundo San Vicente</v>
      </c>
      <c r="F391" t="s">
        <v>89</v>
      </c>
    </row>
    <row r="392" spans="1:6" x14ac:dyDescent="0.3">
      <c r="A392" s="157" t="s">
        <v>179</v>
      </c>
      <c r="B392" t="s">
        <v>465</v>
      </c>
      <c r="C392" s="160">
        <v>4</v>
      </c>
      <c r="D392" t="str">
        <f>VLOOKUP(A392,DataUsuario!B:D,2,FALSE)</f>
        <v>Agrícola</v>
      </c>
      <c r="E392" t="str">
        <f>VLOOKUP(A392,DataUsuario!B:D,3,FALSE)</f>
        <v>Fundo Montelima</v>
      </c>
      <c r="F392" t="s">
        <v>89</v>
      </c>
    </row>
    <row r="393" spans="1:6" x14ac:dyDescent="0.3">
      <c r="A393" s="156" t="s">
        <v>619</v>
      </c>
      <c r="B393" t="s">
        <v>465</v>
      </c>
      <c r="C393" s="159">
        <v>5</v>
      </c>
      <c r="D393" t="str">
        <f>VLOOKUP(A393,DataUsuario!B:D,2,FALSE)</f>
        <v>Operaciones</v>
      </c>
      <c r="E393" t="str">
        <f>VLOOKUP(A393,DataUsuario!B:D,3,FALSE)</f>
        <v xml:space="preserve">Almacén </v>
      </c>
      <c r="F393" t="s">
        <v>70</v>
      </c>
    </row>
    <row r="394" spans="1:6" x14ac:dyDescent="0.3">
      <c r="A394" s="158" t="s">
        <v>378</v>
      </c>
      <c r="B394" t="s">
        <v>465</v>
      </c>
      <c r="C394" s="161">
        <v>4</v>
      </c>
      <c r="D394" t="str">
        <f>VLOOKUP(A394,DataUsuario!B:D,2,FALSE)</f>
        <v>Industrial y de Mantenimiento</v>
      </c>
      <c r="E394" t="str">
        <f>VLOOKUP(A394,DataUsuario!B:D,3,FALSE)</f>
        <v>Gerencia industrial y de Mantenimiento</v>
      </c>
      <c r="F394" t="s">
        <v>74</v>
      </c>
    </row>
    <row r="395" spans="1:6" x14ac:dyDescent="0.3">
      <c r="A395" s="156" t="s">
        <v>138</v>
      </c>
      <c r="B395" t="s">
        <v>466</v>
      </c>
      <c r="C395" s="162">
        <v>4</v>
      </c>
      <c r="D395" t="str">
        <f>VLOOKUP(A395,DataUsuario!B:D,2,FALSE)</f>
        <v>Gestión Humana y Sostenibilidad</v>
      </c>
      <c r="E395" t="str">
        <f>VLOOKUP(A395,DataUsuario!B:D,3,FALSE)</f>
        <v>Gestion del Talento</v>
      </c>
      <c r="F395" t="s">
        <v>62</v>
      </c>
    </row>
    <row r="396" spans="1:6" x14ac:dyDescent="0.3">
      <c r="A396" s="157" t="s">
        <v>145</v>
      </c>
      <c r="B396" t="s">
        <v>466</v>
      </c>
      <c r="C396" s="163" t="s">
        <v>623</v>
      </c>
      <c r="D396" t="str">
        <f>VLOOKUP(A396,DataUsuario!B:D,2,FALSE)</f>
        <v>Administración y Finanzas</v>
      </c>
      <c r="E396" t="str">
        <f>VLOOKUP(A396,DataUsuario!B:D,3,FALSE)</f>
        <v>Legal</v>
      </c>
      <c r="F396" t="s">
        <v>66</v>
      </c>
    </row>
    <row r="397" spans="1:6" x14ac:dyDescent="0.3">
      <c r="A397" s="156" t="s">
        <v>322</v>
      </c>
      <c r="B397" t="s">
        <v>466</v>
      </c>
      <c r="C397" s="162">
        <v>4</v>
      </c>
      <c r="D397" t="str">
        <f>VLOOKUP(A397,DataUsuario!B:D,2,FALSE)</f>
        <v>Administración y Finanzas</v>
      </c>
      <c r="E397" t="str">
        <f>VLOOKUP(A397,DataUsuario!B:D,3,FALSE)</f>
        <v>Finanzas y Tesorería</v>
      </c>
      <c r="F397" t="s">
        <v>66</v>
      </c>
    </row>
    <row r="398" spans="1:6" x14ac:dyDescent="0.3">
      <c r="A398" s="157" t="s">
        <v>133</v>
      </c>
      <c r="B398" t="s">
        <v>466</v>
      </c>
      <c r="C398" s="163">
        <v>5</v>
      </c>
      <c r="D398" t="str">
        <f>VLOOKUP(A398,DataUsuario!B:D,2,FALSE)</f>
        <v>Industrial y de Mantenimiento</v>
      </c>
      <c r="E398" t="str">
        <f>VLOOKUP(A398,DataUsuario!B:D,3,FALSE)</f>
        <v>Electricidad</v>
      </c>
      <c r="F398" t="s">
        <v>74</v>
      </c>
    </row>
    <row r="399" spans="1:6" x14ac:dyDescent="0.3">
      <c r="A399" s="156" t="s">
        <v>421</v>
      </c>
      <c r="B399" t="s">
        <v>466</v>
      </c>
      <c r="C399" s="162">
        <v>4</v>
      </c>
      <c r="D399" t="str">
        <f>VLOOKUP(A399,DataUsuario!B:D,2,FALSE)</f>
        <v>Operaciones</v>
      </c>
      <c r="E399" t="str">
        <f>VLOOKUP(A399,DataUsuario!B:D,3,FALSE)</f>
        <v>Cosecha</v>
      </c>
      <c r="F399" t="s">
        <v>70</v>
      </c>
    </row>
    <row r="400" spans="1:6" x14ac:dyDescent="0.3">
      <c r="A400" s="157" t="s">
        <v>221</v>
      </c>
      <c r="B400" t="s">
        <v>466</v>
      </c>
      <c r="C400" s="163" t="s">
        <v>623</v>
      </c>
      <c r="D400" t="str">
        <f>VLOOKUP(A400,DataUsuario!B:D,2,FALSE)</f>
        <v>Administración y Finanzas</v>
      </c>
      <c r="E400" t="str">
        <f>VLOOKUP(A400,DataUsuario!B:D,3,FALSE)</f>
        <v>Sistemas y TI</v>
      </c>
      <c r="F400" t="s">
        <v>66</v>
      </c>
    </row>
    <row r="401" spans="1:6" x14ac:dyDescent="0.3">
      <c r="A401" s="156" t="s">
        <v>318</v>
      </c>
      <c r="B401" t="s">
        <v>466</v>
      </c>
      <c r="C401" s="162" t="s">
        <v>623</v>
      </c>
      <c r="D401" t="str">
        <f>VLOOKUP(A401,DataUsuario!B:D,2,FALSE)</f>
        <v>Operaciones</v>
      </c>
      <c r="E401" t="str">
        <f>VLOOKUP(A401,DataUsuario!B:D,3,FALSE)</f>
        <v>Cosecha</v>
      </c>
      <c r="F401" t="s">
        <v>70</v>
      </c>
    </row>
    <row r="402" spans="1:6" x14ac:dyDescent="0.3">
      <c r="A402" s="157" t="s">
        <v>372</v>
      </c>
      <c r="B402" t="s">
        <v>466</v>
      </c>
      <c r="C402" s="163" t="s">
        <v>623</v>
      </c>
      <c r="D402" t="str">
        <f>VLOOKUP(A402,DataUsuario!B:D,2,FALSE)</f>
        <v>Agrícola</v>
      </c>
      <c r="E402" t="str">
        <f>VLOOKUP(A402,DataUsuario!B:D,3,FALSE)</f>
        <v>Laboratorio e Investigación Agricola</v>
      </c>
      <c r="F402" t="s">
        <v>89</v>
      </c>
    </row>
    <row r="403" spans="1:6" x14ac:dyDescent="0.3">
      <c r="A403" s="156" t="s">
        <v>599</v>
      </c>
      <c r="B403" t="s">
        <v>466</v>
      </c>
      <c r="C403" s="162">
        <v>4</v>
      </c>
      <c r="D403" t="str">
        <f>VLOOKUP(A403,DataUsuario!B:D,2,FALSE)</f>
        <v>Administración y Finanzas</v>
      </c>
      <c r="E403" t="str">
        <f>VLOOKUP(A403,DataUsuario!B:D,3,FALSE)</f>
        <v>Compras</v>
      </c>
      <c r="F403" t="s">
        <v>66</v>
      </c>
    </row>
    <row r="404" spans="1:6" x14ac:dyDescent="0.3">
      <c r="A404" s="157" t="s">
        <v>198</v>
      </c>
      <c r="B404" t="s">
        <v>466</v>
      </c>
      <c r="C404" s="163" t="s">
        <v>623</v>
      </c>
      <c r="D404" t="str">
        <f>VLOOKUP(A404,DataUsuario!B:D,2,FALSE)</f>
        <v>Agrícola</v>
      </c>
      <c r="E404" t="str">
        <f>VLOOKUP(A404,DataUsuario!B:D,3,FALSE)</f>
        <v>Fundo Lobo</v>
      </c>
      <c r="F404" t="s">
        <v>89</v>
      </c>
    </row>
    <row r="405" spans="1:6" x14ac:dyDescent="0.3">
      <c r="A405" s="156" t="s">
        <v>431</v>
      </c>
      <c r="B405" t="s">
        <v>466</v>
      </c>
      <c r="C405" s="162" t="s">
        <v>623</v>
      </c>
      <c r="D405" t="str">
        <f>VLOOKUP(A405,DataUsuario!B:D,2,FALSE)</f>
        <v>Agrícola</v>
      </c>
      <c r="E405" t="str">
        <f>VLOOKUP(A405,DataUsuario!B:D,3,FALSE)</f>
        <v>Fundo San Vicente</v>
      </c>
      <c r="F405" t="s">
        <v>89</v>
      </c>
    </row>
    <row r="406" spans="1:6" x14ac:dyDescent="0.3">
      <c r="A406" s="157" t="s">
        <v>176</v>
      </c>
      <c r="B406" t="s">
        <v>466</v>
      </c>
      <c r="C406" s="163" t="s">
        <v>623</v>
      </c>
      <c r="D406" t="str">
        <f>VLOOKUP(A406,DataUsuario!B:D,2,FALSE)</f>
        <v>Administración y Finanzas</v>
      </c>
      <c r="E406" t="str">
        <f>VLOOKUP(A406,DataUsuario!B:D,3,FALSE)</f>
        <v>Cadenas Productivas</v>
      </c>
      <c r="F406" t="s">
        <v>66</v>
      </c>
    </row>
    <row r="407" spans="1:6" x14ac:dyDescent="0.3">
      <c r="A407" s="156" t="s">
        <v>236</v>
      </c>
      <c r="B407" t="s">
        <v>466</v>
      </c>
      <c r="C407" s="162">
        <v>4</v>
      </c>
      <c r="D407" t="str">
        <f>VLOOKUP(A407,DataUsuario!B:D,2,FALSE)</f>
        <v>Administración y Finanzas</v>
      </c>
      <c r="E407" t="str">
        <f>VLOOKUP(A407,DataUsuario!B:D,3,FALSE)</f>
        <v>Sistemas y TI</v>
      </c>
      <c r="F407" t="s">
        <v>66</v>
      </c>
    </row>
    <row r="408" spans="1:6" x14ac:dyDescent="0.3">
      <c r="A408" s="157" t="s">
        <v>136</v>
      </c>
      <c r="B408" t="s">
        <v>466</v>
      </c>
      <c r="C408" s="163">
        <v>5</v>
      </c>
      <c r="D408" t="str">
        <f>VLOOKUP(A408,DataUsuario!B:D,2,FALSE)</f>
        <v>Operaciones</v>
      </c>
      <c r="E408" t="str">
        <f>VLOOKUP(A408,DataUsuario!B:D,3,FALSE)</f>
        <v>Comercial</v>
      </c>
      <c r="F408" t="s">
        <v>70</v>
      </c>
    </row>
    <row r="409" spans="1:6" x14ac:dyDescent="0.3">
      <c r="A409" s="156" t="s">
        <v>343</v>
      </c>
      <c r="B409" t="s">
        <v>466</v>
      </c>
      <c r="C409" s="162" t="s">
        <v>623</v>
      </c>
      <c r="D409" t="str">
        <f>VLOOKUP(A409,DataUsuario!B:D,2,FALSE)</f>
        <v>Operaciones</v>
      </c>
      <c r="E409" t="str">
        <f>VLOOKUP(A409,DataUsuario!B:D,3,FALSE)</f>
        <v>Comercial No Giro</v>
      </c>
      <c r="F409" t="s">
        <v>70</v>
      </c>
    </row>
    <row r="410" spans="1:6" x14ac:dyDescent="0.3">
      <c r="A410" s="157" t="s">
        <v>376</v>
      </c>
      <c r="B410" t="s">
        <v>466</v>
      </c>
      <c r="C410" s="163" t="s">
        <v>623</v>
      </c>
      <c r="D410" t="str">
        <f>VLOOKUP(A410,DataUsuario!B:D,2,FALSE)</f>
        <v>Administración y Finanzas</v>
      </c>
      <c r="E410" t="str">
        <f>VLOOKUP(A410,DataUsuario!B:D,3,FALSE)</f>
        <v>Control de Gestión</v>
      </c>
      <c r="F410" t="s">
        <v>66</v>
      </c>
    </row>
    <row r="411" spans="1:6" x14ac:dyDescent="0.3">
      <c r="A411" s="156" t="s">
        <v>285</v>
      </c>
      <c r="B411" t="s">
        <v>466</v>
      </c>
      <c r="C411" s="162">
        <v>4</v>
      </c>
      <c r="D411" t="str">
        <f>VLOOKUP(A411,DataUsuario!B:D,2,FALSE)</f>
        <v>Operaciones</v>
      </c>
      <c r="E411" t="str">
        <f>VLOOKUP(A411,DataUsuario!B:D,3,FALSE)</f>
        <v>Comercial</v>
      </c>
      <c r="F411" t="s">
        <v>70</v>
      </c>
    </row>
    <row r="412" spans="1:6" x14ac:dyDescent="0.3">
      <c r="A412" s="157" t="s">
        <v>251</v>
      </c>
      <c r="B412" t="s">
        <v>466</v>
      </c>
      <c r="C412" s="163">
        <v>5</v>
      </c>
      <c r="D412" t="str">
        <f>VLOOKUP(A412,DataUsuario!B:D,2,FALSE)</f>
        <v>Industrial y de Mantenimiento</v>
      </c>
      <c r="E412" t="str">
        <f>VLOOKUP(A412,DataUsuario!B:D,3,FALSE)</f>
        <v>Automatización</v>
      </c>
      <c r="F412" t="s">
        <v>74</v>
      </c>
    </row>
    <row r="413" spans="1:6" x14ac:dyDescent="0.3">
      <c r="A413" s="156" t="s">
        <v>287</v>
      </c>
      <c r="B413" t="s">
        <v>466</v>
      </c>
      <c r="C413" s="162">
        <v>5</v>
      </c>
      <c r="D413" t="str">
        <f>VLOOKUP(A413,DataUsuario!B:D,2,FALSE)</f>
        <v>Operaciones</v>
      </c>
      <c r="E413" t="str">
        <f>VLOOKUP(A413,DataUsuario!B:D,3,FALSE)</f>
        <v>Calidad</v>
      </c>
      <c r="F413" t="s">
        <v>70</v>
      </c>
    </row>
    <row r="414" spans="1:6" x14ac:dyDescent="0.3">
      <c r="A414" s="157" t="s">
        <v>85</v>
      </c>
      <c r="B414" t="s">
        <v>466</v>
      </c>
      <c r="C414" s="163" t="s">
        <v>623</v>
      </c>
      <c r="D414" t="str">
        <f>VLOOKUP(A414,DataUsuario!B:D,2,FALSE)</f>
        <v>Operaciones</v>
      </c>
      <c r="E414" t="str">
        <f>VLOOKUP(A414,DataUsuario!B:D,3,FALSE)</f>
        <v>Comercial</v>
      </c>
      <c r="F414" t="s">
        <v>70</v>
      </c>
    </row>
    <row r="415" spans="1:6" x14ac:dyDescent="0.3">
      <c r="A415" s="156" t="s">
        <v>260</v>
      </c>
      <c r="B415" t="s">
        <v>466</v>
      </c>
      <c r="C415" s="162">
        <v>3</v>
      </c>
      <c r="D415" t="str">
        <f>VLOOKUP(A415,DataUsuario!B:D,2,FALSE)</f>
        <v>Industrial y de Mantenimiento</v>
      </c>
      <c r="E415" t="str">
        <f>VLOOKUP(A415,DataUsuario!B:D,3,FALSE)</f>
        <v>Producción</v>
      </c>
      <c r="F415" t="s">
        <v>74</v>
      </c>
    </row>
    <row r="416" spans="1:6" x14ac:dyDescent="0.3">
      <c r="A416" s="157" t="s">
        <v>423</v>
      </c>
      <c r="B416" t="s">
        <v>466</v>
      </c>
      <c r="C416" s="163">
        <v>4</v>
      </c>
      <c r="D416" t="str">
        <f>VLOOKUP(A416,DataUsuario!B:D,2,FALSE)</f>
        <v>Industrial y de Mantenimiento</v>
      </c>
      <c r="E416" t="str">
        <f>VLOOKUP(A416,DataUsuario!B:D,3,FALSE)</f>
        <v>Producción</v>
      </c>
      <c r="F416" t="s">
        <v>74</v>
      </c>
    </row>
    <row r="417" spans="1:6" x14ac:dyDescent="0.3">
      <c r="A417" s="156" t="s">
        <v>154</v>
      </c>
      <c r="B417" t="s">
        <v>466</v>
      </c>
      <c r="C417" s="162">
        <v>4</v>
      </c>
      <c r="D417" t="str">
        <f>VLOOKUP(A417,DataUsuario!B:D,2,FALSE)</f>
        <v>Industrial y de Mantenimiento</v>
      </c>
      <c r="E417" t="str">
        <f>VLOOKUP(A417,DataUsuario!B:D,3,FALSE)</f>
        <v>Mantenimiento Industrial</v>
      </c>
      <c r="F417" t="s">
        <v>74</v>
      </c>
    </row>
    <row r="418" spans="1:6" x14ac:dyDescent="0.3">
      <c r="A418" s="157" t="s">
        <v>305</v>
      </c>
      <c r="B418" t="s">
        <v>466</v>
      </c>
      <c r="C418" s="163">
        <v>3</v>
      </c>
      <c r="D418" t="str">
        <f>VLOOKUP(A418,DataUsuario!B:D,2,FALSE)</f>
        <v>Industrial y de Mantenimiento</v>
      </c>
      <c r="E418" t="str">
        <f>VLOOKUP(A418,DataUsuario!B:D,3,FALSE)</f>
        <v>Producción</v>
      </c>
      <c r="F418" t="s">
        <v>74</v>
      </c>
    </row>
    <row r="419" spans="1:6" x14ac:dyDescent="0.3">
      <c r="A419" s="156" t="s">
        <v>77</v>
      </c>
      <c r="B419" t="s">
        <v>466</v>
      </c>
      <c r="C419" s="162">
        <v>5</v>
      </c>
      <c r="D419" t="str">
        <f>VLOOKUP(A419,DataUsuario!B:D,2,FALSE)</f>
        <v>Operaciones</v>
      </c>
      <c r="E419" t="str">
        <f>VLOOKUP(A419,DataUsuario!B:D,3,FALSE)</f>
        <v>Comercial No Giro</v>
      </c>
      <c r="F419" t="s">
        <v>70</v>
      </c>
    </row>
    <row r="420" spans="1:6" x14ac:dyDescent="0.3">
      <c r="A420" s="157" t="s">
        <v>606</v>
      </c>
      <c r="B420" t="s">
        <v>466</v>
      </c>
      <c r="C420" s="163">
        <v>4</v>
      </c>
      <c r="D420" t="str">
        <f>VLOOKUP(A420,DataUsuario!B:D,2,FALSE)</f>
        <v>Operaciones</v>
      </c>
      <c r="E420" t="str">
        <f>VLOOKUP(A420,DataUsuario!B:D,3,FALSE)</f>
        <v xml:space="preserve">Almacén </v>
      </c>
      <c r="F420" t="s">
        <v>70</v>
      </c>
    </row>
    <row r="421" spans="1:6" x14ac:dyDescent="0.3">
      <c r="A421" s="156" t="s">
        <v>205</v>
      </c>
      <c r="B421" t="s">
        <v>466</v>
      </c>
      <c r="C421" s="162">
        <v>4</v>
      </c>
      <c r="D421" t="str">
        <f>VLOOKUP(A421,DataUsuario!B:D,2,FALSE)</f>
        <v>Operaciones</v>
      </c>
      <c r="E421" t="str">
        <f>VLOOKUP(A421,DataUsuario!B:D,3,FALSE)</f>
        <v>Almacenes y Distribución PT</v>
      </c>
      <c r="F421" t="s">
        <v>70</v>
      </c>
    </row>
    <row r="422" spans="1:6" x14ac:dyDescent="0.3">
      <c r="A422" s="157" t="s">
        <v>393</v>
      </c>
      <c r="B422" t="s">
        <v>466</v>
      </c>
      <c r="C422" s="163">
        <v>4</v>
      </c>
      <c r="D422" t="str">
        <f>VLOOKUP(A422,DataUsuario!B:D,2,FALSE)</f>
        <v>Agrícola</v>
      </c>
      <c r="E422" t="str">
        <f>VLOOKUP(A422,DataUsuario!B:D,3,FALSE)</f>
        <v>Sistema Integral de Gestión</v>
      </c>
      <c r="F422" t="s">
        <v>89</v>
      </c>
    </row>
    <row r="423" spans="1:6" x14ac:dyDescent="0.3">
      <c r="A423" s="156" t="s">
        <v>609</v>
      </c>
      <c r="B423" t="s">
        <v>466</v>
      </c>
      <c r="C423" s="162">
        <v>4</v>
      </c>
      <c r="D423" t="str">
        <f>VLOOKUP(A423,DataUsuario!B:D,2,FALSE)</f>
        <v>Operaciones</v>
      </c>
      <c r="E423" t="str">
        <f>VLOOKUP(A423,DataUsuario!B:D,3,FALSE)</f>
        <v>Almacenes y Distribución PT</v>
      </c>
      <c r="F423" t="s">
        <v>70</v>
      </c>
    </row>
    <row r="424" spans="1:6" x14ac:dyDescent="0.3">
      <c r="A424" s="157" t="s">
        <v>152</v>
      </c>
      <c r="B424" t="s">
        <v>466</v>
      </c>
      <c r="C424" s="163">
        <v>5</v>
      </c>
      <c r="D424" t="str">
        <f>VLOOKUP(A424,DataUsuario!B:D,2,FALSE)</f>
        <v>Operaciones</v>
      </c>
      <c r="E424" t="str">
        <f>VLOOKUP(A424,DataUsuario!B:D,3,FALSE)</f>
        <v>Almacenes y Distribución PT</v>
      </c>
      <c r="F424" t="s">
        <v>70</v>
      </c>
    </row>
    <row r="425" spans="1:6" x14ac:dyDescent="0.3">
      <c r="A425" s="156" t="s">
        <v>61</v>
      </c>
      <c r="B425" t="s">
        <v>466</v>
      </c>
      <c r="C425" s="162">
        <v>4</v>
      </c>
      <c r="D425" t="str">
        <f>VLOOKUP(A425,DataUsuario!B:D,2,FALSE)</f>
        <v>Gestión Humana y Sostenibilidad</v>
      </c>
      <c r="E425" t="str">
        <f>VLOOKUP(A425,DataUsuario!B:D,3,FALSE)</f>
        <v>Compensación y Nóminas</v>
      </c>
      <c r="F425" t="s">
        <v>62</v>
      </c>
    </row>
    <row r="426" spans="1:6" x14ac:dyDescent="0.3">
      <c r="A426" s="157" t="s">
        <v>238</v>
      </c>
      <c r="B426" t="s">
        <v>466</v>
      </c>
      <c r="C426" s="163">
        <v>5</v>
      </c>
      <c r="D426" t="str">
        <f>VLOOKUP(A426,DataUsuario!B:D,2,FALSE)</f>
        <v>Industrial y de Mantenimiento</v>
      </c>
      <c r="E426" t="str">
        <f>VLOOKUP(A426,DataUsuario!B:D,3,FALSE)</f>
        <v>Producción</v>
      </c>
      <c r="F426" t="s">
        <v>74</v>
      </c>
    </row>
    <row r="427" spans="1:6" x14ac:dyDescent="0.3">
      <c r="A427" s="156" t="s">
        <v>303</v>
      </c>
      <c r="B427" t="s">
        <v>466</v>
      </c>
      <c r="C427" s="162" t="s">
        <v>623</v>
      </c>
      <c r="D427" t="str">
        <f>VLOOKUP(A427,DataUsuario!B:D,2,FALSE)</f>
        <v>Administración y Finanzas</v>
      </c>
      <c r="E427" t="str">
        <f>VLOOKUP(A427,DataUsuario!B:D,3,FALSE)</f>
        <v>Control de Gestión</v>
      </c>
      <c r="F427" t="s">
        <v>66</v>
      </c>
    </row>
    <row r="428" spans="1:6" x14ac:dyDescent="0.3">
      <c r="A428" s="157" t="s">
        <v>123</v>
      </c>
      <c r="B428" t="s">
        <v>466</v>
      </c>
      <c r="C428" s="163">
        <v>4</v>
      </c>
      <c r="D428" t="str">
        <f>VLOOKUP(A428,DataUsuario!B:D,2,FALSE)</f>
        <v>Administración y Finanzas</v>
      </c>
      <c r="E428" t="str">
        <f>VLOOKUP(A428,DataUsuario!B:D,3,FALSE)</f>
        <v>Gerencia Administración y Finanzas</v>
      </c>
      <c r="F428" t="s">
        <v>66</v>
      </c>
    </row>
    <row r="429" spans="1:6" x14ac:dyDescent="0.3">
      <c r="A429" s="156" t="s">
        <v>128</v>
      </c>
      <c r="B429" t="s">
        <v>466</v>
      </c>
      <c r="C429" s="162">
        <v>4</v>
      </c>
      <c r="D429" t="str">
        <f>VLOOKUP(A429,DataUsuario!B:D,2,FALSE)</f>
        <v>Agrícola</v>
      </c>
      <c r="E429" t="str">
        <f>VLOOKUP(A429,DataUsuario!B:D,3,FALSE)</f>
        <v>Fundo Lobo</v>
      </c>
      <c r="F429" t="s">
        <v>89</v>
      </c>
    </row>
    <row r="430" spans="1:6" x14ac:dyDescent="0.3">
      <c r="A430" s="157" t="s">
        <v>242</v>
      </c>
      <c r="B430" t="s">
        <v>466</v>
      </c>
      <c r="C430" s="163" t="s">
        <v>623</v>
      </c>
      <c r="D430" t="str">
        <f>VLOOKUP(A430,DataUsuario!B:D,2,FALSE)</f>
        <v>Agrícola</v>
      </c>
      <c r="E430" t="str">
        <f>VLOOKUP(A430,DataUsuario!B:D,3,FALSE)</f>
        <v>Fundo Montelima</v>
      </c>
      <c r="F430" t="s">
        <v>89</v>
      </c>
    </row>
    <row r="431" spans="1:6" x14ac:dyDescent="0.3">
      <c r="A431" s="156" t="s">
        <v>369</v>
      </c>
      <c r="B431" t="s">
        <v>466</v>
      </c>
      <c r="C431" s="162">
        <v>4</v>
      </c>
      <c r="D431" t="str">
        <f>VLOOKUP(A431,DataUsuario!B:D,2,FALSE)</f>
        <v>Agrícola</v>
      </c>
      <c r="E431" t="str">
        <f>VLOOKUP(A431,DataUsuario!B:D,3,FALSE)</f>
        <v>Sistema Integral de Gestión</v>
      </c>
      <c r="F431" t="s">
        <v>89</v>
      </c>
    </row>
    <row r="432" spans="1:6" x14ac:dyDescent="0.3">
      <c r="A432" s="157" t="s">
        <v>613</v>
      </c>
      <c r="B432" t="s">
        <v>466</v>
      </c>
      <c r="C432" s="163" t="s">
        <v>623</v>
      </c>
      <c r="D432" t="str">
        <f>VLOOKUP(A432,DataUsuario!B:D,2,FALSE)</f>
        <v>Operaciones</v>
      </c>
      <c r="E432" t="str">
        <f>VLOOKUP(A432,DataUsuario!B:D,3,FALSE)</f>
        <v>Transporte</v>
      </c>
      <c r="F432" t="s">
        <v>70</v>
      </c>
    </row>
    <row r="433" spans="1:6" x14ac:dyDescent="0.3">
      <c r="A433" s="156" t="s">
        <v>224</v>
      </c>
      <c r="B433" t="s">
        <v>466</v>
      </c>
      <c r="C433" s="162" t="s">
        <v>623</v>
      </c>
      <c r="D433" t="str">
        <f>VLOOKUP(A433,DataUsuario!B:D,2,FALSE)</f>
        <v>Agrícola</v>
      </c>
      <c r="E433" t="str">
        <f>VLOOKUP(A433,DataUsuario!B:D,3,FALSE)</f>
        <v>Laboratorio e Investigación Agricola</v>
      </c>
      <c r="F433" t="s">
        <v>89</v>
      </c>
    </row>
    <row r="434" spans="1:6" x14ac:dyDescent="0.3">
      <c r="A434" s="157" t="s">
        <v>359</v>
      </c>
      <c r="B434" t="s">
        <v>466</v>
      </c>
      <c r="C434" s="163">
        <v>4</v>
      </c>
      <c r="D434" t="str">
        <f>VLOOKUP(A434,DataUsuario!B:D,2,FALSE)</f>
        <v>Operaciones</v>
      </c>
      <c r="E434" t="str">
        <f>VLOOKUP(A434,DataUsuario!B:D,3,FALSE)</f>
        <v>Gerencia de Operaciones</v>
      </c>
      <c r="F434" t="s">
        <v>70</v>
      </c>
    </row>
    <row r="435" spans="1:6" x14ac:dyDescent="0.3">
      <c r="A435" s="156" t="s">
        <v>350</v>
      </c>
      <c r="B435" t="s">
        <v>466</v>
      </c>
      <c r="C435" s="162" t="s">
        <v>623</v>
      </c>
      <c r="D435" t="str">
        <f>VLOOKUP(A435,DataUsuario!B:D,2,FALSE)</f>
        <v>Agrícola</v>
      </c>
      <c r="E435" t="str">
        <f>VLOOKUP(A435,DataUsuario!B:D,3,FALSE)</f>
        <v>Planificador Agrícola</v>
      </c>
      <c r="F435" t="s">
        <v>89</v>
      </c>
    </row>
    <row r="436" spans="1:6" x14ac:dyDescent="0.3">
      <c r="A436" s="157" t="s">
        <v>256</v>
      </c>
      <c r="B436" t="s">
        <v>466</v>
      </c>
      <c r="C436" s="163" t="s">
        <v>623</v>
      </c>
      <c r="D436" t="str">
        <f>VLOOKUP(A436,DataUsuario!B:D,2,FALSE)</f>
        <v>Agrícola</v>
      </c>
      <c r="E436" t="str">
        <f>VLOOKUP(A436,DataUsuario!B:D,3,FALSE)</f>
        <v>Fundo Montelima</v>
      </c>
      <c r="F436" t="s">
        <v>89</v>
      </c>
    </row>
    <row r="437" spans="1:6" x14ac:dyDescent="0.3">
      <c r="A437" s="156" t="s">
        <v>435</v>
      </c>
      <c r="B437" t="s">
        <v>466</v>
      </c>
      <c r="C437" s="162">
        <v>4</v>
      </c>
      <c r="D437" t="str">
        <f>VLOOKUP(A437,DataUsuario!B:D,2,FALSE)</f>
        <v>Operaciones</v>
      </c>
      <c r="E437" t="str">
        <f>VLOOKUP(A437,DataUsuario!B:D,3,FALSE)</f>
        <v>Almacenes y Distribución PT</v>
      </c>
      <c r="F437" t="s">
        <v>70</v>
      </c>
    </row>
    <row r="438" spans="1:6" x14ac:dyDescent="0.3">
      <c r="A438" s="157" t="s">
        <v>202</v>
      </c>
      <c r="B438" t="s">
        <v>466</v>
      </c>
      <c r="C438" s="163">
        <v>5</v>
      </c>
      <c r="D438" t="str">
        <f>VLOOKUP(A438,DataUsuario!B:D,2,FALSE)</f>
        <v>Agrícola</v>
      </c>
      <c r="E438" t="str">
        <f>VLOOKUP(A438,DataUsuario!B:D,3,FALSE)</f>
        <v>Fundo La Huaca</v>
      </c>
      <c r="F438" t="s">
        <v>89</v>
      </c>
    </row>
    <row r="439" spans="1:6" x14ac:dyDescent="0.3">
      <c r="A439" s="156" t="s">
        <v>337</v>
      </c>
      <c r="B439" t="s">
        <v>466</v>
      </c>
      <c r="C439" s="162">
        <v>5</v>
      </c>
      <c r="D439" t="str">
        <f>VLOOKUP(A439,DataUsuario!B:D,2,FALSE)</f>
        <v>Agrícola</v>
      </c>
      <c r="E439" t="str">
        <f>VLOOKUP(A439,DataUsuario!B:D,3,FALSE)</f>
        <v>Fundo San Vicente</v>
      </c>
      <c r="F439" t="s">
        <v>89</v>
      </c>
    </row>
    <row r="440" spans="1:6" x14ac:dyDescent="0.3">
      <c r="A440" s="157" t="s">
        <v>179</v>
      </c>
      <c r="B440" t="s">
        <v>466</v>
      </c>
      <c r="C440" s="163">
        <v>4</v>
      </c>
      <c r="D440" t="str">
        <f>VLOOKUP(A440,DataUsuario!B:D,2,FALSE)</f>
        <v>Agrícola</v>
      </c>
      <c r="E440" t="str">
        <f>VLOOKUP(A440,DataUsuario!B:D,3,FALSE)</f>
        <v>Fundo Montelima</v>
      </c>
      <c r="F440" t="s">
        <v>89</v>
      </c>
    </row>
    <row r="441" spans="1:6" x14ac:dyDescent="0.3">
      <c r="A441" s="156" t="s">
        <v>619</v>
      </c>
      <c r="B441" t="s">
        <v>466</v>
      </c>
      <c r="C441" s="162">
        <v>5</v>
      </c>
      <c r="D441" t="str">
        <f>VLOOKUP(A441,DataUsuario!B:D,2,FALSE)</f>
        <v>Operaciones</v>
      </c>
      <c r="E441" t="str">
        <f>VLOOKUP(A441,DataUsuario!B:D,3,FALSE)</f>
        <v xml:space="preserve">Almacén </v>
      </c>
      <c r="F441" t="s">
        <v>70</v>
      </c>
    </row>
    <row r="442" spans="1:6" x14ac:dyDescent="0.3">
      <c r="A442" s="158" t="s">
        <v>378</v>
      </c>
      <c r="B442" t="s">
        <v>466</v>
      </c>
      <c r="C442" s="164">
        <v>4</v>
      </c>
      <c r="D442" t="str">
        <f>VLOOKUP(A442,DataUsuario!B:D,2,FALSE)</f>
        <v>Industrial y de Mantenimiento</v>
      </c>
      <c r="E442" t="str">
        <f>VLOOKUP(A442,DataUsuario!B:D,3,FALSE)</f>
        <v>Gerencia industrial y de Mantenimiento</v>
      </c>
      <c r="F442" t="s">
        <v>74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FF7A-9FB4-412C-936C-6653EAE12851}">
  <sheetPr codeName="Hoja6"/>
  <dimension ref="A2:M46"/>
  <sheetViews>
    <sheetView topLeftCell="A11" workbookViewId="0">
      <selection activeCell="G21" sqref="G21"/>
    </sheetView>
  </sheetViews>
  <sheetFormatPr baseColWidth="10" defaultRowHeight="14.4" x14ac:dyDescent="0.3"/>
  <cols>
    <col min="1" max="1" width="90.21875" bestFit="1" customWidth="1"/>
    <col min="2" max="2" width="11.44140625" bestFit="1" customWidth="1"/>
    <col min="3" max="3" width="5.5546875" bestFit="1" customWidth="1"/>
    <col min="4" max="4" width="7.6640625" bestFit="1" customWidth="1"/>
    <col min="5" max="5" width="9.88671875" bestFit="1" customWidth="1"/>
    <col min="12" max="12" width="90.21875" bestFit="1" customWidth="1"/>
    <col min="13" max="13" width="15.33203125" bestFit="1" customWidth="1"/>
  </cols>
  <sheetData>
    <row r="2" spans="1:13" x14ac:dyDescent="0.3">
      <c r="A2" t="s">
        <v>629</v>
      </c>
      <c r="B2">
        <v>70</v>
      </c>
    </row>
    <row r="3" spans="1:13" x14ac:dyDescent="0.3">
      <c r="A3" t="s">
        <v>630</v>
      </c>
      <c r="B3">
        <v>49</v>
      </c>
    </row>
    <row r="4" spans="1:13" x14ac:dyDescent="0.3">
      <c r="A4" t="s">
        <v>631</v>
      </c>
      <c r="B4">
        <v>21</v>
      </c>
    </row>
    <row r="15" spans="1:13" x14ac:dyDescent="0.3">
      <c r="A15" t="s">
        <v>452</v>
      </c>
      <c r="B15" t="s">
        <v>626</v>
      </c>
      <c r="L15" t="s">
        <v>627</v>
      </c>
      <c r="M15" t="s">
        <v>628</v>
      </c>
    </row>
    <row r="16" spans="1:13" x14ac:dyDescent="0.3">
      <c r="A16" t="s">
        <v>19</v>
      </c>
      <c r="B16">
        <v>4.4379999999999997</v>
      </c>
      <c r="L16" t="s">
        <v>70</v>
      </c>
      <c r="M16" s="174">
        <v>4.6498293373293382</v>
      </c>
    </row>
    <row r="17" spans="1:13" x14ac:dyDescent="0.3">
      <c r="A17" t="s">
        <v>465</v>
      </c>
      <c r="B17">
        <v>4.4240000000000004</v>
      </c>
      <c r="L17" t="s">
        <v>89</v>
      </c>
      <c r="M17" s="174">
        <v>4.380929487179487</v>
      </c>
    </row>
    <row r="18" spans="1:13" x14ac:dyDescent="0.3">
      <c r="A18" t="s">
        <v>464</v>
      </c>
      <c r="B18" s="174">
        <v>4.4000000000000004</v>
      </c>
      <c r="L18" t="s">
        <v>66</v>
      </c>
      <c r="M18" s="174">
        <v>4.2953869047619051</v>
      </c>
    </row>
    <row r="19" spans="1:13" x14ac:dyDescent="0.3">
      <c r="A19" t="s">
        <v>20</v>
      </c>
      <c r="B19">
        <v>4.391</v>
      </c>
      <c r="L19" t="s">
        <v>62</v>
      </c>
      <c r="M19" s="174">
        <v>4</v>
      </c>
    </row>
    <row r="20" spans="1:13" x14ac:dyDescent="0.3">
      <c r="A20" t="s">
        <v>21</v>
      </c>
      <c r="B20">
        <v>4.391</v>
      </c>
      <c r="L20" t="s">
        <v>74</v>
      </c>
      <c r="M20" s="174">
        <v>3.8660714285714284</v>
      </c>
    </row>
    <row r="21" spans="1:13" x14ac:dyDescent="0.3">
      <c r="A21" t="s">
        <v>22</v>
      </c>
      <c r="B21">
        <v>4.3479999999999999</v>
      </c>
    </row>
    <row r="22" spans="1:13" x14ac:dyDescent="0.3">
      <c r="A22" t="s">
        <v>466</v>
      </c>
      <c r="B22">
        <v>4.2190000000000003</v>
      </c>
    </row>
    <row r="23" spans="1:13" x14ac:dyDescent="0.3">
      <c r="A23" t="s">
        <v>463</v>
      </c>
      <c r="B23">
        <v>4.1589999999999998</v>
      </c>
    </row>
    <row r="24" spans="1:13" x14ac:dyDescent="0.3">
      <c r="A24" t="s">
        <v>23</v>
      </c>
      <c r="B24">
        <v>4.125</v>
      </c>
    </row>
    <row r="29" spans="1:13" x14ac:dyDescent="0.3">
      <c r="I29" s="88"/>
      <c r="J29" s="174"/>
      <c r="K29" s="89"/>
    </row>
    <row r="30" spans="1:13" x14ac:dyDescent="0.3">
      <c r="I30" s="94"/>
      <c r="J30" s="174"/>
    </row>
    <row r="31" spans="1:13" x14ac:dyDescent="0.3">
      <c r="I31" s="94"/>
      <c r="J31" s="174"/>
    </row>
    <row r="32" spans="1:13" x14ac:dyDescent="0.3">
      <c r="I32" s="94"/>
      <c r="J32" s="174"/>
    </row>
    <row r="33" spans="1:13" x14ac:dyDescent="0.3">
      <c r="I33" s="94"/>
      <c r="J33" s="174"/>
    </row>
    <row r="34" spans="1:13" x14ac:dyDescent="0.3">
      <c r="L34" s="175" t="s">
        <v>5</v>
      </c>
      <c r="M34" t="s">
        <v>18</v>
      </c>
    </row>
    <row r="36" spans="1:13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  <c r="L36" s="175" t="s">
        <v>636</v>
      </c>
      <c r="M36" t="s">
        <v>641</v>
      </c>
    </row>
    <row r="37" spans="1:13" x14ac:dyDescent="0.3">
      <c r="A37" t="s">
        <v>19</v>
      </c>
      <c r="B37" s="30">
        <v>4.140625</v>
      </c>
      <c r="C37" s="24">
        <v>4.2910256410256409</v>
      </c>
      <c r="D37" s="25">
        <v>4.2220000000000004</v>
      </c>
      <c r="E37" s="19">
        <v>4.4379999999999997</v>
      </c>
      <c r="L37" s="146" t="s">
        <v>19</v>
      </c>
      <c r="M37" s="174">
        <v>5</v>
      </c>
    </row>
    <row r="38" spans="1:13" x14ac:dyDescent="0.3">
      <c r="A38" t="s">
        <v>465</v>
      </c>
      <c r="B38" s="108"/>
      <c r="C38" s="108"/>
      <c r="D38" s="108"/>
      <c r="E38">
        <v>4.4240000000000004</v>
      </c>
      <c r="L38" s="146" t="s">
        <v>465</v>
      </c>
      <c r="M38" s="174">
        <v>5</v>
      </c>
    </row>
    <row r="39" spans="1:13" x14ac:dyDescent="0.3">
      <c r="A39" t="s">
        <v>464</v>
      </c>
      <c r="B39" s="108"/>
      <c r="C39" s="108"/>
      <c r="D39" s="108"/>
      <c r="E39">
        <v>4.4000000000000004</v>
      </c>
      <c r="L39" s="146" t="s">
        <v>20</v>
      </c>
      <c r="M39" s="174">
        <v>5</v>
      </c>
    </row>
    <row r="40" spans="1:13" x14ac:dyDescent="0.3">
      <c r="A40" t="s">
        <v>20</v>
      </c>
      <c r="B40" s="31">
        <v>3.959090909090909</v>
      </c>
      <c r="C40" s="27">
        <v>4.0384068278805119</v>
      </c>
      <c r="D40" s="12">
        <v>3.9769999999999999</v>
      </c>
      <c r="E40">
        <v>4.391</v>
      </c>
      <c r="L40" s="146" t="s">
        <v>466</v>
      </c>
      <c r="M40" s="174">
        <v>5</v>
      </c>
    </row>
    <row r="41" spans="1:13" x14ac:dyDescent="0.3">
      <c r="A41" t="s">
        <v>21</v>
      </c>
      <c r="B41" s="31">
        <v>4.0330086580086579</v>
      </c>
      <c r="C41" s="27">
        <v>4.125</v>
      </c>
      <c r="D41" s="27">
        <v>4.1500000000000004</v>
      </c>
      <c r="E41">
        <v>4.391</v>
      </c>
      <c r="L41" s="146" t="s">
        <v>463</v>
      </c>
      <c r="M41" s="174">
        <v>5</v>
      </c>
    </row>
    <row r="42" spans="1:13" x14ac:dyDescent="0.3">
      <c r="A42" t="s">
        <v>22</v>
      </c>
      <c r="B42" s="108"/>
      <c r="C42" s="108"/>
      <c r="D42" s="12">
        <v>4.133</v>
      </c>
      <c r="E42">
        <v>4.3479999999999999</v>
      </c>
      <c r="L42" s="146" t="s">
        <v>21</v>
      </c>
      <c r="M42" s="174">
        <v>5</v>
      </c>
    </row>
    <row r="43" spans="1:13" x14ac:dyDescent="0.3">
      <c r="A43" t="s">
        <v>466</v>
      </c>
      <c r="B43" s="108"/>
      <c r="C43" s="108"/>
      <c r="D43" s="108"/>
      <c r="E43">
        <v>4.2190000000000003</v>
      </c>
      <c r="L43" s="146" t="s">
        <v>22</v>
      </c>
      <c r="M43" s="174">
        <v>5</v>
      </c>
    </row>
    <row r="44" spans="1:13" x14ac:dyDescent="0.3">
      <c r="A44" t="s">
        <v>463</v>
      </c>
      <c r="B44" s="108"/>
      <c r="C44" s="108"/>
      <c r="D44" s="12">
        <v>4.1609999999999996</v>
      </c>
      <c r="E44">
        <v>4.1589999999999998</v>
      </c>
      <c r="L44" s="146" t="s">
        <v>23</v>
      </c>
      <c r="M44" s="174">
        <v>5</v>
      </c>
    </row>
    <row r="45" spans="1:13" ht="15" thickBot="1" x14ac:dyDescent="0.35">
      <c r="A45" t="s">
        <v>23</v>
      </c>
      <c r="B45" s="111"/>
      <c r="C45" s="18"/>
      <c r="D45" s="32">
        <v>3.8969999999999998</v>
      </c>
      <c r="E45" s="18">
        <v>4.125</v>
      </c>
      <c r="L45" s="146" t="s">
        <v>464</v>
      </c>
      <c r="M45" s="174">
        <v>5</v>
      </c>
    </row>
    <row r="46" spans="1:13" x14ac:dyDescent="0.3">
      <c r="L46" s="146" t="s">
        <v>637</v>
      </c>
      <c r="M46" s="174">
        <v>5</v>
      </c>
    </row>
  </sheetData>
  <autoFilter ref="A36:E45" xr:uid="{6014FF7A-9FB4-412C-936C-6653EAE12851}"/>
  <pageMargins left="0.7" right="0.7" top="0.75" bottom="0.75" header="0.3" footer="0.3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49C1F-B44C-4D09-8DF6-8A50A490B17E}">
  <sheetPr codeName="Hoja9"/>
  <dimension ref="B69:N86"/>
  <sheetViews>
    <sheetView topLeftCell="G19" workbookViewId="0">
      <selection activeCell="L29" sqref="L29:S30"/>
    </sheetView>
  </sheetViews>
  <sheetFormatPr baseColWidth="10" defaultRowHeight="14.4" x14ac:dyDescent="0.3"/>
  <sheetData>
    <row r="69" spans="2:14" x14ac:dyDescent="0.3">
      <c r="B69" s="165"/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166"/>
      <c r="N69" s="167"/>
    </row>
    <row r="70" spans="2:14" x14ac:dyDescent="0.3">
      <c r="B70" s="168" t="s">
        <v>632</v>
      </c>
      <c r="N70" s="169"/>
    </row>
    <row r="71" spans="2:14" x14ac:dyDescent="0.3">
      <c r="B71" s="168"/>
      <c r="N71" s="169"/>
    </row>
    <row r="72" spans="2:14" x14ac:dyDescent="0.3">
      <c r="B72" s="10" t="s">
        <v>5</v>
      </c>
      <c r="C72" s="10">
        <v>2021</v>
      </c>
      <c r="D72" s="10">
        <v>2022</v>
      </c>
      <c r="E72" s="11">
        <v>2023</v>
      </c>
      <c r="F72" s="11">
        <v>2024</v>
      </c>
      <c r="G72" s="43"/>
      <c r="N72" s="169"/>
    </row>
    <row r="73" spans="2:14" x14ac:dyDescent="0.3">
      <c r="B73" s="170" t="s">
        <v>18</v>
      </c>
      <c r="C73" s="17">
        <v>4.04</v>
      </c>
      <c r="D73" s="16">
        <v>3.9769999999999999</v>
      </c>
      <c r="E73" s="16">
        <v>3.9620000000000002</v>
      </c>
      <c r="F73" s="17">
        <v>4.194</v>
      </c>
      <c r="G73" s="108"/>
      <c r="N73" s="169"/>
    </row>
    <row r="74" spans="2:14" x14ac:dyDescent="0.3">
      <c r="B74" s="168"/>
      <c r="N74" s="169"/>
    </row>
    <row r="75" spans="2:14" x14ac:dyDescent="0.3">
      <c r="B75" s="168"/>
      <c r="N75" s="169"/>
    </row>
    <row r="76" spans="2:14" x14ac:dyDescent="0.3">
      <c r="B76" s="168"/>
      <c r="N76" s="169"/>
    </row>
    <row r="77" spans="2:14" x14ac:dyDescent="0.3">
      <c r="B77" s="168"/>
      <c r="D77" s="141"/>
      <c r="N77" s="169"/>
    </row>
    <row r="78" spans="2:14" x14ac:dyDescent="0.3">
      <c r="B78" s="168"/>
      <c r="N78" s="169"/>
    </row>
    <row r="79" spans="2:14" x14ac:dyDescent="0.3">
      <c r="B79" s="168"/>
      <c r="N79" s="169"/>
    </row>
    <row r="80" spans="2:14" x14ac:dyDescent="0.3">
      <c r="B80" s="168"/>
      <c r="N80" s="169"/>
    </row>
    <row r="81" spans="2:14" x14ac:dyDescent="0.3">
      <c r="B81" s="168"/>
      <c r="N81" s="169"/>
    </row>
    <row r="82" spans="2:14" x14ac:dyDescent="0.3">
      <c r="B82" s="168"/>
      <c r="N82" s="169"/>
    </row>
    <row r="83" spans="2:14" x14ac:dyDescent="0.3">
      <c r="B83" s="168"/>
      <c r="N83" s="169"/>
    </row>
    <row r="84" spans="2:14" x14ac:dyDescent="0.3">
      <c r="B84" s="168"/>
      <c r="N84" s="169"/>
    </row>
    <row r="85" spans="2:14" x14ac:dyDescent="0.3">
      <c r="B85" s="168"/>
      <c r="N85" s="169"/>
    </row>
    <row r="86" spans="2:14" x14ac:dyDescent="0.3">
      <c r="B86" s="171"/>
      <c r="C86" s="172"/>
      <c r="D86" s="172"/>
      <c r="E86" s="172"/>
      <c r="F86" s="172"/>
      <c r="G86" s="172"/>
      <c r="H86" s="172"/>
      <c r="I86" s="172"/>
      <c r="J86" s="172"/>
      <c r="K86" s="172"/>
      <c r="L86" s="172"/>
      <c r="M86" s="172"/>
      <c r="N86" s="17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2024-12-30T15:57:14Z</dcterms:modified>
</cp:coreProperties>
</file>