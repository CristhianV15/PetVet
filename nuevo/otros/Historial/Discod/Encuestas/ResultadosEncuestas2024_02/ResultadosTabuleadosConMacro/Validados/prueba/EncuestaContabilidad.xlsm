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prueba\"/>
    </mc:Choice>
  </mc:AlternateContent>
  <xr:revisionPtr revIDLastSave="0" documentId="13_ncr:1_{9D8821AF-5AFF-4E92-87DD-64C3E188DA97}" xr6:coauthVersionLast="47" xr6:coauthVersionMax="47" xr10:uidLastSave="{00000000-0000-0000-0000-000000000000}"/>
  <bookViews>
    <workbookView xWindow="-108" yWindow="-108" windowWidth="23256" windowHeight="13896" activeTab="3" xr2:uid="{33B226CF-D489-4D0F-8D70-DC6CBAFC18C2}"/>
  </bookViews>
  <sheets>
    <sheet name="DataUsuario" sheetId="19" r:id="rId1"/>
    <sheet name="EncuestaAreas" sheetId="18" r:id="rId2"/>
    <sheet name="UniversoAreas" sheetId="121" r:id="rId3"/>
    <sheet name="HistoricoAreas" sheetId="162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46" i="193" l="1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<sst xmlns="http://schemas.openxmlformats.org/spreadsheetml/2006/main" count="1685" uniqueCount="586">
  <si>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</si>
  <si>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</si>
  <si>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</si>
  <si>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</si>
  <si>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</si>
  <si>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</si>
  <si>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</si>
  <si>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</si>
  <si>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</si>
  <si>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</si>
  <si>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</si>
  <si>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</si>
  <si>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</si>
  <si>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</si>
  <si>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</si>
  <si>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</si>
  <si>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</si>
  <si>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</si>
  <si>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</si>
  <si>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</si>
  <si>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</si>
  <si>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</si>
  <si>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</si>
  <si>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</si>
  <si>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</si>
  <si>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</si>
  <si>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</si>
  <si>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</si>
  <si>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</si>
  <si>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</si>
  <si>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</si>
  <si>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</si>
  <si>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</si>
  <si>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</si>
  <si>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</si>
  <si>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</si>
  <si>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</si>
  <si>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</si>
  <si>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</si>
  <si>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</si>
  <si>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</si>
  <si>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</si>
  <si>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</si>
  <si>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</si>
  <si>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</si>
  <si>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</si>
  <si>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</si>
  <si>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</si>
  <si>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</si>
  <si>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</si>
  <si>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</si>
  <si>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</si>
  <si>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</si>
  <si>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</si>
  <si>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</si>
  <si>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</si>
  <si>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</si>
  <si>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</si>
  <si>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</si>
  <si>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</si>
  <si>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</si>
  <si>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</si>
  <si>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</si>
  <si>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</si>
  <si>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</si>
  <si>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</si>
  <si>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</si>
  <si>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</si>
  <si>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</si>
  <si>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</si>
  <si>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</si>
  <si>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</si>
  <si>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</si>
  <si>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</si>
  <si>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</si>
  <si>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</si>
  <si>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</si>
  <si>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</si>
  <si>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</si>
  <si>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</si>
  <si>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</si>
  <si>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</si>
  <si>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</si>
  <si>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</si>
  <si>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</si>
  <si>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</si>
  <si>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</si>
  <si>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</si>
  <si>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</si>
  <si>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</si>
  <si>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</si>
  <si>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</si>
  <si>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</si>
  <si>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</si>
  <si>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</si>
  <si>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</si>
  <si>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</si>
  <si>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</si>
  <si>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</si>
  <si>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</si>
  <si>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</si>
  <si>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</si>
  <si>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</si>
  <si>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</si>
  <si>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</si>
  <si>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</si>
  <si>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</si>
  <si>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</si>
  <si>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</si>
  <si>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</si>
  <si>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</si>
  <si>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</si>
  <si>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</si>
  <si>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</si>
  <si>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</si>
  <si>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</si>
  <si>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</si>
  <si>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</si>
  <si>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</si>
  <si>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</si>
  <si>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</si>
  <si>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</si>
  <si>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</si>
  <si>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</si>
  <si>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</si>
  <si>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</si>
  <si>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</si>
  <si>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</si>
  <si>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</si>
  <si>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</si>
  <si>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</si>
  <si>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</si>
  <si>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</si>
  <si>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</si>
  <si>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</si>
  <si>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</si>
  <si>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</si>
  <si>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</si>
  <si>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</si>
  <si>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</si>
  <si>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</si>
  <si>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</si>
  <si>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</si>
  <si>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</si>
  <si>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</si>
  <si>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</si>
  <si>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</si>
  <si>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</si>
  <si>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</si>
  <si>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</si>
  <si>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</si>
  <si>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</si>
  <si>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</si>
  <si>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</si>
  <si>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</si>
  <si>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</si>
  <si>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</si>
  <si>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</si>
  <si>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</si>
  <si>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</si>
  <si>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</si>
  <si>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</si>
  <si>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</si>
  <si>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</si>
  <si>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</si>
  <si>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</si>
  <si>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</si>
  <si>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</si>
  <si>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</si>
  <si>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</si>
  <si>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</si>
  <si>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</si>
  <si>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</si>
  <si>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</si>
  <si>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</si>
  <si>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</si>
  <si>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</si>
  <si>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</si>
  <si>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</si>
  <si>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</si>
  <si>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</si>
  <si>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</si>
  <si>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</si>
  <si>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</si>
  <si>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</si>
  <si>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</si>
  <si>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</si>
  <si>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</si>
  <si>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</si>
  <si>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</si>
  <si>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</si>
  <si>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</si>
  <si>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</si>
  <si>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</si>
  <si>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</si>
  <si>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</si>
  <si>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</si>
  <si>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</si>
  <si>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</si>
  <si>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</si>
  <si>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</si>
  <si>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</si>
  <si>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</si>
  <si>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</si>
  <si>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</si>
  <si>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</si>
  <si>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</si>
  <si>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</si>
  <si>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</si>
  <si>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</si>
  <si>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</si>
  <si>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</si>
  <si>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</si>
  <si>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</si>
  <si>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</si>
  <si>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</si>
  <si>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</si>
  <si>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</si>
  <si>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</si>
  <si>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</si>
  <si>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</si>
  <si>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</si>
  <si>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</si>
  <si>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</si>
  <si>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</si>
  <si>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</si>
  <si>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</si>
  <si>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</si>
  <si>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</si>
  <si>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</si>
  <si>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</si>
  <si>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</si>
  <si>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</si>
  <si>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</si>
  <si>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</si>
  <si>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</si>
  <si>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</si>
  <si>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</si>
  <si>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</si>
  <si>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</si>
  <si>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</si>
  <si>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</si>
  <si>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</si>
  <si>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</si>
  <si>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</si>
  <si>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</si>
  <si>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</si>
  <si>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</si>
  <si>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</si>
  <si>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</si>
  <si>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</si>
  <si>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</si>
  <si>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</si>
  <si>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</si>
  <si>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</si>
  <si>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</si>
  <si>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</si>
  <si>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</si>
  <si>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</si>
  <si>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</si>
  <si>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</si>
  <si>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</si>
  <si>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</si>
  <si>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</si>
  <si>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</si>
  <si>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</si>
  <si>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</si>
  <si>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</si>
  <si>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</si>
  <si>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</si>
  <si>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</si>
  <si>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</si>
  <si>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</si>
  <si>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</si>
  <si>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</si>
  <si>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</si>
  <si>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</si>
  <si>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</si>
  <si>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</si>
  <si>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</si>
  <si>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</si>
  <si>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</si>
  <si>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</si>
  <si>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</si>
  <si>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</si>
  <si>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</si>
  <si>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</si>
  <si>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</si>
  <si>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</si>
  <si>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</si>
  <si>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</si>
  <si>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</si>
  <si>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</si>
  <si>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</si>
  <si>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</si>
  <si>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</si>
  <si>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</si>
  <si>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</si>
  <si>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</si>
  <si>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</si>
  <si>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</si>
  <si>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</si>
  <si>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</si>
  <si>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</si>
  <si>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</si>
  <si>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</si>
  <si>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</si>
  <si>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</si>
  <si>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</si>
  <si>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</si>
  <si>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</si>
  <si>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</si>
  <si>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</si>
  <si>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</si>
  <si>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</si>
  <si>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</si>
  <si>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</si>
  <si>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</si>
  <si>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</si>
  <si>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</si>
  <si>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</si>
  <si>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</si>
  <si>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</si>
  <si>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</si>
  <si>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</si>
  <si>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</si>
  <si>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</si>
  <si>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</si>
  <si>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</si>
  <si>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</si>
  <si>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</si>
  <si>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</si>
  <si>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</si>
  <si>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</si>
  <si>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</si>
  <si>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</si>
  <si>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</si>
  <si>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</si>
  <si>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</si>
  <si>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</si>
  <si>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</si>
  <si>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</si>
  <si>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</si>
  <si>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</si>
  <si>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</si>
  <si>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</si>
  <si>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</si>
  <si>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</si>
  <si>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</si>
  <si>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</si>
  <si>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</si>
  <si>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</si>
  <si>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</si>
  <si>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</si>
  <si>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</si>
  <si>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</si>
  <si>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</si>
  <si>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</si>
  <si>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</si>
  <si>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</si>
  <si>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</si>
  <si>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</si>
  <si>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</si>
  <si>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</si>
  <si>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</si>
  <si>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</si>
  <si>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</si>
  <si>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</si>
  <si>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</si>
  <si>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</si>
  <si>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</si>
  <si>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</si>
  <si>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</si>
  <si>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</si>
  <si>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</si>
  <si>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</si>
  <si>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</si>
  <si>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</si>
  <si>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</si>
  <si>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</si>
  <si>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</si>
  <si>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</si>
  <si>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</si>
  <si>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</si>
  <si>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</si>
  <si>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</si>
  <si>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</si>
  <si>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</si>
  <si>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</si>
  <si>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</si>
  <si>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</si>
  <si>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</si>
  <si>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</si>
  <si>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</si>
  <si>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</si>
  <si>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</si>
  <si>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</si>
  <si>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</si>
  <si>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</si>
  <si>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</si>
  <si>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</si>
  <si>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</si>
  <si>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</si>
  <si>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</si>
  <si>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</si>
  <si>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</si>
  <si>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</si>
  <si>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</si>
  <si>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</si>
  <si>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</si>
  <si>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</si>
  <si>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</si>
  <si>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</si>
  <si>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</si>
  <si>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</si>
  <si>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</si>
  <si>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</si>
  <si>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</si>
  <si>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</si>
  <si>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</si>
  <si>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</si>
  <si>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</si>
  <si>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</si>
  <si>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</si>
  <si>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</si>
  <si>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</si>
  <si>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</si>
  <si>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</si>
  <si>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</si>
  <si>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</si>
  <si>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</si>
  <si>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</si>
  <si>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</si>
  <si>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</si>
  <si>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</si>
  <si>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</si>
  <si>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</si>
  <si>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</si>
  <si>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</si>
  <si>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</si>
  <si>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</si>
  <si>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</si>
  <si>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</si>
  <si>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</si>
  <si>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</si>
  <si>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</si>
  <si>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</si>
  <si>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</si>
  <si>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</si>
  <si>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</si>
  <si>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</si>
  <si>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</si>
  <si>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</si>
  <si>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</si>
  <si>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</si>
  <si>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</si>
  <si>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</si>
  <si>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</si>
  <si>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</si>
  <si>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</si>
  <si>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</si>
  <si>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</si>
  <si>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</si>
  <si>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</si>
  <si>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</si>
  <si>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</si>
  <si>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</si>
  <si>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</si>
  <si>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</si>
  <si>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</si>
  <si>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</si>
  <si>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</si>
  <si>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</si>
  <si>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</si>
  <si>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</si>
  <si>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</si>
  <si>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</si>
  <si>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</si>
  <si>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</si>
  <si>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</si>
  <si>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</si>
  <si>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</si>
  <si>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</si>
  <si>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</si>
  <si>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</si>
  <si>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</si>
  <si>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</si>
  <si>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</si>
  <si>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</si>
  <si>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</si>
  <si>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</si>
  <si>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</si>
  <si>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</si>
  <si>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</si>
  <si>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</si>
  <si>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</si>
  <si>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</si>
  <si>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</si>
  <si>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</si>
  <si>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</si>
  <si>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</si>
  <si>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</si>
  <si>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</si>
  <si>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</si>
  <si>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</si>
  <si>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</si>
  <si>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</si>
  <si>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</si>
  <si>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</si>
  <si>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</si>
  <si>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</si>
  <si>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</si>
  <si>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</si>
  <si>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</si>
  <si>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</si>
  <si>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</si>
  <si>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</si>
  <si>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</si>
  <si>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</si>
  <si>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</si>
  <si>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</si>
  <si>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</si>
  <si>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</si>
  <si>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</si>
  <si>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</si>
  <si>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</si>
  <si>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</si>
  <si>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</si>
  <si>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</si>
  <si>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</si>
  <si>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</si>
  <si>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</si>
  <si>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</si>
  <si>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</si>
  <si>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</si>
  <si>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</si>
  <si>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</si>
  <si>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</si>
  <si>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</si>
  <si>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</si>
  <si>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</si>
  <si>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</si>
  <si>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</si>
  <si>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</si>
  <si>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</si>
  <si>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</si>
  <si>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</si>
  <si>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</si>
  <si>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</si>
  <si>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</si>
  <si>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</si>
  <si>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</si>
  <si>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</si>
  <si>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</si>
  <si>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</si>
  <si>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</si>
  <si>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</si>
  <si>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</si>
  <si>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</si>
  <si>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</si>
  <si>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</si>
  <si>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</si>
  <si>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</si>
  <si>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</si>
  <si>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</si>
  <si>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</si>
  <si>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</si>
  <si>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</si>
  <si>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</si>
  <si>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</si>
  <si>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</si>
  <si>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</si>
  <si>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</si>
  <si>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</si>
  <si>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</si>
  <si>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</si>
  <si>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</si>
  <si>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</si>
  <si>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</si>
  <si>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</si>
  <si>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</si>
  <si>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</si>
  <si>
    <t>Roy James Romero Collantes</t>
  </si>
  <si>
    <t>RRomeroC@agricolachira.com.pe</t>
  </si>
  <si>
    <t>Industrial y de Mantenimiento</t>
  </si>
  <si>
    <t>OMontenegroC@agricolachira.com.pe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</si>
</sst>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6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3" fillId="0" borderId="0" xfId="2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7</xdr:row>
          <xdr:rowOff>83820</xdr:rowOff>
        </xdr:from>
        <xdr:to>
          <xdr:col>17</xdr:col>
          <xdr:colOff>327660</xdr:colOff>
          <xdr:row>10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2" totalsRowShown="0">
  <autoFilter ref="A1:D202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RomeroC@agricolachira.com.pe" TargetMode="External"/><Relationship Id="rId2" Type="http://schemas.openxmlformats.org/officeDocument/2006/relationships/hyperlink" Target="mailto:jcastillor@agricolachira.com.pe" TargetMode="External"/><Relationship Id="rId1" Type="http://schemas.openxmlformats.org/officeDocument/2006/relationships/hyperlink" Target="mailto:frodriguezv@agricolachira.com.pe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OMontenegroC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2"/>
  <sheetViews>
    <sheetView workbookViewId="0">
      <pane ySplit="1" topLeftCell="A38" activePane="bottomLeft" state="frozen"/>
      <selection pane="bottomLeft" activeCell="C50" sqref="C50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145" t="s">
        <v>585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571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572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154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573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574</v>
      </c>
      <c r="B198" t="s">
        <v>575</v>
      </c>
      <c r="C198" t="s">
        <v>74</v>
      </c>
      <c r="D198" t="s">
        <v>75</v>
      </c>
    </row>
    <row r="199" spans="1:4" x14ac:dyDescent="0.3">
      <c r="A199" t="s">
        <v>576</v>
      </c>
      <c r="B199" t="s">
        <v>577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578</v>
      </c>
      <c r="B201" s="145" t="s">
        <v>579</v>
      </c>
      <c r="C201" t="s">
        <v>62</v>
      </c>
      <c r="D201" t="s">
        <v>190</v>
      </c>
    </row>
    <row r="202" spans="1:4" x14ac:dyDescent="0.3">
      <c r="A202" t="s">
        <v>582</v>
      </c>
      <c r="B202" s="145" t="s">
        <v>583</v>
      </c>
      <c r="C202" t="s">
        <v>584</v>
      </c>
      <c r="D202" t="s">
        <v>75</v>
      </c>
    </row>
  </sheetData>
  <hyperlinks>
    <hyperlink ref="B201" r:id="rId1" xr:uid="{4639259E-7F68-4588-B695-4C7A249AEA4C}"/>
    <hyperlink ref="B192" r:id="rId2" xr:uid="{3F4510AB-8C8F-4C61-ABC4-D333C2D5C547}"/>
    <hyperlink ref="B202" r:id="rId3" xr:uid="{2C1266E7-1AFE-4AB9-AF72-479D193F72D3}"/>
    <hyperlink ref="B145" r:id="rId4" xr:uid="{1723AC38-8B7B-4CEC-A67E-4004DFB5FBC2}"/>
  </hyperlinks>
  <pageMargins left="0.7" right="0.7" top="0.75" bottom="0.75" header="0.3" footer="0.3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30" sqref="B30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B12" sqref="B1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70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54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79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tabSelected="1" zoomScale="85" zoomScaleNormal="85" workbookViewId="0">
      <selection activeCell="B14" sqref="B14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57"/>
      <c r="L1" s="157"/>
      <c r="M1" s="157"/>
      <c r="N1" s="157"/>
      <c r="O1" s="157"/>
      <c r="P1" s="157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57"/>
      <c r="L2" s="157"/>
      <c r="M2" s="157"/>
      <c r="N2" s="157"/>
      <c r="O2" s="157"/>
      <c r="P2" s="157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56" t="s">
        <v>509</v>
      </c>
      <c r="N6" s="156"/>
      <c r="O6" s="156"/>
      <c r="P6" s="156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505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55" t="s">
        <v>456</v>
      </c>
    </row>
    <row r="19" spans="1:16" x14ac:dyDescent="0.3">
      <c r="B19" s="155"/>
    </row>
    <row r="26" spans="1:16" x14ac:dyDescent="0.3">
      <c r="K26" t="s">
        <v>506</v>
      </c>
      <c r="M26" s="156" t="s">
        <v>509</v>
      </c>
      <c r="N26" s="156"/>
      <c r="O26" s="156"/>
      <c r="P26" s="156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505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505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 t="s">
        <v>505</v>
      </c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505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505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505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505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505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505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505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505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505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505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505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505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505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505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505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505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505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505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505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28">
        <v>4.157</v>
      </c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28">
        <v>3.9860000000000002</v>
      </c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28">
        <v>4.3970000000000002</v>
      </c>
      <c r="F88" t="s">
        <v>505</v>
      </c>
    </row>
    <row r="89" spans="1:6" x14ac:dyDescent="0.3">
      <c r="A89" s="124" t="s">
        <v>45</v>
      </c>
      <c r="B89" s="124" t="s">
        <v>55</v>
      </c>
      <c r="E89" s="12">
        <v>3.9830000000000001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32">
        <v>4.1109999999999998</v>
      </c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"/>
  <sheetViews>
    <sheetView workbookViewId="0">
      <pane ySplit="1" topLeftCell="A2" activePane="bottomLeft" state="frozenSplit"/>
      <selection pane="bottomLeft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7</xdr:row>
                    <xdr:rowOff>83820</xdr:rowOff>
                  </from>
                  <to>
                    <xdr:col>17</xdr:col>
                    <xdr:colOff>327660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6" zoomScale="86" workbookViewId="0">
      <selection activeCell="C19" sqref="C1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3" t="s">
        <v>474</v>
      </c>
      <c r="C4" s="173" t="s">
        <v>5</v>
      </c>
      <c r="D4" s="173" t="s">
        <v>475</v>
      </c>
      <c r="E4" s="162" t="s">
        <v>476</v>
      </c>
      <c r="F4" s="162"/>
      <c r="G4" s="162"/>
      <c r="H4" s="162"/>
      <c r="I4" s="160" t="s">
        <v>477</v>
      </c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161"/>
    </row>
    <row r="5" spans="2:83" x14ac:dyDescent="0.3">
      <c r="B5" s="173"/>
      <c r="C5" s="173"/>
      <c r="D5" s="173"/>
      <c r="E5" s="162" t="s">
        <v>478</v>
      </c>
      <c r="F5" s="162"/>
      <c r="G5" s="45" t="s">
        <v>479</v>
      </c>
      <c r="H5" s="45"/>
      <c r="I5" s="175" t="s">
        <v>480</v>
      </c>
      <c r="J5" s="164" t="s">
        <v>481</v>
      </c>
      <c r="K5" s="158"/>
      <c r="L5" s="158"/>
      <c r="M5" s="158"/>
      <c r="N5" s="158"/>
      <c r="O5" s="158"/>
      <c r="P5" s="158" t="s">
        <v>482</v>
      </c>
      <c r="Q5" s="158"/>
      <c r="R5" s="158"/>
      <c r="S5" s="158"/>
      <c r="T5" s="158"/>
      <c r="U5" s="158"/>
      <c r="V5" s="158" t="s">
        <v>483</v>
      </c>
      <c r="W5" s="158"/>
      <c r="X5" s="158"/>
      <c r="Y5" s="158"/>
      <c r="Z5" s="158"/>
      <c r="AA5" s="158"/>
      <c r="AB5" s="158" t="s">
        <v>484</v>
      </c>
      <c r="AC5" s="158"/>
      <c r="AD5" s="158"/>
      <c r="AE5" s="158"/>
      <c r="AF5" s="158"/>
      <c r="AG5" s="158"/>
      <c r="AH5" s="158" t="s">
        <v>485</v>
      </c>
      <c r="AI5" s="158"/>
      <c r="AJ5" s="158"/>
      <c r="AK5" s="158"/>
      <c r="AL5" s="158"/>
      <c r="AM5" s="158"/>
      <c r="AN5" s="158" t="s">
        <v>486</v>
      </c>
      <c r="AO5" s="158"/>
      <c r="AP5" s="158"/>
      <c r="AQ5" s="158"/>
      <c r="AR5" s="158"/>
      <c r="AS5" s="158"/>
      <c r="AT5" s="158" t="s">
        <v>487</v>
      </c>
      <c r="AU5" s="158"/>
      <c r="AV5" s="158"/>
      <c r="AW5" s="158"/>
      <c r="AX5" s="158"/>
      <c r="AY5" s="158"/>
      <c r="AZ5" s="158" t="s">
        <v>488</v>
      </c>
      <c r="BA5" s="158"/>
      <c r="BB5" s="158"/>
      <c r="BC5" s="158"/>
      <c r="BD5" s="158"/>
      <c r="BE5" s="159"/>
      <c r="BF5" s="158" t="s">
        <v>516</v>
      </c>
      <c r="BG5" s="158"/>
      <c r="BH5" s="158"/>
      <c r="BI5" s="158"/>
      <c r="BJ5" s="158"/>
      <c r="BK5" s="159"/>
      <c r="BL5" s="158" t="s">
        <v>517</v>
      </c>
      <c r="BM5" s="158"/>
      <c r="BN5" s="158"/>
      <c r="BO5" s="158"/>
      <c r="BP5" s="158"/>
      <c r="BQ5" s="159"/>
      <c r="BR5" s="158" t="s">
        <v>518</v>
      </c>
      <c r="BS5" s="158"/>
      <c r="BT5" s="158"/>
      <c r="BU5" s="158"/>
      <c r="BV5" s="158"/>
      <c r="BW5" s="159"/>
      <c r="CC5" s="162" t="s">
        <v>489</v>
      </c>
      <c r="CD5" s="162"/>
      <c r="CE5" s="162"/>
    </row>
    <row r="6" spans="2:83" x14ac:dyDescent="0.3">
      <c r="B6" s="174"/>
      <c r="C6" s="174"/>
      <c r="D6" s="174"/>
      <c r="E6" s="46" t="s">
        <v>480</v>
      </c>
      <c r="F6" s="46" t="s">
        <v>490</v>
      </c>
      <c r="G6" s="46" t="s">
        <v>480</v>
      </c>
      <c r="H6" s="46" t="s">
        <v>490</v>
      </c>
      <c r="I6" s="175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73" t="s">
        <v>474</v>
      </c>
      <c r="C22" s="173" t="s">
        <v>5</v>
      </c>
      <c r="D22" s="173" t="s">
        <v>475</v>
      </c>
      <c r="E22" s="162" t="s">
        <v>476</v>
      </c>
      <c r="F22" s="162"/>
      <c r="G22" s="162"/>
      <c r="H22" s="162"/>
      <c r="I22" s="160" t="s">
        <v>477</v>
      </c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/>
      <c r="BW22" s="161"/>
    </row>
    <row r="23" spans="2:75" x14ac:dyDescent="0.3">
      <c r="B23" s="173"/>
      <c r="C23" s="173"/>
      <c r="D23" s="173"/>
      <c r="E23" s="162" t="s">
        <v>478</v>
      </c>
      <c r="F23" s="162"/>
      <c r="G23" s="45" t="s">
        <v>479</v>
      </c>
      <c r="H23" s="45"/>
      <c r="I23" s="175" t="s">
        <v>480</v>
      </c>
      <c r="J23" s="164" t="s">
        <v>481</v>
      </c>
      <c r="K23" s="158"/>
      <c r="L23" s="158"/>
      <c r="M23" s="158"/>
      <c r="N23" s="158"/>
      <c r="O23" s="158"/>
      <c r="P23" s="158" t="s">
        <v>482</v>
      </c>
      <c r="Q23" s="158"/>
      <c r="R23" s="158"/>
      <c r="S23" s="158"/>
      <c r="T23" s="158"/>
      <c r="U23" s="158"/>
      <c r="V23" s="158" t="s">
        <v>483</v>
      </c>
      <c r="W23" s="158"/>
      <c r="X23" s="158"/>
      <c r="Y23" s="158"/>
      <c r="Z23" s="158"/>
      <c r="AA23" s="158"/>
      <c r="AB23" s="158" t="s">
        <v>484</v>
      </c>
      <c r="AC23" s="158"/>
      <c r="AD23" s="158"/>
      <c r="AE23" s="158"/>
      <c r="AF23" s="158"/>
      <c r="AG23" s="158"/>
      <c r="AH23" s="158" t="s">
        <v>485</v>
      </c>
      <c r="AI23" s="158"/>
      <c r="AJ23" s="158"/>
      <c r="AK23" s="158"/>
      <c r="AL23" s="158"/>
      <c r="AM23" s="158"/>
      <c r="AN23" s="158" t="s">
        <v>486</v>
      </c>
      <c r="AO23" s="158"/>
      <c r="AP23" s="158"/>
      <c r="AQ23" s="158"/>
      <c r="AR23" s="158"/>
      <c r="AS23" s="158"/>
      <c r="AT23" s="158" t="s">
        <v>487</v>
      </c>
      <c r="AU23" s="158"/>
      <c r="AV23" s="158"/>
      <c r="AW23" s="158"/>
      <c r="AX23" s="158"/>
      <c r="AY23" s="158"/>
      <c r="AZ23" s="158" t="s">
        <v>488</v>
      </c>
      <c r="BA23" s="158"/>
      <c r="BB23" s="158"/>
      <c r="BC23" s="158"/>
      <c r="BD23" s="158"/>
      <c r="BE23" s="159"/>
      <c r="BF23" s="158" t="s">
        <v>516</v>
      </c>
      <c r="BG23" s="158"/>
      <c r="BH23" s="158"/>
      <c r="BI23" s="158"/>
      <c r="BJ23" s="158"/>
      <c r="BK23" s="159"/>
      <c r="BL23" s="158" t="s">
        <v>517</v>
      </c>
      <c r="BM23" s="158"/>
      <c r="BN23" s="158"/>
      <c r="BO23" s="158"/>
      <c r="BP23" s="158"/>
      <c r="BQ23" s="159"/>
      <c r="BR23" s="158" t="s">
        <v>518</v>
      </c>
      <c r="BS23" s="158"/>
      <c r="BT23" s="158"/>
      <c r="BU23" s="158"/>
      <c r="BV23" s="158"/>
      <c r="BW23" s="159"/>
    </row>
    <row r="24" spans="2:75" x14ac:dyDescent="0.3">
      <c r="B24" s="174"/>
      <c r="C24" s="174"/>
      <c r="D24" s="174"/>
      <c r="E24" s="46" t="s">
        <v>480</v>
      </c>
      <c r="F24" s="46" t="s">
        <v>490</v>
      </c>
      <c r="G24" s="46" t="s">
        <v>480</v>
      </c>
      <c r="H24" s="46" t="s">
        <v>490</v>
      </c>
      <c r="I24" s="175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65" t="s">
        <v>474</v>
      </c>
      <c r="F43" s="167" t="s">
        <v>5</v>
      </c>
      <c r="G43" s="168"/>
      <c r="H43" s="168"/>
      <c r="I43" s="169"/>
      <c r="J43" s="163" t="s">
        <v>502</v>
      </c>
      <c r="K43" s="161"/>
      <c r="L43" s="161"/>
      <c r="M43" s="161"/>
      <c r="N43" s="161"/>
      <c r="O43" s="161"/>
      <c r="P43" s="161"/>
      <c r="Q43" s="161"/>
      <c r="R43" s="161"/>
      <c r="S43" s="161"/>
      <c r="T43" s="161"/>
    </row>
    <row r="44" spans="2:75" x14ac:dyDescent="0.3">
      <c r="E44" s="166"/>
      <c r="F44" s="170"/>
      <c r="G44" s="171"/>
      <c r="H44" s="171"/>
      <c r="I44" s="172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62" t="s">
        <v>489</v>
      </c>
      <c r="K57" s="162"/>
      <c r="L57" s="162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3" t="s">
        <v>474</v>
      </c>
      <c r="C4" s="173" t="s">
        <v>5</v>
      </c>
      <c r="D4" s="173" t="s">
        <v>475</v>
      </c>
      <c r="E4" s="162" t="s">
        <v>476</v>
      </c>
      <c r="F4" s="162"/>
      <c r="G4" s="162"/>
      <c r="H4" s="162"/>
      <c r="I4" s="160" t="s">
        <v>477</v>
      </c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161"/>
    </row>
    <row r="5" spans="2:83" x14ac:dyDescent="0.3">
      <c r="B5" s="173"/>
      <c r="C5" s="173"/>
      <c r="D5" s="173"/>
      <c r="E5" s="162" t="s">
        <v>478</v>
      </c>
      <c r="F5" s="162"/>
      <c r="G5" s="45" t="s">
        <v>479</v>
      </c>
      <c r="H5" s="45"/>
      <c r="I5" s="175" t="s">
        <v>480</v>
      </c>
      <c r="J5" s="164" t="s">
        <v>481</v>
      </c>
      <c r="K5" s="158"/>
      <c r="L5" s="158"/>
      <c r="M5" s="158"/>
      <c r="N5" s="158"/>
      <c r="O5" s="158"/>
      <c r="P5" s="158" t="s">
        <v>482</v>
      </c>
      <c r="Q5" s="158"/>
      <c r="R5" s="158"/>
      <c r="S5" s="158"/>
      <c r="T5" s="158"/>
      <c r="U5" s="158"/>
      <c r="V5" s="158" t="s">
        <v>483</v>
      </c>
      <c r="W5" s="158"/>
      <c r="X5" s="158"/>
      <c r="Y5" s="158"/>
      <c r="Z5" s="158"/>
      <c r="AA5" s="158"/>
      <c r="AB5" s="158" t="s">
        <v>484</v>
      </c>
      <c r="AC5" s="158"/>
      <c r="AD5" s="158"/>
      <c r="AE5" s="158"/>
      <c r="AF5" s="158"/>
      <c r="AG5" s="158"/>
      <c r="AH5" s="158" t="s">
        <v>485</v>
      </c>
      <c r="AI5" s="158"/>
      <c r="AJ5" s="158"/>
      <c r="AK5" s="158"/>
      <c r="AL5" s="158"/>
      <c r="AM5" s="158"/>
      <c r="AN5" s="158" t="s">
        <v>486</v>
      </c>
      <c r="AO5" s="158"/>
      <c r="AP5" s="158"/>
      <c r="AQ5" s="158"/>
      <c r="AR5" s="158"/>
      <c r="AS5" s="158"/>
      <c r="AT5" s="158" t="s">
        <v>487</v>
      </c>
      <c r="AU5" s="158"/>
      <c r="AV5" s="158"/>
      <c r="AW5" s="158"/>
      <c r="AX5" s="158"/>
      <c r="AY5" s="158"/>
      <c r="AZ5" s="158" t="s">
        <v>488</v>
      </c>
      <c r="BA5" s="158"/>
      <c r="BB5" s="158"/>
      <c r="BC5" s="158"/>
      <c r="BD5" s="158"/>
      <c r="BE5" s="159"/>
      <c r="BF5" s="158" t="s">
        <v>516</v>
      </c>
      <c r="BG5" s="158"/>
      <c r="BH5" s="158"/>
      <c r="BI5" s="158"/>
      <c r="BJ5" s="158"/>
      <c r="BK5" s="159"/>
      <c r="BL5" s="158" t="s">
        <v>517</v>
      </c>
      <c r="BM5" s="158"/>
      <c r="BN5" s="158"/>
      <c r="BO5" s="158"/>
      <c r="BP5" s="158"/>
      <c r="BQ5" s="159"/>
      <c r="BR5" s="158" t="s">
        <v>518</v>
      </c>
      <c r="BS5" s="158"/>
      <c r="BT5" s="158"/>
      <c r="BU5" s="158"/>
      <c r="BV5" s="158"/>
      <c r="BW5" s="159"/>
      <c r="CC5" s="162" t="s">
        <v>489</v>
      </c>
      <c r="CD5" s="162"/>
      <c r="CE5" s="162"/>
    </row>
    <row r="6" spans="2:83" x14ac:dyDescent="0.3">
      <c r="B6" s="174"/>
      <c r="C6" s="174"/>
      <c r="D6" s="174"/>
      <c r="E6" s="46" t="s">
        <v>480</v>
      </c>
      <c r="F6" s="46" t="s">
        <v>490</v>
      </c>
      <c r="G6" s="46" t="s">
        <v>480</v>
      </c>
      <c r="H6" s="46" t="s">
        <v>490</v>
      </c>
      <c r="I6" s="175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  <c r="O14" t="s">
        <v>581</v>
      </c>
    </row>
    <row r="16" spans="2:83" x14ac:dyDescent="0.3">
      <c r="B16" s="173" t="s">
        <v>474</v>
      </c>
      <c r="C16" s="173" t="s">
        <v>5</v>
      </c>
      <c r="D16" s="173" t="s">
        <v>475</v>
      </c>
      <c r="E16" s="162" t="s">
        <v>476</v>
      </c>
      <c r="F16" s="162"/>
      <c r="G16" s="162"/>
      <c r="H16" s="162"/>
      <c r="I16" s="160" t="s">
        <v>477</v>
      </c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</row>
    <row r="17" spans="2:75" x14ac:dyDescent="0.3">
      <c r="B17" s="173"/>
      <c r="C17" s="173"/>
      <c r="D17" s="173"/>
      <c r="E17" s="162" t="s">
        <v>478</v>
      </c>
      <c r="F17" s="162"/>
      <c r="G17" s="45" t="s">
        <v>479</v>
      </c>
      <c r="H17" s="45"/>
      <c r="I17" s="175" t="s">
        <v>480</v>
      </c>
      <c r="J17" s="164" t="s">
        <v>481</v>
      </c>
      <c r="K17" s="158"/>
      <c r="L17" s="158"/>
      <c r="M17" s="158"/>
      <c r="N17" s="158"/>
      <c r="O17" s="158"/>
      <c r="P17" s="158" t="s">
        <v>482</v>
      </c>
      <c r="Q17" s="158"/>
      <c r="R17" s="158"/>
      <c r="S17" s="158"/>
      <c r="T17" s="158"/>
      <c r="U17" s="158"/>
      <c r="V17" s="158" t="s">
        <v>483</v>
      </c>
      <c r="W17" s="158"/>
      <c r="X17" s="158"/>
      <c r="Y17" s="158"/>
      <c r="Z17" s="158"/>
      <c r="AA17" s="158"/>
      <c r="AB17" s="158" t="s">
        <v>484</v>
      </c>
      <c r="AC17" s="158"/>
      <c r="AD17" s="158"/>
      <c r="AE17" s="158"/>
      <c r="AF17" s="158"/>
      <c r="AG17" s="158"/>
      <c r="AH17" s="158" t="s">
        <v>485</v>
      </c>
      <c r="AI17" s="158"/>
      <c r="AJ17" s="158"/>
      <c r="AK17" s="158"/>
      <c r="AL17" s="158"/>
      <c r="AM17" s="158"/>
      <c r="AN17" s="158" t="s">
        <v>486</v>
      </c>
      <c r="AO17" s="158"/>
      <c r="AP17" s="158"/>
      <c r="AQ17" s="158"/>
      <c r="AR17" s="158"/>
      <c r="AS17" s="158"/>
      <c r="AT17" s="158" t="s">
        <v>487</v>
      </c>
      <c r="AU17" s="158"/>
      <c r="AV17" s="158"/>
      <c r="AW17" s="158"/>
      <c r="AX17" s="158"/>
      <c r="AY17" s="158"/>
      <c r="AZ17" s="158" t="s">
        <v>488</v>
      </c>
      <c r="BA17" s="158"/>
      <c r="BB17" s="158"/>
      <c r="BC17" s="158"/>
      <c r="BD17" s="158"/>
      <c r="BE17" s="159"/>
      <c r="BF17" s="158" t="s">
        <v>516</v>
      </c>
      <c r="BG17" s="158"/>
      <c r="BH17" s="158"/>
      <c r="BI17" s="158"/>
      <c r="BJ17" s="158"/>
      <c r="BK17" s="159"/>
      <c r="BL17" s="158" t="s">
        <v>517</v>
      </c>
      <c r="BM17" s="158"/>
      <c r="BN17" s="158"/>
      <c r="BO17" s="158"/>
      <c r="BP17" s="158"/>
      <c r="BQ17" s="159"/>
      <c r="BR17" s="158" t="s">
        <v>518</v>
      </c>
      <c r="BS17" s="158"/>
      <c r="BT17" s="158"/>
      <c r="BU17" s="158"/>
      <c r="BV17" s="158"/>
      <c r="BW17" s="159"/>
    </row>
    <row r="18" spans="2:75" x14ac:dyDescent="0.3">
      <c r="B18" s="174"/>
      <c r="C18" s="174"/>
      <c r="D18" s="174"/>
      <c r="E18" s="46" t="s">
        <v>480</v>
      </c>
      <c r="F18" s="46" t="s">
        <v>490</v>
      </c>
      <c r="G18" s="46" t="s">
        <v>480</v>
      </c>
      <c r="H18" s="46" t="s">
        <v>490</v>
      </c>
      <c r="I18" s="175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</v>
      </c>
      <c r="N19" s="78">
        <f>IF(AND(N7&lt;&gt;"",N7&gt;0),(VLOOKUP(N$6,$CC$6:$CE$12,3,0)*N7)/SUM($J7:$N7),0)</f>
        <v>0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</v>
      </c>
      <c r="T19" s="78">
        <f t="shared" si="2"/>
        <v>0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0</v>
      </c>
      <c r="N20" s="78">
        <f t="shared" ref="N20" si="13">IF(AND(N8&lt;&gt;"",N8&gt;0),(VLOOKUP(N$6,$CC$6:$CE$12,3,0)*N8)/SUM($J8:$N8),0)</f>
        <v>0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0</v>
      </c>
      <c r="T20" s="78">
        <f t="shared" si="2"/>
        <v>0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</v>
      </c>
      <c r="Z20" s="78">
        <f t="shared" si="4"/>
        <v>0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0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0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0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0</v>
      </c>
      <c r="N23" s="78">
        <f t="shared" si="30"/>
        <v>0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0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0</v>
      </c>
      <c r="Z23" s="78">
        <f t="shared" si="4"/>
        <v>0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65" t="s">
        <v>474</v>
      </c>
      <c r="F31" s="167" t="s">
        <v>5</v>
      </c>
      <c r="G31" s="168"/>
      <c r="H31" s="168"/>
      <c r="I31" s="169"/>
      <c r="J31" s="163" t="s">
        <v>502</v>
      </c>
      <c r="K31" s="161"/>
      <c r="L31" s="161"/>
      <c r="M31" s="161"/>
      <c r="N31" s="161"/>
      <c r="O31" s="161"/>
      <c r="P31" s="161"/>
      <c r="Q31" s="161"/>
      <c r="R31" s="161"/>
      <c r="S31" s="161"/>
      <c r="T31" s="161"/>
    </row>
    <row r="32" spans="2:75" x14ac:dyDescent="0.3">
      <c r="E32" s="166"/>
      <c r="F32" s="170"/>
      <c r="G32" s="171"/>
      <c r="H32" s="171"/>
      <c r="I32" s="172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0</v>
      </c>
      <c r="K33" s="91">
        <f>SUM(P19:U19)</f>
        <v>0</v>
      </c>
      <c r="L33" s="91">
        <f>SUM(V19:AA19)</f>
        <v>0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0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0</v>
      </c>
      <c r="K34" s="96">
        <f>SUM(P20:U20)</f>
        <v>0</v>
      </c>
      <c r="L34" s="96">
        <f>SUM(V20:AA20)</f>
        <v>0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0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0</v>
      </c>
      <c r="K35" s="96">
        <f>SUM(P21:U21)</f>
        <v>0</v>
      </c>
      <c r="L35" s="96">
        <f>SUM(V21:AA21)</f>
        <v>0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0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0</v>
      </c>
      <c r="K36" s="96">
        <f>SUM(P22:U22)</f>
        <v>0</v>
      </c>
      <c r="L36" s="96">
        <f>SUM(V22:AA22)</f>
        <v>0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0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0</v>
      </c>
      <c r="K37" s="96">
        <f>SUM(P23:U23)</f>
        <v>0</v>
      </c>
      <c r="L37" s="96">
        <f>SUM(V23:AA23)</f>
        <v>0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0</v>
      </c>
      <c r="V37" s="93"/>
      <c r="X37" s="99">
        <v>4.5289999999999999</v>
      </c>
    </row>
    <row r="39" spans="5:24" ht="15.6" x14ac:dyDescent="0.3">
      <c r="J39" s="162" t="s">
        <v>489</v>
      </c>
      <c r="K39" s="162"/>
      <c r="L39" s="162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UniversoAreas</vt:lpstr>
      <vt:lpstr>HistoricoAreas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2025-01-03T21:21:35Z</dcterms:modified>
</cp:coreProperties>
</file>