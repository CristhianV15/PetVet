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cuestas\ResultadosEncuestas2024_02\ResultadosTabuleadosConMacro\Validados\"/>
    </mc:Choice>
  </mc:AlternateContent>
  <xr:revisionPtr revIDLastSave="0" documentId="13_ncr:1_{E348F165-C6C8-46CD-9528-8E11A506F94F}" xr6:coauthVersionLast="47" xr6:coauthVersionMax="47" xr10:uidLastSave="{00000000-0000-0000-0000-000000000000}"/>
  <bookViews>
    <workbookView xWindow="-108" yWindow="-108" windowWidth="23256" windowHeight="13896" firstSheet="2" activeTab="4" xr2:uid="{33B226CF-D489-4D0F-8D70-DC6CBAFC18C2}"/>
  </bookViews>
  <sheets>
    <sheet name="DataUsuario" sheetId="19" r:id="rId1"/>
    <sheet name="EncuestaAreas" sheetId="18" r:id="rId2"/>
    <sheet name="HistoricoAreas" sheetId="162" r:id="rId3"/>
    <sheet name="UniversoAreas" sheetId="121" r:id="rId4"/>
    <sheet name="Paso1_RespuestasMicrosoftForms" sheetId="192" r:id="rId5"/>
    <sheet name="Estadística" sheetId="193" r:id="rId6"/>
    <sheet name="Estadística_Gerencias" sheetId="20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62" l="1"/>
  <c r="U31" i="193" l="1"/>
  <c r="J25" i="193"/>
  <c r="K25" i="193"/>
  <c r="L25" i="193"/>
  <c r="M25" i="193"/>
  <c r="N25" i="193"/>
  <c r="O25" i="193"/>
  <c r="P25" i="193"/>
  <c r="Q25" i="193"/>
  <c r="R25" i="193"/>
  <c r="S25" i="193"/>
  <c r="T25" i="193"/>
  <c r="U25" i="193"/>
  <c r="V25" i="193"/>
  <c r="W25" i="193"/>
  <c r="X25" i="193"/>
  <c r="Y25" i="193"/>
  <c r="Z25" i="193"/>
  <c r="AA25" i="193"/>
  <c r="AB25" i="193"/>
  <c r="AC25" i="193"/>
  <c r="AD25" i="193"/>
  <c r="AE25" i="193"/>
  <c r="AF25" i="193"/>
  <c r="AG25" i="193"/>
  <c r="AH25" i="193"/>
  <c r="AI25" i="193"/>
  <c r="AJ25" i="193"/>
  <c r="AK25" i="193"/>
  <c r="AL25" i="193"/>
  <c r="AM25" i="193"/>
  <c r="AN25" i="193"/>
  <c r="AO25" i="193"/>
  <c r="AP25" i="193"/>
  <c r="AQ25" i="193"/>
  <c r="AR25" i="193"/>
  <c r="AS25" i="193"/>
  <c r="AT25" i="193"/>
  <c r="AU25" i="193"/>
  <c r="AV25" i="193"/>
  <c r="M20" i="200"/>
  <c r="M19" i="200"/>
  <c r="N20" i="200"/>
  <c r="M21" i="200"/>
  <c r="N21" i="200"/>
  <c r="M22" i="200"/>
  <c r="N22" i="200"/>
  <c r="M23" i="200"/>
  <c r="N23" i="200"/>
  <c r="N19" i="200"/>
  <c r="J19" i="200"/>
  <c r="I34" i="193"/>
  <c r="E26" i="193"/>
  <c r="E27" i="193"/>
  <c r="E28" i="193"/>
  <c r="E29" i="193"/>
  <c r="E30" i="193"/>
  <c r="E31" i="193"/>
  <c r="E32" i="193"/>
  <c r="E33" i="193"/>
  <c r="E34" i="193"/>
  <c r="E35" i="193"/>
  <c r="E25" i="193"/>
  <c r="D30" i="193"/>
  <c r="D27" i="193"/>
  <c r="D33" i="193"/>
  <c r="D35" i="193"/>
  <c r="D25" i="193"/>
  <c r="C30" i="193"/>
  <c r="C31" i="193"/>
  <c r="C32" i="193"/>
  <c r="C33" i="193"/>
  <c r="C34" i="193"/>
  <c r="C35" i="193"/>
  <c r="C29" i="193"/>
  <c r="C28" i="193"/>
  <c r="C27" i="193"/>
  <c r="C26" i="193"/>
  <c r="C25" i="193"/>
  <c r="BT34" i="193"/>
  <c r="BT30" i="193"/>
  <c r="BW35" i="193"/>
  <c r="BU35" i="193"/>
  <c r="BR34" i="193"/>
  <c r="BS32" i="193"/>
  <c r="BW31" i="193"/>
  <c r="BV26" i="193"/>
  <c r="BR26" i="193"/>
  <c r="T46" i="193" s="1"/>
  <c r="BS26" i="193"/>
  <c r="BT26" i="193"/>
  <c r="BU26" i="193"/>
  <c r="BW26" i="193"/>
  <c r="BR27" i="193"/>
  <c r="T47" i="193" s="1"/>
  <c r="BS27" i="193"/>
  <c r="BT27" i="193"/>
  <c r="BU27" i="193"/>
  <c r="BV27" i="193"/>
  <c r="BW27" i="193"/>
  <c r="BR28" i="193"/>
  <c r="BS28" i="193"/>
  <c r="BT28" i="193"/>
  <c r="BU28" i="193"/>
  <c r="BV28" i="193"/>
  <c r="BW28" i="193"/>
  <c r="BR29" i="193"/>
  <c r="T49" i="193" s="1"/>
  <c r="BS29" i="193"/>
  <c r="BT29" i="193"/>
  <c r="BU29" i="193"/>
  <c r="BV29" i="193"/>
  <c r="BW29" i="193"/>
  <c r="BR30" i="193"/>
  <c r="BS30" i="193"/>
  <c r="BU30" i="193"/>
  <c r="BV30" i="193"/>
  <c r="BW30" i="193"/>
  <c r="BR31" i="193"/>
  <c r="BS31" i="193"/>
  <c r="BT31" i="193"/>
  <c r="BU31" i="193"/>
  <c r="BV31" i="193"/>
  <c r="BR32" i="193"/>
  <c r="BT32" i="193"/>
  <c r="BU32" i="193"/>
  <c r="BV32" i="193"/>
  <c r="BW32" i="193"/>
  <c r="BR33" i="193"/>
  <c r="BS33" i="193"/>
  <c r="BT33" i="193"/>
  <c r="BU33" i="193"/>
  <c r="BV33" i="193"/>
  <c r="BW33" i="193"/>
  <c r="BS34" i="193"/>
  <c r="BU34" i="193"/>
  <c r="BV34" i="193"/>
  <c r="BW34" i="193"/>
  <c r="BR35" i="193"/>
  <c r="BS35" i="193"/>
  <c r="BT35" i="193"/>
  <c r="BV35" i="193"/>
  <c r="BS25" i="193"/>
  <c r="BT25" i="193"/>
  <c r="BU25" i="193"/>
  <c r="BV25" i="193"/>
  <c r="BW25" i="193"/>
  <c r="BR25" i="193"/>
  <c r="BQ26" i="193"/>
  <c r="BP25" i="193"/>
  <c r="BP26" i="193"/>
  <c r="BO28" i="193"/>
  <c r="BL35" i="193"/>
  <c r="S55" i="193" s="1"/>
  <c r="BM34" i="193"/>
  <c r="BQ33" i="193"/>
  <c r="BQ28" i="193"/>
  <c r="BP28" i="193"/>
  <c r="BL26" i="193"/>
  <c r="BM26" i="193"/>
  <c r="BN26" i="193"/>
  <c r="BO26" i="193"/>
  <c r="BL27" i="193"/>
  <c r="BM27" i="193"/>
  <c r="BN27" i="193"/>
  <c r="BO27" i="193"/>
  <c r="BP27" i="193"/>
  <c r="BQ27" i="193"/>
  <c r="BL28" i="193"/>
  <c r="S48" i="193" s="1"/>
  <c r="BM28" i="193"/>
  <c r="BN28" i="193"/>
  <c r="BL29" i="193"/>
  <c r="BM29" i="193"/>
  <c r="BN29" i="193"/>
  <c r="BO29" i="193"/>
  <c r="BP29" i="193"/>
  <c r="BQ29" i="193"/>
  <c r="BL30" i="193"/>
  <c r="BM30" i="193"/>
  <c r="BN30" i="193"/>
  <c r="BO30" i="193"/>
  <c r="BP30" i="193"/>
  <c r="BQ30" i="193"/>
  <c r="BL31" i="193"/>
  <c r="BM31" i="193"/>
  <c r="BN31" i="193"/>
  <c r="BO31" i="193"/>
  <c r="BP31" i="193"/>
  <c r="BQ31" i="193"/>
  <c r="BL32" i="193"/>
  <c r="BM32" i="193"/>
  <c r="BN32" i="193"/>
  <c r="BO32" i="193"/>
  <c r="BP32" i="193"/>
  <c r="BQ32" i="193"/>
  <c r="BL33" i="193"/>
  <c r="BM33" i="193"/>
  <c r="BN33" i="193"/>
  <c r="BO33" i="193"/>
  <c r="BP33" i="193"/>
  <c r="BL34" i="193"/>
  <c r="BN34" i="193"/>
  <c r="BO34" i="193"/>
  <c r="BP34" i="193"/>
  <c r="BQ34" i="193"/>
  <c r="BM35" i="193"/>
  <c r="BN35" i="193"/>
  <c r="BO35" i="193"/>
  <c r="BP35" i="193"/>
  <c r="BQ35" i="193"/>
  <c r="BM25" i="193"/>
  <c r="BN25" i="193"/>
  <c r="BO25" i="193"/>
  <c r="BQ25" i="193"/>
  <c r="BL25" i="193"/>
  <c r="S45" i="193" s="1"/>
  <c r="BF25" i="193"/>
  <c r="R45" i="193" s="1"/>
  <c r="BH34" i="193"/>
  <c r="BI34" i="193"/>
  <c r="BJ33" i="193"/>
  <c r="BK32" i="193"/>
  <c r="AS32" i="193"/>
  <c r="AR31" i="193"/>
  <c r="AQ30" i="193"/>
  <c r="AX31" i="193"/>
  <c r="BJ30" i="193"/>
  <c r="BF26" i="193"/>
  <c r="R46" i="193" s="1"/>
  <c r="BG26" i="193"/>
  <c r="BH26" i="193"/>
  <c r="BI26" i="193"/>
  <c r="BJ26" i="193"/>
  <c r="BK26" i="193"/>
  <c r="BF27" i="193"/>
  <c r="BG27" i="193"/>
  <c r="BH27" i="193"/>
  <c r="BI27" i="193"/>
  <c r="BJ27" i="193"/>
  <c r="BK27" i="193"/>
  <c r="BF28" i="193"/>
  <c r="BG28" i="193"/>
  <c r="BH28" i="193"/>
  <c r="BI28" i="193"/>
  <c r="BJ28" i="193"/>
  <c r="BK28" i="193"/>
  <c r="BF29" i="193"/>
  <c r="BG29" i="193"/>
  <c r="BH29" i="193"/>
  <c r="BI29" i="193"/>
  <c r="BJ29" i="193"/>
  <c r="BK29" i="193"/>
  <c r="BF30" i="193"/>
  <c r="BG30" i="193"/>
  <c r="BH30" i="193"/>
  <c r="BI30" i="193"/>
  <c r="BK30" i="193"/>
  <c r="BF31" i="193"/>
  <c r="BG31" i="193"/>
  <c r="BH31" i="193"/>
  <c r="BI31" i="193"/>
  <c r="BJ31" i="193"/>
  <c r="BK31" i="193"/>
  <c r="BF32" i="193"/>
  <c r="BG32" i="193"/>
  <c r="BH32" i="193"/>
  <c r="BI32" i="193"/>
  <c r="BJ32" i="193"/>
  <c r="BF33" i="193"/>
  <c r="BG33" i="193"/>
  <c r="BH33" i="193"/>
  <c r="BI33" i="193"/>
  <c r="BK33" i="193"/>
  <c r="BF34" i="193"/>
  <c r="BG34" i="193"/>
  <c r="BJ34" i="193"/>
  <c r="BK34" i="193"/>
  <c r="BF35" i="193"/>
  <c r="BG35" i="193"/>
  <c r="BH35" i="193"/>
  <c r="BI35" i="193"/>
  <c r="BJ35" i="193"/>
  <c r="BK35" i="193"/>
  <c r="BG25" i="193"/>
  <c r="BH25" i="193"/>
  <c r="BI25" i="193"/>
  <c r="BJ25" i="193"/>
  <c r="BK25" i="193"/>
  <c r="AZ25" i="193"/>
  <c r="BE27" i="193"/>
  <c r="BC27" i="193"/>
  <c r="AZ27" i="193"/>
  <c r="AV26" i="193"/>
  <c r="BR20" i="200"/>
  <c r="BS20" i="200"/>
  <c r="BT20" i="200"/>
  <c r="BU20" i="200"/>
  <c r="BV20" i="200"/>
  <c r="BW20" i="200"/>
  <c r="BR21" i="200"/>
  <c r="BS21" i="200"/>
  <c r="BT21" i="200"/>
  <c r="BU21" i="200"/>
  <c r="BV21" i="200"/>
  <c r="BW21" i="200"/>
  <c r="BR22" i="200"/>
  <c r="BS22" i="200"/>
  <c r="BT22" i="200"/>
  <c r="BU22" i="200"/>
  <c r="BV22" i="200"/>
  <c r="BW22" i="200"/>
  <c r="BR23" i="200"/>
  <c r="BS23" i="200"/>
  <c r="T37" i="200" s="1"/>
  <c r="BT23" i="200"/>
  <c r="BU23" i="200"/>
  <c r="BV23" i="200"/>
  <c r="BW23" i="200"/>
  <c r="BS19" i="200"/>
  <c r="BT19" i="200"/>
  <c r="BU19" i="200"/>
  <c r="BV19" i="200"/>
  <c r="BW19" i="200"/>
  <c r="BR19" i="200"/>
  <c r="BM20" i="200"/>
  <c r="BP21" i="200"/>
  <c r="S35" i="200" s="1"/>
  <c r="BQ21" i="200"/>
  <c r="BP20" i="200"/>
  <c r="BL20" i="200"/>
  <c r="BN20" i="200"/>
  <c r="BO20" i="200"/>
  <c r="BQ20" i="200"/>
  <c r="BL21" i="200"/>
  <c r="BM21" i="200"/>
  <c r="BN21" i="200"/>
  <c r="BO21" i="200"/>
  <c r="BL22" i="200"/>
  <c r="BM22" i="200"/>
  <c r="BN22" i="200"/>
  <c r="BO22" i="200"/>
  <c r="BP22" i="200"/>
  <c r="BQ22" i="200"/>
  <c r="BL23" i="200"/>
  <c r="BM23" i="200"/>
  <c r="BN23" i="200"/>
  <c r="BO23" i="200"/>
  <c r="BP23" i="200"/>
  <c r="BQ23" i="200"/>
  <c r="BM19" i="200"/>
  <c r="BN19" i="200"/>
  <c r="BO19" i="200"/>
  <c r="BP19" i="200"/>
  <c r="BQ19" i="200"/>
  <c r="BL19" i="200"/>
  <c r="BK22" i="200"/>
  <c r="BK19" i="200"/>
  <c r="BK23" i="200"/>
  <c r="BJ22" i="200"/>
  <c r="BJ21" i="200"/>
  <c r="BJ20" i="200"/>
  <c r="BG19" i="200"/>
  <c r="BH19" i="200"/>
  <c r="BI19" i="200"/>
  <c r="BJ19" i="200"/>
  <c r="BG20" i="200"/>
  <c r="BH20" i="200"/>
  <c r="BI20" i="200"/>
  <c r="BK20" i="200"/>
  <c r="BG21" i="200"/>
  <c r="BH21" i="200"/>
  <c r="BI21" i="200"/>
  <c r="BK21" i="200"/>
  <c r="BG22" i="200"/>
  <c r="BH22" i="200"/>
  <c r="BI22" i="200"/>
  <c r="BG23" i="200"/>
  <c r="BH23" i="200"/>
  <c r="BI23" i="200"/>
  <c r="BJ23" i="200"/>
  <c r="BF20" i="200"/>
  <c r="BF21" i="200"/>
  <c r="BF22" i="200"/>
  <c r="BF23" i="200"/>
  <c r="BF19" i="200"/>
  <c r="BD23" i="200"/>
  <c r="BC21" i="200"/>
  <c r="AZ20" i="200"/>
  <c r="AX20" i="200"/>
  <c r="AV20" i="200"/>
  <c r="BE20" i="200"/>
  <c r="BE21" i="200"/>
  <c r="BE22" i="200"/>
  <c r="BE23" i="200"/>
  <c r="BE19" i="200"/>
  <c r="AY23" i="200"/>
  <c r="AY19" i="200"/>
  <c r="AY20" i="200"/>
  <c r="AY21" i="200"/>
  <c r="AY22" i="200"/>
  <c r="AS20" i="200"/>
  <c r="AS21" i="200"/>
  <c r="AS22" i="200"/>
  <c r="AS23" i="200"/>
  <c r="AS19" i="200"/>
  <c r="AM20" i="200"/>
  <c r="AM21" i="200"/>
  <c r="AM22" i="200"/>
  <c r="AM23" i="200"/>
  <c r="AM19" i="200"/>
  <c r="AG21" i="200"/>
  <c r="AG22" i="200"/>
  <c r="AG23" i="200"/>
  <c r="AG20" i="200"/>
  <c r="AG19" i="200"/>
  <c r="AA20" i="200"/>
  <c r="AA21" i="200"/>
  <c r="AA22" i="200"/>
  <c r="AA23" i="200"/>
  <c r="AA19" i="200"/>
  <c r="U20" i="200"/>
  <c r="U21" i="200"/>
  <c r="U22" i="200"/>
  <c r="U23" i="200"/>
  <c r="U19" i="200"/>
  <c r="O22" i="200"/>
  <c r="O21" i="200"/>
  <c r="O19" i="200"/>
  <c r="O20" i="200"/>
  <c r="O23" i="200"/>
  <c r="K19" i="200"/>
  <c r="L19" i="200"/>
  <c r="J20" i="200"/>
  <c r="K20" i="200"/>
  <c r="L20" i="200"/>
  <c r="J21" i="200"/>
  <c r="K21" i="200"/>
  <c r="L21" i="200"/>
  <c r="J22" i="200"/>
  <c r="K22" i="200"/>
  <c r="L22" i="200"/>
  <c r="J23" i="200"/>
  <c r="K23" i="200"/>
  <c r="L23" i="200"/>
  <c r="R35" i="200" l="1"/>
  <c r="R36" i="200"/>
  <c r="R50" i="193"/>
  <c r="S47" i="193"/>
  <c r="T48" i="193"/>
  <c r="R49" i="193"/>
  <c r="T45" i="193"/>
  <c r="T52" i="193"/>
  <c r="T53" i="193"/>
  <c r="R54" i="193"/>
  <c r="S46" i="193"/>
  <c r="R53" i="193"/>
  <c r="R47" i="193"/>
  <c r="S53" i="193"/>
  <c r="S51" i="193"/>
  <c r="S49" i="193"/>
  <c r="T54" i="193"/>
  <c r="R55" i="193"/>
  <c r="R48" i="193"/>
  <c r="T55" i="193"/>
  <c r="T50" i="193"/>
  <c r="R51" i="193"/>
  <c r="S52" i="193"/>
  <c r="T51" i="193"/>
  <c r="S50" i="193"/>
  <c r="S54" i="193"/>
  <c r="R52" i="193"/>
  <c r="J33" i="200"/>
  <c r="J36" i="200"/>
  <c r="J35" i="200"/>
  <c r="J34" i="200"/>
  <c r="T33" i="200"/>
  <c r="R37" i="200"/>
  <c r="R33" i="200"/>
  <c r="R34" i="200"/>
  <c r="S37" i="200"/>
  <c r="T36" i="200"/>
  <c r="T34" i="200"/>
  <c r="S33" i="200"/>
  <c r="S34" i="200"/>
  <c r="T35" i="200"/>
  <c r="S36" i="200"/>
  <c r="BE25" i="193" l="1"/>
  <c r="H20" i="200"/>
  <c r="F23" i="200"/>
  <c r="G23" i="200"/>
  <c r="H23" i="200"/>
  <c r="F24" i="200"/>
  <c r="I12" i="200"/>
  <c r="I24" i="200" s="1"/>
  <c r="F19" i="200"/>
  <c r="I19" i="200"/>
  <c r="F20" i="200"/>
  <c r="G20" i="200"/>
  <c r="I20" i="200"/>
  <c r="F21" i="200"/>
  <c r="G21" i="200"/>
  <c r="H21" i="200"/>
  <c r="I21" i="200"/>
  <c r="F22" i="200"/>
  <c r="G22" i="200"/>
  <c r="H22" i="200"/>
  <c r="I22" i="200"/>
  <c r="I23" i="200"/>
  <c r="AN19" i="200"/>
  <c r="AT19" i="200"/>
  <c r="AZ19" i="200"/>
  <c r="BC23" i="200"/>
  <c r="BB23" i="200"/>
  <c r="BA23" i="200"/>
  <c r="AZ23" i="200"/>
  <c r="AX23" i="200"/>
  <c r="AW23" i="200"/>
  <c r="AV23" i="200"/>
  <c r="AU23" i="200"/>
  <c r="AT23" i="200"/>
  <c r="AR23" i="200"/>
  <c r="AQ23" i="200"/>
  <c r="AP23" i="200"/>
  <c r="AO23" i="200"/>
  <c r="AN23" i="200"/>
  <c r="AL23" i="200"/>
  <c r="AK23" i="200"/>
  <c r="AJ23" i="200"/>
  <c r="AI23" i="200"/>
  <c r="AH23" i="200"/>
  <c r="AF23" i="200"/>
  <c r="AE23" i="200"/>
  <c r="AD23" i="200"/>
  <c r="AC23" i="200"/>
  <c r="AB23" i="200"/>
  <c r="Z23" i="200"/>
  <c r="Y23" i="200"/>
  <c r="X23" i="200"/>
  <c r="W23" i="200"/>
  <c r="V23" i="200"/>
  <c r="T23" i="200"/>
  <c r="S23" i="200"/>
  <c r="R23" i="200"/>
  <c r="Q23" i="200"/>
  <c r="P23" i="200"/>
  <c r="BD22" i="200"/>
  <c r="BC22" i="200"/>
  <c r="BB22" i="200"/>
  <c r="BA22" i="200"/>
  <c r="AZ22" i="200"/>
  <c r="AX22" i="200"/>
  <c r="AW22" i="200"/>
  <c r="AV22" i="200"/>
  <c r="AU22" i="200"/>
  <c r="AT22" i="200"/>
  <c r="AR22" i="200"/>
  <c r="AQ22" i="200"/>
  <c r="AP22" i="200"/>
  <c r="AO22" i="200"/>
  <c r="AN22" i="200"/>
  <c r="AL22" i="200"/>
  <c r="AK22" i="200"/>
  <c r="AJ22" i="200"/>
  <c r="AI22" i="200"/>
  <c r="AH22" i="200"/>
  <c r="AF22" i="200"/>
  <c r="AE22" i="200"/>
  <c r="AD22" i="200"/>
  <c r="AC22" i="200"/>
  <c r="AB22" i="200"/>
  <c r="Z22" i="200"/>
  <c r="Y22" i="200"/>
  <c r="X22" i="200"/>
  <c r="W22" i="200"/>
  <c r="V22" i="200"/>
  <c r="T22" i="200"/>
  <c r="S22" i="200"/>
  <c r="R22" i="200"/>
  <c r="Q22" i="200"/>
  <c r="P22" i="200"/>
  <c r="BD21" i="200"/>
  <c r="BB21" i="200"/>
  <c r="BA21" i="200"/>
  <c r="AZ21" i="200"/>
  <c r="AX21" i="200"/>
  <c r="AW21" i="200"/>
  <c r="AV21" i="200"/>
  <c r="AU21" i="200"/>
  <c r="AT21" i="200"/>
  <c r="AR21" i="200"/>
  <c r="AQ21" i="200"/>
  <c r="AP21" i="200"/>
  <c r="AO21" i="200"/>
  <c r="AN21" i="200"/>
  <c r="AL21" i="200"/>
  <c r="AK21" i="200"/>
  <c r="AJ21" i="200"/>
  <c r="AI21" i="200"/>
  <c r="AH21" i="200"/>
  <c r="AF21" i="200"/>
  <c r="AE21" i="200"/>
  <c r="AD21" i="200"/>
  <c r="AC21" i="200"/>
  <c r="AB21" i="200"/>
  <c r="Z21" i="200"/>
  <c r="Y21" i="200"/>
  <c r="X21" i="200"/>
  <c r="W21" i="200"/>
  <c r="V21" i="200"/>
  <c r="T21" i="200"/>
  <c r="S21" i="200"/>
  <c r="R21" i="200"/>
  <c r="Q21" i="200"/>
  <c r="P21" i="200"/>
  <c r="BD20" i="200"/>
  <c r="BC20" i="200"/>
  <c r="BB20" i="200"/>
  <c r="BA20" i="200"/>
  <c r="AW20" i="200"/>
  <c r="AU20" i="200"/>
  <c r="AT20" i="200"/>
  <c r="AR20" i="200"/>
  <c r="AQ20" i="200"/>
  <c r="AP20" i="200"/>
  <c r="AO20" i="200"/>
  <c r="AN20" i="200"/>
  <c r="AL20" i="200"/>
  <c r="AK20" i="200"/>
  <c r="AJ20" i="200"/>
  <c r="AI20" i="200"/>
  <c r="AH20" i="200"/>
  <c r="AF20" i="200"/>
  <c r="AE20" i="200"/>
  <c r="AD20" i="200"/>
  <c r="AC20" i="200"/>
  <c r="AB20" i="200"/>
  <c r="Z20" i="200"/>
  <c r="Y20" i="200"/>
  <c r="X20" i="200"/>
  <c r="W20" i="200"/>
  <c r="V20" i="200"/>
  <c r="T20" i="200"/>
  <c r="S20" i="200"/>
  <c r="R20" i="200"/>
  <c r="Q20" i="200"/>
  <c r="P20" i="200"/>
  <c r="BD19" i="200"/>
  <c r="BC19" i="200"/>
  <c r="BB19" i="200"/>
  <c r="BA19" i="200"/>
  <c r="AX19" i="200"/>
  <c r="AW19" i="200"/>
  <c r="AV19" i="200"/>
  <c r="AU19" i="200"/>
  <c r="AR19" i="200"/>
  <c r="AQ19" i="200"/>
  <c r="AP19" i="200"/>
  <c r="AO19" i="200"/>
  <c r="AL19" i="200"/>
  <c r="AK19" i="200"/>
  <c r="AJ19" i="200"/>
  <c r="AI19" i="200"/>
  <c r="AH19" i="200"/>
  <c r="AF19" i="200"/>
  <c r="AE19" i="200"/>
  <c r="AD19" i="200"/>
  <c r="AC19" i="200"/>
  <c r="AB19" i="200"/>
  <c r="Z19" i="200"/>
  <c r="Y19" i="200"/>
  <c r="X19" i="200"/>
  <c r="W19" i="200"/>
  <c r="V19" i="200"/>
  <c r="T19" i="200"/>
  <c r="S19" i="200"/>
  <c r="R19" i="200"/>
  <c r="Q19" i="200"/>
  <c r="P19" i="200"/>
  <c r="K27" i="162"/>
  <c r="BD26" i="193"/>
  <c r="L36" i="200" l="1"/>
  <c r="K36" i="200"/>
  <c r="N36" i="200"/>
  <c r="N35" i="200"/>
  <c r="N37" i="200"/>
  <c r="K33" i="200"/>
  <c r="G19" i="200"/>
  <c r="H19" i="200"/>
  <c r="H24" i="200"/>
  <c r="G24" i="200"/>
  <c r="K35" i="200"/>
  <c r="M35" i="200"/>
  <c r="O35" i="200"/>
  <c r="Q35" i="200"/>
  <c r="M36" i="200"/>
  <c r="O36" i="200"/>
  <c r="Q36" i="200"/>
  <c r="O34" i="200"/>
  <c r="N33" i="200"/>
  <c r="P33" i="200"/>
  <c r="K37" i="200"/>
  <c r="M37" i="200"/>
  <c r="O37" i="200"/>
  <c r="Q37" i="200"/>
  <c r="L34" i="200"/>
  <c r="N34" i="200"/>
  <c r="P34" i="200"/>
  <c r="L35" i="200"/>
  <c r="P35" i="200"/>
  <c r="L33" i="200"/>
  <c r="P36" i="200"/>
  <c r="M33" i="200"/>
  <c r="O33" i="200"/>
  <c r="Q33" i="200"/>
  <c r="J37" i="200"/>
  <c r="L37" i="200"/>
  <c r="P37" i="200"/>
  <c r="K34" i="200"/>
  <c r="M34" i="200"/>
  <c r="Q34" i="200"/>
  <c r="G7" i="193"/>
  <c r="F7" i="193"/>
  <c r="F25" i="193" s="1"/>
  <c r="D8" i="193"/>
  <c r="F8" i="193" s="1"/>
  <c r="F9" i="193"/>
  <c r="F27" i="193" s="1"/>
  <c r="G9" i="193"/>
  <c r="H9" i="193" s="1"/>
  <c r="H27" i="193" s="1"/>
  <c r="D10" i="193"/>
  <c r="D11" i="193"/>
  <c r="D29" i="193" s="1"/>
  <c r="F12" i="193"/>
  <c r="F30" i="193" s="1"/>
  <c r="G12" i="193"/>
  <c r="G30" i="193" s="1"/>
  <c r="D13" i="193"/>
  <c r="D14" i="193"/>
  <c r="D32" i="193" s="1"/>
  <c r="F15" i="193"/>
  <c r="G15" i="193"/>
  <c r="H15" i="193" s="1"/>
  <c r="D16" i="193"/>
  <c r="F17" i="193"/>
  <c r="G17" i="193"/>
  <c r="H17" i="193" s="1"/>
  <c r="BB25" i="193"/>
  <c r="AY25" i="193"/>
  <c r="I25" i="193"/>
  <c r="BE35" i="193"/>
  <c r="BD35" i="193"/>
  <c r="BC35" i="193"/>
  <c r="BB35" i="193"/>
  <c r="BA35" i="193"/>
  <c r="AZ35" i="193"/>
  <c r="AY35" i="193"/>
  <c r="AX35" i="193"/>
  <c r="AW35" i="193"/>
  <c r="AV35" i="193"/>
  <c r="AU35" i="193"/>
  <c r="AT35" i="193"/>
  <c r="AS35" i="193"/>
  <c r="AR35" i="193"/>
  <c r="AQ35" i="193"/>
  <c r="AP35" i="193"/>
  <c r="AO35" i="193"/>
  <c r="AN35" i="193"/>
  <c r="AM35" i="193"/>
  <c r="AL35" i="193"/>
  <c r="AK35" i="193"/>
  <c r="AJ35" i="193"/>
  <c r="AI35" i="193"/>
  <c r="AH35" i="193"/>
  <c r="AG35" i="193"/>
  <c r="AF35" i="193"/>
  <c r="AE35" i="193"/>
  <c r="AD35" i="193"/>
  <c r="AC35" i="193"/>
  <c r="AB35" i="193"/>
  <c r="AA35" i="193"/>
  <c r="Z35" i="193"/>
  <c r="Y35" i="193"/>
  <c r="X35" i="193"/>
  <c r="W35" i="193"/>
  <c r="V35" i="193"/>
  <c r="U35" i="193"/>
  <c r="T35" i="193"/>
  <c r="S35" i="193"/>
  <c r="R35" i="193"/>
  <c r="Q35" i="193"/>
  <c r="P35" i="193"/>
  <c r="O35" i="193"/>
  <c r="N35" i="193"/>
  <c r="M35" i="193"/>
  <c r="L35" i="193"/>
  <c r="K35" i="193"/>
  <c r="J35" i="193"/>
  <c r="I35" i="193"/>
  <c r="BE34" i="193"/>
  <c r="BD34" i="193"/>
  <c r="BC34" i="193"/>
  <c r="BB34" i="193"/>
  <c r="BA34" i="193"/>
  <c r="AZ34" i="193"/>
  <c r="AY34" i="193"/>
  <c r="AX34" i="193"/>
  <c r="AW34" i="193"/>
  <c r="AV34" i="193"/>
  <c r="AU34" i="193"/>
  <c r="AT34" i="193"/>
  <c r="AS34" i="193"/>
  <c r="AR34" i="193"/>
  <c r="AQ34" i="193"/>
  <c r="AP34" i="193"/>
  <c r="AO34" i="193"/>
  <c r="AN34" i="193"/>
  <c r="AM34" i="193"/>
  <c r="AL34" i="193"/>
  <c r="AK34" i="193"/>
  <c r="AJ34" i="193"/>
  <c r="AI34" i="193"/>
  <c r="AH34" i="193"/>
  <c r="AG34" i="193"/>
  <c r="AF34" i="193"/>
  <c r="AE34" i="193"/>
  <c r="AD34" i="193"/>
  <c r="AC34" i="193"/>
  <c r="AB34" i="193"/>
  <c r="AA34" i="193"/>
  <c r="Z34" i="193"/>
  <c r="Y34" i="193"/>
  <c r="X34" i="193"/>
  <c r="W34" i="193"/>
  <c r="V34" i="193"/>
  <c r="U34" i="193"/>
  <c r="T34" i="193"/>
  <c r="S34" i="193"/>
  <c r="R34" i="193"/>
  <c r="Q34" i="193"/>
  <c r="P34" i="193"/>
  <c r="O34" i="193"/>
  <c r="N34" i="193"/>
  <c r="M34" i="193"/>
  <c r="L34" i="193"/>
  <c r="K34" i="193"/>
  <c r="J34" i="193"/>
  <c r="BE33" i="193"/>
  <c r="BD33" i="193"/>
  <c r="BC33" i="193"/>
  <c r="BB33" i="193"/>
  <c r="BA33" i="193"/>
  <c r="AZ33" i="193"/>
  <c r="AY33" i="193"/>
  <c r="AX33" i="193"/>
  <c r="AW33" i="193"/>
  <c r="AV33" i="193"/>
  <c r="AU33" i="193"/>
  <c r="AT33" i="193"/>
  <c r="AS33" i="193"/>
  <c r="AR33" i="193"/>
  <c r="AQ33" i="193"/>
  <c r="AP33" i="193"/>
  <c r="AO33" i="193"/>
  <c r="AN33" i="193"/>
  <c r="AM33" i="193"/>
  <c r="AL33" i="193"/>
  <c r="AK33" i="193"/>
  <c r="AJ33" i="193"/>
  <c r="AI33" i="193"/>
  <c r="AH33" i="193"/>
  <c r="AG33" i="193"/>
  <c r="AF33" i="193"/>
  <c r="AE33" i="193"/>
  <c r="AD33" i="193"/>
  <c r="AC33" i="193"/>
  <c r="AB33" i="193"/>
  <c r="AA33" i="193"/>
  <c r="Z33" i="193"/>
  <c r="Y33" i="193"/>
  <c r="X33" i="193"/>
  <c r="W33" i="193"/>
  <c r="V33" i="193"/>
  <c r="U33" i="193"/>
  <c r="T33" i="193"/>
  <c r="S33" i="193"/>
  <c r="R33" i="193"/>
  <c r="Q33" i="193"/>
  <c r="P33" i="193"/>
  <c r="O33" i="193"/>
  <c r="N33" i="193"/>
  <c r="M33" i="193"/>
  <c r="L33" i="193"/>
  <c r="K33" i="193"/>
  <c r="J33" i="193"/>
  <c r="I33" i="193"/>
  <c r="BE32" i="193"/>
  <c r="BD32" i="193"/>
  <c r="BC32" i="193"/>
  <c r="BB32" i="193"/>
  <c r="BA32" i="193"/>
  <c r="AZ32" i="193"/>
  <c r="AY32" i="193"/>
  <c r="AX32" i="193"/>
  <c r="AW32" i="193"/>
  <c r="AV32" i="193"/>
  <c r="AU32" i="193"/>
  <c r="AT32" i="193"/>
  <c r="AR32" i="193"/>
  <c r="AQ32" i="193"/>
  <c r="AP32" i="193"/>
  <c r="AO32" i="193"/>
  <c r="AN32" i="193"/>
  <c r="AM32" i="193"/>
  <c r="AL32" i="193"/>
  <c r="AK32" i="193"/>
  <c r="AJ32" i="193"/>
  <c r="AI32" i="193"/>
  <c r="AH32" i="193"/>
  <c r="AG32" i="193"/>
  <c r="AF32" i="193"/>
  <c r="AE32" i="193"/>
  <c r="AD32" i="193"/>
  <c r="AC32" i="193"/>
  <c r="AB32" i="193"/>
  <c r="AA32" i="193"/>
  <c r="Z32" i="193"/>
  <c r="Y32" i="193"/>
  <c r="X32" i="193"/>
  <c r="W32" i="193"/>
  <c r="V32" i="193"/>
  <c r="U32" i="193"/>
  <c r="T32" i="193"/>
  <c r="S32" i="193"/>
  <c r="R32" i="193"/>
  <c r="Q32" i="193"/>
  <c r="P32" i="193"/>
  <c r="O32" i="193"/>
  <c r="N32" i="193"/>
  <c r="M32" i="193"/>
  <c r="L32" i="193"/>
  <c r="K32" i="193"/>
  <c r="J32" i="193"/>
  <c r="I32" i="193"/>
  <c r="BE31" i="193"/>
  <c r="BD31" i="193"/>
  <c r="BC31" i="193"/>
  <c r="BB31" i="193"/>
  <c r="BA31" i="193"/>
  <c r="AZ31" i="193"/>
  <c r="AY31" i="193"/>
  <c r="AW31" i="193"/>
  <c r="AV31" i="193"/>
  <c r="AU31" i="193"/>
  <c r="AT31" i="193"/>
  <c r="AS31" i="193"/>
  <c r="AQ31" i="193"/>
  <c r="AP31" i="193"/>
  <c r="AO31" i="193"/>
  <c r="AN31" i="193"/>
  <c r="AM31" i="193"/>
  <c r="AL31" i="193"/>
  <c r="AK31" i="193"/>
  <c r="AJ31" i="193"/>
  <c r="AI31" i="193"/>
  <c r="AH31" i="193"/>
  <c r="AG31" i="193"/>
  <c r="AF31" i="193"/>
  <c r="AE31" i="193"/>
  <c r="AD31" i="193"/>
  <c r="AC31" i="193"/>
  <c r="AB31" i="193"/>
  <c r="AA31" i="193"/>
  <c r="Z31" i="193"/>
  <c r="Y31" i="193"/>
  <c r="X31" i="193"/>
  <c r="W31" i="193"/>
  <c r="V31" i="193"/>
  <c r="T31" i="193"/>
  <c r="S31" i="193"/>
  <c r="R31" i="193"/>
  <c r="Q31" i="193"/>
  <c r="P31" i="193"/>
  <c r="O31" i="193"/>
  <c r="N31" i="193"/>
  <c r="M31" i="193"/>
  <c r="L31" i="193"/>
  <c r="K31" i="193"/>
  <c r="J31" i="193"/>
  <c r="I31" i="193"/>
  <c r="BE30" i="193"/>
  <c r="BD30" i="193"/>
  <c r="BC30" i="193"/>
  <c r="BB30" i="193"/>
  <c r="BA30" i="193"/>
  <c r="AZ30" i="193"/>
  <c r="AY30" i="193"/>
  <c r="AX30" i="193"/>
  <c r="AW30" i="193"/>
  <c r="AV30" i="193"/>
  <c r="AU30" i="193"/>
  <c r="AT30" i="193"/>
  <c r="AS30" i="193"/>
  <c r="AR30" i="193"/>
  <c r="AP30" i="193"/>
  <c r="AO30" i="193"/>
  <c r="AN30" i="193"/>
  <c r="AM30" i="193"/>
  <c r="AL30" i="193"/>
  <c r="AK30" i="193"/>
  <c r="AJ30" i="193"/>
  <c r="AI30" i="193"/>
  <c r="AH30" i="193"/>
  <c r="AG30" i="193"/>
  <c r="AF30" i="193"/>
  <c r="AE30" i="193"/>
  <c r="AD30" i="193"/>
  <c r="AC30" i="193"/>
  <c r="AB30" i="193"/>
  <c r="AA30" i="193"/>
  <c r="Z30" i="193"/>
  <c r="Y30" i="193"/>
  <c r="X30" i="193"/>
  <c r="W30" i="193"/>
  <c r="V30" i="193"/>
  <c r="U30" i="193"/>
  <c r="T30" i="193"/>
  <c r="S30" i="193"/>
  <c r="R30" i="193"/>
  <c r="Q30" i="193"/>
  <c r="P30" i="193"/>
  <c r="O30" i="193"/>
  <c r="N30" i="193"/>
  <c r="M30" i="193"/>
  <c r="L30" i="193"/>
  <c r="K30" i="193"/>
  <c r="J30" i="193"/>
  <c r="I30" i="193"/>
  <c r="BE29" i="193"/>
  <c r="BD29" i="193"/>
  <c r="BC29" i="193"/>
  <c r="BB29" i="193"/>
  <c r="BA29" i="193"/>
  <c r="AZ29" i="193"/>
  <c r="AY29" i="193"/>
  <c r="AX29" i="193"/>
  <c r="AW29" i="193"/>
  <c r="AV29" i="193"/>
  <c r="AU29" i="193"/>
  <c r="AT29" i="193"/>
  <c r="AS29" i="193"/>
  <c r="AR29" i="193"/>
  <c r="AQ29" i="193"/>
  <c r="AP29" i="193"/>
  <c r="AO29" i="193"/>
  <c r="AN29" i="193"/>
  <c r="AM29" i="193"/>
  <c r="AL29" i="193"/>
  <c r="AK29" i="193"/>
  <c r="AJ29" i="193"/>
  <c r="AI29" i="193"/>
  <c r="AH29" i="193"/>
  <c r="AG29" i="193"/>
  <c r="AF29" i="193"/>
  <c r="AE29" i="193"/>
  <c r="AD29" i="193"/>
  <c r="AC29" i="193"/>
  <c r="AB29" i="193"/>
  <c r="AA29" i="193"/>
  <c r="Z29" i="193"/>
  <c r="Y29" i="193"/>
  <c r="X29" i="193"/>
  <c r="W29" i="193"/>
  <c r="V29" i="193"/>
  <c r="U29" i="193"/>
  <c r="T29" i="193"/>
  <c r="S29" i="193"/>
  <c r="R29" i="193"/>
  <c r="Q29" i="193"/>
  <c r="P29" i="193"/>
  <c r="O29" i="193"/>
  <c r="N29" i="193"/>
  <c r="M29" i="193"/>
  <c r="L29" i="193"/>
  <c r="K29" i="193"/>
  <c r="J29" i="193"/>
  <c r="I29" i="193"/>
  <c r="BE28" i="193"/>
  <c r="BD28" i="193"/>
  <c r="BC28" i="193"/>
  <c r="BB28" i="193"/>
  <c r="BA28" i="193"/>
  <c r="AZ28" i="193"/>
  <c r="AY28" i="193"/>
  <c r="AX28" i="193"/>
  <c r="AW28" i="193"/>
  <c r="AV28" i="193"/>
  <c r="AU28" i="193"/>
  <c r="AT28" i="193"/>
  <c r="AS28" i="193"/>
  <c r="AR28" i="193"/>
  <c r="AQ28" i="193"/>
  <c r="AP28" i="193"/>
  <c r="AO28" i="193"/>
  <c r="AN28" i="193"/>
  <c r="AM28" i="193"/>
  <c r="AL28" i="193"/>
  <c r="AK28" i="193"/>
  <c r="AJ28" i="193"/>
  <c r="AI28" i="193"/>
  <c r="AH28" i="193"/>
  <c r="AG28" i="193"/>
  <c r="AF28" i="193"/>
  <c r="AE28" i="193"/>
  <c r="AD28" i="193"/>
  <c r="AC28" i="193"/>
  <c r="AB28" i="193"/>
  <c r="AA28" i="193"/>
  <c r="Z28" i="193"/>
  <c r="Y28" i="193"/>
  <c r="X28" i="193"/>
  <c r="W28" i="193"/>
  <c r="V28" i="193"/>
  <c r="U28" i="193"/>
  <c r="T28" i="193"/>
  <c r="S28" i="193"/>
  <c r="R28" i="193"/>
  <c r="Q28" i="193"/>
  <c r="P28" i="193"/>
  <c r="O28" i="193"/>
  <c r="N28" i="193"/>
  <c r="M28" i="193"/>
  <c r="L28" i="193"/>
  <c r="K28" i="193"/>
  <c r="J28" i="193"/>
  <c r="I28" i="193"/>
  <c r="BD27" i="193"/>
  <c r="BB27" i="193"/>
  <c r="BA27" i="193"/>
  <c r="AY27" i="193"/>
  <c r="AX27" i="193"/>
  <c r="AW27" i="193"/>
  <c r="AV27" i="193"/>
  <c r="AU27" i="193"/>
  <c r="AT27" i="193"/>
  <c r="AS27" i="193"/>
  <c r="AR27" i="193"/>
  <c r="AQ27" i="193"/>
  <c r="AP27" i="193"/>
  <c r="AO27" i="193"/>
  <c r="AN27" i="193"/>
  <c r="AM27" i="193"/>
  <c r="AL27" i="193"/>
  <c r="AK27" i="193"/>
  <c r="AJ27" i="193"/>
  <c r="AI27" i="193"/>
  <c r="AH27" i="193"/>
  <c r="AG27" i="193"/>
  <c r="AF27" i="193"/>
  <c r="AE27" i="193"/>
  <c r="AD27" i="193"/>
  <c r="AC27" i="193"/>
  <c r="AB27" i="193"/>
  <c r="AA27" i="193"/>
  <c r="Z27" i="193"/>
  <c r="Y27" i="193"/>
  <c r="X27" i="193"/>
  <c r="W27" i="193"/>
  <c r="V27" i="193"/>
  <c r="U27" i="193"/>
  <c r="T27" i="193"/>
  <c r="S27" i="193"/>
  <c r="R27" i="193"/>
  <c r="Q27" i="193"/>
  <c r="P27" i="193"/>
  <c r="O27" i="193"/>
  <c r="N27" i="193"/>
  <c r="M27" i="193"/>
  <c r="L27" i="193"/>
  <c r="K27" i="193"/>
  <c r="J27" i="193"/>
  <c r="I27" i="193"/>
  <c r="BE26" i="193"/>
  <c r="BC26" i="193"/>
  <c r="BB26" i="193"/>
  <c r="BA26" i="193"/>
  <c r="AZ26" i="193"/>
  <c r="AY26" i="193"/>
  <c r="AX26" i="193"/>
  <c r="AW26" i="193"/>
  <c r="AU26" i="193"/>
  <c r="AT26" i="193"/>
  <c r="AS26" i="193"/>
  <c r="AR26" i="193"/>
  <c r="AQ26" i="193"/>
  <c r="AP26" i="193"/>
  <c r="AO26" i="193"/>
  <c r="AN26" i="193"/>
  <c r="AM26" i="193"/>
  <c r="AL26" i="193"/>
  <c r="AK26" i="193"/>
  <c r="AJ26" i="193"/>
  <c r="AI26" i="193"/>
  <c r="AH26" i="193"/>
  <c r="AG26" i="193"/>
  <c r="AF26" i="193"/>
  <c r="AE26" i="193"/>
  <c r="AD26" i="193"/>
  <c r="AC26" i="193"/>
  <c r="AB26" i="193"/>
  <c r="AA26" i="193"/>
  <c r="Z26" i="193"/>
  <c r="Y26" i="193"/>
  <c r="X26" i="193"/>
  <c r="W26" i="193"/>
  <c r="V26" i="193"/>
  <c r="U26" i="193"/>
  <c r="T26" i="193"/>
  <c r="S26" i="193"/>
  <c r="R26" i="193"/>
  <c r="Q26" i="193"/>
  <c r="P26" i="193"/>
  <c r="O26" i="193"/>
  <c r="N26" i="193"/>
  <c r="M26" i="193"/>
  <c r="L26" i="193"/>
  <c r="K26" i="193"/>
  <c r="J26" i="193"/>
  <c r="I26" i="193"/>
  <c r="BD25" i="193"/>
  <c r="BC25" i="193"/>
  <c r="BA25" i="193"/>
  <c r="AX25" i="193"/>
  <c r="AW25" i="193"/>
  <c r="I18" i="193"/>
  <c r="I36" i="193" s="1"/>
  <c r="E18" i="193"/>
  <c r="O50" i="193" l="1"/>
  <c r="F10" i="193"/>
  <c r="D28" i="193"/>
  <c r="G14" i="193"/>
  <c r="H14" i="193" s="1"/>
  <c r="F14" i="193"/>
  <c r="G13" i="193"/>
  <c r="H13" i="193" s="1"/>
  <c r="D31" i="193"/>
  <c r="G8" i="193"/>
  <c r="H8" i="193" s="1"/>
  <c r="D26" i="193"/>
  <c r="D36" i="193" s="1"/>
  <c r="G11" i="193"/>
  <c r="H11" i="193" s="1"/>
  <c r="H29" i="193" s="1"/>
  <c r="F11" i="193"/>
  <c r="Q50" i="193"/>
  <c r="G16" i="193"/>
  <c r="H16" i="193" s="1"/>
  <c r="D34" i="193"/>
  <c r="Q45" i="193"/>
  <c r="P52" i="193"/>
  <c r="F13" i="193"/>
  <c r="F31" i="193" s="1"/>
  <c r="L52" i="193"/>
  <c r="N52" i="193"/>
  <c r="F16" i="193"/>
  <c r="F34" i="193" s="1"/>
  <c r="H12" i="193"/>
  <c r="H30" i="193" s="1"/>
  <c r="U35" i="200"/>
  <c r="U36" i="200"/>
  <c r="U33" i="200"/>
  <c r="U34" i="200"/>
  <c r="U37" i="200"/>
  <c r="J45" i="193"/>
  <c r="G25" i="193"/>
  <c r="H7" i="193"/>
  <c r="G10" i="193"/>
  <c r="H10" i="193" s="1"/>
  <c r="H28" i="193" s="1"/>
  <c r="G33" i="193"/>
  <c r="H33" i="193"/>
  <c r="F29" i="193"/>
  <c r="J48" i="193"/>
  <c r="L48" i="193"/>
  <c r="N48" i="193"/>
  <c r="P48" i="193"/>
  <c r="F33" i="193"/>
  <c r="K55" i="193"/>
  <c r="M55" i="193"/>
  <c r="O55" i="193"/>
  <c r="Q55" i="193"/>
  <c r="K46" i="193"/>
  <c r="O46" i="193"/>
  <c r="Q46" i="193"/>
  <c r="L50" i="193"/>
  <c r="P47" i="193"/>
  <c r="L53" i="193"/>
  <c r="N53" i="193"/>
  <c r="P53" i="193"/>
  <c r="L49" i="193"/>
  <c r="N49" i="193"/>
  <c r="P49" i="193"/>
  <c r="K51" i="193"/>
  <c r="M51" i="193"/>
  <c r="O51" i="193"/>
  <c r="Q51" i="193"/>
  <c r="K47" i="193"/>
  <c r="M47" i="193"/>
  <c r="O47" i="193"/>
  <c r="Q47" i="193"/>
  <c r="L54" i="193"/>
  <c r="N54" i="193"/>
  <c r="P54" i="193"/>
  <c r="K52" i="193"/>
  <c r="M52" i="193"/>
  <c r="O52" i="193"/>
  <c r="L46" i="193"/>
  <c r="J52" i="193"/>
  <c r="J54" i="193"/>
  <c r="P45" i="193"/>
  <c r="N45" i="193"/>
  <c r="L45" i="193"/>
  <c r="P51" i="193"/>
  <c r="M46" i="193"/>
  <c r="K54" i="193"/>
  <c r="M54" i="193"/>
  <c r="K50" i="193"/>
  <c r="M50" i="193"/>
  <c r="J49" i="193"/>
  <c r="J53" i="193"/>
  <c r="J46" i="193"/>
  <c r="N46" i="193"/>
  <c r="P46" i="193"/>
  <c r="K48" i="193"/>
  <c r="M48" i="193"/>
  <c r="O48" i="193"/>
  <c r="Q52" i="193"/>
  <c r="J55" i="193"/>
  <c r="L55" i="193"/>
  <c r="N55" i="193"/>
  <c r="P55" i="193"/>
  <c r="Q48" i="193"/>
  <c r="J50" i="193"/>
  <c r="N50" i="193"/>
  <c r="P50" i="193"/>
  <c r="K53" i="193"/>
  <c r="M53" i="193"/>
  <c r="O53" i="193"/>
  <c r="Q53" i="193"/>
  <c r="K49" i="193"/>
  <c r="M49" i="193"/>
  <c r="O49" i="193"/>
  <c r="Q49" i="193"/>
  <c r="J51" i="193"/>
  <c r="L51" i="193"/>
  <c r="K45" i="193"/>
  <c r="M45" i="193"/>
  <c r="O45" i="193"/>
  <c r="J47" i="193"/>
  <c r="L47" i="193"/>
  <c r="N47" i="193"/>
  <c r="N51" i="193"/>
  <c r="O54" i="193"/>
  <c r="Q54" i="193"/>
  <c r="H34" i="193"/>
  <c r="G34" i="193"/>
  <c r="G32" i="193"/>
  <c r="H32" i="193"/>
  <c r="F32" i="193"/>
  <c r="F35" i="193"/>
  <c r="G27" i="193"/>
  <c r="F28" i="193"/>
  <c r="F26" i="193"/>
  <c r="D18" i="193"/>
  <c r="E36" i="193"/>
  <c r="G29" i="193" l="1"/>
  <c r="G28" i="193"/>
  <c r="U45" i="193"/>
  <c r="F18" i="193"/>
  <c r="F36" i="193" s="1"/>
  <c r="U47" i="193"/>
  <c r="U50" i="193"/>
  <c r="U46" i="193"/>
  <c r="U53" i="193"/>
  <c r="U48" i="193"/>
  <c r="U54" i="193"/>
  <c r="U52" i="193"/>
  <c r="U51" i="193"/>
  <c r="U49" i="193"/>
  <c r="U55" i="193"/>
  <c r="H31" i="193"/>
  <c r="G31" i="193"/>
  <c r="H35" i="193"/>
  <c r="G35" i="193"/>
  <c r="G18" i="193"/>
  <c r="H25" i="193"/>
  <c r="G26" i="193"/>
  <c r="H26" i="193"/>
  <c r="H18" i="193" l="1"/>
  <c r="H36" i="193" s="1"/>
  <c r="G36" i="193"/>
</calcChain>
</file>

<file path=xl/sharedStrings.xml><?xml version="1.0" encoding="utf-8"?>
<sst xmlns="http://schemas.openxmlformats.org/spreadsheetml/2006/main" count="1679" uniqueCount="583">
  <si>
    <t>Desarrollo de Software</t>
  </si>
  <si>
    <t>Administración de Recursos Informáticos</t>
  </si>
  <si>
    <t>Administración de Comunicaciones</t>
  </si>
  <si>
    <t>Infraestructura</t>
  </si>
  <si>
    <t>Soporte informático y de sistemas</t>
  </si>
  <si>
    <t>Area</t>
  </si>
  <si>
    <t>Servicio</t>
  </si>
  <si>
    <t>Administración</t>
  </si>
  <si>
    <t>Comedor</t>
  </si>
  <si>
    <t>Limpieza y Lavandería</t>
  </si>
  <si>
    <t>Soporte Administrativo</t>
  </si>
  <si>
    <t>Administración de Unidades Móviles</t>
  </si>
  <si>
    <t>Contabilidad</t>
  </si>
  <si>
    <t>Entregas a rendir y reembolsos</t>
  </si>
  <si>
    <t>Contabilidad Financiera</t>
  </si>
  <si>
    <t>Contabilidad Tributaria</t>
  </si>
  <si>
    <t>Contabilidad de Activos (Alta/Baja y control de Activos Fijos)</t>
  </si>
  <si>
    <t xml:space="preserve">Capacitación y orientación en temas contables </t>
  </si>
  <si>
    <t>Calidad</t>
  </si>
  <si>
    <t>Amabilidad y disponibilidad del personal de laboratorio ante algún requerimiento</t>
  </si>
  <si>
    <t>Comunicación del personal de laboratorio con usted para las coordinaciones necesarias</t>
  </si>
  <si>
    <t>Imparcialidad del personal de laboratorio</t>
  </si>
  <si>
    <t>Nivel de compromiso en la atención a los requerimientos solicitados</t>
  </si>
  <si>
    <t>Proyecciones realizadas por parte del laboratorio Materia Prima</t>
  </si>
  <si>
    <t>FinanzasYTesorería</t>
  </si>
  <si>
    <t>Tesorería y pago a Proveedores</t>
  </si>
  <si>
    <t>Soporte financiero y evaluación de proyectos</t>
  </si>
  <si>
    <t>Solicitud de anticipos y depósito de reembolsos</t>
  </si>
  <si>
    <t>Seguros y gestión de siniestros</t>
  </si>
  <si>
    <t>RiesgosYCumplimiento</t>
  </si>
  <si>
    <t>Absolución de consultas de riesgos y éticas y emisión de reportes</t>
  </si>
  <si>
    <t>Gestión de cursos y capacitaciones</t>
  </si>
  <si>
    <t>ControlDeGestión</t>
  </si>
  <si>
    <t>Control y seguimiento de gastos y costos</t>
  </si>
  <si>
    <t>Presupuestos y Proyecciones Mensuales y Anuales</t>
  </si>
  <si>
    <t>Gestión y Control de Inversiones</t>
  </si>
  <si>
    <t>Consultas y orientaciones</t>
  </si>
  <si>
    <t>Legal</t>
  </si>
  <si>
    <t>Redacción de Contratos con proveedores y clientes</t>
  </si>
  <si>
    <t>Redacción de Cartas para entidades públicas</t>
  </si>
  <si>
    <t>Redacción de reclamos a proveedores</t>
  </si>
  <si>
    <t>Absolución de Consultas</t>
  </si>
  <si>
    <t>Soporte Legal</t>
  </si>
  <si>
    <t>Seguridad</t>
  </si>
  <si>
    <t>Compras</t>
  </si>
  <si>
    <t>Sistema integrado de gestión</t>
  </si>
  <si>
    <t>Control de Ingreso y salida de unidades de producto terminado (Alcohol/azúcar) y sub productos (bagazo/compost)</t>
  </si>
  <si>
    <t>Ingreso y salida de personal y unidades mayores y menores</t>
  </si>
  <si>
    <t>Soporte de imágenes en seguridad electrónica</t>
  </si>
  <si>
    <t>Certificación en Edificaciones de Defensa Civil de nuestras 9 instalaciones</t>
  </si>
  <si>
    <t>Capacitaciones básicas, intermedias, avanzadas y  especializadas en respuesta a emergencias</t>
  </si>
  <si>
    <t>Prevención de accidentes y promoción del comportamiento seguro (safety) detectando e informando actos, condiciones, incidentes</t>
  </si>
  <si>
    <t>Investigación de Ilícitos, denuncias ante PNP e investigaciones Fiscales.</t>
  </si>
  <si>
    <t>Recojo de Residuos de los almacenes temporales</t>
  </si>
  <si>
    <t xml:space="preserve">Certificación de ISCC </t>
  </si>
  <si>
    <t>Gestión por Procesos referidos a la mejora de las actividades agrícolas, operaciones</t>
  </si>
  <si>
    <t>Capacitación, Asesoría, Auditoría referidos a temas ambientales, ISCC, procesos, SGD</t>
  </si>
  <si>
    <t>Nombre</t>
  </si>
  <si>
    <t>Gerencia</t>
  </si>
  <si>
    <t>Área</t>
  </si>
  <si>
    <t>Acela Margot Coloma Luna</t>
  </si>
  <si>
    <t>AColomaL@agricolachira.com.pe</t>
  </si>
  <si>
    <t>Gestión Humana y Sostenibilidad</t>
  </si>
  <si>
    <t>Compensación y Nóminas</t>
  </si>
  <si>
    <t>Adriana Pamela Vilela Juarez</t>
  </si>
  <si>
    <t>AVilelaJ@agricolachira.com.pe</t>
  </si>
  <si>
    <t>Administración y Finanzas</t>
  </si>
  <si>
    <t>Finanzas y Tesorería</t>
  </si>
  <si>
    <t>Aileen Sofia Lachira Prado</t>
  </si>
  <si>
    <t>alachirap@agricolachira.com.pe</t>
  </si>
  <si>
    <t>Operaciones</t>
  </si>
  <si>
    <t>Almacenes y Distribución PT</t>
  </si>
  <si>
    <t>Albert Abel Vasquez More</t>
  </si>
  <si>
    <t>avasquezm@agricolachira.com.pe</t>
  </si>
  <si>
    <t>Industrial y de Mantenimiento</t>
  </si>
  <si>
    <t>Mantenimiento Industrial</t>
  </si>
  <si>
    <t>Alejandro Blanco Eguiluz</t>
  </si>
  <si>
    <t>ABlancoE@agricolachira.com.pe</t>
  </si>
  <si>
    <t>Comercial No Giro</t>
  </si>
  <si>
    <t>Alessandra Isela Aguilar Mogrovejo</t>
  </si>
  <si>
    <t>AAguilarMo@agricolachira.com.pe</t>
  </si>
  <si>
    <t>Alexander Moises Flores Duarez</t>
  </si>
  <si>
    <t>AFloresD@agricolachira.com.pe</t>
  </si>
  <si>
    <t>Producción</t>
  </si>
  <si>
    <t>Alicia de los Milagros Gutierrez Ross-Morrey</t>
  </si>
  <si>
    <t>AGutierrezR@agricolachira.com.pe</t>
  </si>
  <si>
    <t>Comercial</t>
  </si>
  <si>
    <t>Amelia Del Carmen Gulden Garcia</t>
  </si>
  <si>
    <t>AGuldenG@agricolachira.com.pe</t>
  </si>
  <si>
    <t>Agrícola</t>
  </si>
  <si>
    <t>Fundo Lobo</t>
  </si>
  <si>
    <t>Ana Lucía Burneo López</t>
  </si>
  <si>
    <t>ABurneoL@agricolachira.com.pe</t>
  </si>
  <si>
    <t>Control de Gestión</t>
  </si>
  <si>
    <t>Ana Lucia Garcia Pachas</t>
  </si>
  <si>
    <t>AGarciaPac@agricolachira.com.pe</t>
  </si>
  <si>
    <t>Anderson Joel Adanaque Encalada</t>
  </si>
  <si>
    <t>AAdanaqueE@agricolachira.com.pe</t>
  </si>
  <si>
    <t>Antony Darwin Sernaque Villegas</t>
  </si>
  <si>
    <t>ASernaqueV@agricolachira.com.pe</t>
  </si>
  <si>
    <t>Gestor de Recursos Humanos</t>
  </si>
  <si>
    <t>Balanza De producto terminado</t>
  </si>
  <si>
    <t>balanzapt@agricolachira.com.pe</t>
  </si>
  <si>
    <t>Bernabe Coronado Agreda</t>
  </si>
  <si>
    <t>BCoronadoA@agricolachira.com.pe</t>
  </si>
  <si>
    <t>Mantenimiento CAT</t>
  </si>
  <si>
    <t>Boris Bismark Gonzales Mogollon</t>
  </si>
  <si>
    <t>bgonzalesm@agricolachira.com.pe</t>
  </si>
  <si>
    <t>Transporte</t>
  </si>
  <si>
    <t>Bruno Alexander Lara Sanchez</t>
  </si>
  <si>
    <t>BLaraS@agricolachira.com.pe</t>
  </si>
  <si>
    <t>Cosecha</t>
  </si>
  <si>
    <t>Carlo Sergio Panta Valencia</t>
  </si>
  <si>
    <t>CPantaV@agricolachira.com.pe</t>
  </si>
  <si>
    <t>Carlos Alberto Reyes Yarleque</t>
  </si>
  <si>
    <t>creyesy@agricolachira.com.pe</t>
  </si>
  <si>
    <t>Mantenimiento de Transportes</t>
  </si>
  <si>
    <t>Carlos Andres Manayay Barrios</t>
  </si>
  <si>
    <t>CManayayB@agricolachira.com.pe</t>
  </si>
  <si>
    <t>Carlos Daniel Mendoza Mogollon</t>
  </si>
  <si>
    <t>CMendozaM@agricolachira.com.pe</t>
  </si>
  <si>
    <t>Fundo Montelima</t>
  </si>
  <si>
    <t>Carlos Roldán Vivanco Mendoza</t>
  </si>
  <si>
    <t>CVivancoM@agricolachira.com.pe</t>
  </si>
  <si>
    <t>Gerencia Administración y Finanzas</t>
  </si>
  <si>
    <t>Catalina Del Rosario Cayetano Sosa</t>
  </si>
  <si>
    <t>CCayetanoS@agricolachira.com.pe</t>
  </si>
  <si>
    <t>Cesar Joel Lupuche Valiente</t>
  </si>
  <si>
    <t>CLupucheV@agricolachira.com.pe</t>
  </si>
  <si>
    <t>César Kimbol Alva Segura</t>
  </si>
  <si>
    <t>CAlvaS@agricolachira.com.pe</t>
  </si>
  <si>
    <t>Mantenimiento de Riego y Bombas</t>
  </si>
  <si>
    <t>Cesar Miguel Carrillo Reyes</t>
  </si>
  <si>
    <t>CCarrilloR@agricolachira.com.pe</t>
  </si>
  <si>
    <t>Electricidad</t>
  </si>
  <si>
    <t>Christian Frey Merino</t>
  </si>
  <si>
    <t>cfreym@agricolachira.com.pe</t>
  </si>
  <si>
    <t>Claudia Elena Ramos Gonzales</t>
  </si>
  <si>
    <t>CRamosG@agricolachira.com.pe</t>
  </si>
  <si>
    <t>Gestion del Talento</t>
  </si>
  <si>
    <t>Claudia Iselia Sosa Lachira</t>
  </si>
  <si>
    <t>csosal@agricolachira.com.pe</t>
  </si>
  <si>
    <t>Coordinador de Transporte</t>
  </si>
  <si>
    <t>adelchira_transporte@agricolachira.com.pe</t>
  </si>
  <si>
    <t>Dalia Jovita Isabel Zurita Fernández</t>
  </si>
  <si>
    <t>DZuritaF@agricolachira.com.pe</t>
  </si>
  <si>
    <t>Daniel Isaac Arrunategui Espinoza</t>
  </si>
  <si>
    <t>DArrunateguiE@agricolachira.com.pe</t>
  </si>
  <si>
    <t>Sostenibilidad</t>
  </si>
  <si>
    <t>Darwin Abel Gamero Saavedra</t>
  </si>
  <si>
    <t>DGameroS@agricolachira.com.pe</t>
  </si>
  <si>
    <t>Darwin Andry Chero Nomberto</t>
  </si>
  <si>
    <t>DCheroN@agricolachira.com.pe</t>
  </si>
  <si>
    <t>David Israel Cruz Carrillo</t>
  </si>
  <si>
    <t>DCruzC@agricolachira.com.pe</t>
  </si>
  <si>
    <t>Deyni Alexander Floreano Puchulan</t>
  </si>
  <si>
    <t>DFloreanoP@agricolachira.com.pe</t>
  </si>
  <si>
    <t>Diana Carolina Alberca Silupú</t>
  </si>
  <si>
    <t>DAlbercaS@agricolachira.com.pe</t>
  </si>
  <si>
    <t>Digitador 1 Fundo Lobo</t>
  </si>
  <si>
    <t>digitadorlb1@agricolachira.com.pe</t>
  </si>
  <si>
    <t>Digitador 2 Fundo Lobo</t>
  </si>
  <si>
    <t>digitadorlb2@agricolachira.com.pe</t>
  </si>
  <si>
    <t>Digitador Fundo San Vicente</t>
  </si>
  <si>
    <t>adelchiradigitadorsv@agricolachira.com.pe</t>
  </si>
  <si>
    <t>Fundo San Vicente</t>
  </si>
  <si>
    <t>DigitadorML</t>
  </si>
  <si>
    <t>DigitadorML@agricolachira.com.pe</t>
  </si>
  <si>
    <t>Edinson Raymundo Cruz Alburqueque</t>
  </si>
  <si>
    <t>Edixson Mijahuanca Guerrero</t>
  </si>
  <si>
    <t>EMijahuancaG@agricolachira.com.pe</t>
  </si>
  <si>
    <t>Elvis Giron Alama</t>
  </si>
  <si>
    <t>EGironA@agricolachira.com.pe</t>
  </si>
  <si>
    <t>Elvis Heredia Ruiz</t>
  </si>
  <si>
    <t>eherediar@agricolachira.com.pe</t>
  </si>
  <si>
    <t>Enrique Alfonso Arevalo Juarez</t>
  </si>
  <si>
    <t>EArevaloJ@agricolachira.com.pe</t>
  </si>
  <si>
    <t>Cadenas Productivas</t>
  </si>
  <si>
    <t>Erick Fabian Giron Almestar</t>
  </si>
  <si>
    <t>EGironAl@agricolachira.com.pe</t>
  </si>
  <si>
    <t>Ericka Diana Martinez Guerrero</t>
  </si>
  <si>
    <t>EMartinezG@agricolachira.com.pe</t>
  </si>
  <si>
    <t>Esteban Reyes Puchulan</t>
  </si>
  <si>
    <t>ereyesp@agricolachira.com.pe</t>
  </si>
  <si>
    <t>Planificador Agrícola</t>
  </si>
  <si>
    <t>Estefano Hector Serrano Gomez</t>
  </si>
  <si>
    <t>ESerranoG@agricolachira.com.pe</t>
  </si>
  <si>
    <t>Felix Adderly Atoche Maza</t>
  </si>
  <si>
    <t>FAtocheM@agricolachira.com.pe</t>
  </si>
  <si>
    <t>Fiorella de los Angeles Flores Pinedo</t>
  </si>
  <si>
    <t>Relaciones Laborales</t>
  </si>
  <si>
    <t>Franco Valladares Carnero</t>
  </si>
  <si>
    <t>FValladaresC@agricolachira.com.pe</t>
  </si>
  <si>
    <t>Geana Elena Lisbeth Tavara Salazar</t>
  </si>
  <si>
    <t>GTavaraS@agricolachira.com.pe</t>
  </si>
  <si>
    <t xml:space="preserve">Giancarlo Cubas Acha </t>
  </si>
  <si>
    <t>GCubasA@agricolachira.com.pe</t>
  </si>
  <si>
    <t>Gonzalo Ramon Peña Peña</t>
  </si>
  <si>
    <t>GPenaP@agricolachira.com.pe</t>
  </si>
  <si>
    <t>Hector Daniel Borja Torres</t>
  </si>
  <si>
    <t>HBorjaT@agricolachira.com.pe</t>
  </si>
  <si>
    <t>Henry Luis Matias Zapata</t>
  </si>
  <si>
    <t>HMatiasZ@agricolachira.com.pe</t>
  </si>
  <si>
    <t>Fundo La Huaca</t>
  </si>
  <si>
    <t>Henry Paul Cruz Albines</t>
  </si>
  <si>
    <t>HCruzA@agricolachira.com.pe</t>
  </si>
  <si>
    <t>Hugo Martin Mocarro Chapilliquen</t>
  </si>
  <si>
    <t>HMocarroC@agricolachira.com.pe</t>
  </si>
  <si>
    <t>Riesgos y Cumplimiento</t>
  </si>
  <si>
    <t xml:space="preserve">Ismael Jacobo Flores Flores </t>
  </si>
  <si>
    <t>IFloresF@bioenergiadelchira.pe</t>
  </si>
  <si>
    <t>Planta y Srv Industriales</t>
  </si>
  <si>
    <t>Ivan Fernando Vasquez Patiño</t>
  </si>
  <si>
    <t>IVasquezP@agricolachira.com.pe</t>
  </si>
  <si>
    <t>Jaime Mendoza Garay</t>
  </si>
  <si>
    <t>JMendozaG@agricolachira.com.pe</t>
  </si>
  <si>
    <t>Jean Onsteeng Negron Calero</t>
  </si>
  <si>
    <t>JNegronC@agricolachira.com.pe</t>
  </si>
  <si>
    <t>Jen Jani Mendoza Canto</t>
  </si>
  <si>
    <t>JMendozaCa@agricolachira.com.pe</t>
  </si>
  <si>
    <t>Jene Fransheska Gomez Aparicio</t>
  </si>
  <si>
    <t>JGomezAp@agricolachira.com.pe</t>
  </si>
  <si>
    <t>Sistemas y TI</t>
  </si>
  <si>
    <t>Jessica Elizabeth Bacilio Hernandez</t>
  </si>
  <si>
    <t>jbacilioh@agricolachira.com.pe</t>
  </si>
  <si>
    <t>Laboratorio e Investigación Agricola</t>
  </si>
  <si>
    <t>Jesus Ericka Ames Masias</t>
  </si>
  <si>
    <t>eamesm@agricolachira.com.pe</t>
  </si>
  <si>
    <t>Bienestar - Medico Ocupacional</t>
  </si>
  <si>
    <t>Jesús Sphibers Urbina Panta</t>
  </si>
  <si>
    <t>JUrbinaP@agricolachira.com.pe</t>
  </si>
  <si>
    <t>Jhon Marlon Castillo Rojas</t>
  </si>
  <si>
    <t>jcastillor@agricolachira.com.pe</t>
  </si>
  <si>
    <t>Jhordy Brayan Lara Mamani</t>
  </si>
  <si>
    <t>jlarama@agricolachira.com.pe</t>
  </si>
  <si>
    <t>Jimmy Vasquez Castro</t>
  </si>
  <si>
    <t>jvasquezc@agricolachira.com.pe</t>
  </si>
  <si>
    <t>Joao Heraldo Calderon Chuquilin</t>
  </si>
  <si>
    <t>JCalderonChu@agricolachira.com.pe</t>
  </si>
  <si>
    <t>Johan Arevalo Garcia</t>
  </si>
  <si>
    <t>jarevaloga@agricolachira.com.pe</t>
  </si>
  <si>
    <t>John Angel Rojas Barrios</t>
  </si>
  <si>
    <t>JRojasBarr@agricolachira.com.pe</t>
  </si>
  <si>
    <t>Johnny Alexander Lachira Yovera</t>
  </si>
  <si>
    <t>Jordan Paul Villegas Purizaca</t>
  </si>
  <si>
    <t>JVillegasP@agricolachira.com.pe</t>
  </si>
  <si>
    <t>Jorge Anthony Albujar Carrillo</t>
  </si>
  <si>
    <t>JAlbujarC@agricolachira.com.pe</t>
  </si>
  <si>
    <t>Jorge Augusto Chaparro Benites</t>
  </si>
  <si>
    <t>JChaparroB@agricolachira.com.pe</t>
  </si>
  <si>
    <t>Jorge Hernan Maza Vilchez</t>
  </si>
  <si>
    <t>JMazaV@agricolachira.com.pe</t>
  </si>
  <si>
    <t>Automatización</t>
  </si>
  <si>
    <t>Jorge Isac Quevedo Arbulu</t>
  </si>
  <si>
    <t>jquevedoa@agricolachira.com.pe</t>
  </si>
  <si>
    <t>Jorge Luis Aquije Diaz</t>
  </si>
  <si>
    <t>JAquijeD@agricolachira.com.pe</t>
  </si>
  <si>
    <t>Jorge Luis Cobeñas Saldarriaga</t>
  </si>
  <si>
    <t>JCobenasS@agricolachira.com.pe</t>
  </si>
  <si>
    <t>Jorge Luis Seminario Abad</t>
  </si>
  <si>
    <t>JSeminarioA@agricolachira.com.pe</t>
  </si>
  <si>
    <t>Jorge Martin Flores Castro</t>
  </si>
  <si>
    <t>JFloresC@agricolachira.com.pe</t>
  </si>
  <si>
    <t>Jose Alfredo Seminario Urbina</t>
  </si>
  <si>
    <t>JSeminarioU@agricolachira.com.pe</t>
  </si>
  <si>
    <t>Jose Carlos Aladino Huaman Rojas</t>
  </si>
  <si>
    <t>Jose Jimenez Caceres</t>
  </si>
  <si>
    <t>jjimenezc@agricolachira.com.pe</t>
  </si>
  <si>
    <t>Jose Joel Suncion Camacho</t>
  </si>
  <si>
    <t>JSuncionC@agricolachira.com.pe</t>
  </si>
  <si>
    <t>Jose Juan Estela Flores</t>
  </si>
  <si>
    <t>JEstelaF@agricolachira.com.pe</t>
  </si>
  <si>
    <t>José Leoncio Lopez Silva</t>
  </si>
  <si>
    <t>jlopezsi@agricolachira.com.pe</t>
  </si>
  <si>
    <t>Jose Manuel Bayona Gallosa</t>
  </si>
  <si>
    <t>JBayonaG@agricolachira.com.pe</t>
  </si>
  <si>
    <t>Jose Vladimir Garces Villegas</t>
  </si>
  <si>
    <t>jgarcesv@agricolachira.com.pe</t>
  </si>
  <si>
    <t>Joselito Mogollon Cruz</t>
  </si>
  <si>
    <t>JMogollonC@agricolachira.com.pe</t>
  </si>
  <si>
    <t>Joseph Alexis Reyes Cruz</t>
  </si>
  <si>
    <t>jreyesc@agricolachira.com.pe</t>
  </si>
  <si>
    <t>Josue Aldair Inga Flores</t>
  </si>
  <si>
    <t>jingaf@agricolachira.com.pe</t>
  </si>
  <si>
    <t>Joyce Allison Pichilingue Pozo</t>
  </si>
  <si>
    <t>JPichilinguP@agricolachira.com.pe</t>
  </si>
  <si>
    <t>Juan Josue Ordinola Zapata</t>
  </si>
  <si>
    <t>JOrdinolaZ@agricolachira.com.pe</t>
  </si>
  <si>
    <t>Juan Martin Mio Arbulu</t>
  </si>
  <si>
    <t>JMioA@agricolachira.com.pe</t>
  </si>
  <si>
    <t>Judith Eulalia Montero Vargas</t>
  </si>
  <si>
    <t>JMonteroV@agricolachira.com.pe</t>
  </si>
  <si>
    <t>Gerencia Gestión Humana y Sostenibilidad</t>
  </si>
  <si>
    <t>Junior Alexander Hidalgo Socola</t>
  </si>
  <si>
    <t>jhidalgos@agricolachira.com.pe</t>
  </si>
  <si>
    <t>Junior Ivan Chero Paiva</t>
  </si>
  <si>
    <t>Kevin Smith Yamunaque Juarez</t>
  </si>
  <si>
    <t>kyamunaquej@agricolachira.com.pe</t>
  </si>
  <si>
    <t>Krystel Karina Otiniano Pozo</t>
  </si>
  <si>
    <t>KOtinianoP@agricolachira.com.pe</t>
  </si>
  <si>
    <t>Leonardo Manuel Chanduvi Tinedo</t>
  </si>
  <si>
    <t>LChanduviT@agricolachira.com.pe</t>
  </si>
  <si>
    <t>Lia Cristina Ocaña Pauta</t>
  </si>
  <si>
    <t>LOcanaP@agricolachira.com.pe</t>
  </si>
  <si>
    <t>Lider Padilla Salvador</t>
  </si>
  <si>
    <t>LPadillaSa@agricolachira.com.pe</t>
  </si>
  <si>
    <t>Lourdes Eliana Rodriguez Cantuarias</t>
  </si>
  <si>
    <t>LRodriguezC@agricolachira.com.pe</t>
  </si>
  <si>
    <t>Comunicaciones y Responsabilidad Social</t>
  </si>
  <si>
    <t>Luis Aderlye Dioses Silva</t>
  </si>
  <si>
    <t>LDiosesS@agricolachira.com.pe</t>
  </si>
  <si>
    <t>Luis Alexander Ruiz Muñoz</t>
  </si>
  <si>
    <t>LRuizMu@agricolachira.com.pe</t>
  </si>
  <si>
    <t>Luis Eduardo Villar Flores</t>
  </si>
  <si>
    <t>LVillarF@agricolachira.com.pe</t>
  </si>
  <si>
    <t>Luis Felipe Timana Taboada</t>
  </si>
  <si>
    <t>LTimanaT@agricolachira.com.pe</t>
  </si>
  <si>
    <t>Luis Francisco Garcia Calopiña</t>
  </si>
  <si>
    <t>LGarciaC@agricolachira.com.pe</t>
  </si>
  <si>
    <t>Luis Sipion Albirena</t>
  </si>
  <si>
    <t>lsipiona@agricolachira.com.pe</t>
  </si>
  <si>
    <t>Lyn Anthony Olaya Leon</t>
  </si>
  <si>
    <t>LOlayaLe@agricolachira.com.pe</t>
  </si>
  <si>
    <t>Maria Paula Diaz Talledo</t>
  </si>
  <si>
    <t>mdiazta@agricolachira.com.pe</t>
  </si>
  <si>
    <t>Maria Presentacion Vega Yzquierdo</t>
  </si>
  <si>
    <t>MVegaY@agricolachira.com.pe</t>
  </si>
  <si>
    <t>Mariana del Pilar Villegas Juarez</t>
  </si>
  <si>
    <t>MVillegasJ@agricolachira.com.pe</t>
  </si>
  <si>
    <t>Marzia Nicole Lingan Burga</t>
  </si>
  <si>
    <t>MLinganB@agricolachira.com.pe</t>
  </si>
  <si>
    <t>Michele Martino Di Liberto Sauri</t>
  </si>
  <si>
    <t>MDilibertoS@agricolachira.com.pe</t>
  </si>
  <si>
    <t>Gerencia Agrícola</t>
  </si>
  <si>
    <t>Miguel Adrian Navarro Monje</t>
  </si>
  <si>
    <t>MNavarroM@agricolachira.com.pe</t>
  </si>
  <si>
    <t>Milton Frank Culque Culque</t>
  </si>
  <si>
    <t>MCulqueC@agricolachira.com.pe</t>
  </si>
  <si>
    <t>Mireya Saavedra Cavero</t>
  </si>
  <si>
    <t>MSaavedraC@agricolachira.com.pe</t>
  </si>
  <si>
    <t>Miroslava Beatriz Martinez Puicon</t>
  </si>
  <si>
    <t>MMartinezP@agricolachira.com.pe</t>
  </si>
  <si>
    <t>Nataly Pizarro Castillo</t>
  </si>
  <si>
    <t>NPizarroC@agricolachira.com.pe</t>
  </si>
  <si>
    <t>Nils Enrique Hansen Gamarra</t>
  </si>
  <si>
    <t>NHansenG@agricolachira.com.pe</t>
  </si>
  <si>
    <t>Operador de Balanza</t>
  </si>
  <si>
    <t>operadordebalanza@agricolachira.com.pe</t>
  </si>
  <si>
    <t>Oscar David Montenegro Calle</t>
  </si>
  <si>
    <t>Oxslier Lenin Vasquez Pinday</t>
  </si>
  <si>
    <t>ovasquezp@agricolachira.com.pe</t>
  </si>
  <si>
    <t>Paola Cleofe Sunción Zapata</t>
  </si>
  <si>
    <t>PSuncionZ@agricolachira.com.pe</t>
  </si>
  <si>
    <t>Paola Yolanda Correa Chunga</t>
  </si>
  <si>
    <t>pcorreac@agricolachira.com.pe</t>
  </si>
  <si>
    <t>Paul Reynaldo Cruz Mogollón</t>
  </si>
  <si>
    <t>PCruzM@agricolachira.com.pe</t>
  </si>
  <si>
    <t>Paulo Roberto Rojas Roman</t>
  </si>
  <si>
    <t>Pedro  Alejandro Trigoso Feijoo</t>
  </si>
  <si>
    <t>ptrigoso@agricolachira.com.pe</t>
  </si>
  <si>
    <t>Gerencia de Operaciones</t>
  </si>
  <si>
    <t>Pedro Jesus Hernandez Huayanca</t>
  </si>
  <si>
    <t>PHernandezH@agricolachira.com.pe</t>
  </si>
  <si>
    <t>Pedro Manuel Vite Celedonio</t>
  </si>
  <si>
    <t>Pedro Pablo Arcela Castro</t>
  </si>
  <si>
    <t>PArcelaC@agricolachira.com.pe</t>
  </si>
  <si>
    <t>Pierina Sheyla Rios Siccha</t>
  </si>
  <si>
    <t>PRiosS@agricolachira.com.pe</t>
  </si>
  <si>
    <t>Piero Alejandro Marroquin Rubio</t>
  </si>
  <si>
    <t>PMarroquinR@agricolachira.com.pe</t>
  </si>
  <si>
    <t>Sistema Integral de Gestión</t>
  </si>
  <si>
    <t>Rafael Lupuche Quevedo</t>
  </si>
  <si>
    <t>RLupucheQ@agricolachira.com.pe</t>
  </si>
  <si>
    <t>Raul Torres Silva</t>
  </si>
  <si>
    <t>RTorresS@agricolachira.com.pe</t>
  </si>
  <si>
    <t>Renzo José Moncada Pérez</t>
  </si>
  <si>
    <t>RMoncadaP@agricolachira.com.pe</t>
  </si>
  <si>
    <t>Ricardo Norvil Mera Chu</t>
  </si>
  <si>
    <t>rmerach@agricolachira.com.pe</t>
  </si>
  <si>
    <t>Gerencia industrial y de Mantenimiento</t>
  </si>
  <si>
    <t>Ricardo Raid Cuba Cangahuala</t>
  </si>
  <si>
    <t>RCubaC@agricolachira.com.pe</t>
  </si>
  <si>
    <t>Ronald Christian Cesar Sacramento Lorenzo</t>
  </si>
  <si>
    <t>RSacramentoL@agricolachira.com.pe</t>
  </si>
  <si>
    <t>Roxana Aracely Infante Baca</t>
  </si>
  <si>
    <t>RInfanteB@agricolachira.com.pe</t>
  </si>
  <si>
    <t>Ruben Dario Garcia Feria</t>
  </si>
  <si>
    <t>RGarciaFe@agricolachira.com.pe</t>
  </si>
  <si>
    <t>Ruth Karol Zavaleta Mar</t>
  </si>
  <si>
    <t>kzavaletam@agricolachira.com.pe</t>
  </si>
  <si>
    <t>Sandra Lucero Merino Valencia</t>
  </si>
  <si>
    <t>SMerinoV@agricolachira.com.pe</t>
  </si>
  <si>
    <t>Sandy Xiomara Ramos Timana</t>
  </si>
  <si>
    <t>SRamosT@agricolachira.com.pe</t>
  </si>
  <si>
    <t>Saul Nizama Maza</t>
  </si>
  <si>
    <t>SNizamaM@agricolachira.com.pe</t>
  </si>
  <si>
    <t>Secibel Nicol Sanchez Vilela</t>
  </si>
  <si>
    <t>SSanchezV@agricolachira.com.pe</t>
  </si>
  <si>
    <t>Seguridad Huaca</t>
  </si>
  <si>
    <t>seguridadhuaca_lobo@agricolachira.com.pe</t>
  </si>
  <si>
    <t>Seguridad San Vicente</t>
  </si>
  <si>
    <t>seguridadsanvicente@agricolachira.com.pe</t>
  </si>
  <si>
    <t>Ursula Nikoll Sanchez Flores</t>
  </si>
  <si>
    <t>USanchezF@agricolachira.com.pe</t>
  </si>
  <si>
    <t>Valeria Alejandra Requelme Seminario</t>
  </si>
  <si>
    <t>VRequelmeS@agricolachira.com.pe</t>
  </si>
  <si>
    <t>Vanessa Lizeth Vera Nole</t>
  </si>
  <si>
    <t>VVeraN@agricolachira.com.pe</t>
  </si>
  <si>
    <t>Verónica Cecilia Sánchez Aguirre</t>
  </si>
  <si>
    <t>VSanchezA@agricolachira.com.pe</t>
  </si>
  <si>
    <t>Victor Alejandro Hilares Zamudio</t>
  </si>
  <si>
    <t>vhilaresz@agricolachira.com.pe</t>
  </si>
  <si>
    <t>Victor Daniel Abad Preciado</t>
  </si>
  <si>
    <t>VAbadP@agricolachira.com.pe</t>
  </si>
  <si>
    <t>Victor Jesus Antezana Medina</t>
  </si>
  <si>
    <t>VAntezanaM@agricolachira.com.pe</t>
  </si>
  <si>
    <t>Victor Jorge del Castillo Farias</t>
  </si>
  <si>
    <t>VDelCastillF@agricolachira.com.pe</t>
  </si>
  <si>
    <t>Victor Junior Cruz Carrillo</t>
  </si>
  <si>
    <t>vcruzc@agricolachira.com.pe</t>
  </si>
  <si>
    <t>Víctor Stalin López Sánchez</t>
  </si>
  <si>
    <t>VLopezS@agricolachira.com.pe</t>
  </si>
  <si>
    <t>Walter Facundo Facundo</t>
  </si>
  <si>
    <t>WFacundoF@agricolachira.com.pe</t>
  </si>
  <si>
    <t>Wilder Roberto Carrasco Arevalo</t>
  </si>
  <si>
    <t>wcarrascoa@agricolachira.com.pe</t>
  </si>
  <si>
    <t>Willian Morales Yabar</t>
  </si>
  <si>
    <t>WmoralesY@agricolachira.com.pe</t>
  </si>
  <si>
    <t>Willian Raul Jimenez Nole</t>
  </si>
  <si>
    <t>wjimenezn@agricolachira.com.pe</t>
  </si>
  <si>
    <t>Wilmer Chavez Saavedra</t>
  </si>
  <si>
    <t>WChavezS@agricolachira.com.pe</t>
  </si>
  <si>
    <t>Wilmer Mendoza Rugel</t>
  </si>
  <si>
    <t>WMendozaR@agricolachira.com.pe</t>
  </si>
  <si>
    <t>Yadira Soledad Garrido Sanchez</t>
  </si>
  <si>
    <t>YGarridoS@agricolachira.com.pe</t>
  </si>
  <si>
    <t>Yinsa Marianela Madrid Alvarado</t>
  </si>
  <si>
    <t>YMadridA@agricolachira.com.pe</t>
  </si>
  <si>
    <t>Yubipsi Anali Moscol Cardoza</t>
  </si>
  <si>
    <t>YMoscolC@agricolachira.com.pe</t>
  </si>
  <si>
    <t>Zilmer Ahmed Muñoz Villalobos</t>
  </si>
  <si>
    <t>ZMunozV@agricolachira.com.pe</t>
  </si>
  <si>
    <t>SistemasTI</t>
  </si>
  <si>
    <t>Generación de SP Automáticas por MRP (Planificación de Materiales)</t>
  </si>
  <si>
    <t>Generación de códigos y proveedores en el sistema(Planificación de Materiales)</t>
  </si>
  <si>
    <t>Comunicación oportuna y atención de sus solicitudes (Compras)</t>
  </si>
  <si>
    <t>Conocimiento de Materiales y Proveedores (Compras)</t>
  </si>
  <si>
    <t>Comunicación oportuna y atención de sus solicitudes (puntual, emergencia y urgencia) (Servicios)</t>
  </si>
  <si>
    <t>Gestión de Contratación de Servicios y Licitaciones (Servicios)</t>
  </si>
  <si>
    <t>Búsqueda y contratación de nuevos proveedores (Servicios)</t>
  </si>
  <si>
    <t>Gestión Ambiental referidos a cumplimientos ambientales</t>
  </si>
  <si>
    <t>Universo</t>
  </si>
  <si>
    <t>Servicios</t>
  </si>
  <si>
    <t>Filtro</t>
  </si>
  <si>
    <t>2024-01</t>
  </si>
  <si>
    <t xml:space="preserve">Servicios de gestión y mantenimiento de equipos críticos </t>
  </si>
  <si>
    <t>Dato Validado según ultima PPT Multiarea</t>
  </si>
  <si>
    <t>Verificado</t>
  </si>
  <si>
    <t>Gestión para aprobación de líneas de crédito a clientes</t>
  </si>
  <si>
    <t>2024-02</t>
  </si>
  <si>
    <t>Capacitaciones, inducciones y asesoría en SST</t>
  </si>
  <si>
    <t>Soporte en investigaciones de accidentes e incidentes de trabajo - TASC</t>
  </si>
  <si>
    <t>Gestión de contratistas en SST</t>
  </si>
  <si>
    <t>Creación de reportes emitidos por parte del laboratorio de Materia Prima y/o industrial</t>
  </si>
  <si>
    <t>Soporte técnico a los requerimientos de laboratorio de materia prima y/o industrial, ISO 90001:2025, HACCP</t>
  </si>
  <si>
    <t>Capacitación y acompañamiento en temas HACCP e ISO 9001:2025</t>
  </si>
  <si>
    <t>Conformidad respecto a inspecciones HACCP, control de plagas y auditorías</t>
  </si>
  <si>
    <t>Bueno</t>
  </si>
  <si>
    <t>Excelente</t>
  </si>
  <si>
    <t>Regular</t>
  </si>
  <si>
    <t>Malo</t>
  </si>
  <si>
    <t>Pésimo</t>
  </si>
  <si>
    <t>Universo: Caña Brava</t>
  </si>
  <si>
    <t>No Aplica</t>
  </si>
  <si>
    <t>Pos</t>
  </si>
  <si>
    <t>Población</t>
  </si>
  <si>
    <t>Conestaron</t>
  </si>
  <si>
    <t>Pilares o Servicios</t>
  </si>
  <si>
    <t>Si</t>
  </si>
  <si>
    <t>No</t>
  </si>
  <si>
    <t>Cant</t>
  </si>
  <si>
    <t>Servicio 1</t>
  </si>
  <si>
    <t>Servicio 2</t>
  </si>
  <si>
    <t>Servicio 3</t>
  </si>
  <si>
    <t>Servicio 4</t>
  </si>
  <si>
    <t>Servicio 5</t>
  </si>
  <si>
    <t>Servicio 6</t>
  </si>
  <si>
    <t>Servicio 7</t>
  </si>
  <si>
    <t>Servicio 8</t>
  </si>
  <si>
    <t>Tabla de Valores</t>
  </si>
  <si>
    <t>%</t>
  </si>
  <si>
    <t>a</t>
  </si>
  <si>
    <t>b</t>
  </si>
  <si>
    <t>c</t>
  </si>
  <si>
    <t>d</t>
  </si>
  <si>
    <t>e</t>
  </si>
  <si>
    <t>f</t>
  </si>
  <si>
    <t>Opt</t>
  </si>
  <si>
    <t>Descrip.</t>
  </si>
  <si>
    <t>Peso</t>
  </si>
  <si>
    <t>Sistema Integral de Gestion</t>
  </si>
  <si>
    <r>
      <rPr>
        <b/>
        <sz val="12"/>
        <color theme="1"/>
        <rFont val="Calibri"/>
        <family val="2"/>
        <scheme val="minor"/>
      </rPr>
      <t>1er Escenario</t>
    </r>
    <r>
      <rPr>
        <sz val="12"/>
        <color theme="1"/>
        <rFont val="Calibri"/>
        <family val="2"/>
        <scheme val="minor"/>
      </rPr>
      <t xml:space="preserve">: Contemplando división de la </t>
    </r>
    <r>
      <rPr>
        <b/>
        <sz val="12"/>
        <color theme="1"/>
        <rFont val="Calibri"/>
        <family val="2"/>
        <scheme val="minor"/>
      </rPr>
      <t xml:space="preserve">∑ </t>
    </r>
    <r>
      <rPr>
        <sz val="12"/>
        <color theme="1"/>
        <rFont val="Calibri"/>
        <family val="2"/>
        <scheme val="minor"/>
      </rPr>
      <t>de la Cantidad de respuestas entre (Pésimo a Excelente)</t>
    </r>
  </si>
  <si>
    <t>1er Escenario (Propuesta para II Semestre 2024)</t>
  </si>
  <si>
    <t>Pilares</t>
  </si>
  <si>
    <t>Total</t>
  </si>
  <si>
    <r>
      <t>r</t>
    </r>
    <r>
      <rPr>
        <vertAlign val="subscript"/>
        <sz val="12"/>
        <color theme="1"/>
        <rFont val="Calibri"/>
        <family val="2"/>
        <scheme val="minor"/>
      </rPr>
      <t>i</t>
    </r>
  </si>
  <si>
    <t>F</t>
  </si>
  <si>
    <t>Rango de columas (B:X)</t>
  </si>
  <si>
    <t>&lt;-----</t>
  </si>
  <si>
    <t>Número que indica el número de la columnas que debe recorrer</t>
  </si>
  <si>
    <t>Para el grafico historico  | GraficoDeSatisfacciónHistorica()</t>
  </si>
  <si>
    <t>Para las ultimas columnas con datos que se quieren</t>
  </si>
  <si>
    <t>tomar en cuenta se debe poner</t>
  </si>
  <si>
    <t>la letra : "F"</t>
  </si>
  <si>
    <t>*La macro interpreta esto como el fin de datos en columnas)</t>
  </si>
  <si>
    <t>&lt;---</t>
  </si>
  <si>
    <t>A partir de la columna a -hasta el numero indicado</t>
  </si>
  <si>
    <t>Servicio 9</t>
  </si>
  <si>
    <t>Servicio 10</t>
  </si>
  <si>
    <t>Servicio 11</t>
  </si>
  <si>
    <t>KZavaletaM@agricolachira.com.pe</t>
  </si>
  <si>
    <t>Christoper Junior Neyra Montalban</t>
  </si>
  <si>
    <t>Yordy Fabian Mogollon Gonzales</t>
  </si>
  <si>
    <t>Ericka Ames Masías</t>
  </si>
  <si>
    <t>Adriana Estefany Seminario Vargas</t>
  </si>
  <si>
    <t>Milagros del Pilar Navarro Navarro</t>
  </si>
  <si>
    <t>Yesica Jeovana Hermenegildo Alvarado</t>
  </si>
  <si>
    <t>Deyvis Ivan Yarleque Lachira</t>
  </si>
  <si>
    <t>Adrian Chirinos Chunga</t>
  </si>
  <si>
    <t>Franqui Lopez Valladares</t>
  </si>
  <si>
    <t>Elvira Josefina Cortez Sandoval</t>
  </si>
  <si>
    <t>Geraldine Zully Gonzales Crisanto</t>
  </si>
  <si>
    <t>Milagros Elizabeth Ojeda Chinguel</t>
  </si>
  <si>
    <t>Generación de reportes sentintel, de LAFT y antecedentes</t>
  </si>
  <si>
    <t>agarciapac@agricolachira.com.pe</t>
  </si>
  <si>
    <t>ffloresp@agricolachira.com.pe</t>
  </si>
  <si>
    <t>mnavarron@agricolachira.com.pe</t>
  </si>
  <si>
    <t>mojedac@agricolachira.com.pe</t>
  </si>
  <si>
    <t>ecortezs@agricolachira.com.pe</t>
  </si>
  <si>
    <t>flopezval@agricolachira.com.pe</t>
  </si>
  <si>
    <t>aseminariov@agricolachira.com.pe</t>
  </si>
  <si>
    <t>ggonzalesc@agricolachira.com.pe</t>
  </si>
  <si>
    <t>yhermenegila@agricolachira.com.pe</t>
  </si>
  <si>
    <t>dyarlequel@agricolachira.com.pe</t>
  </si>
  <si>
    <t>achirinosc@agricolachira.com.pe</t>
  </si>
  <si>
    <t>ymogollong@agricolachira.com.pe</t>
  </si>
  <si>
    <t xml:space="preserve">Karol Ruth Zavaleta Mar </t>
  </si>
  <si>
    <t>Correo</t>
  </si>
  <si>
    <t>jhuamanro@agricolachira.com.pe</t>
  </si>
  <si>
    <t>Jhon Alexis Chumacero Columbus</t>
  </si>
  <si>
    <t>jchumaceroc@sucroalcoleradelchira.com.pe</t>
  </si>
  <si>
    <t>pvitec@agricolachira.com.pe</t>
  </si>
  <si>
    <t>Rosalia Joselenny Velazco Garcia</t>
  </si>
  <si>
    <t>rvelazcog@agricolachira.com.pe</t>
  </si>
  <si>
    <t>ecruza@agricolachira.com.pe</t>
  </si>
  <si>
    <t>Evelin Lisseth Garcia Romero</t>
  </si>
  <si>
    <t>egarciar@agricolachira.com.pe</t>
  </si>
  <si>
    <t xml:space="preserve">Almacén </t>
  </si>
  <si>
    <t>Roberto Daniel Marcelo Yovera</t>
  </si>
  <si>
    <t>rmarceloy@agricolachira.com.pe</t>
  </si>
  <si>
    <t>projasr@agricolachira.com.pe</t>
  </si>
  <si>
    <t>jcheropa@agricolachira.com.pe</t>
  </si>
  <si>
    <t>Ismael Jacobo Flores Flores</t>
  </si>
  <si>
    <t>ifloresf@bioenergiadelchira.pe</t>
  </si>
  <si>
    <t>Gestión Humana</t>
  </si>
  <si>
    <t>Pedro Trigoso Feijoo</t>
  </si>
  <si>
    <t>Ana Lucía García Pachas</t>
  </si>
  <si>
    <t>Dalia Zurita Fernandéz</t>
  </si>
  <si>
    <t>dzuritaf@agricolachira.com.pe</t>
  </si>
  <si>
    <t>Jorge Maza Vilchez</t>
  </si>
  <si>
    <t>jmazav@agricolachira.com.pe</t>
  </si>
  <si>
    <t>Albert Vasquez More</t>
  </si>
  <si>
    <t xml:space="preserve"> OMontenegroC@agricolachira.com.pe</t>
  </si>
  <si>
    <t>JLachiraY@agricolachira.com.pe</t>
  </si>
  <si>
    <t>cneyram@agricolachira.com.pe</t>
  </si>
  <si>
    <t>Control Presupuestal</t>
  </si>
  <si>
    <t>Rodrigo Mauricio Crespo Vasquez</t>
  </si>
  <si>
    <t>RCrespoV@sucroalcoleradelchira.com.pe</t>
  </si>
  <si>
    <t>Valeria Antuaneth Taboada Vivanco</t>
  </si>
  <si>
    <t>VTaboadaV@sucroalcoleradelchira.com.pe</t>
  </si>
  <si>
    <t>1er Escenario: Contemplando división de la ∑ de la Cantidad de respuestas entre (Pésimo a Excelente)</t>
  </si>
  <si>
    <t>Fresia Antonella Rodriguez Villena</t>
  </si>
  <si>
    <t>frodriguezv@agricolachira.com.pe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</si>
</sst>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.000_-;\-* #,##0.000_-;_-* &quot;-&quot;??_-;_-@_-"/>
    <numFmt numFmtId="165" formatCode="0.000"/>
    <numFmt numFmtId="166" formatCode="_-* #,##0_-;\-* #,##0_-;_-* &quot;-&quot;??_-;_-@_-"/>
    <numFmt numFmtId="167" formatCode="_-* #,##0_-;\-* #,##0_-;_-* &quot;-&quot;?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ptos Narrow"/>
      <family val="2"/>
    </font>
    <font>
      <vertAlign val="subscript"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/>
      <diagonal/>
    </border>
    <border>
      <left style="dashDotDot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ashDotDot">
        <color theme="0" tint="-0.24994659260841701"/>
      </right>
      <top/>
      <bottom style="thin">
        <color theme="0" tint="-0.24994659260841701"/>
      </bottom>
      <diagonal/>
    </border>
    <border>
      <left style="dashDotDot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medium">
        <color indexed="64"/>
      </bottom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5">
    <xf numFmtId="0" fontId="0" fillId="0" borderId="0" xfId="0"/>
    <xf numFmtId="15" fontId="0" fillId="0" borderId="0" xfId="0" applyNumberFormat="1"/>
    <xf numFmtId="0" fontId="2" fillId="0" borderId="0" xfId="0" applyFont="1" applyAlignment="1">
      <alignment horizontal="left"/>
    </xf>
    <xf numFmtId="0" fontId="2" fillId="0" borderId="0" xfId="2" applyFont="1" applyFill="1" applyBorder="1"/>
    <xf numFmtId="0" fontId="2" fillId="0" borderId="0" xfId="0" applyFont="1"/>
    <xf numFmtId="0" fontId="2" fillId="0" borderId="0" xfId="2" applyNumberFormat="1" applyFont="1" applyFill="1"/>
    <xf numFmtId="0" fontId="0" fillId="0" borderId="1" xfId="0" applyBorder="1"/>
    <xf numFmtId="0" fontId="2" fillId="0" borderId="1" xfId="0" applyFont="1" applyBorder="1" applyAlignment="1">
      <alignment horizontal="left"/>
    </xf>
    <xf numFmtId="0" fontId="2" fillId="0" borderId="1" xfId="0" applyFont="1" applyBorder="1"/>
    <xf numFmtId="164" fontId="0" fillId="0" borderId="1" xfId="0" applyNumberFormat="1" applyBorder="1"/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0" fillId="2" borderId="0" xfId="0" applyFill="1"/>
    <xf numFmtId="164" fontId="2" fillId="0" borderId="1" xfId="0" applyNumberFormat="1" applyFont="1" applyBorder="1"/>
    <xf numFmtId="164" fontId="0" fillId="0" borderId="1" xfId="3" applyNumberFormat="1" applyFont="1" applyFill="1" applyBorder="1" applyAlignment="1"/>
    <xf numFmtId="164" fontId="2" fillId="2" borderId="1" xfId="0" applyNumberFormat="1" applyFont="1" applyFill="1" applyBorder="1"/>
    <xf numFmtId="164" fontId="0" fillId="2" borderId="1" xfId="3" applyNumberFormat="1" applyFont="1" applyFill="1" applyBorder="1" applyAlignment="1">
      <alignment horizontal="right"/>
    </xf>
    <xf numFmtId="164" fontId="0" fillId="2" borderId="1" xfId="0" applyNumberFormat="1" applyFill="1" applyBorder="1"/>
    <xf numFmtId="0" fontId="0" fillId="0" borderId="2" xfId="0" applyBorder="1"/>
    <xf numFmtId="0" fontId="0" fillId="0" borderId="3" xfId="0" applyBorder="1"/>
    <xf numFmtId="0" fontId="4" fillId="0" borderId="2" xfId="0" applyFont="1" applyBorder="1"/>
    <xf numFmtId="0" fontId="4" fillId="0" borderId="2" xfId="0" quotePrefix="1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164" fontId="0" fillId="2" borderId="3" xfId="0" applyNumberFormat="1" applyFill="1" applyBorder="1"/>
    <xf numFmtId="165" fontId="0" fillId="2" borderId="3" xfId="0" applyNumberFormat="1" applyFill="1" applyBorder="1"/>
    <xf numFmtId="0" fontId="0" fillId="2" borderId="3" xfId="0" applyFill="1" applyBorder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quotePrefix="1" applyFill="1"/>
    <xf numFmtId="165" fontId="0" fillId="2" borderId="2" xfId="0" applyNumberFormat="1" applyFill="1" applyBorder="1"/>
    <xf numFmtId="164" fontId="0" fillId="2" borderId="3" xfId="3" applyNumberFormat="1" applyFont="1" applyFill="1" applyBorder="1" applyAlignment="1">
      <alignment horizontal="center"/>
    </xf>
    <xf numFmtId="164" fontId="0" fillId="2" borderId="0" xfId="3" applyNumberFormat="1" applyFont="1" applyFill="1" applyBorder="1" applyAlignment="1">
      <alignment horizontal="center"/>
    </xf>
    <xf numFmtId="0" fontId="0" fillId="2" borderId="2" xfId="0" applyFill="1" applyBorder="1"/>
    <xf numFmtId="164" fontId="2" fillId="2" borderId="1" xfId="0" applyNumberFormat="1" applyFont="1" applyFill="1" applyBorder="1" applyAlignment="1">
      <alignment vertical="center"/>
    </xf>
    <xf numFmtId="164" fontId="0" fillId="2" borderId="2" xfId="3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left"/>
    </xf>
    <xf numFmtId="164" fontId="0" fillId="2" borderId="1" xfId="0" applyNumberFormat="1" applyFill="1" applyBorder="1" applyAlignment="1">
      <alignment horizontal="right"/>
    </xf>
    <xf numFmtId="164" fontId="0" fillId="2" borderId="1" xfId="4" applyNumberFormat="1" applyFont="1" applyFill="1" applyBorder="1" applyAlignment="1">
      <alignment horizontal="right"/>
    </xf>
    <xf numFmtId="165" fontId="0" fillId="2" borderId="3" xfId="0" applyNumberFormat="1" applyFill="1" applyBorder="1" applyAlignment="1">
      <alignment horizontal="right"/>
    </xf>
    <xf numFmtId="165" fontId="0" fillId="2" borderId="0" xfId="0" applyNumberFormat="1" applyFill="1" applyAlignment="1">
      <alignment horizontal="right"/>
    </xf>
    <xf numFmtId="0" fontId="0" fillId="0" borderId="5" xfId="0" applyBorder="1"/>
    <xf numFmtId="0" fontId="0" fillId="0" borderId="5" xfId="0" applyBorder="1" applyAlignment="1">
      <alignment horizontal="center"/>
    </xf>
    <xf numFmtId="15" fontId="0" fillId="0" borderId="1" xfId="0" applyNumberFormat="1" applyBorder="1"/>
    <xf numFmtId="0" fontId="4" fillId="0" borderId="0" xfId="0" applyFont="1"/>
    <xf numFmtId="0" fontId="7" fillId="0" borderId="0" xfId="0" applyFont="1"/>
    <xf numFmtId="0" fontId="6" fillId="3" borderId="8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166" fontId="4" fillId="0" borderId="19" xfId="3" applyNumberFormat="1" applyFont="1" applyBorder="1"/>
    <xf numFmtId="9" fontId="0" fillId="0" borderId="20" xfId="5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8" xfId="0" applyBorder="1"/>
    <xf numFmtId="0" fontId="0" fillId="0" borderId="8" xfId="3" applyNumberFormat="1" applyFont="1" applyBorder="1"/>
    <xf numFmtId="0" fontId="0" fillId="0" borderId="24" xfId="0" applyBorder="1"/>
    <xf numFmtId="0" fontId="0" fillId="0" borderId="25" xfId="0" applyBorder="1"/>
    <xf numFmtId="166" fontId="0" fillId="0" borderId="25" xfId="3" applyNumberFormat="1" applyFont="1" applyBorder="1"/>
    <xf numFmtId="166" fontId="4" fillId="0" borderId="26" xfId="3" applyNumberFormat="1" applyFont="1" applyBorder="1"/>
    <xf numFmtId="9" fontId="0" fillId="0" borderId="27" xfId="5" applyFont="1" applyBorder="1"/>
    <xf numFmtId="0" fontId="0" fillId="0" borderId="28" xfId="0" applyBorder="1"/>
    <xf numFmtId="166" fontId="4" fillId="0" borderId="30" xfId="3" applyNumberFormat="1" applyFont="1" applyBorder="1"/>
    <xf numFmtId="9" fontId="0" fillId="0" borderId="31" xfId="5" applyFon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66" fontId="0" fillId="0" borderId="0" xfId="3" applyNumberFormat="1" applyFont="1"/>
    <xf numFmtId="9" fontId="0" fillId="0" borderId="0" xfId="5" applyFont="1"/>
    <xf numFmtId="0" fontId="8" fillId="0" borderId="0" xfId="0" applyFont="1"/>
    <xf numFmtId="0" fontId="10" fillId="0" borderId="0" xfId="0" applyFont="1"/>
    <xf numFmtId="0" fontId="6" fillId="4" borderId="36" xfId="0" applyFont="1" applyFill="1" applyBorder="1" applyAlignment="1">
      <alignment horizontal="center"/>
    </xf>
    <xf numFmtId="0" fontId="6" fillId="4" borderId="37" xfId="0" applyFont="1" applyFill="1" applyBorder="1" applyAlignment="1">
      <alignment horizontal="center"/>
    </xf>
    <xf numFmtId="164" fontId="0" fillId="0" borderId="22" xfId="3" applyNumberFormat="1" applyFont="1" applyBorder="1"/>
    <xf numFmtId="164" fontId="0" fillId="0" borderId="0" xfId="3" applyNumberFormat="1" applyFont="1"/>
    <xf numFmtId="164" fontId="0" fillId="0" borderId="38" xfId="3" applyNumberFormat="1" applyFont="1" applyBorder="1"/>
    <xf numFmtId="164" fontId="0" fillId="0" borderId="39" xfId="3" applyNumberFormat="1" applyFont="1" applyBorder="1"/>
    <xf numFmtId="164" fontId="0" fillId="0" borderId="40" xfId="3" applyNumberFormat="1" applyFont="1" applyBorder="1"/>
    <xf numFmtId="164" fontId="0" fillId="0" borderId="0" xfId="3" applyNumberFormat="1" applyFont="1" applyFill="1" applyBorder="1"/>
    <xf numFmtId="0" fontId="9" fillId="0" borderId="0" xfId="0" applyFont="1"/>
    <xf numFmtId="0" fontId="0" fillId="0" borderId="0" xfId="0" applyAlignment="1">
      <alignment horizontal="center"/>
    </xf>
    <xf numFmtId="0" fontId="6" fillId="4" borderId="49" xfId="0" applyFont="1" applyFill="1" applyBorder="1" applyAlignment="1">
      <alignment horizontal="center"/>
    </xf>
    <xf numFmtId="0" fontId="6" fillId="4" borderId="50" xfId="0" applyFont="1" applyFill="1" applyBorder="1" applyAlignment="1">
      <alignment horizontal="center"/>
    </xf>
    <xf numFmtId="0" fontId="6" fillId="3" borderId="50" xfId="0" applyFont="1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164" fontId="0" fillId="0" borderId="17" xfId="3" applyNumberFormat="1" applyFont="1" applyBorder="1"/>
    <xf numFmtId="164" fontId="4" fillId="5" borderId="17" xfId="3" applyNumberFormat="1" applyFont="1" applyFill="1" applyBorder="1"/>
    <xf numFmtId="43" fontId="0" fillId="0" borderId="0" xfId="0" applyNumberFormat="1"/>
    <xf numFmtId="0" fontId="0" fillId="0" borderId="54" xfId="0" applyBorder="1"/>
    <xf numFmtId="0" fontId="0" fillId="0" borderId="55" xfId="0" applyBorder="1"/>
    <xf numFmtId="164" fontId="0" fillId="0" borderId="25" xfId="3" applyNumberFormat="1" applyFont="1" applyBorder="1"/>
    <xf numFmtId="164" fontId="0" fillId="5" borderId="25" xfId="3" applyNumberFormat="1" applyFont="1" applyFill="1" applyBorder="1"/>
    <xf numFmtId="164" fontId="1" fillId="5" borderId="25" xfId="3" applyNumberFormat="1" applyFont="1" applyFill="1" applyBorder="1"/>
    <xf numFmtId="164" fontId="4" fillId="5" borderId="25" xfId="3" applyNumberFormat="1" applyFont="1" applyFill="1" applyBorder="1"/>
    <xf numFmtId="164" fontId="0" fillId="0" borderId="25" xfId="3" applyNumberFormat="1" applyFont="1" applyFill="1" applyBorder="1"/>
    <xf numFmtId="0" fontId="0" fillId="0" borderId="56" xfId="0" applyBorder="1"/>
    <xf numFmtId="0" fontId="0" fillId="0" borderId="57" xfId="0" applyBorder="1"/>
    <xf numFmtId="0" fontId="0" fillId="0" borderId="45" xfId="0" applyBorder="1"/>
    <xf numFmtId="164" fontId="0" fillId="0" borderId="29" xfId="3" applyNumberFormat="1" applyFont="1" applyBorder="1"/>
    <xf numFmtId="164" fontId="0" fillId="5" borderId="29" xfId="3" applyNumberFormat="1" applyFont="1" applyFill="1" applyBorder="1"/>
    <xf numFmtId="164" fontId="1" fillId="5" borderId="29" xfId="3" applyNumberFormat="1" applyFont="1" applyFill="1" applyBorder="1"/>
    <xf numFmtId="0" fontId="0" fillId="0" borderId="1" xfId="0" quotePrefix="1" applyBorder="1"/>
    <xf numFmtId="0" fontId="0" fillId="0" borderId="0" xfId="0" quotePrefix="1"/>
    <xf numFmtId="0" fontId="0" fillId="6" borderId="0" xfId="0" applyFill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0" fontId="0" fillId="0" borderId="2" xfId="0" quotePrefix="1" applyBorder="1"/>
    <xf numFmtId="0" fontId="0" fillId="7" borderId="1" xfId="0" applyFill="1" applyBorder="1"/>
    <xf numFmtId="0" fontId="2" fillId="7" borderId="1" xfId="2" applyFont="1" applyFill="1" applyBorder="1"/>
    <xf numFmtId="15" fontId="0" fillId="7" borderId="1" xfId="0" applyNumberFormat="1" applyFill="1" applyBorder="1"/>
    <xf numFmtId="0" fontId="2" fillId="7" borderId="1" xfId="0" applyFont="1" applyFill="1" applyBorder="1"/>
    <xf numFmtId="166" fontId="0" fillId="7" borderId="29" xfId="3" applyNumberFormat="1" applyFont="1" applyFill="1" applyBorder="1"/>
    <xf numFmtId="166" fontId="4" fillId="7" borderId="30" xfId="3" applyNumberFormat="1" applyFont="1" applyFill="1" applyBorder="1"/>
    <xf numFmtId="166" fontId="0" fillId="7" borderId="58" xfId="3" applyNumberFormat="1" applyFont="1" applyFill="1" applyBorder="1"/>
    <xf numFmtId="166" fontId="4" fillId="7" borderId="59" xfId="3" applyNumberFormat="1" applyFont="1" applyFill="1" applyBorder="1"/>
    <xf numFmtId="15" fontId="4" fillId="2" borderId="7" xfId="0" applyNumberFormat="1" applyFont="1" applyFill="1" applyBorder="1" applyAlignment="1">
      <alignment horizontal="center"/>
    </xf>
    <xf numFmtId="0" fontId="0" fillId="2" borderId="7" xfId="0" applyFill="1" applyBorder="1"/>
    <xf numFmtId="15" fontId="4" fillId="2" borderId="6" xfId="0" applyNumberFormat="1" applyFont="1" applyFill="1" applyBorder="1" applyAlignment="1">
      <alignment horizontal="center"/>
    </xf>
    <xf numFmtId="0" fontId="0" fillId="2" borderId="6" xfId="0" applyFill="1" applyBorder="1"/>
    <xf numFmtId="15" fontId="0" fillId="2" borderId="0" xfId="0" applyNumberFormat="1" applyFill="1"/>
    <xf numFmtId="15" fontId="0" fillId="2" borderId="2" xfId="0" applyNumberFormat="1" applyFill="1" applyBorder="1"/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0" fillId="2" borderId="5" xfId="0" applyFill="1" applyBorder="1"/>
    <xf numFmtId="166" fontId="0" fillId="2" borderId="18" xfId="3" applyNumberFormat="1" applyFont="1" applyFill="1" applyBorder="1"/>
    <xf numFmtId="166" fontId="4" fillId="2" borderId="19" xfId="3" applyNumberFormat="1" applyFont="1" applyFill="1" applyBorder="1"/>
    <xf numFmtId="0" fontId="2" fillId="0" borderId="60" xfId="0" applyFont="1" applyBorder="1"/>
    <xf numFmtId="0" fontId="2" fillId="0" borderId="60" xfId="2" applyFont="1" applyFill="1" applyBorder="1"/>
    <xf numFmtId="0" fontId="2" fillId="0" borderId="0" xfId="2" applyNumberFormat="1" applyFont="1" applyFill="1" applyBorder="1"/>
    <xf numFmtId="166" fontId="0" fillId="7" borderId="25" xfId="3" applyNumberFormat="1" applyFont="1" applyFill="1" applyBorder="1"/>
    <xf numFmtId="166" fontId="4" fillId="7" borderId="26" xfId="3" applyNumberFormat="1" applyFont="1" applyFill="1" applyBorder="1"/>
    <xf numFmtId="0" fontId="0" fillId="7" borderId="21" xfId="0" applyFill="1" applyBorder="1"/>
    <xf numFmtId="0" fontId="0" fillId="7" borderId="32" xfId="0" applyFill="1" applyBorder="1"/>
    <xf numFmtId="15" fontId="0" fillId="2" borderId="3" xfId="0" applyNumberFormat="1" applyFill="1" applyBorder="1"/>
    <xf numFmtId="0" fontId="6" fillId="4" borderId="25" xfId="0" applyFont="1" applyFill="1" applyBorder="1" applyAlignment="1">
      <alignment horizontal="center"/>
    </xf>
    <xf numFmtId="164" fontId="0" fillId="0" borderId="0" xfId="0" applyNumberFormat="1"/>
    <xf numFmtId="0" fontId="2" fillId="7" borderId="1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center"/>
    </xf>
    <xf numFmtId="15" fontId="4" fillId="2" borderId="5" xfId="0" applyNumberFormat="1" applyFont="1" applyFill="1" applyBorder="1" applyAlignment="1">
      <alignment horizontal="center"/>
    </xf>
    <xf numFmtId="0" fontId="3" fillId="0" borderId="0" xfId="2"/>
    <xf numFmtId="0" fontId="0" fillId="0" borderId="0" xfId="0" applyAlignment="1">
      <alignment horizontal="left"/>
    </xf>
    <xf numFmtId="15" fontId="5" fillId="7" borderId="1" xfId="0" applyNumberFormat="1" applyFont="1" applyFill="1" applyBorder="1"/>
    <xf numFmtId="15" fontId="0" fillId="2" borderId="7" xfId="0" applyNumberFormat="1" applyFill="1" applyBorder="1"/>
    <xf numFmtId="15" fontId="0" fillId="2" borderId="6" xfId="0" applyNumberFormat="1" applyFill="1" applyBorder="1"/>
    <xf numFmtId="15" fontId="4" fillId="2" borderId="0" xfId="0" applyNumberFormat="1" applyFont="1" applyFill="1" applyAlignment="1">
      <alignment horizontal="center"/>
    </xf>
    <xf numFmtId="15" fontId="0" fillId="2" borderId="61" xfId="0" applyNumberFormat="1" applyFill="1" applyBorder="1"/>
    <xf numFmtId="15" fontId="0" fillId="2" borderId="62" xfId="0" applyNumberFormat="1" applyFill="1" applyBorder="1"/>
    <xf numFmtId="15" fontId="0" fillId="2" borderId="5" xfId="0" applyNumberFormat="1" applyFill="1" applyBorder="1"/>
    <xf numFmtId="0" fontId="0" fillId="2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6" fillId="3" borderId="8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left" vertical="center"/>
    </xf>
    <xf numFmtId="0" fontId="6" fillId="4" borderId="46" xfId="0" applyFont="1" applyFill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6" fillId="4" borderId="43" xfId="0" applyFont="1" applyFill="1" applyBorder="1" applyAlignment="1">
      <alignment horizontal="left" vertical="center"/>
    </xf>
    <xf numFmtId="0" fontId="6" fillId="4" borderId="44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48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4" borderId="22" xfId="0" applyFont="1" applyFill="1" applyBorder="1" applyAlignment="1">
      <alignment horizontal="center"/>
    </xf>
  </cellXfs>
  <cellStyles count="6">
    <cellStyle name="Hipervínculo" xfId="2" builtinId="8"/>
    <cellStyle name="Millares" xfId="3" builtinId="3"/>
    <cellStyle name="Millares 2" xfId="1" xr:uid="{264DC1B0-CA68-4938-9374-ABA6A09D048A}"/>
    <cellStyle name="Millares 3" xfId="4" xr:uid="{EE0B4159-68AA-4FFD-98B4-22AE62BB0192}"/>
    <cellStyle name="Normal" xfId="0" builtinId="0"/>
    <cellStyle name="Porcentaje" xfId="5" builtinId="5"/>
  </cellStyles>
  <dxfs count="17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228600</xdr:colOff>
          <xdr:row>10</xdr:row>
          <xdr:rowOff>114300</xdr:rowOff>
        </xdr:from>
        <xdr:to>
          <xdr:col>18</xdr:col>
          <xdr:colOff>365760</xdr:colOff>
          <xdr:row>13</xdr:row>
          <xdr:rowOff>83820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Tabulear información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39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57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56</xdr:row>
      <xdr:rowOff>179916</xdr:rowOff>
    </xdr:from>
    <xdr:to>
      <xdr:col>26</xdr:col>
      <xdr:colOff>317500</xdr:colOff>
      <xdr:row>63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1EEC02-4FD0-4414-B3B0-603D54CDF526}"/>
            </a:ext>
          </a:extLst>
        </xdr:cNvPr>
        <xdr:cNvSpPr/>
      </xdr:nvSpPr>
      <xdr:spPr>
        <a:xfrm>
          <a:off x="9719733" y="1049739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27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39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38</xdr:row>
      <xdr:rowOff>179916</xdr:rowOff>
    </xdr:from>
    <xdr:to>
      <xdr:col>26</xdr:col>
      <xdr:colOff>317500</xdr:colOff>
      <xdr:row>45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A8228C0-878A-4E23-B2EA-34B1D8954ED2}"/>
            </a:ext>
          </a:extLst>
        </xdr:cNvPr>
        <xdr:cNvSpPr/>
      </xdr:nvSpPr>
      <xdr:spPr>
        <a:xfrm>
          <a:off x="9719733" y="1050501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8</xdr:col>
      <xdr:colOff>175304</xdr:colOff>
      <xdr:row>50</xdr:row>
      <xdr:rowOff>166134</xdr:rowOff>
    </xdr:from>
    <xdr:to>
      <xdr:col>13</xdr:col>
      <xdr:colOff>399769</xdr:colOff>
      <xdr:row>54</xdr:row>
      <xdr:rowOff>110491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8D88CE9-F9C1-E586-45AC-F081973D8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38444" y="9159506"/>
          <a:ext cx="2605715" cy="708572"/>
        </a:xfrm>
        <a:prstGeom prst="rect">
          <a:avLst/>
        </a:prstGeom>
      </xdr:spPr>
    </xdr:pic>
    <xdr:clientData/>
  </xdr:twoCellAnchor>
  <xdr:twoCellAnchor editAs="oneCell">
    <xdr:from>
      <xdr:col>13</xdr:col>
      <xdr:colOff>310115</xdr:colOff>
      <xdr:row>50</xdr:row>
      <xdr:rowOff>121832</xdr:rowOff>
    </xdr:from>
    <xdr:to>
      <xdr:col>18</xdr:col>
      <xdr:colOff>77797</xdr:colOff>
      <xdr:row>55</xdr:row>
      <xdr:rowOff>94693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69B84F0-3908-3174-9B18-19BBE1BA2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54505" y="9115204"/>
          <a:ext cx="2459048" cy="91428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5B5C06-50E1-4576-A72A-7B1AD9AE8ABB}" name="Tabla1" displayName="Tabla1" ref="A1:D201" totalsRowShown="0">
  <autoFilter ref="A1:D201" xr:uid="{F25B5C06-50E1-4576-A72A-7B1AD9AE8ABB}"/>
  <tableColumns count="4">
    <tableColumn id="1" xr3:uid="{720A747C-1F62-47CF-AC11-FB84A3DF224C}" name="Nombre"/>
    <tableColumn id="2" xr3:uid="{FA908287-2396-46B2-AC2C-DC2E40A2231B}" name="Correo"/>
    <tableColumn id="3" xr3:uid="{FFFBF048-D6A4-49EE-A410-F6BA532F0937}" name="Gerencia"/>
    <tableColumn id="4" xr3:uid="{43AFBEEB-41F4-4561-9798-278860926087}" name="Áre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frodriguezv@agricolachira.com.p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6861-7DE1-4F6E-A401-7CD104F22F7E}">
  <sheetPr codeName="Hoja2"/>
  <dimension ref="A1:D201"/>
  <sheetViews>
    <sheetView topLeftCell="A175" workbookViewId="0">
      <selection activeCell="D202" sqref="D202"/>
    </sheetView>
  </sheetViews>
  <sheetFormatPr baseColWidth="10" defaultRowHeight="14.4" x14ac:dyDescent="0.3"/>
  <cols>
    <col min="1" max="1" width="40.5546875" bestFit="1" customWidth="1"/>
    <col min="2" max="2" width="41.44140625" bestFit="1" customWidth="1"/>
    <col min="3" max="4" width="37.6640625" customWidth="1"/>
  </cols>
  <sheetData>
    <row r="1" spans="1:4" x14ac:dyDescent="0.3">
      <c r="A1" t="s">
        <v>57</v>
      </c>
      <c r="B1" t="s">
        <v>547</v>
      </c>
      <c r="C1" t="s">
        <v>58</v>
      </c>
      <c r="D1" t="s">
        <v>59</v>
      </c>
    </row>
    <row r="2" spans="1:4" x14ac:dyDescent="0.3">
      <c r="A2" s="4" t="s">
        <v>60</v>
      </c>
      <c r="B2" s="3" t="s">
        <v>61</v>
      </c>
      <c r="C2" s="3" t="s">
        <v>62</v>
      </c>
      <c r="D2" s="3" t="s">
        <v>63</v>
      </c>
    </row>
    <row r="3" spans="1:4" x14ac:dyDescent="0.3">
      <c r="A3" s="4" t="s">
        <v>68</v>
      </c>
      <c r="B3" s="4" t="s">
        <v>69</v>
      </c>
      <c r="C3" s="4" t="s">
        <v>70</v>
      </c>
      <c r="D3" s="4" t="s">
        <v>71</v>
      </c>
    </row>
    <row r="4" spans="1:4" x14ac:dyDescent="0.3">
      <c r="A4" s="2" t="s">
        <v>76</v>
      </c>
      <c r="B4" s="4" t="s">
        <v>77</v>
      </c>
      <c r="C4" s="4" t="s">
        <v>70</v>
      </c>
      <c r="D4" s="4" t="s">
        <v>78</v>
      </c>
    </row>
    <row r="5" spans="1:4" x14ac:dyDescent="0.3">
      <c r="A5" s="2" t="s">
        <v>81</v>
      </c>
      <c r="B5" s="4" t="s">
        <v>82</v>
      </c>
      <c r="C5" s="4" t="s">
        <v>74</v>
      </c>
      <c r="D5" s="4" t="s">
        <v>83</v>
      </c>
    </row>
    <row r="6" spans="1:4" x14ac:dyDescent="0.3">
      <c r="A6" s="4" t="s">
        <v>84</v>
      </c>
      <c r="B6" s="4" t="s">
        <v>85</v>
      </c>
      <c r="C6" s="4" t="s">
        <v>70</v>
      </c>
      <c r="D6" s="4" t="s">
        <v>86</v>
      </c>
    </row>
    <row r="7" spans="1:4" x14ac:dyDescent="0.3">
      <c r="A7" s="2" t="s">
        <v>87</v>
      </c>
      <c r="B7" s="4" t="s">
        <v>88</v>
      </c>
      <c r="C7" s="4" t="s">
        <v>89</v>
      </c>
      <c r="D7" s="4" t="s">
        <v>90</v>
      </c>
    </row>
    <row r="8" spans="1:4" x14ac:dyDescent="0.3">
      <c r="A8" s="2" t="s">
        <v>91</v>
      </c>
      <c r="B8" s="4" t="s">
        <v>92</v>
      </c>
      <c r="C8" s="4" t="s">
        <v>66</v>
      </c>
      <c r="D8" s="4" t="s">
        <v>93</v>
      </c>
    </row>
    <row r="9" spans="1:4" x14ac:dyDescent="0.3">
      <c r="A9" s="2" t="s">
        <v>94</v>
      </c>
      <c r="B9" s="4" t="s">
        <v>95</v>
      </c>
      <c r="C9" s="4" t="s">
        <v>66</v>
      </c>
      <c r="D9" s="4" t="s">
        <v>37</v>
      </c>
    </row>
    <row r="10" spans="1:4" x14ac:dyDescent="0.3">
      <c r="A10" s="2" t="s">
        <v>106</v>
      </c>
      <c r="B10" s="3" t="s">
        <v>107</v>
      </c>
      <c r="C10" s="3" t="s">
        <v>70</v>
      </c>
      <c r="D10" s="3" t="s">
        <v>108</v>
      </c>
    </row>
    <row r="11" spans="1:4" x14ac:dyDescent="0.3">
      <c r="A11" s="4" t="s">
        <v>265</v>
      </c>
      <c r="B11" s="4" t="s">
        <v>548</v>
      </c>
      <c r="C11" s="4" t="s">
        <v>70</v>
      </c>
      <c r="D11" s="4" t="s">
        <v>111</v>
      </c>
    </row>
    <row r="12" spans="1:4" x14ac:dyDescent="0.3">
      <c r="A12" s="2" t="s">
        <v>549</v>
      </c>
      <c r="B12" s="4" t="s">
        <v>550</v>
      </c>
      <c r="C12" s="4" t="s">
        <v>74</v>
      </c>
      <c r="D12" s="4" t="s">
        <v>75</v>
      </c>
    </row>
    <row r="13" spans="1:4" x14ac:dyDescent="0.3">
      <c r="A13" s="2" t="s">
        <v>114</v>
      </c>
      <c r="B13" s="4" t="s">
        <v>115</v>
      </c>
      <c r="C13" s="4" t="s">
        <v>74</v>
      </c>
      <c r="D13" s="4" t="s">
        <v>116</v>
      </c>
    </row>
    <row r="14" spans="1:4" x14ac:dyDescent="0.3">
      <c r="A14" s="4" t="s">
        <v>122</v>
      </c>
      <c r="B14" s="3" t="s">
        <v>123</v>
      </c>
      <c r="C14" s="3" t="s">
        <v>66</v>
      </c>
      <c r="D14" s="3" t="s">
        <v>124</v>
      </c>
    </row>
    <row r="15" spans="1:4" x14ac:dyDescent="0.3">
      <c r="A15" s="4" t="s">
        <v>127</v>
      </c>
      <c r="B15" s="4" t="s">
        <v>128</v>
      </c>
      <c r="C15" s="4" t="s">
        <v>89</v>
      </c>
      <c r="D15" s="4" t="s">
        <v>90</v>
      </c>
    </row>
    <row r="16" spans="1:4" x14ac:dyDescent="0.3">
      <c r="A16" s="2" t="s">
        <v>524</v>
      </c>
      <c r="B16" s="4" t="s">
        <v>540</v>
      </c>
      <c r="C16" s="4" t="s">
        <v>89</v>
      </c>
      <c r="D16" s="4" t="s">
        <v>131</v>
      </c>
    </row>
    <row r="17" spans="1:4" x14ac:dyDescent="0.3">
      <c r="A17" s="2" t="s">
        <v>132</v>
      </c>
      <c r="B17" s="3" t="s">
        <v>133</v>
      </c>
      <c r="C17" s="3" t="s">
        <v>74</v>
      </c>
      <c r="D17" s="3" t="s">
        <v>134</v>
      </c>
    </row>
    <row r="18" spans="1:4" x14ac:dyDescent="0.3">
      <c r="A18" s="4" t="s">
        <v>135</v>
      </c>
      <c r="B18" s="4" t="s">
        <v>136</v>
      </c>
      <c r="C18" s="4" t="s">
        <v>70</v>
      </c>
      <c r="D18" s="4" t="s">
        <v>86</v>
      </c>
    </row>
    <row r="19" spans="1:4" x14ac:dyDescent="0.3">
      <c r="A19" s="4" t="s">
        <v>137</v>
      </c>
      <c r="B19" s="3" t="s">
        <v>138</v>
      </c>
      <c r="C19" s="3" t="s">
        <v>62</v>
      </c>
      <c r="D19" s="3" t="s">
        <v>139</v>
      </c>
    </row>
    <row r="20" spans="1:4" x14ac:dyDescent="0.3">
      <c r="A20" s="2" t="s">
        <v>144</v>
      </c>
      <c r="B20" s="4" t="s">
        <v>145</v>
      </c>
      <c r="C20" s="4" t="s">
        <v>66</v>
      </c>
      <c r="D20" s="4" t="s">
        <v>37</v>
      </c>
    </row>
    <row r="21" spans="1:4" x14ac:dyDescent="0.3">
      <c r="A21" s="2" t="s">
        <v>266</v>
      </c>
      <c r="B21" s="4" t="s">
        <v>267</v>
      </c>
      <c r="C21" s="4" t="s">
        <v>62</v>
      </c>
      <c r="D21" s="4" t="s">
        <v>148</v>
      </c>
    </row>
    <row r="22" spans="1:4" x14ac:dyDescent="0.3">
      <c r="A22" s="2" t="s">
        <v>149</v>
      </c>
      <c r="B22" s="4" t="s">
        <v>150</v>
      </c>
      <c r="C22" s="4" t="s">
        <v>74</v>
      </c>
      <c r="D22" s="4" t="s">
        <v>83</v>
      </c>
    </row>
    <row r="23" spans="1:4" x14ac:dyDescent="0.3">
      <c r="A23" s="2" t="s">
        <v>153</v>
      </c>
      <c r="B23" s="4" t="s">
        <v>154</v>
      </c>
      <c r="C23" s="4" t="s">
        <v>74</v>
      </c>
      <c r="D23" s="4" t="s">
        <v>75</v>
      </c>
    </row>
    <row r="24" spans="1:4" x14ac:dyDescent="0.3">
      <c r="A24" s="2" t="s">
        <v>157</v>
      </c>
      <c r="B24" s="3" t="s">
        <v>158</v>
      </c>
      <c r="C24" s="3" t="s">
        <v>70</v>
      </c>
      <c r="D24" s="3" t="s">
        <v>18</v>
      </c>
    </row>
    <row r="25" spans="1:4" x14ac:dyDescent="0.3">
      <c r="A25" s="4" t="s">
        <v>163</v>
      </c>
      <c r="B25" s="3" t="s">
        <v>164</v>
      </c>
      <c r="C25" s="3" t="s">
        <v>89</v>
      </c>
      <c r="D25" s="3" t="s">
        <v>165</v>
      </c>
    </row>
    <row r="26" spans="1:4" x14ac:dyDescent="0.3">
      <c r="A26" s="2" t="s">
        <v>169</v>
      </c>
      <c r="B26" s="4" t="s">
        <v>170</v>
      </c>
      <c r="C26" s="4" t="s">
        <v>70</v>
      </c>
      <c r="D26" s="4" t="s">
        <v>105</v>
      </c>
    </row>
    <row r="27" spans="1:4" x14ac:dyDescent="0.3">
      <c r="A27" s="2" t="s">
        <v>182</v>
      </c>
      <c r="B27" s="4" t="s">
        <v>183</v>
      </c>
      <c r="C27" s="4" t="s">
        <v>89</v>
      </c>
      <c r="D27" s="4" t="s">
        <v>184</v>
      </c>
    </row>
    <row r="28" spans="1:4" x14ac:dyDescent="0.3">
      <c r="A28" s="2" t="s">
        <v>191</v>
      </c>
      <c r="B28" s="3" t="s">
        <v>192</v>
      </c>
      <c r="C28" s="3" t="s">
        <v>89</v>
      </c>
      <c r="D28" s="3" t="s">
        <v>131</v>
      </c>
    </row>
    <row r="29" spans="1:4" x14ac:dyDescent="0.3">
      <c r="A29" s="2" t="s">
        <v>197</v>
      </c>
      <c r="B29" s="3" t="s">
        <v>198</v>
      </c>
      <c r="C29" s="3" t="s">
        <v>89</v>
      </c>
      <c r="D29" s="3" t="s">
        <v>90</v>
      </c>
    </row>
    <row r="30" spans="1:4" x14ac:dyDescent="0.3">
      <c r="A30" s="2" t="s">
        <v>199</v>
      </c>
      <c r="B30" s="4" t="s">
        <v>200</v>
      </c>
      <c r="C30" s="4" t="s">
        <v>74</v>
      </c>
      <c r="D30" s="4" t="s">
        <v>134</v>
      </c>
    </row>
    <row r="31" spans="1:4" x14ac:dyDescent="0.3">
      <c r="A31" s="2" t="s">
        <v>201</v>
      </c>
      <c r="B31" s="4" t="s">
        <v>202</v>
      </c>
      <c r="C31" s="4" t="s">
        <v>89</v>
      </c>
      <c r="D31" s="4" t="s">
        <v>203</v>
      </c>
    </row>
    <row r="32" spans="1:4" x14ac:dyDescent="0.3">
      <c r="A32" s="2" t="s">
        <v>204</v>
      </c>
      <c r="B32" s="4" t="s">
        <v>205</v>
      </c>
      <c r="C32" s="4" t="s">
        <v>70</v>
      </c>
      <c r="D32" s="4" t="s">
        <v>71</v>
      </c>
    </row>
    <row r="33" spans="1:4" x14ac:dyDescent="0.3">
      <c r="A33" s="2" t="s">
        <v>212</v>
      </c>
      <c r="B33" s="4" t="s">
        <v>213</v>
      </c>
      <c r="C33" s="4" t="s">
        <v>62</v>
      </c>
      <c r="D33" s="4" t="s">
        <v>43</v>
      </c>
    </row>
    <row r="34" spans="1:4" x14ac:dyDescent="0.3">
      <c r="A34" s="2" t="s">
        <v>214</v>
      </c>
      <c r="B34" s="4" t="s">
        <v>215</v>
      </c>
      <c r="C34" s="4" t="s">
        <v>62</v>
      </c>
      <c r="D34" s="4" t="s">
        <v>43</v>
      </c>
    </row>
    <row r="35" spans="1:4" x14ac:dyDescent="0.3">
      <c r="A35" s="2" t="s">
        <v>220</v>
      </c>
      <c r="B35" s="4" t="s">
        <v>221</v>
      </c>
      <c r="C35" s="4" t="s">
        <v>66</v>
      </c>
      <c r="D35" s="4" t="s">
        <v>222</v>
      </c>
    </row>
    <row r="36" spans="1:4" x14ac:dyDescent="0.3">
      <c r="A36" s="2" t="s">
        <v>223</v>
      </c>
      <c r="B36" s="3" t="s">
        <v>224</v>
      </c>
      <c r="C36" s="3" t="s">
        <v>89</v>
      </c>
      <c r="D36" s="3" t="s">
        <v>225</v>
      </c>
    </row>
    <row r="37" spans="1:4" x14ac:dyDescent="0.3">
      <c r="A37" s="2" t="s">
        <v>226</v>
      </c>
      <c r="B37" s="4" t="s">
        <v>227</v>
      </c>
      <c r="C37" s="4" t="s">
        <v>62</v>
      </c>
      <c r="D37" s="4" t="s">
        <v>228</v>
      </c>
    </row>
    <row r="38" spans="1:4" x14ac:dyDescent="0.3">
      <c r="A38" s="2" t="s">
        <v>235</v>
      </c>
      <c r="B38" s="4" t="s">
        <v>236</v>
      </c>
      <c r="C38" s="4" t="s">
        <v>66</v>
      </c>
      <c r="D38" s="4" t="s">
        <v>222</v>
      </c>
    </row>
    <row r="39" spans="1:4" x14ac:dyDescent="0.3">
      <c r="A39" s="2" t="s">
        <v>237</v>
      </c>
      <c r="B39" s="4" t="s">
        <v>238</v>
      </c>
      <c r="C39" s="4" t="s">
        <v>74</v>
      </c>
      <c r="D39" s="4" t="s">
        <v>83</v>
      </c>
    </row>
    <row r="40" spans="1:4" x14ac:dyDescent="0.3">
      <c r="A40" s="2" t="s">
        <v>239</v>
      </c>
      <c r="B40" s="4" t="s">
        <v>240</v>
      </c>
      <c r="C40" s="4" t="s">
        <v>62</v>
      </c>
      <c r="D40" s="4" t="s">
        <v>43</v>
      </c>
    </row>
    <row r="41" spans="1:4" x14ac:dyDescent="0.3">
      <c r="A41" s="2" t="s">
        <v>241</v>
      </c>
      <c r="B41" s="4" t="s">
        <v>242</v>
      </c>
      <c r="C41" s="4" t="s">
        <v>89</v>
      </c>
      <c r="D41" s="4" t="s">
        <v>121</v>
      </c>
    </row>
    <row r="42" spans="1:4" x14ac:dyDescent="0.3">
      <c r="A42" s="2" t="s">
        <v>246</v>
      </c>
      <c r="B42" s="4" t="s">
        <v>247</v>
      </c>
      <c r="C42" s="4" t="s">
        <v>74</v>
      </c>
      <c r="D42" s="4" t="s">
        <v>75</v>
      </c>
    </row>
    <row r="43" spans="1:4" x14ac:dyDescent="0.3">
      <c r="A43" s="2" t="s">
        <v>250</v>
      </c>
      <c r="B43" s="4" t="s">
        <v>251</v>
      </c>
      <c r="C43" s="4" t="s">
        <v>74</v>
      </c>
      <c r="D43" s="4" t="s">
        <v>252</v>
      </c>
    </row>
    <row r="44" spans="1:4" x14ac:dyDescent="0.3">
      <c r="A44" s="2" t="s">
        <v>255</v>
      </c>
      <c r="B44" s="3" t="s">
        <v>256</v>
      </c>
      <c r="C44" s="3" t="s">
        <v>89</v>
      </c>
      <c r="D44" s="3" t="s">
        <v>121</v>
      </c>
    </row>
    <row r="45" spans="1:4" x14ac:dyDescent="0.3">
      <c r="A45" s="2" t="s">
        <v>257</v>
      </c>
      <c r="B45" s="4" t="s">
        <v>258</v>
      </c>
      <c r="C45" s="4" t="s">
        <v>70</v>
      </c>
      <c r="D45" s="4" t="s">
        <v>18</v>
      </c>
    </row>
    <row r="46" spans="1:4" x14ac:dyDescent="0.3">
      <c r="A46" s="2" t="s">
        <v>259</v>
      </c>
      <c r="B46" s="4" t="s">
        <v>260</v>
      </c>
      <c r="C46" s="4" t="s">
        <v>74</v>
      </c>
      <c r="D46" s="4" t="s">
        <v>83</v>
      </c>
    </row>
    <row r="47" spans="1:4" x14ac:dyDescent="0.3">
      <c r="A47" s="2" t="s">
        <v>270</v>
      </c>
      <c r="B47" s="4" t="s">
        <v>271</v>
      </c>
      <c r="C47" s="4" t="s">
        <v>70</v>
      </c>
      <c r="D47" s="4" t="s">
        <v>18</v>
      </c>
    </row>
    <row r="48" spans="1:4" x14ac:dyDescent="0.3">
      <c r="A48" s="2" t="s">
        <v>274</v>
      </c>
      <c r="B48" s="4" t="s">
        <v>275</v>
      </c>
      <c r="C48" s="4" t="s">
        <v>66</v>
      </c>
      <c r="D48" s="4" t="s">
        <v>44</v>
      </c>
    </row>
    <row r="49" spans="1:4" x14ac:dyDescent="0.3">
      <c r="A49" s="2" t="s">
        <v>278</v>
      </c>
      <c r="B49" s="3" t="s">
        <v>279</v>
      </c>
      <c r="C49" s="3" t="s">
        <v>70</v>
      </c>
      <c r="D49" s="3" t="s">
        <v>108</v>
      </c>
    </row>
    <row r="50" spans="1:4" x14ac:dyDescent="0.3">
      <c r="A50" s="2" t="s">
        <v>282</v>
      </c>
      <c r="B50" s="4" t="s">
        <v>283</v>
      </c>
      <c r="C50" s="4" t="s">
        <v>66</v>
      </c>
      <c r="D50" s="4" t="s">
        <v>222</v>
      </c>
    </row>
    <row r="51" spans="1:4" x14ac:dyDescent="0.3">
      <c r="A51" s="2" t="s">
        <v>284</v>
      </c>
      <c r="B51" s="4" t="s">
        <v>285</v>
      </c>
      <c r="C51" s="4" t="s">
        <v>70</v>
      </c>
      <c r="D51" s="4" t="s">
        <v>86</v>
      </c>
    </row>
    <row r="52" spans="1:4" x14ac:dyDescent="0.3">
      <c r="A52" s="4" t="s">
        <v>286</v>
      </c>
      <c r="B52" s="4" t="s">
        <v>287</v>
      </c>
      <c r="C52" s="4" t="s">
        <v>70</v>
      </c>
      <c r="D52" s="4" t="s">
        <v>18</v>
      </c>
    </row>
    <row r="53" spans="1:4" x14ac:dyDescent="0.3">
      <c r="A53" s="2" t="s">
        <v>288</v>
      </c>
      <c r="B53" s="4" t="s">
        <v>289</v>
      </c>
      <c r="C53" s="4" t="s">
        <v>89</v>
      </c>
      <c r="D53" s="4" t="s">
        <v>131</v>
      </c>
    </row>
    <row r="54" spans="1:4" x14ac:dyDescent="0.3">
      <c r="A54" s="2" t="s">
        <v>290</v>
      </c>
      <c r="B54" s="4" t="s">
        <v>291</v>
      </c>
      <c r="C54" s="4" t="s">
        <v>62</v>
      </c>
      <c r="D54" s="4" t="s">
        <v>292</v>
      </c>
    </row>
    <row r="55" spans="1:4" x14ac:dyDescent="0.3">
      <c r="A55" s="4" t="s">
        <v>296</v>
      </c>
      <c r="B55" s="3" t="s">
        <v>297</v>
      </c>
      <c r="C55" s="3" t="s">
        <v>70</v>
      </c>
      <c r="D55" s="3" t="s">
        <v>71</v>
      </c>
    </row>
    <row r="56" spans="1:4" x14ac:dyDescent="0.3">
      <c r="A56" s="2" t="s">
        <v>298</v>
      </c>
      <c r="B56" s="3" t="s">
        <v>299</v>
      </c>
      <c r="C56" s="3" t="s">
        <v>66</v>
      </c>
      <c r="D56" s="3" t="s">
        <v>37</v>
      </c>
    </row>
    <row r="57" spans="1:4" x14ac:dyDescent="0.3">
      <c r="A57" s="4" t="s">
        <v>302</v>
      </c>
      <c r="B57" s="4" t="s">
        <v>303</v>
      </c>
      <c r="C57" s="4" t="s">
        <v>66</v>
      </c>
      <c r="D57" s="4" t="s">
        <v>93</v>
      </c>
    </row>
    <row r="58" spans="1:4" x14ac:dyDescent="0.3">
      <c r="A58" s="2" t="s">
        <v>304</v>
      </c>
      <c r="B58" s="4" t="s">
        <v>305</v>
      </c>
      <c r="C58" s="4" t="s">
        <v>74</v>
      </c>
      <c r="D58" s="4" t="s">
        <v>83</v>
      </c>
    </row>
    <row r="59" spans="1:4" x14ac:dyDescent="0.3">
      <c r="A59" s="2" t="s">
        <v>306</v>
      </c>
      <c r="B59" s="4" t="s">
        <v>307</v>
      </c>
      <c r="C59" s="4" t="s">
        <v>62</v>
      </c>
      <c r="D59" s="4" t="s">
        <v>308</v>
      </c>
    </row>
    <row r="60" spans="1:4" x14ac:dyDescent="0.3">
      <c r="A60" s="2" t="s">
        <v>309</v>
      </c>
      <c r="B60" s="4" t="s">
        <v>310</v>
      </c>
      <c r="C60" s="4" t="s">
        <v>70</v>
      </c>
      <c r="D60" s="4" t="s">
        <v>105</v>
      </c>
    </row>
    <row r="61" spans="1:4" x14ac:dyDescent="0.3">
      <c r="A61" s="4" t="s">
        <v>311</v>
      </c>
      <c r="B61" s="4" t="s">
        <v>312</v>
      </c>
      <c r="C61" s="4" t="s">
        <v>70</v>
      </c>
      <c r="D61" s="4" t="s">
        <v>18</v>
      </c>
    </row>
    <row r="62" spans="1:4" x14ac:dyDescent="0.3">
      <c r="A62" s="4" t="s">
        <v>313</v>
      </c>
      <c r="B62" s="3" t="s">
        <v>314</v>
      </c>
      <c r="C62" s="3" t="s">
        <v>74</v>
      </c>
      <c r="D62" s="3" t="s">
        <v>75</v>
      </c>
    </row>
    <row r="63" spans="1:4" x14ac:dyDescent="0.3">
      <c r="A63" s="2" t="s">
        <v>317</v>
      </c>
      <c r="B63" s="3" t="s">
        <v>318</v>
      </c>
      <c r="C63" s="3" t="s">
        <v>70</v>
      </c>
      <c r="D63" s="3" t="s">
        <v>111</v>
      </c>
    </row>
    <row r="64" spans="1:4" x14ac:dyDescent="0.3">
      <c r="A64" s="4" t="s">
        <v>319</v>
      </c>
      <c r="B64" s="4" t="s">
        <v>320</v>
      </c>
      <c r="C64" s="4" t="s">
        <v>62</v>
      </c>
      <c r="D64" s="4" t="s">
        <v>148</v>
      </c>
    </row>
    <row r="65" spans="1:4" x14ac:dyDescent="0.3">
      <c r="A65" s="2" t="s">
        <v>321</v>
      </c>
      <c r="B65" s="4" t="s">
        <v>322</v>
      </c>
      <c r="C65" s="4" t="s">
        <v>66</v>
      </c>
      <c r="D65" s="4" t="s">
        <v>67</v>
      </c>
    </row>
    <row r="66" spans="1:4" x14ac:dyDescent="0.3">
      <c r="A66" s="2" t="s">
        <v>325</v>
      </c>
      <c r="B66" s="4" t="s">
        <v>326</v>
      </c>
      <c r="C66" s="4" t="s">
        <v>70</v>
      </c>
      <c r="D66" s="4" t="s">
        <v>18</v>
      </c>
    </row>
    <row r="67" spans="1:4" x14ac:dyDescent="0.3">
      <c r="A67" s="2" t="s">
        <v>331</v>
      </c>
      <c r="B67" s="4" t="s">
        <v>332</v>
      </c>
      <c r="C67" s="4" t="s">
        <v>89</v>
      </c>
      <c r="D67" s="4" t="s">
        <v>333</v>
      </c>
    </row>
    <row r="68" spans="1:4" x14ac:dyDescent="0.3">
      <c r="A68" s="2" t="s">
        <v>336</v>
      </c>
      <c r="B68" s="4" t="s">
        <v>337</v>
      </c>
      <c r="C68" s="4" t="s">
        <v>89</v>
      </c>
      <c r="D68" s="4" t="s">
        <v>165</v>
      </c>
    </row>
    <row r="69" spans="1:4" x14ac:dyDescent="0.3">
      <c r="A69" s="2" t="s">
        <v>340</v>
      </c>
      <c r="B69" s="4" t="s">
        <v>341</v>
      </c>
      <c r="C69" s="4" t="s">
        <v>66</v>
      </c>
      <c r="D69" s="4" t="s">
        <v>15</v>
      </c>
    </row>
    <row r="70" spans="1:4" x14ac:dyDescent="0.3">
      <c r="A70" s="2" t="s">
        <v>342</v>
      </c>
      <c r="B70" s="4" t="s">
        <v>343</v>
      </c>
      <c r="C70" s="4" t="s">
        <v>70</v>
      </c>
      <c r="D70" s="4" t="s">
        <v>78</v>
      </c>
    </row>
    <row r="71" spans="1:4" x14ac:dyDescent="0.3">
      <c r="A71" s="2" t="s">
        <v>344</v>
      </c>
      <c r="B71" s="4" t="s">
        <v>345</v>
      </c>
      <c r="C71" s="4" t="s">
        <v>89</v>
      </c>
      <c r="D71" s="4" t="s">
        <v>131</v>
      </c>
    </row>
    <row r="72" spans="1:4" x14ac:dyDescent="0.3">
      <c r="A72" s="2" t="s">
        <v>349</v>
      </c>
      <c r="B72" s="4" t="s">
        <v>350</v>
      </c>
      <c r="C72" s="4" t="s">
        <v>89</v>
      </c>
      <c r="D72" s="4" t="s">
        <v>184</v>
      </c>
    </row>
    <row r="73" spans="1:4" x14ac:dyDescent="0.3">
      <c r="A73" s="2" t="s">
        <v>351</v>
      </c>
      <c r="B73" s="4" t="s">
        <v>352</v>
      </c>
      <c r="C73" s="4" t="s">
        <v>62</v>
      </c>
      <c r="D73" s="4" t="s">
        <v>63</v>
      </c>
    </row>
    <row r="74" spans="1:4" x14ac:dyDescent="0.3">
      <c r="A74" s="2" t="s">
        <v>361</v>
      </c>
      <c r="B74" s="4" t="s">
        <v>362</v>
      </c>
      <c r="C74" s="4" t="s">
        <v>89</v>
      </c>
      <c r="D74" s="4" t="s">
        <v>90</v>
      </c>
    </row>
    <row r="75" spans="1:4" x14ac:dyDescent="0.3">
      <c r="A75" s="2" t="s">
        <v>364</v>
      </c>
      <c r="B75" s="4" t="s">
        <v>365</v>
      </c>
      <c r="C75" s="4" t="s">
        <v>70</v>
      </c>
      <c r="D75" s="4" t="s">
        <v>111</v>
      </c>
    </row>
    <row r="76" spans="1:4" x14ac:dyDescent="0.3">
      <c r="A76" s="2" t="s">
        <v>368</v>
      </c>
      <c r="B76" s="4" t="s">
        <v>369</v>
      </c>
      <c r="C76" s="4" t="s">
        <v>89</v>
      </c>
      <c r="D76" s="4" t="s">
        <v>370</v>
      </c>
    </row>
    <row r="77" spans="1:4" x14ac:dyDescent="0.3">
      <c r="A77" s="2" t="s">
        <v>371</v>
      </c>
      <c r="B77" t="s">
        <v>372</v>
      </c>
      <c r="C77" t="s">
        <v>89</v>
      </c>
      <c r="D77" t="s">
        <v>225</v>
      </c>
    </row>
    <row r="78" spans="1:4" x14ac:dyDescent="0.3">
      <c r="A78" s="2" t="s">
        <v>373</v>
      </c>
      <c r="B78" s="4" t="s">
        <v>374</v>
      </c>
      <c r="C78" s="4" t="s">
        <v>89</v>
      </c>
      <c r="D78" s="4" t="s">
        <v>131</v>
      </c>
    </row>
    <row r="79" spans="1:4" x14ac:dyDescent="0.3">
      <c r="A79" s="2" t="s">
        <v>375</v>
      </c>
      <c r="B79" s="4" t="s">
        <v>376</v>
      </c>
      <c r="C79" s="4" t="s">
        <v>66</v>
      </c>
      <c r="D79" s="4" t="s">
        <v>93</v>
      </c>
    </row>
    <row r="80" spans="1:4" x14ac:dyDescent="0.3">
      <c r="A80" s="2" t="s">
        <v>377</v>
      </c>
      <c r="B80" s="4" t="s">
        <v>378</v>
      </c>
      <c r="C80" s="4" t="s">
        <v>74</v>
      </c>
      <c r="D80" s="4" t="s">
        <v>379</v>
      </c>
    </row>
    <row r="81" spans="1:4" x14ac:dyDescent="0.3">
      <c r="A81" s="2" t="s">
        <v>382</v>
      </c>
      <c r="B81" s="4" t="s">
        <v>383</v>
      </c>
      <c r="C81" s="4" t="s">
        <v>89</v>
      </c>
      <c r="D81" s="4" t="s">
        <v>90</v>
      </c>
    </row>
    <row r="82" spans="1:4" x14ac:dyDescent="0.3">
      <c r="A82" s="4" t="s">
        <v>384</v>
      </c>
      <c r="B82" s="4" t="s">
        <v>385</v>
      </c>
      <c r="C82" s="4" t="s">
        <v>89</v>
      </c>
      <c r="D82" s="4" t="s">
        <v>121</v>
      </c>
    </row>
    <row r="83" spans="1:4" x14ac:dyDescent="0.3">
      <c r="A83" s="2" t="s">
        <v>398</v>
      </c>
      <c r="B83" s="4" t="s">
        <v>399</v>
      </c>
      <c r="C83" s="4" t="s">
        <v>62</v>
      </c>
      <c r="D83" s="4" t="s">
        <v>43</v>
      </c>
    </row>
    <row r="84" spans="1:4" x14ac:dyDescent="0.3">
      <c r="A84" s="2" t="s">
        <v>400</v>
      </c>
      <c r="B84" s="4" t="s">
        <v>401</v>
      </c>
      <c r="C84" s="4" t="s">
        <v>62</v>
      </c>
      <c r="D84" s="4" t="s">
        <v>43</v>
      </c>
    </row>
    <row r="85" spans="1:4" x14ac:dyDescent="0.3">
      <c r="A85" s="2" t="s">
        <v>406</v>
      </c>
      <c r="B85" s="3" t="s">
        <v>407</v>
      </c>
      <c r="C85" s="3" t="s">
        <v>89</v>
      </c>
      <c r="D85" s="3" t="s">
        <v>225</v>
      </c>
    </row>
    <row r="86" spans="1:4" x14ac:dyDescent="0.3">
      <c r="A86" s="2" t="s">
        <v>410</v>
      </c>
      <c r="B86" t="s">
        <v>411</v>
      </c>
      <c r="C86" t="s">
        <v>89</v>
      </c>
      <c r="D86" t="s">
        <v>165</v>
      </c>
    </row>
    <row r="87" spans="1:4" x14ac:dyDescent="0.3">
      <c r="A87" s="2" t="s">
        <v>418</v>
      </c>
      <c r="B87" t="s">
        <v>419</v>
      </c>
      <c r="C87" t="s">
        <v>62</v>
      </c>
      <c r="D87" t="s">
        <v>100</v>
      </c>
    </row>
    <row r="88" spans="1:4" x14ac:dyDescent="0.3">
      <c r="A88" s="4" t="s">
        <v>422</v>
      </c>
      <c r="B88" s="3" t="s">
        <v>423</v>
      </c>
      <c r="C88" s="3" t="s">
        <v>74</v>
      </c>
      <c r="D88" s="3" t="s">
        <v>83</v>
      </c>
    </row>
    <row r="89" spans="1:4" x14ac:dyDescent="0.3">
      <c r="A89" s="4" t="s">
        <v>430</v>
      </c>
      <c r="B89" s="3" t="s">
        <v>431</v>
      </c>
      <c r="C89" s="134" t="s">
        <v>89</v>
      </c>
      <c r="D89" s="134" t="s">
        <v>165</v>
      </c>
    </row>
    <row r="90" spans="1:4" x14ac:dyDescent="0.3">
      <c r="A90" s="4" t="s">
        <v>432</v>
      </c>
      <c r="B90" s="4" t="s">
        <v>433</v>
      </c>
      <c r="C90" s="5" t="s">
        <v>62</v>
      </c>
      <c r="D90" s="5" t="s">
        <v>43</v>
      </c>
    </row>
    <row r="91" spans="1:4" x14ac:dyDescent="0.3">
      <c r="A91" s="4" t="s">
        <v>434</v>
      </c>
      <c r="B91" s="4" t="s">
        <v>435</v>
      </c>
      <c r="C91" s="5" t="s">
        <v>70</v>
      </c>
      <c r="D91" s="5" t="s">
        <v>71</v>
      </c>
    </row>
    <row r="92" spans="1:4" x14ac:dyDescent="0.3">
      <c r="A92" s="4" t="s">
        <v>438</v>
      </c>
      <c r="B92" s="4" t="s">
        <v>439</v>
      </c>
      <c r="C92" s="5" t="s">
        <v>70</v>
      </c>
      <c r="D92" s="5" t="s">
        <v>86</v>
      </c>
    </row>
    <row r="93" spans="1:4" x14ac:dyDescent="0.3">
      <c r="A93" s="2" t="s">
        <v>175</v>
      </c>
      <c r="B93" s="4" t="s">
        <v>176</v>
      </c>
      <c r="C93" s="5" t="s">
        <v>66</v>
      </c>
      <c r="D93" s="5" t="s">
        <v>177</v>
      </c>
    </row>
    <row r="94" spans="1:4" x14ac:dyDescent="0.3">
      <c r="A94" s="4" t="s">
        <v>206</v>
      </c>
      <c r="B94" s="4" t="s">
        <v>207</v>
      </c>
      <c r="C94" s="5" t="s">
        <v>66</v>
      </c>
      <c r="D94" s="5" t="s">
        <v>208</v>
      </c>
    </row>
    <row r="95" spans="1:4" x14ac:dyDescent="0.3">
      <c r="A95" s="4" t="s">
        <v>358</v>
      </c>
      <c r="B95" s="4" t="s">
        <v>359</v>
      </c>
      <c r="C95" s="5" t="s">
        <v>70</v>
      </c>
      <c r="D95" s="5" t="s">
        <v>360</v>
      </c>
    </row>
    <row r="96" spans="1:4" x14ac:dyDescent="0.3">
      <c r="A96" s="4" t="s">
        <v>323</v>
      </c>
      <c r="B96" s="4" t="s">
        <v>324</v>
      </c>
      <c r="C96" s="5" t="s">
        <v>66</v>
      </c>
      <c r="D96" s="5" t="s">
        <v>67</v>
      </c>
    </row>
    <row r="97" spans="1:4" x14ac:dyDescent="0.3">
      <c r="A97" s="4" t="s">
        <v>195</v>
      </c>
      <c r="B97" s="4" t="s">
        <v>196</v>
      </c>
      <c r="C97" s="5" t="s">
        <v>89</v>
      </c>
      <c r="D97" s="5" t="s">
        <v>131</v>
      </c>
    </row>
    <row r="98" spans="1:4" x14ac:dyDescent="0.3">
      <c r="A98" s="4" t="s">
        <v>334</v>
      </c>
      <c r="B98" s="4" t="s">
        <v>335</v>
      </c>
      <c r="C98" s="5" t="s">
        <v>70</v>
      </c>
      <c r="D98" s="5" t="s">
        <v>71</v>
      </c>
    </row>
    <row r="99" spans="1:4" x14ac:dyDescent="0.3">
      <c r="A99" s="4" t="s">
        <v>193</v>
      </c>
      <c r="B99" s="4" t="s">
        <v>194</v>
      </c>
      <c r="C99" s="5" t="s">
        <v>70</v>
      </c>
      <c r="D99" s="5" t="s">
        <v>71</v>
      </c>
    </row>
    <row r="100" spans="1:4" x14ac:dyDescent="0.3">
      <c r="A100" s="4" t="s">
        <v>424</v>
      </c>
      <c r="B100" s="4" t="s">
        <v>425</v>
      </c>
      <c r="C100" s="5" t="s">
        <v>66</v>
      </c>
      <c r="D100" s="5" t="s">
        <v>222</v>
      </c>
    </row>
    <row r="101" spans="1:4" x14ac:dyDescent="0.3">
      <c r="A101" s="4" t="s">
        <v>293</v>
      </c>
      <c r="B101" s="4" t="s">
        <v>294</v>
      </c>
      <c r="C101" s="5" t="s">
        <v>66</v>
      </c>
      <c r="D101" s="5" t="s">
        <v>222</v>
      </c>
    </row>
    <row r="102" spans="1:4" x14ac:dyDescent="0.3">
      <c r="A102" s="4" t="s">
        <v>363</v>
      </c>
      <c r="B102" s="4" t="s">
        <v>551</v>
      </c>
      <c r="C102" s="5" t="s">
        <v>70</v>
      </c>
      <c r="D102" s="5" t="s">
        <v>105</v>
      </c>
    </row>
    <row r="103" spans="1:4" x14ac:dyDescent="0.3">
      <c r="A103" s="4" t="s">
        <v>552</v>
      </c>
      <c r="B103" s="4" t="s">
        <v>553</v>
      </c>
      <c r="C103" s="5" t="s">
        <v>89</v>
      </c>
      <c r="D103" s="5" t="s">
        <v>131</v>
      </c>
    </row>
    <row r="104" spans="1:4" x14ac:dyDescent="0.3">
      <c r="A104" s="4" t="s">
        <v>276</v>
      </c>
      <c r="B104" s="4" t="s">
        <v>277</v>
      </c>
      <c r="C104" s="5" t="s">
        <v>62</v>
      </c>
      <c r="D104" s="5" t="s">
        <v>43</v>
      </c>
    </row>
    <row r="105" spans="1:4" x14ac:dyDescent="0.3">
      <c r="A105" s="4" t="s">
        <v>168</v>
      </c>
      <c r="B105" s="4" t="s">
        <v>554</v>
      </c>
      <c r="C105" s="5" t="s">
        <v>62</v>
      </c>
      <c r="D105" s="5" t="s">
        <v>43</v>
      </c>
    </row>
    <row r="106" spans="1:4" x14ac:dyDescent="0.3">
      <c r="A106" s="4" t="s">
        <v>526</v>
      </c>
      <c r="B106" s="4" t="s">
        <v>542</v>
      </c>
      <c r="C106" s="5" t="s">
        <v>62</v>
      </c>
      <c r="D106" s="5" t="s">
        <v>228</v>
      </c>
    </row>
    <row r="107" spans="1:4" x14ac:dyDescent="0.3">
      <c r="A107" s="4" t="s">
        <v>151</v>
      </c>
      <c r="B107" s="3" t="s">
        <v>152</v>
      </c>
      <c r="C107" s="3" t="s">
        <v>70</v>
      </c>
      <c r="D107" s="3" t="s">
        <v>71</v>
      </c>
    </row>
    <row r="108" spans="1:4" x14ac:dyDescent="0.3">
      <c r="A108" s="4" t="s">
        <v>263</v>
      </c>
      <c r="B108" s="3" t="s">
        <v>264</v>
      </c>
      <c r="C108" s="3" t="s">
        <v>74</v>
      </c>
      <c r="D108" s="3" t="s">
        <v>83</v>
      </c>
    </row>
    <row r="109" spans="1:4" x14ac:dyDescent="0.3">
      <c r="A109" s="4" t="s">
        <v>392</v>
      </c>
      <c r="B109" s="4" t="s">
        <v>393</v>
      </c>
      <c r="C109" s="3" t="s">
        <v>89</v>
      </c>
      <c r="D109" s="3" t="s">
        <v>370</v>
      </c>
    </row>
    <row r="110" spans="1:4" x14ac:dyDescent="0.3">
      <c r="A110" s="4" t="s">
        <v>426</v>
      </c>
      <c r="B110" s="4" t="s">
        <v>427</v>
      </c>
      <c r="C110" s="3" t="s">
        <v>74</v>
      </c>
      <c r="D110" s="3" t="s">
        <v>83</v>
      </c>
    </row>
    <row r="111" spans="1:4" x14ac:dyDescent="0.3">
      <c r="A111" s="4" t="s">
        <v>187</v>
      </c>
      <c r="B111" s="4" t="s">
        <v>188</v>
      </c>
      <c r="C111" s="3" t="s">
        <v>74</v>
      </c>
      <c r="D111" s="3" t="s">
        <v>75</v>
      </c>
    </row>
    <row r="112" spans="1:4" x14ac:dyDescent="0.3">
      <c r="A112" s="4" t="s">
        <v>218</v>
      </c>
      <c r="B112" s="4" t="s">
        <v>219</v>
      </c>
      <c r="C112" s="3" t="s">
        <v>89</v>
      </c>
      <c r="D112" s="3" t="s">
        <v>121</v>
      </c>
    </row>
    <row r="113" spans="1:4" x14ac:dyDescent="0.3">
      <c r="A113" s="4" t="s">
        <v>355</v>
      </c>
      <c r="B113" s="4" t="s">
        <v>356</v>
      </c>
      <c r="C113" s="3" t="s">
        <v>70</v>
      </c>
      <c r="D113" s="3" t="s">
        <v>111</v>
      </c>
    </row>
    <row r="114" spans="1:4" x14ac:dyDescent="0.3">
      <c r="A114" s="4" t="s">
        <v>416</v>
      </c>
      <c r="B114" s="4" t="s">
        <v>417</v>
      </c>
      <c r="C114" s="3" t="s">
        <v>74</v>
      </c>
      <c r="D114" s="3" t="s">
        <v>211</v>
      </c>
    </row>
    <row r="115" spans="1:4" x14ac:dyDescent="0.3">
      <c r="A115" s="4" t="s">
        <v>420</v>
      </c>
      <c r="B115" s="4" t="s">
        <v>421</v>
      </c>
      <c r="C115" s="3" t="s">
        <v>70</v>
      </c>
      <c r="D115" s="3" t="s">
        <v>111</v>
      </c>
    </row>
    <row r="116" spans="1:4" x14ac:dyDescent="0.3">
      <c r="A116" s="4" t="s">
        <v>555</v>
      </c>
      <c r="B116" s="4" t="s">
        <v>556</v>
      </c>
      <c r="C116" s="3" t="s">
        <v>70</v>
      </c>
      <c r="D116" s="3" t="s">
        <v>557</v>
      </c>
    </row>
    <row r="117" spans="1:4" x14ac:dyDescent="0.3">
      <c r="A117" s="4" t="s">
        <v>558</v>
      </c>
      <c r="B117" s="4" t="s">
        <v>559</v>
      </c>
      <c r="C117" s="3" t="s">
        <v>70</v>
      </c>
      <c r="D117" s="3" t="s">
        <v>557</v>
      </c>
    </row>
    <row r="118" spans="1:4" x14ac:dyDescent="0.3">
      <c r="A118" s="4" t="s">
        <v>233</v>
      </c>
      <c r="B118" s="4" t="s">
        <v>234</v>
      </c>
      <c r="C118" s="3" t="s">
        <v>66</v>
      </c>
      <c r="D118" s="3" t="s">
        <v>44</v>
      </c>
    </row>
    <row r="119" spans="1:4" x14ac:dyDescent="0.3">
      <c r="A119" s="4" t="s">
        <v>357</v>
      </c>
      <c r="B119" s="4" t="s">
        <v>560</v>
      </c>
      <c r="C119" s="3" t="s">
        <v>66</v>
      </c>
      <c r="D119" s="3" t="s">
        <v>44</v>
      </c>
    </row>
    <row r="120" spans="1:4" x14ac:dyDescent="0.3">
      <c r="A120" s="4" t="s">
        <v>295</v>
      </c>
      <c r="B120" s="4" t="s">
        <v>561</v>
      </c>
      <c r="C120" s="3" t="s">
        <v>66</v>
      </c>
      <c r="D120" s="3" t="s">
        <v>44</v>
      </c>
    </row>
    <row r="121" spans="1:4" x14ac:dyDescent="0.3">
      <c r="A121" s="4" t="s">
        <v>562</v>
      </c>
      <c r="B121" s="4" t="s">
        <v>563</v>
      </c>
      <c r="C121" s="3" t="s">
        <v>74</v>
      </c>
      <c r="D121" s="3" t="s">
        <v>211</v>
      </c>
    </row>
    <row r="122" spans="1:4" x14ac:dyDescent="0.3">
      <c r="A122" s="4" t="s">
        <v>523</v>
      </c>
      <c r="B122" s="4" t="s">
        <v>227</v>
      </c>
      <c r="C122" s="3" t="s">
        <v>62</v>
      </c>
      <c r="D122" s="3" t="s">
        <v>564</v>
      </c>
    </row>
    <row r="123" spans="1:4" x14ac:dyDescent="0.3">
      <c r="A123" s="4" t="s">
        <v>189</v>
      </c>
      <c r="B123" s="4" t="s">
        <v>535</v>
      </c>
      <c r="C123" s="3" t="s">
        <v>62</v>
      </c>
      <c r="D123" s="3" t="s">
        <v>564</v>
      </c>
    </row>
    <row r="124" spans="1:4" x14ac:dyDescent="0.3">
      <c r="A124" s="4" t="s">
        <v>565</v>
      </c>
      <c r="B124" s="4" t="s">
        <v>359</v>
      </c>
      <c r="C124" s="3" t="s">
        <v>70</v>
      </c>
      <c r="D124" s="3" t="s">
        <v>70</v>
      </c>
    </row>
    <row r="125" spans="1:4" x14ac:dyDescent="0.3">
      <c r="A125" s="4" t="s">
        <v>566</v>
      </c>
      <c r="B125" s="3" t="s">
        <v>534</v>
      </c>
      <c r="C125" s="3" t="s">
        <v>66</v>
      </c>
      <c r="D125" s="3" t="s">
        <v>37</v>
      </c>
    </row>
    <row r="126" spans="1:4" x14ac:dyDescent="0.3">
      <c r="A126" s="4" t="s">
        <v>567</v>
      </c>
      <c r="B126" s="4" t="s">
        <v>568</v>
      </c>
      <c r="C126" s="3" t="s">
        <v>66</v>
      </c>
      <c r="D126" s="3" t="s">
        <v>37</v>
      </c>
    </row>
    <row r="127" spans="1:4" x14ac:dyDescent="0.3">
      <c r="A127" s="4" t="s">
        <v>569</v>
      </c>
      <c r="B127" s="3" t="s">
        <v>570</v>
      </c>
      <c r="C127" s="3" t="s">
        <v>74</v>
      </c>
      <c r="D127" s="3" t="s">
        <v>252</v>
      </c>
    </row>
    <row r="128" spans="1:4" x14ac:dyDescent="0.3">
      <c r="A128" s="4" t="s">
        <v>571</v>
      </c>
      <c r="B128" s="4" t="s">
        <v>73</v>
      </c>
      <c r="C128" s="3" t="s">
        <v>74</v>
      </c>
      <c r="D128" s="3" t="s">
        <v>75</v>
      </c>
    </row>
    <row r="129" spans="1:4" x14ac:dyDescent="0.3">
      <c r="A129" s="4" t="s">
        <v>428</v>
      </c>
      <c r="B129" s="4" t="s">
        <v>429</v>
      </c>
      <c r="C129" s="3" t="s">
        <v>74</v>
      </c>
      <c r="D129" s="3" t="s">
        <v>83</v>
      </c>
    </row>
    <row r="130" spans="1:4" x14ac:dyDescent="0.3">
      <c r="A130" s="4" t="s">
        <v>72</v>
      </c>
      <c r="B130" s="4" t="s">
        <v>73</v>
      </c>
      <c r="C130" s="4" t="s">
        <v>74</v>
      </c>
      <c r="D130" s="4" t="s">
        <v>75</v>
      </c>
    </row>
    <row r="131" spans="1:4" x14ac:dyDescent="0.3">
      <c r="A131" s="4" t="s">
        <v>103</v>
      </c>
      <c r="B131" t="s">
        <v>104</v>
      </c>
      <c r="C131" t="s">
        <v>70</v>
      </c>
      <c r="D131" t="s">
        <v>105</v>
      </c>
    </row>
    <row r="132" spans="1:4" x14ac:dyDescent="0.3">
      <c r="A132" s="4" t="s">
        <v>119</v>
      </c>
      <c r="B132" s="4" t="s">
        <v>120</v>
      </c>
      <c r="C132" s="4" t="s">
        <v>89</v>
      </c>
      <c r="D132" s="4" t="s">
        <v>121</v>
      </c>
    </row>
    <row r="133" spans="1:4" x14ac:dyDescent="0.3">
      <c r="A133" s="4" t="s">
        <v>253</v>
      </c>
      <c r="B133" s="4" t="s">
        <v>254</v>
      </c>
      <c r="C133" s="4" t="s">
        <v>66</v>
      </c>
      <c r="D133" s="4" t="s">
        <v>7</v>
      </c>
    </row>
    <row r="134" spans="1:4" x14ac:dyDescent="0.3">
      <c r="A134" s="4" t="s">
        <v>280</v>
      </c>
      <c r="B134" s="4" t="s">
        <v>281</v>
      </c>
      <c r="C134" s="4" t="s">
        <v>74</v>
      </c>
      <c r="D134" s="4" t="s">
        <v>75</v>
      </c>
    </row>
    <row r="135" spans="1:4" x14ac:dyDescent="0.3">
      <c r="A135" s="4" t="s">
        <v>112</v>
      </c>
      <c r="B135" s="4" t="s">
        <v>113</v>
      </c>
      <c r="C135" s="4" t="s">
        <v>74</v>
      </c>
      <c r="D135" s="4" t="s">
        <v>75</v>
      </c>
    </row>
    <row r="136" spans="1:4" x14ac:dyDescent="0.3">
      <c r="A136" s="4" t="s">
        <v>117</v>
      </c>
      <c r="B136" s="4" t="s">
        <v>118</v>
      </c>
      <c r="C136" s="4" t="s">
        <v>89</v>
      </c>
      <c r="D136" s="4" t="s">
        <v>90</v>
      </c>
    </row>
    <row r="137" spans="1:4" x14ac:dyDescent="0.3">
      <c r="A137" s="4" t="s">
        <v>129</v>
      </c>
      <c r="B137" s="4" t="s">
        <v>130</v>
      </c>
      <c r="C137" s="4" t="s">
        <v>89</v>
      </c>
      <c r="D137" s="4" t="s">
        <v>131</v>
      </c>
    </row>
    <row r="138" spans="1:4" x14ac:dyDescent="0.3">
      <c r="A138" s="4" t="s">
        <v>146</v>
      </c>
      <c r="B138" s="4" t="s">
        <v>147</v>
      </c>
      <c r="C138" s="4" t="s">
        <v>62</v>
      </c>
      <c r="D138" s="4" t="s">
        <v>148</v>
      </c>
    </row>
    <row r="139" spans="1:4" x14ac:dyDescent="0.3">
      <c r="A139" s="4" t="s">
        <v>272</v>
      </c>
      <c r="B139" s="4" t="s">
        <v>273</v>
      </c>
      <c r="C139" s="4" t="s">
        <v>74</v>
      </c>
      <c r="D139" s="4" t="s">
        <v>75</v>
      </c>
    </row>
    <row r="140" spans="1:4" x14ac:dyDescent="0.3">
      <c r="A140" s="4" t="s">
        <v>394</v>
      </c>
      <c r="B140" s="4" t="s">
        <v>395</v>
      </c>
      <c r="C140" s="4" t="s">
        <v>70</v>
      </c>
      <c r="D140" s="4" t="s">
        <v>105</v>
      </c>
    </row>
    <row r="141" spans="1:4" x14ac:dyDescent="0.3">
      <c r="A141" s="4" t="s">
        <v>414</v>
      </c>
      <c r="B141" s="4" t="s">
        <v>415</v>
      </c>
      <c r="C141" s="4" t="s">
        <v>66</v>
      </c>
      <c r="D141" s="4" t="s">
        <v>7</v>
      </c>
    </row>
    <row r="142" spans="1:4" x14ac:dyDescent="0.3">
      <c r="A142" s="4" t="s">
        <v>436</v>
      </c>
      <c r="B142" s="4" t="s">
        <v>437</v>
      </c>
      <c r="C142" s="4" t="s">
        <v>62</v>
      </c>
      <c r="D142" s="4" t="s">
        <v>63</v>
      </c>
    </row>
    <row r="143" spans="1:4" x14ac:dyDescent="0.3">
      <c r="A143" s="4" t="s">
        <v>386</v>
      </c>
      <c r="B143" s="3" t="s">
        <v>387</v>
      </c>
      <c r="C143" s="5" t="s">
        <v>66</v>
      </c>
      <c r="D143" s="4" t="s">
        <v>15</v>
      </c>
    </row>
    <row r="144" spans="1:4" x14ac:dyDescent="0.3">
      <c r="A144" s="4" t="s">
        <v>327</v>
      </c>
      <c r="B144" s="4" t="s">
        <v>328</v>
      </c>
      <c r="C144" s="4" t="s">
        <v>66</v>
      </c>
      <c r="D144" s="4" t="s">
        <v>7</v>
      </c>
    </row>
    <row r="145" spans="1:4" x14ac:dyDescent="0.3">
      <c r="A145" s="4" t="s">
        <v>348</v>
      </c>
      <c r="B145" s="4" t="s">
        <v>572</v>
      </c>
      <c r="C145" s="4" t="s">
        <v>70</v>
      </c>
      <c r="D145" s="4" t="s">
        <v>86</v>
      </c>
    </row>
    <row r="146" spans="1:4" x14ac:dyDescent="0.3">
      <c r="A146" s="4" t="s">
        <v>96</v>
      </c>
      <c r="B146" s="3" t="s">
        <v>97</v>
      </c>
      <c r="C146" s="3" t="s">
        <v>62</v>
      </c>
      <c r="D146" s="3" t="s">
        <v>63</v>
      </c>
    </row>
    <row r="147" spans="1:4" x14ac:dyDescent="0.3">
      <c r="A147" s="4" t="s">
        <v>180</v>
      </c>
      <c r="B147" s="4" t="s">
        <v>181</v>
      </c>
      <c r="C147" s="4" t="s">
        <v>62</v>
      </c>
      <c r="D147" s="4" t="s">
        <v>63</v>
      </c>
    </row>
    <row r="148" spans="1:4" x14ac:dyDescent="0.3">
      <c r="A148" s="4" t="s">
        <v>248</v>
      </c>
      <c r="B148" s="4" t="s">
        <v>249</v>
      </c>
      <c r="C148" s="4" t="s">
        <v>66</v>
      </c>
      <c r="D148" s="4" t="s">
        <v>44</v>
      </c>
    </row>
    <row r="149" spans="1:4" x14ac:dyDescent="0.3">
      <c r="A149" s="4" t="s">
        <v>315</v>
      </c>
      <c r="B149" s="3" t="s">
        <v>316</v>
      </c>
      <c r="C149" s="3" t="s">
        <v>66</v>
      </c>
      <c r="D149" s="3" t="s">
        <v>44</v>
      </c>
    </row>
    <row r="150" spans="1:4" x14ac:dyDescent="0.3">
      <c r="A150" s="4" t="s">
        <v>79</v>
      </c>
      <c r="B150" s="4" t="s">
        <v>80</v>
      </c>
      <c r="C150" s="4" t="s">
        <v>66</v>
      </c>
      <c r="D150" s="4" t="s">
        <v>44</v>
      </c>
    </row>
    <row r="151" spans="1:4" x14ac:dyDescent="0.3">
      <c r="A151" s="4" t="s">
        <v>155</v>
      </c>
      <c r="B151" s="3" t="s">
        <v>156</v>
      </c>
      <c r="C151" s="3" t="s">
        <v>66</v>
      </c>
      <c r="D151" s="3" t="s">
        <v>44</v>
      </c>
    </row>
    <row r="152" spans="1:4" x14ac:dyDescent="0.3">
      <c r="A152" s="4" t="s">
        <v>300</v>
      </c>
      <c r="B152" s="4" t="s">
        <v>301</v>
      </c>
      <c r="C152" s="4" t="s">
        <v>66</v>
      </c>
      <c r="D152" s="4" t="s">
        <v>15</v>
      </c>
    </row>
    <row r="153" spans="1:4" x14ac:dyDescent="0.3">
      <c r="A153" s="4" t="s">
        <v>412</v>
      </c>
      <c r="B153" s="4" t="s">
        <v>413</v>
      </c>
      <c r="C153" s="4" t="s">
        <v>66</v>
      </c>
      <c r="D153" s="4" t="s">
        <v>15</v>
      </c>
    </row>
    <row r="154" spans="1:4" x14ac:dyDescent="0.3">
      <c r="A154" s="4" t="s">
        <v>388</v>
      </c>
      <c r="B154" s="4" t="s">
        <v>389</v>
      </c>
      <c r="C154" s="4" t="s">
        <v>66</v>
      </c>
      <c r="D154" s="4" t="s">
        <v>15</v>
      </c>
    </row>
    <row r="155" spans="1:4" x14ac:dyDescent="0.3">
      <c r="A155" s="4" t="s">
        <v>390</v>
      </c>
      <c r="B155" s="4" t="s">
        <v>391</v>
      </c>
      <c r="C155" s="4" t="s">
        <v>66</v>
      </c>
      <c r="D155" s="4" t="s">
        <v>67</v>
      </c>
    </row>
    <row r="156" spans="1:4" x14ac:dyDescent="0.3">
      <c r="A156" s="4" t="s">
        <v>402</v>
      </c>
      <c r="B156" s="4" t="s">
        <v>403</v>
      </c>
      <c r="C156" s="4" t="s">
        <v>66</v>
      </c>
      <c r="D156" s="4" t="s">
        <v>93</v>
      </c>
    </row>
    <row r="157" spans="1:4" x14ac:dyDescent="0.3">
      <c r="A157" s="4" t="s">
        <v>396</v>
      </c>
      <c r="B157" s="3" t="s">
        <v>397</v>
      </c>
      <c r="C157" s="3" t="s">
        <v>66</v>
      </c>
      <c r="D157" s="3" t="s">
        <v>93</v>
      </c>
    </row>
    <row r="158" spans="1:4" x14ac:dyDescent="0.3">
      <c r="A158" s="4" t="s">
        <v>140</v>
      </c>
      <c r="B158" s="4" t="s">
        <v>141</v>
      </c>
      <c r="C158" s="4" t="s">
        <v>66</v>
      </c>
      <c r="D158" s="4" t="s">
        <v>93</v>
      </c>
    </row>
    <row r="159" spans="1:4" x14ac:dyDescent="0.3">
      <c r="A159" s="4" t="s">
        <v>64</v>
      </c>
      <c r="B159" s="3" t="s">
        <v>65</v>
      </c>
      <c r="C159" s="3" t="s">
        <v>66</v>
      </c>
      <c r="D159" s="3" t="s">
        <v>67</v>
      </c>
    </row>
    <row r="160" spans="1:4" x14ac:dyDescent="0.3">
      <c r="A160" s="4" t="s">
        <v>404</v>
      </c>
      <c r="B160" s="4" t="s">
        <v>405</v>
      </c>
      <c r="C160" s="4" t="s">
        <v>66</v>
      </c>
      <c r="D160" s="4" t="s">
        <v>67</v>
      </c>
    </row>
    <row r="161" spans="1:4" x14ac:dyDescent="0.3">
      <c r="A161" s="4" t="s">
        <v>216</v>
      </c>
      <c r="B161" s="3" t="s">
        <v>217</v>
      </c>
      <c r="C161" s="3" t="s">
        <v>89</v>
      </c>
      <c r="D161" s="3" t="s">
        <v>131</v>
      </c>
    </row>
    <row r="162" spans="1:4" x14ac:dyDescent="0.3">
      <c r="A162" s="4" t="s">
        <v>209</v>
      </c>
      <c r="B162" s="3" t="s">
        <v>210</v>
      </c>
      <c r="C162" s="3" t="s">
        <v>74</v>
      </c>
      <c r="D162" s="3" t="s">
        <v>211</v>
      </c>
    </row>
    <row r="163" spans="1:4" x14ac:dyDescent="0.3">
      <c r="A163" s="4" t="s">
        <v>161</v>
      </c>
      <c r="B163" s="4" t="s">
        <v>162</v>
      </c>
      <c r="C163" s="4" t="s">
        <v>89</v>
      </c>
      <c r="D163" s="4" t="s">
        <v>90</v>
      </c>
    </row>
    <row r="164" spans="1:4" x14ac:dyDescent="0.3">
      <c r="A164" s="4" t="s">
        <v>166</v>
      </c>
      <c r="B164" s="4" t="s">
        <v>167</v>
      </c>
      <c r="C164" s="4" t="s">
        <v>89</v>
      </c>
      <c r="D164" s="4" t="s">
        <v>121</v>
      </c>
    </row>
    <row r="165" spans="1:4" x14ac:dyDescent="0.3">
      <c r="A165" s="4" t="s">
        <v>243</v>
      </c>
      <c r="B165" s="4" t="s">
        <v>573</v>
      </c>
      <c r="C165" s="4" t="s">
        <v>62</v>
      </c>
      <c r="D165" s="4" t="s">
        <v>190</v>
      </c>
    </row>
    <row r="166" spans="1:4" x14ac:dyDescent="0.3">
      <c r="A166" s="4" t="s">
        <v>229</v>
      </c>
      <c r="B166" s="4" t="s">
        <v>230</v>
      </c>
      <c r="C166" s="4" t="s">
        <v>89</v>
      </c>
      <c r="D166" s="4" t="s">
        <v>90</v>
      </c>
    </row>
    <row r="167" spans="1:4" x14ac:dyDescent="0.3">
      <c r="A167" s="4" t="s">
        <v>244</v>
      </c>
      <c r="B167" s="4" t="s">
        <v>245</v>
      </c>
      <c r="C167" s="4" t="s">
        <v>62</v>
      </c>
      <c r="D167" s="4" t="s">
        <v>63</v>
      </c>
    </row>
    <row r="168" spans="1:4" x14ac:dyDescent="0.3">
      <c r="A168" s="4" t="s">
        <v>408</v>
      </c>
      <c r="B168" s="4" t="s">
        <v>409</v>
      </c>
      <c r="C168" s="4" t="s">
        <v>89</v>
      </c>
      <c r="D168" s="4" t="s">
        <v>90</v>
      </c>
    </row>
    <row r="169" spans="1:4" x14ac:dyDescent="0.3">
      <c r="A169" s="4" t="s">
        <v>159</v>
      </c>
      <c r="B169" s="4" t="s">
        <v>160</v>
      </c>
      <c r="C169" s="4" t="s">
        <v>89</v>
      </c>
      <c r="D169" s="4" t="s">
        <v>90</v>
      </c>
    </row>
    <row r="170" spans="1:4" x14ac:dyDescent="0.3">
      <c r="A170" s="4" t="s">
        <v>98</v>
      </c>
      <c r="B170" s="4" t="s">
        <v>99</v>
      </c>
      <c r="C170" s="4" t="s">
        <v>62</v>
      </c>
      <c r="D170" s="4" t="s">
        <v>100</v>
      </c>
    </row>
    <row r="171" spans="1:4" x14ac:dyDescent="0.3">
      <c r="A171" s="4" t="s">
        <v>329</v>
      </c>
      <c r="B171" s="4" t="s">
        <v>330</v>
      </c>
      <c r="C171" s="4" t="s">
        <v>62</v>
      </c>
      <c r="D171" s="4" t="s">
        <v>190</v>
      </c>
    </row>
    <row r="172" spans="1:4" x14ac:dyDescent="0.3">
      <c r="A172" s="4" t="s">
        <v>109</v>
      </c>
      <c r="B172" s="4" t="s">
        <v>110</v>
      </c>
      <c r="C172" s="4" t="s">
        <v>70</v>
      </c>
      <c r="D172" s="4" t="s">
        <v>111</v>
      </c>
    </row>
    <row r="173" spans="1:4" x14ac:dyDescent="0.3">
      <c r="A173" s="2" t="s">
        <v>171</v>
      </c>
      <c r="B173" t="s">
        <v>172</v>
      </c>
      <c r="C173" t="s">
        <v>62</v>
      </c>
      <c r="D173" t="s">
        <v>100</v>
      </c>
    </row>
    <row r="174" spans="1:4" x14ac:dyDescent="0.3">
      <c r="A174" s="4" t="s">
        <v>353</v>
      </c>
      <c r="B174" s="3" t="s">
        <v>354</v>
      </c>
      <c r="C174" s="3" t="s">
        <v>70</v>
      </c>
      <c r="D174" s="3" t="s">
        <v>18</v>
      </c>
    </row>
    <row r="175" spans="1:4" x14ac:dyDescent="0.3">
      <c r="A175" s="4" t="s">
        <v>173</v>
      </c>
      <c r="B175" s="3" t="s">
        <v>174</v>
      </c>
      <c r="C175" s="3" t="s">
        <v>62</v>
      </c>
      <c r="D175" s="3" t="s">
        <v>100</v>
      </c>
    </row>
    <row r="176" spans="1:4" x14ac:dyDescent="0.3">
      <c r="A176" s="4" t="s">
        <v>185</v>
      </c>
      <c r="B176" s="4" t="s">
        <v>186</v>
      </c>
      <c r="C176" s="5" t="s">
        <v>70</v>
      </c>
      <c r="D176" s="5" t="s">
        <v>18</v>
      </c>
    </row>
    <row r="177" spans="1:4" x14ac:dyDescent="0.3">
      <c r="A177" s="4" t="s">
        <v>178</v>
      </c>
      <c r="B177" s="4" t="s">
        <v>179</v>
      </c>
      <c r="C177" s="5" t="s">
        <v>89</v>
      </c>
      <c r="D177" s="5" t="s">
        <v>121</v>
      </c>
    </row>
    <row r="178" spans="1:4" x14ac:dyDescent="0.3">
      <c r="A178" s="4" t="s">
        <v>125</v>
      </c>
      <c r="B178" s="4" t="s">
        <v>126</v>
      </c>
      <c r="C178" s="5" t="s">
        <v>89</v>
      </c>
      <c r="D178" s="5" t="s">
        <v>121</v>
      </c>
    </row>
    <row r="179" spans="1:4" x14ac:dyDescent="0.3">
      <c r="A179" s="4" t="s">
        <v>261</v>
      </c>
      <c r="B179" s="4" t="s">
        <v>262</v>
      </c>
      <c r="C179" s="5" t="s">
        <v>89</v>
      </c>
      <c r="D179" s="5" t="s">
        <v>90</v>
      </c>
    </row>
    <row r="180" spans="1:4" x14ac:dyDescent="0.3">
      <c r="A180" s="4" t="s">
        <v>338</v>
      </c>
      <c r="B180" s="4" t="s">
        <v>339</v>
      </c>
      <c r="C180" s="5" t="s">
        <v>89</v>
      </c>
      <c r="D180" s="5" t="s">
        <v>165</v>
      </c>
    </row>
    <row r="181" spans="1:4" x14ac:dyDescent="0.3">
      <c r="A181" s="4" t="s">
        <v>268</v>
      </c>
      <c r="B181" s="4" t="s">
        <v>269</v>
      </c>
      <c r="C181" s="5" t="s">
        <v>70</v>
      </c>
      <c r="D181" s="5" t="s">
        <v>111</v>
      </c>
    </row>
    <row r="182" spans="1:4" x14ac:dyDescent="0.3">
      <c r="A182" s="4" t="s">
        <v>380</v>
      </c>
      <c r="B182" s="4" t="s">
        <v>381</v>
      </c>
      <c r="C182" s="5" t="s">
        <v>89</v>
      </c>
      <c r="D182" s="5" t="s">
        <v>370</v>
      </c>
    </row>
    <row r="183" spans="1:4" x14ac:dyDescent="0.3">
      <c r="A183" s="4" t="s">
        <v>366</v>
      </c>
      <c r="B183" s="4" t="s">
        <v>367</v>
      </c>
      <c r="C183" s="5" t="s">
        <v>70</v>
      </c>
      <c r="D183" s="5" t="s">
        <v>18</v>
      </c>
    </row>
    <row r="184" spans="1:4" x14ac:dyDescent="0.3">
      <c r="A184" s="4" t="s">
        <v>440</v>
      </c>
      <c r="B184" s="4" t="s">
        <v>441</v>
      </c>
      <c r="C184" s="5" t="s">
        <v>89</v>
      </c>
      <c r="D184" s="5" t="s">
        <v>370</v>
      </c>
    </row>
    <row r="185" spans="1:4" x14ac:dyDescent="0.3">
      <c r="A185" s="2" t="s">
        <v>525</v>
      </c>
      <c r="B185" s="4" t="s">
        <v>536</v>
      </c>
      <c r="C185" s="4" t="s">
        <v>62</v>
      </c>
      <c r="D185" s="4" t="s">
        <v>100</v>
      </c>
    </row>
    <row r="186" spans="1:4" x14ac:dyDescent="0.3">
      <c r="A186" s="2" t="s">
        <v>532</v>
      </c>
      <c r="B186" s="3" t="s">
        <v>537</v>
      </c>
      <c r="C186" s="3" t="s">
        <v>66</v>
      </c>
      <c r="D186" s="3" t="s">
        <v>15</v>
      </c>
    </row>
    <row r="187" spans="1:4" x14ac:dyDescent="0.3">
      <c r="A187" s="2" t="s">
        <v>142</v>
      </c>
      <c r="B187" s="4" t="s">
        <v>143</v>
      </c>
      <c r="C187" s="4" t="s">
        <v>70</v>
      </c>
      <c r="D187" s="4" t="s">
        <v>108</v>
      </c>
    </row>
    <row r="188" spans="1:4" x14ac:dyDescent="0.3">
      <c r="A188" s="2" t="s">
        <v>530</v>
      </c>
      <c r="B188" s="4" t="s">
        <v>538</v>
      </c>
      <c r="C188" s="4" t="s">
        <v>70</v>
      </c>
      <c r="D188" s="4" t="s">
        <v>71</v>
      </c>
    </row>
    <row r="189" spans="1:4" x14ac:dyDescent="0.3">
      <c r="A189" s="4" t="s">
        <v>529</v>
      </c>
      <c r="B189" s="3" t="s">
        <v>539</v>
      </c>
      <c r="C189" s="3" t="s">
        <v>70</v>
      </c>
      <c r="D189" s="3" t="s">
        <v>71</v>
      </c>
    </row>
    <row r="190" spans="1:4" x14ac:dyDescent="0.3">
      <c r="A190" s="2" t="s">
        <v>521</v>
      </c>
      <c r="B190" s="4" t="s">
        <v>574</v>
      </c>
      <c r="C190" s="4" t="s">
        <v>70</v>
      </c>
      <c r="D190" s="4" t="s">
        <v>71</v>
      </c>
    </row>
    <row r="191" spans="1:4" x14ac:dyDescent="0.3">
      <c r="A191" s="4" t="s">
        <v>101</v>
      </c>
      <c r="B191" s="4" t="s">
        <v>102</v>
      </c>
      <c r="C191" s="4" t="s">
        <v>70</v>
      </c>
      <c r="D191" s="4" t="s">
        <v>71</v>
      </c>
    </row>
    <row r="192" spans="1:4" x14ac:dyDescent="0.3">
      <c r="A192" s="2" t="s">
        <v>231</v>
      </c>
      <c r="B192" s="3" t="s">
        <v>232</v>
      </c>
      <c r="C192" s="3" t="s">
        <v>89</v>
      </c>
      <c r="D192" s="3" t="s">
        <v>131</v>
      </c>
    </row>
    <row r="193" spans="1:4" x14ac:dyDescent="0.3">
      <c r="A193" s="4" t="s">
        <v>531</v>
      </c>
      <c r="B193" s="3" t="s">
        <v>541</v>
      </c>
      <c r="C193" s="3" t="s">
        <v>62</v>
      </c>
      <c r="D193" s="3" t="s">
        <v>190</v>
      </c>
    </row>
    <row r="194" spans="1:4" x14ac:dyDescent="0.3">
      <c r="A194" s="4" t="s">
        <v>346</v>
      </c>
      <c r="B194" s="3" t="s">
        <v>347</v>
      </c>
      <c r="C194" s="3" t="s">
        <v>70</v>
      </c>
      <c r="D194" s="3" t="s">
        <v>71</v>
      </c>
    </row>
    <row r="195" spans="1:4" x14ac:dyDescent="0.3">
      <c r="A195" s="4" t="s">
        <v>527</v>
      </c>
      <c r="B195" s="3" t="s">
        <v>543</v>
      </c>
      <c r="C195" s="3" t="s">
        <v>74</v>
      </c>
      <c r="D195" s="3" t="s">
        <v>83</v>
      </c>
    </row>
    <row r="196" spans="1:4" x14ac:dyDescent="0.3">
      <c r="A196" s="4" t="s">
        <v>528</v>
      </c>
      <c r="B196" s="3" t="s">
        <v>544</v>
      </c>
      <c r="C196" s="3" t="s">
        <v>62</v>
      </c>
      <c r="D196" s="3" t="s">
        <v>575</v>
      </c>
    </row>
    <row r="197" spans="1:4" x14ac:dyDescent="0.3">
      <c r="A197" s="2" t="s">
        <v>522</v>
      </c>
      <c r="B197" s="3" t="s">
        <v>545</v>
      </c>
      <c r="C197" s="3" t="s">
        <v>70</v>
      </c>
      <c r="D197" s="3" t="s">
        <v>111</v>
      </c>
    </row>
    <row r="198" spans="1:4" x14ac:dyDescent="0.3">
      <c r="A198" t="s">
        <v>576</v>
      </c>
      <c r="B198" t="s">
        <v>577</v>
      </c>
      <c r="C198" t="s">
        <v>74</v>
      </c>
      <c r="D198" t="s">
        <v>75</v>
      </c>
    </row>
    <row r="199" spans="1:4" x14ac:dyDescent="0.3">
      <c r="A199" t="s">
        <v>578</v>
      </c>
      <c r="B199" t="s">
        <v>579</v>
      </c>
      <c r="C199" t="s">
        <v>66</v>
      </c>
      <c r="D199" t="s">
        <v>67</v>
      </c>
    </row>
    <row r="200" spans="1:4" x14ac:dyDescent="0.3">
      <c r="A200" t="s">
        <v>546</v>
      </c>
      <c r="B200" t="s">
        <v>520</v>
      </c>
      <c r="C200" t="s">
        <v>66</v>
      </c>
      <c r="D200" t="s">
        <v>15</v>
      </c>
    </row>
    <row r="201" spans="1:4" x14ac:dyDescent="0.3">
      <c r="A201" t="s">
        <v>581</v>
      </c>
      <c r="B201" s="145" t="s">
        <v>582</v>
      </c>
      <c r="C201" t="s">
        <v>62</v>
      </c>
      <c r="D201" t="s">
        <v>190</v>
      </c>
    </row>
  </sheetData>
  <hyperlinks>
    <hyperlink ref="B201" r:id="rId1" xr:uid="{4639259E-7F68-4588-B695-4C7A249AEA4C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4296C-ACEB-4DF5-87A8-56ED95F712D8}">
  <sheetPr codeName="Hoja7"/>
  <dimension ref="A1:E65"/>
  <sheetViews>
    <sheetView workbookViewId="0">
      <selection activeCell="C17" sqref="C17"/>
    </sheetView>
  </sheetViews>
  <sheetFormatPr baseColWidth="10" defaultRowHeight="14.4" x14ac:dyDescent="0.3"/>
  <cols>
    <col min="1" max="1" width="25.77734375" bestFit="1" customWidth="1"/>
    <col min="2" max="2" width="109.6640625" bestFit="1" customWidth="1"/>
  </cols>
  <sheetData>
    <row r="1" spans="1:2" ht="15" thickBot="1" x14ac:dyDescent="0.35">
      <c r="A1" s="41" t="s">
        <v>5</v>
      </c>
      <c r="B1" s="40" t="s">
        <v>6</v>
      </c>
    </row>
    <row r="2" spans="1:2" x14ac:dyDescent="0.3">
      <c r="A2" s="126" t="s">
        <v>442</v>
      </c>
      <c r="B2" s="123" t="s">
        <v>0</v>
      </c>
    </row>
    <row r="3" spans="1:2" x14ac:dyDescent="0.3">
      <c r="A3" s="127" t="s">
        <v>442</v>
      </c>
      <c r="B3" s="123" t="s">
        <v>1</v>
      </c>
    </row>
    <row r="4" spans="1:2" x14ac:dyDescent="0.3">
      <c r="A4" s="127" t="s">
        <v>442</v>
      </c>
      <c r="B4" s="123" t="s">
        <v>2</v>
      </c>
    </row>
    <row r="5" spans="1:2" x14ac:dyDescent="0.3">
      <c r="A5" s="127" t="s">
        <v>442</v>
      </c>
      <c r="B5" s="123" t="s">
        <v>3</v>
      </c>
    </row>
    <row r="6" spans="1:2" ht="15" thickBot="1" x14ac:dyDescent="0.35">
      <c r="A6" s="128" t="s">
        <v>442</v>
      </c>
      <c r="B6" s="129" t="s">
        <v>4</v>
      </c>
    </row>
    <row r="7" spans="1:2" x14ac:dyDescent="0.3">
      <c r="A7" s="127" t="s">
        <v>7</v>
      </c>
      <c r="B7" s="123" t="s">
        <v>8</v>
      </c>
    </row>
    <row r="8" spans="1:2" x14ac:dyDescent="0.3">
      <c r="A8" s="127" t="s">
        <v>7</v>
      </c>
      <c r="B8" s="123" t="s">
        <v>9</v>
      </c>
    </row>
    <row r="9" spans="1:2" x14ac:dyDescent="0.3">
      <c r="A9" s="127" t="s">
        <v>7</v>
      </c>
      <c r="B9" s="123" t="s">
        <v>10</v>
      </c>
    </row>
    <row r="10" spans="1:2" ht="15" thickBot="1" x14ac:dyDescent="0.35">
      <c r="A10" s="143" t="s">
        <v>7</v>
      </c>
      <c r="B10" s="129" t="s">
        <v>11</v>
      </c>
    </row>
    <row r="11" spans="1:2" x14ac:dyDescent="0.3">
      <c r="A11" s="126" t="s">
        <v>12</v>
      </c>
      <c r="B11" s="121" t="s">
        <v>13</v>
      </c>
    </row>
    <row r="12" spans="1:2" x14ac:dyDescent="0.3">
      <c r="A12" s="127" t="s">
        <v>12</v>
      </c>
      <c r="B12" s="123" t="s">
        <v>14</v>
      </c>
    </row>
    <row r="13" spans="1:2" x14ac:dyDescent="0.3">
      <c r="A13" s="127" t="s">
        <v>12</v>
      </c>
      <c r="B13" s="123" t="s">
        <v>15</v>
      </c>
    </row>
    <row r="14" spans="1:2" x14ac:dyDescent="0.3">
      <c r="A14" s="127" t="s">
        <v>12</v>
      </c>
      <c r="B14" s="123" t="s">
        <v>16</v>
      </c>
    </row>
    <row r="15" spans="1:2" ht="15" thickBot="1" x14ac:dyDescent="0.35">
      <c r="A15" s="143" t="s">
        <v>12</v>
      </c>
      <c r="B15" s="129" t="s">
        <v>17</v>
      </c>
    </row>
    <row r="16" spans="1:2" x14ac:dyDescent="0.3">
      <c r="A16" s="126" t="s">
        <v>18</v>
      </c>
      <c r="B16" s="25" t="s">
        <v>19</v>
      </c>
    </row>
    <row r="17" spans="1:2" x14ac:dyDescent="0.3">
      <c r="A17" s="127" t="s">
        <v>18</v>
      </c>
      <c r="B17" s="12" t="s">
        <v>20</v>
      </c>
    </row>
    <row r="18" spans="1:2" x14ac:dyDescent="0.3">
      <c r="A18" s="127" t="s">
        <v>18</v>
      </c>
      <c r="B18" s="12" t="s">
        <v>21</v>
      </c>
    </row>
    <row r="19" spans="1:2" x14ac:dyDescent="0.3">
      <c r="A19" s="127" t="s">
        <v>18</v>
      </c>
      <c r="B19" s="12" t="s">
        <v>22</v>
      </c>
    </row>
    <row r="20" spans="1:2" x14ac:dyDescent="0.3">
      <c r="A20" s="127" t="s">
        <v>18</v>
      </c>
      <c r="B20" s="12" t="s">
        <v>23</v>
      </c>
    </row>
    <row r="21" spans="1:2" x14ac:dyDescent="0.3">
      <c r="A21" s="127" t="s">
        <v>18</v>
      </c>
      <c r="B21" s="12" t="s">
        <v>463</v>
      </c>
    </row>
    <row r="22" spans="1:2" x14ac:dyDescent="0.3">
      <c r="A22" s="127" t="s">
        <v>18</v>
      </c>
      <c r="B22" s="12" t="s">
        <v>464</v>
      </c>
    </row>
    <row r="23" spans="1:2" x14ac:dyDescent="0.3">
      <c r="A23" s="127" t="s">
        <v>18</v>
      </c>
      <c r="B23" s="12" t="s">
        <v>465</v>
      </c>
    </row>
    <row r="24" spans="1:2" ht="15" thickBot="1" x14ac:dyDescent="0.35">
      <c r="A24" s="127" t="s">
        <v>18</v>
      </c>
      <c r="B24" s="32" t="s">
        <v>466</v>
      </c>
    </row>
    <row r="25" spans="1:2" x14ac:dyDescent="0.3">
      <c r="A25" s="126" t="s">
        <v>24</v>
      </c>
      <c r="B25" s="121" t="s">
        <v>25</v>
      </c>
    </row>
    <row r="26" spans="1:2" x14ac:dyDescent="0.3">
      <c r="A26" s="127" t="s">
        <v>24</v>
      </c>
      <c r="B26" s="123" t="s">
        <v>26</v>
      </c>
    </row>
    <row r="27" spans="1:2" x14ac:dyDescent="0.3">
      <c r="A27" s="127" t="s">
        <v>24</v>
      </c>
      <c r="B27" s="123" t="s">
        <v>27</v>
      </c>
    </row>
    <row r="28" spans="1:2" x14ac:dyDescent="0.3">
      <c r="A28" s="127" t="s">
        <v>24</v>
      </c>
      <c r="B28" s="123" t="s">
        <v>28</v>
      </c>
    </row>
    <row r="29" spans="1:2" ht="15" thickBot="1" x14ac:dyDescent="0.35">
      <c r="A29" s="143" t="s">
        <v>24</v>
      </c>
      <c r="B29" s="123" t="s">
        <v>458</v>
      </c>
    </row>
    <row r="30" spans="1:2" x14ac:dyDescent="0.3">
      <c r="A30" s="120" t="s">
        <v>29</v>
      </c>
      <c r="B30" s="121" t="s">
        <v>30</v>
      </c>
    </row>
    <row r="31" spans="1:2" x14ac:dyDescent="0.3">
      <c r="A31" s="122" t="s">
        <v>29</v>
      </c>
      <c r="B31" s="123" t="s">
        <v>31</v>
      </c>
    </row>
    <row r="32" spans="1:2" ht="15" thickBot="1" x14ac:dyDescent="0.35">
      <c r="A32" s="122" t="s">
        <v>29</v>
      </c>
      <c r="B32" s="123" t="s">
        <v>533</v>
      </c>
    </row>
    <row r="33" spans="1:5" x14ac:dyDescent="0.3">
      <c r="A33" s="120" t="s">
        <v>32</v>
      </c>
      <c r="B33" s="121" t="s">
        <v>33</v>
      </c>
    </row>
    <row r="34" spans="1:5" x14ac:dyDescent="0.3">
      <c r="A34" s="122" t="s">
        <v>32</v>
      </c>
      <c r="B34" s="123" t="s">
        <v>34</v>
      </c>
    </row>
    <row r="35" spans="1:5" x14ac:dyDescent="0.3">
      <c r="A35" s="122" t="s">
        <v>32</v>
      </c>
      <c r="B35" s="123" t="s">
        <v>35</v>
      </c>
    </row>
    <row r="36" spans="1:5" ht="15" thickBot="1" x14ac:dyDescent="0.35">
      <c r="A36" s="144" t="s">
        <v>32</v>
      </c>
      <c r="B36" s="129" t="s">
        <v>36</v>
      </c>
    </row>
    <row r="37" spans="1:5" x14ac:dyDescent="0.3">
      <c r="A37" s="122" t="s">
        <v>37</v>
      </c>
      <c r="B37" s="121" t="s">
        <v>38</v>
      </c>
    </row>
    <row r="38" spans="1:5" x14ac:dyDescent="0.3">
      <c r="A38" s="122" t="s">
        <v>37</v>
      </c>
      <c r="B38" s="123" t="s">
        <v>39</v>
      </c>
    </row>
    <row r="39" spans="1:5" x14ac:dyDescent="0.3">
      <c r="A39" s="122" t="s">
        <v>37</v>
      </c>
      <c r="B39" s="123" t="s">
        <v>40</v>
      </c>
    </row>
    <row r="40" spans="1:5" x14ac:dyDescent="0.3">
      <c r="A40" s="122" t="s">
        <v>37</v>
      </c>
      <c r="B40" s="123" t="s">
        <v>41</v>
      </c>
    </row>
    <row r="41" spans="1:5" ht="15" thickBot="1" x14ac:dyDescent="0.35">
      <c r="A41" s="144" t="s">
        <v>37</v>
      </c>
      <c r="B41" s="129" t="s">
        <v>42</v>
      </c>
    </row>
    <row r="42" spans="1:5" x14ac:dyDescent="0.3">
      <c r="A42" s="120" t="s">
        <v>43</v>
      </c>
      <c r="B42" s="148" t="s">
        <v>47</v>
      </c>
    </row>
    <row r="43" spans="1:5" x14ac:dyDescent="0.3">
      <c r="A43" s="122" t="s">
        <v>43</v>
      </c>
      <c r="B43" s="149" t="s">
        <v>46</v>
      </c>
    </row>
    <row r="44" spans="1:5" x14ac:dyDescent="0.3">
      <c r="A44" s="122" t="s">
        <v>43</v>
      </c>
      <c r="B44" s="149" t="s">
        <v>48</v>
      </c>
    </row>
    <row r="45" spans="1:5" x14ac:dyDescent="0.3">
      <c r="A45" s="122" t="s">
        <v>43</v>
      </c>
      <c r="B45" s="149" t="s">
        <v>455</v>
      </c>
      <c r="E45" s="1"/>
    </row>
    <row r="46" spans="1:5" x14ac:dyDescent="0.3">
      <c r="A46" s="122" t="s">
        <v>43</v>
      </c>
      <c r="B46" s="149" t="s">
        <v>49</v>
      </c>
      <c r="E46" s="1"/>
    </row>
    <row r="47" spans="1:5" x14ac:dyDescent="0.3">
      <c r="A47" s="122" t="s">
        <v>43</v>
      </c>
      <c r="B47" s="149" t="s">
        <v>50</v>
      </c>
      <c r="E47" s="1"/>
    </row>
    <row r="48" spans="1:5" x14ac:dyDescent="0.3">
      <c r="A48" s="122" t="s">
        <v>43</v>
      </c>
      <c r="B48" s="149" t="s">
        <v>51</v>
      </c>
      <c r="E48" s="1"/>
    </row>
    <row r="49" spans="1:5" x14ac:dyDescent="0.3">
      <c r="A49" s="150" t="s">
        <v>43</v>
      </c>
      <c r="B49" s="151" t="s">
        <v>52</v>
      </c>
      <c r="E49" s="1"/>
    </row>
    <row r="50" spans="1:5" x14ac:dyDescent="0.3">
      <c r="A50" s="150" t="s">
        <v>43</v>
      </c>
      <c r="B50" s="151" t="s">
        <v>460</v>
      </c>
      <c r="E50" s="1"/>
    </row>
    <row r="51" spans="1:5" x14ac:dyDescent="0.3">
      <c r="A51" s="150" t="s">
        <v>43</v>
      </c>
      <c r="B51" s="151" t="s">
        <v>461</v>
      </c>
      <c r="E51" s="1"/>
    </row>
    <row r="52" spans="1:5" ht="15" thickBot="1" x14ac:dyDescent="0.35">
      <c r="A52" s="150" t="s">
        <v>43</v>
      </c>
      <c r="B52" s="152" t="s">
        <v>462</v>
      </c>
      <c r="E52" s="1"/>
    </row>
    <row r="53" spans="1:5" x14ac:dyDescent="0.3">
      <c r="A53" s="120" t="s">
        <v>44</v>
      </c>
      <c r="B53" s="148" t="s">
        <v>443</v>
      </c>
      <c r="E53" s="1"/>
    </row>
    <row r="54" spans="1:5" x14ac:dyDescent="0.3">
      <c r="A54" s="122" t="s">
        <v>44</v>
      </c>
      <c r="B54" s="149" t="s">
        <v>444</v>
      </c>
      <c r="E54" s="1"/>
    </row>
    <row r="55" spans="1:5" x14ac:dyDescent="0.3">
      <c r="A55" s="122" t="s">
        <v>44</v>
      </c>
      <c r="B55" s="149" t="s">
        <v>445</v>
      </c>
      <c r="E55" s="1"/>
    </row>
    <row r="56" spans="1:5" x14ac:dyDescent="0.3">
      <c r="A56" s="122" t="s">
        <v>44</v>
      </c>
      <c r="B56" s="149" t="s">
        <v>446</v>
      </c>
      <c r="E56" s="1"/>
    </row>
    <row r="57" spans="1:5" x14ac:dyDescent="0.3">
      <c r="A57" s="122" t="s">
        <v>44</v>
      </c>
      <c r="B57" s="149" t="s">
        <v>447</v>
      </c>
      <c r="E57" s="1"/>
    </row>
    <row r="58" spans="1:5" x14ac:dyDescent="0.3">
      <c r="A58" s="122" t="s">
        <v>44</v>
      </c>
      <c r="B58" s="149" t="s">
        <v>448</v>
      </c>
      <c r="E58" s="1"/>
    </row>
    <row r="59" spans="1:5" ht="15" thickBot="1" x14ac:dyDescent="0.35">
      <c r="A59" s="144" t="s">
        <v>44</v>
      </c>
      <c r="B59" s="153" t="s">
        <v>449</v>
      </c>
    </row>
    <row r="60" spans="1:5" x14ac:dyDescent="0.3">
      <c r="A60" s="120" t="s">
        <v>45</v>
      </c>
      <c r="B60" s="148" t="s">
        <v>450</v>
      </c>
    </row>
    <row r="61" spans="1:5" x14ac:dyDescent="0.3">
      <c r="A61" s="122" t="s">
        <v>45</v>
      </c>
      <c r="B61" s="149" t="s">
        <v>53</v>
      </c>
    </row>
    <row r="62" spans="1:5" x14ac:dyDescent="0.3">
      <c r="A62" s="122" t="s">
        <v>45</v>
      </c>
      <c r="B62" s="149" t="s">
        <v>54</v>
      </c>
    </row>
    <row r="63" spans="1:5" x14ac:dyDescent="0.3">
      <c r="A63" s="122" t="s">
        <v>45</v>
      </c>
      <c r="B63" s="149" t="s">
        <v>55</v>
      </c>
    </row>
    <row r="64" spans="1:5" ht="15" thickBot="1" x14ac:dyDescent="0.35">
      <c r="A64" s="144" t="s">
        <v>45</v>
      </c>
      <c r="B64" s="153" t="s">
        <v>56</v>
      </c>
    </row>
    <row r="65" spans="1:1" x14ac:dyDescent="0.3">
      <c r="A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99713-F407-40FB-B87A-481201E47398}">
  <sheetPr codeName="Hoja14"/>
  <dimension ref="A1:Q90"/>
  <sheetViews>
    <sheetView zoomScale="85" zoomScaleNormal="85" workbookViewId="0">
      <selection activeCell="B103" sqref="B103"/>
    </sheetView>
  </sheetViews>
  <sheetFormatPr baseColWidth="10" defaultRowHeight="14.4" x14ac:dyDescent="0.3"/>
  <cols>
    <col min="1" max="1" width="30.77734375" bestFit="1" customWidth="1"/>
    <col min="2" max="2" width="113.44140625" bestFit="1" customWidth="1"/>
    <col min="3" max="4" width="12.5546875" bestFit="1" customWidth="1"/>
    <col min="10" max="10" width="24.5546875" bestFit="1" customWidth="1"/>
    <col min="11" max="11" width="20.88671875" bestFit="1" customWidth="1"/>
    <col min="12" max="12" width="12.5546875" bestFit="1" customWidth="1"/>
    <col min="16" max="16" width="15.109375" customWidth="1"/>
  </cols>
  <sheetData>
    <row r="1" spans="1:17" x14ac:dyDescent="0.3">
      <c r="A1" s="10" t="s">
        <v>5</v>
      </c>
      <c r="B1" s="10">
        <v>2021</v>
      </c>
      <c r="C1" s="10">
        <v>2022</v>
      </c>
      <c r="D1" s="11">
        <v>2023</v>
      </c>
      <c r="E1" s="11" t="s">
        <v>454</v>
      </c>
      <c r="F1" s="10" t="s">
        <v>459</v>
      </c>
      <c r="K1" s="156"/>
      <c r="L1" s="156"/>
      <c r="M1" s="156"/>
      <c r="N1" s="156"/>
      <c r="O1" s="156"/>
      <c r="P1" s="156"/>
      <c r="Q1" s="43"/>
    </row>
    <row r="2" spans="1:17" x14ac:dyDescent="0.3">
      <c r="A2" t="s">
        <v>442</v>
      </c>
      <c r="B2" s="33">
        <v>4.08</v>
      </c>
      <c r="C2" s="16">
        <v>4.2089999999999996</v>
      </c>
      <c r="D2" s="16">
        <v>4.1479269326947801</v>
      </c>
      <c r="E2" s="17">
        <v>4.459961334961335</v>
      </c>
      <c r="F2" s="107" t="s">
        <v>506</v>
      </c>
      <c r="K2" s="156"/>
      <c r="L2" s="156"/>
      <c r="M2" s="156"/>
      <c r="N2" s="156"/>
      <c r="O2" s="156"/>
      <c r="P2" s="156"/>
    </row>
    <row r="3" spans="1:17" x14ac:dyDescent="0.3">
      <c r="A3" s="7" t="s">
        <v>7</v>
      </c>
      <c r="B3" s="35">
        <v>4.04</v>
      </c>
      <c r="C3" s="17">
        <v>4.0017261950955501</v>
      </c>
      <c r="D3" s="15">
        <v>4.0752781320728761</v>
      </c>
      <c r="E3" s="17">
        <v>4.2711554050489013</v>
      </c>
      <c r="F3" s="6" t="s">
        <v>506</v>
      </c>
    </row>
    <row r="4" spans="1:17" x14ac:dyDescent="0.3">
      <c r="A4" s="6" t="s">
        <v>12</v>
      </c>
      <c r="B4" s="17">
        <v>4.04</v>
      </c>
      <c r="C4" s="16">
        <v>4.0279999999999996</v>
      </c>
      <c r="D4" s="16">
        <v>4.1596872565260501</v>
      </c>
      <c r="E4" s="17">
        <v>4.1929999999999996</v>
      </c>
      <c r="F4" s="6" t="s">
        <v>506</v>
      </c>
    </row>
    <row r="5" spans="1:17" x14ac:dyDescent="0.3">
      <c r="A5" s="6" t="s">
        <v>18</v>
      </c>
      <c r="B5" s="17">
        <v>4.04</v>
      </c>
      <c r="C5" s="16">
        <v>3.9769999999999999</v>
      </c>
      <c r="D5" s="16">
        <v>3.9620000000000002</v>
      </c>
      <c r="E5" s="17">
        <v>4.0529999999999999</v>
      </c>
      <c r="F5" s="6" t="s">
        <v>506</v>
      </c>
    </row>
    <row r="6" spans="1:17" x14ac:dyDescent="0.3">
      <c r="A6" s="6" t="s">
        <v>24</v>
      </c>
      <c r="B6" s="15">
        <v>3.79</v>
      </c>
      <c r="C6" s="16">
        <v>3.992</v>
      </c>
      <c r="D6" s="16">
        <v>3.7909999999999999</v>
      </c>
      <c r="E6" s="17">
        <v>4.0410000000000004</v>
      </c>
      <c r="F6" s="6" t="s">
        <v>506</v>
      </c>
      <c r="K6" t="s">
        <v>507</v>
      </c>
      <c r="M6" s="155" t="s">
        <v>510</v>
      </c>
      <c r="N6" s="155"/>
      <c r="O6" s="155"/>
      <c r="P6" s="155"/>
    </row>
    <row r="7" spans="1:17" x14ac:dyDescent="0.3">
      <c r="A7" s="42" t="s">
        <v>29</v>
      </c>
      <c r="B7" s="13"/>
      <c r="C7" s="9"/>
      <c r="D7" s="16">
        <v>4.1672365050659206</v>
      </c>
      <c r="E7" s="17">
        <v>4.2439999999999998</v>
      </c>
      <c r="F7" s="6" t="s">
        <v>506</v>
      </c>
      <c r="K7" s="110">
        <f>COUNT(B2:J2)+2</f>
        <v>6</v>
      </c>
      <c r="L7" s="108" t="s">
        <v>508</v>
      </c>
      <c r="M7" t="s">
        <v>509</v>
      </c>
    </row>
    <row r="8" spans="1:17" x14ac:dyDescent="0.3">
      <c r="A8" s="42" t="s">
        <v>32</v>
      </c>
      <c r="B8" s="13"/>
      <c r="C8" s="14"/>
      <c r="D8" s="16">
        <v>4.2511088144452396</v>
      </c>
      <c r="E8" s="17">
        <v>4.407</v>
      </c>
      <c r="F8" s="6" t="s">
        <v>506</v>
      </c>
      <c r="M8" t="s">
        <v>516</v>
      </c>
    </row>
    <row r="9" spans="1:17" x14ac:dyDescent="0.3">
      <c r="A9" s="8" t="s">
        <v>37</v>
      </c>
      <c r="B9" s="15">
        <v>4.05</v>
      </c>
      <c r="C9" s="16">
        <v>4.0069999999999997</v>
      </c>
      <c r="D9" s="16">
        <v>4.2982698234860868</v>
      </c>
      <c r="E9" s="17">
        <v>4.5289999999999999</v>
      </c>
      <c r="F9" s="6" t="s">
        <v>506</v>
      </c>
    </row>
    <row r="10" spans="1:17" x14ac:dyDescent="0.3">
      <c r="A10" s="8" t="s">
        <v>43</v>
      </c>
      <c r="B10" s="15">
        <v>3.95</v>
      </c>
      <c r="C10" s="17">
        <v>3.94</v>
      </c>
      <c r="D10" s="16">
        <v>4.0357264843108247</v>
      </c>
      <c r="E10" s="17">
        <v>4.1500000000000004</v>
      </c>
      <c r="F10" s="6" t="s">
        <v>506</v>
      </c>
    </row>
    <row r="11" spans="1:17" x14ac:dyDescent="0.3">
      <c r="A11" s="8" t="s">
        <v>44</v>
      </c>
      <c r="B11" s="15">
        <v>3.31</v>
      </c>
      <c r="C11" s="36">
        <v>2.956</v>
      </c>
      <c r="D11" s="37">
        <v>3.4390229852995589</v>
      </c>
      <c r="E11" s="17">
        <v>3.5390000000000001</v>
      </c>
      <c r="F11" s="6" t="s">
        <v>506</v>
      </c>
    </row>
    <row r="12" spans="1:17" x14ac:dyDescent="0.3">
      <c r="A12" s="42" t="s">
        <v>45</v>
      </c>
      <c r="B12" s="15">
        <v>3.78</v>
      </c>
      <c r="C12" s="16">
        <v>3.8526097324413793</v>
      </c>
      <c r="D12" s="16">
        <v>3.8410000000000002</v>
      </c>
      <c r="E12" s="17">
        <v>4.1269999999999998</v>
      </c>
      <c r="F12" s="6" t="s">
        <v>506</v>
      </c>
      <c r="M12" s="43" t="s">
        <v>511</v>
      </c>
    </row>
    <row r="13" spans="1:17" x14ac:dyDescent="0.3">
      <c r="M13" s="43" t="s">
        <v>512</v>
      </c>
    </row>
    <row r="14" spans="1:17" x14ac:dyDescent="0.3">
      <c r="M14" s="43" t="s">
        <v>513</v>
      </c>
    </row>
    <row r="16" spans="1:17" x14ac:dyDescent="0.3">
      <c r="K16" s="109" t="s">
        <v>506</v>
      </c>
      <c r="L16" s="108" t="s">
        <v>515</v>
      </c>
      <c r="M16" t="s">
        <v>514</v>
      </c>
    </row>
    <row r="18" spans="1:16" x14ac:dyDescent="0.3">
      <c r="B18" s="154" t="s">
        <v>456</v>
      </c>
    </row>
    <row r="19" spans="1:16" x14ac:dyDescent="0.3">
      <c r="B19" s="154"/>
    </row>
    <row r="26" spans="1:16" x14ac:dyDescent="0.3">
      <c r="K26" t="s">
        <v>507</v>
      </c>
      <c r="M26" s="155" t="s">
        <v>510</v>
      </c>
      <c r="N26" s="155"/>
      <c r="O26" s="155"/>
      <c r="P26" s="155"/>
    </row>
    <row r="27" spans="1:16" ht="15" thickBot="1" x14ac:dyDescent="0.35">
      <c r="A27" s="20" t="s">
        <v>5</v>
      </c>
      <c r="B27" s="20" t="s">
        <v>452</v>
      </c>
      <c r="C27" s="21">
        <v>2022</v>
      </c>
      <c r="D27" s="22">
        <v>2023</v>
      </c>
      <c r="E27" s="22" t="s">
        <v>454</v>
      </c>
      <c r="F27" s="20" t="s">
        <v>459</v>
      </c>
      <c r="K27" s="110">
        <f>COUNT(C28:J28)+2</f>
        <v>4</v>
      </c>
      <c r="L27" s="108" t="s">
        <v>508</v>
      </c>
      <c r="M27" t="s">
        <v>509</v>
      </c>
    </row>
    <row r="28" spans="1:16" x14ac:dyDescent="0.3">
      <c r="A28" s="12" t="s">
        <v>12</v>
      </c>
      <c r="B28" s="12" t="s">
        <v>13</v>
      </c>
      <c r="C28" s="12"/>
      <c r="D28" s="27">
        <v>4.1764705882352944</v>
      </c>
      <c r="E28" s="25">
        <v>4.2169999999999996</v>
      </c>
      <c r="F28" s="19" t="s">
        <v>506</v>
      </c>
      <c r="M28" t="s">
        <v>516</v>
      </c>
    </row>
    <row r="29" spans="1:16" x14ac:dyDescent="0.3">
      <c r="A29" s="12" t="s">
        <v>12</v>
      </c>
      <c r="B29" s="12" t="s">
        <v>14</v>
      </c>
      <c r="C29" s="31">
        <v>4.0340909090909092</v>
      </c>
      <c r="D29" s="27">
        <v>4.1862170087976542</v>
      </c>
      <c r="E29" s="12">
        <v>4.2370000000000001</v>
      </c>
      <c r="F29" t="s">
        <v>506</v>
      </c>
    </row>
    <row r="30" spans="1:16" x14ac:dyDescent="0.3">
      <c r="A30" s="12" t="s">
        <v>12</v>
      </c>
      <c r="B30" s="12" t="s">
        <v>15</v>
      </c>
      <c r="C30" s="31">
        <v>4.2320945945945949</v>
      </c>
      <c r="D30" s="27">
        <v>4.3283208020050132</v>
      </c>
      <c r="E30" s="27">
        <v>4.32</v>
      </c>
      <c r="F30" t="s">
        <v>506</v>
      </c>
    </row>
    <row r="31" spans="1:16" x14ac:dyDescent="0.3">
      <c r="A31" s="12" t="s">
        <v>12</v>
      </c>
      <c r="B31" s="12" t="s">
        <v>16</v>
      </c>
      <c r="C31" s="31">
        <v>3.8463438735177862</v>
      </c>
      <c r="D31" s="27">
        <v>4.0620192307692307</v>
      </c>
      <c r="E31" s="12">
        <v>4.0940000000000003</v>
      </c>
      <c r="F31" t="s">
        <v>506</v>
      </c>
    </row>
    <row r="32" spans="1:16" ht="15" thickBot="1" x14ac:dyDescent="0.35">
      <c r="A32" s="32" t="s">
        <v>12</v>
      </c>
      <c r="B32" s="32" t="s">
        <v>17</v>
      </c>
      <c r="C32" s="34">
        <v>3.9649122807017543</v>
      </c>
      <c r="D32" s="29">
        <v>4.0443037974683538</v>
      </c>
      <c r="E32" s="32">
        <v>4.0949999999999998</v>
      </c>
      <c r="F32" s="18" t="s">
        <v>506</v>
      </c>
    </row>
    <row r="33" spans="1:6" x14ac:dyDescent="0.3">
      <c r="A33" s="25" t="s">
        <v>18</v>
      </c>
      <c r="B33" s="25" t="s">
        <v>19</v>
      </c>
      <c r="C33" s="30">
        <v>4.140625</v>
      </c>
      <c r="D33" s="24">
        <v>4.2910256410256409</v>
      </c>
      <c r="E33" s="25">
        <v>4.2220000000000004</v>
      </c>
      <c r="F33" s="19" t="s">
        <v>506</v>
      </c>
    </row>
    <row r="34" spans="1:6" x14ac:dyDescent="0.3">
      <c r="A34" s="12" t="s">
        <v>18</v>
      </c>
      <c r="B34" s="12" t="s">
        <v>20</v>
      </c>
      <c r="C34" s="31">
        <v>3.959090909090909</v>
      </c>
      <c r="D34" s="27">
        <v>4.0384068278805119</v>
      </c>
      <c r="E34" s="12">
        <v>3.9769999999999999</v>
      </c>
      <c r="F34" t="s">
        <v>506</v>
      </c>
    </row>
    <row r="35" spans="1:6" x14ac:dyDescent="0.3">
      <c r="A35" s="12" t="s">
        <v>18</v>
      </c>
      <c r="B35" s="12" t="s">
        <v>21</v>
      </c>
      <c r="C35" s="31">
        <v>4.0330086580086579</v>
      </c>
      <c r="D35" s="27">
        <v>4.125</v>
      </c>
      <c r="E35" s="27">
        <v>4.1500000000000004</v>
      </c>
      <c r="F35" t="s">
        <v>506</v>
      </c>
    </row>
    <row r="36" spans="1:6" x14ac:dyDescent="0.3">
      <c r="A36" s="12" t="s">
        <v>18</v>
      </c>
      <c r="B36" s="12" t="s">
        <v>22</v>
      </c>
      <c r="C36" s="108"/>
      <c r="D36" s="108"/>
      <c r="E36" s="12">
        <v>4.133</v>
      </c>
      <c r="F36" t="s">
        <v>506</v>
      </c>
    </row>
    <row r="37" spans="1:6" x14ac:dyDescent="0.3">
      <c r="A37" s="12" t="s">
        <v>18</v>
      </c>
      <c r="B37" s="12" t="s">
        <v>23</v>
      </c>
      <c r="C37" s="108"/>
      <c r="E37" s="12">
        <v>3.8969999999999998</v>
      </c>
      <c r="F37" t="s">
        <v>506</v>
      </c>
    </row>
    <row r="38" spans="1:6" x14ac:dyDescent="0.3">
      <c r="A38" s="12" t="s">
        <v>18</v>
      </c>
      <c r="B38" s="12" t="s">
        <v>463</v>
      </c>
      <c r="C38" s="108"/>
      <c r="D38" s="108"/>
      <c r="E38" s="12">
        <v>4.1609999999999996</v>
      </c>
      <c r="F38" t="s">
        <v>506</v>
      </c>
    </row>
    <row r="39" spans="1:6" x14ac:dyDescent="0.3">
      <c r="A39" s="12" t="s">
        <v>18</v>
      </c>
      <c r="B39" s="12" t="s">
        <v>464</v>
      </c>
      <c r="C39" s="108"/>
      <c r="D39" s="108"/>
      <c r="E39" s="108"/>
      <c r="F39" t="s">
        <v>506</v>
      </c>
    </row>
    <row r="40" spans="1:6" x14ac:dyDescent="0.3">
      <c r="A40" s="12" t="s">
        <v>18</v>
      </c>
      <c r="B40" s="12" t="s">
        <v>465</v>
      </c>
      <c r="C40" s="108"/>
      <c r="D40" s="108"/>
      <c r="E40" s="108"/>
      <c r="F40" t="s">
        <v>506</v>
      </c>
    </row>
    <row r="41" spans="1:6" ht="15" thickBot="1" x14ac:dyDescent="0.35">
      <c r="A41" s="32" t="s">
        <v>18</v>
      </c>
      <c r="B41" s="32" t="s">
        <v>466</v>
      </c>
      <c r="C41" s="111"/>
      <c r="D41" s="111"/>
      <c r="E41" s="111"/>
      <c r="F41" s="18" t="s">
        <v>506</v>
      </c>
    </row>
    <row r="42" spans="1:6" x14ac:dyDescent="0.3">
      <c r="A42" s="12" t="s">
        <v>442</v>
      </c>
      <c r="B42" s="12" t="s">
        <v>0</v>
      </c>
      <c r="C42" s="31">
        <v>4.2670668953687825</v>
      </c>
      <c r="D42" s="27">
        <v>4.1010101010101003</v>
      </c>
      <c r="E42" s="25">
        <v>4.4809999999999999</v>
      </c>
      <c r="F42" s="19" t="s">
        <v>506</v>
      </c>
    </row>
    <row r="43" spans="1:6" x14ac:dyDescent="0.3">
      <c r="A43" s="12" t="s">
        <v>442</v>
      </c>
      <c r="B43" s="12" t="s">
        <v>1</v>
      </c>
      <c r="C43" s="31">
        <v>3.9935141509433962</v>
      </c>
      <c r="D43" s="27">
        <v>4.2103174603174605</v>
      </c>
      <c r="E43" s="12">
        <v>4.4820000000000002</v>
      </c>
      <c r="F43" t="s">
        <v>506</v>
      </c>
    </row>
    <row r="44" spans="1:6" x14ac:dyDescent="0.3">
      <c r="A44" s="12" t="s">
        <v>442</v>
      </c>
      <c r="B44" s="12" t="s">
        <v>2</v>
      </c>
      <c r="C44" s="31">
        <v>3.9239926739926738</v>
      </c>
      <c r="D44" s="27">
        <v>4.1768632753084329</v>
      </c>
      <c r="E44" s="12">
        <v>4.4720000000000004</v>
      </c>
      <c r="F44" t="s">
        <v>506</v>
      </c>
    </row>
    <row r="45" spans="1:6" x14ac:dyDescent="0.3">
      <c r="A45" s="12" t="s">
        <v>442</v>
      </c>
      <c r="B45" s="12" t="s">
        <v>3</v>
      </c>
      <c r="C45" s="31">
        <v>3.7519181585677748</v>
      </c>
      <c r="D45" s="27">
        <v>4.0061094819159333</v>
      </c>
      <c r="E45" s="12">
        <v>4.327</v>
      </c>
      <c r="F45" t="s">
        <v>506</v>
      </c>
    </row>
    <row r="46" spans="1:6" ht="15" thickBot="1" x14ac:dyDescent="0.35">
      <c r="A46" s="32" t="s">
        <v>442</v>
      </c>
      <c r="B46" s="32" t="s">
        <v>4</v>
      </c>
      <c r="C46" s="34">
        <v>3.7218693284936482</v>
      </c>
      <c r="D46" s="29">
        <v>4.246031746031746</v>
      </c>
      <c r="E46" s="32">
        <v>4.5369999999999999</v>
      </c>
      <c r="F46" s="18" t="s">
        <v>506</v>
      </c>
    </row>
    <row r="47" spans="1:6" x14ac:dyDescent="0.3">
      <c r="A47" s="25" t="s">
        <v>24</v>
      </c>
      <c r="B47" s="25" t="s">
        <v>25</v>
      </c>
      <c r="C47" s="30">
        <v>3.7090077410274453</v>
      </c>
      <c r="D47" s="24">
        <v>3.5793749999999998</v>
      </c>
      <c r="E47" s="24">
        <v>4.3849999999999998</v>
      </c>
      <c r="F47" s="19" t="s">
        <v>506</v>
      </c>
    </row>
    <row r="48" spans="1:6" x14ac:dyDescent="0.3">
      <c r="A48" s="12" t="s">
        <v>24</v>
      </c>
      <c r="B48" s="12" t="s">
        <v>26</v>
      </c>
      <c r="C48" s="31">
        <v>3.8807977736549164</v>
      </c>
      <c r="D48" s="27">
        <v>3.8450226244343888</v>
      </c>
      <c r="E48" s="27">
        <v>4.2720000000000002</v>
      </c>
      <c r="F48" t="s">
        <v>506</v>
      </c>
    </row>
    <row r="49" spans="1:6" x14ac:dyDescent="0.3">
      <c r="A49" s="12" t="s">
        <v>24</v>
      </c>
      <c r="B49" s="12" t="s">
        <v>27</v>
      </c>
      <c r="C49" s="108"/>
      <c r="D49" s="27">
        <v>3.8673076923076923</v>
      </c>
      <c r="E49" s="27">
        <v>4.1879999999999997</v>
      </c>
      <c r="F49" t="s">
        <v>506</v>
      </c>
    </row>
    <row r="50" spans="1:6" x14ac:dyDescent="0.3">
      <c r="A50" s="12" t="s">
        <v>24</v>
      </c>
      <c r="B50" s="12" t="s">
        <v>28</v>
      </c>
      <c r="C50" s="108"/>
      <c r="D50" s="27">
        <v>3.875</v>
      </c>
      <c r="E50" s="27">
        <v>4.1589999999999998</v>
      </c>
      <c r="F50" t="s">
        <v>506</v>
      </c>
    </row>
    <row r="51" spans="1:6" ht="15" thickBot="1" x14ac:dyDescent="0.35">
      <c r="A51" s="32" t="s">
        <v>24</v>
      </c>
      <c r="B51" s="32" t="s">
        <v>458</v>
      </c>
      <c r="C51" s="111"/>
      <c r="D51" s="29"/>
      <c r="E51" s="29"/>
      <c r="F51" s="18"/>
    </row>
    <row r="52" spans="1:6" x14ac:dyDescent="0.3">
      <c r="A52" s="124" t="s">
        <v>29</v>
      </c>
      <c r="B52" s="12" t="s">
        <v>30</v>
      </c>
      <c r="C52" s="12"/>
      <c r="D52" s="27">
        <v>4.2166666666666668</v>
      </c>
      <c r="E52" s="27">
        <v>4.4042553191489358</v>
      </c>
      <c r="F52" t="s">
        <v>506</v>
      </c>
    </row>
    <row r="53" spans="1:6" x14ac:dyDescent="0.3">
      <c r="A53" s="124" t="s">
        <v>29</v>
      </c>
      <c r="B53" s="12" t="s">
        <v>31</v>
      </c>
      <c r="C53" s="12"/>
      <c r="D53" s="27">
        <v>4.2857142857142856</v>
      </c>
      <c r="E53" s="27">
        <v>4.3493975903614457</v>
      </c>
      <c r="F53" t="s">
        <v>506</v>
      </c>
    </row>
    <row r="54" spans="1:6" ht="15" thickBot="1" x14ac:dyDescent="0.35">
      <c r="A54" s="125" t="s">
        <v>29</v>
      </c>
      <c r="B54" s="32" t="s">
        <v>533</v>
      </c>
      <c r="C54" s="32"/>
      <c r="D54" s="29"/>
      <c r="E54" s="32"/>
      <c r="F54" s="18" t="s">
        <v>506</v>
      </c>
    </row>
    <row r="55" spans="1:6" x14ac:dyDescent="0.3">
      <c r="A55" s="139" t="s">
        <v>32</v>
      </c>
      <c r="B55" s="12" t="s">
        <v>33</v>
      </c>
      <c r="D55" s="27">
        <v>4.2350000000000003</v>
      </c>
      <c r="E55" s="12">
        <v>4.625</v>
      </c>
      <c r="F55" t="s">
        <v>506</v>
      </c>
    </row>
    <row r="56" spans="1:6" x14ac:dyDescent="0.3">
      <c r="A56" s="124" t="s">
        <v>32</v>
      </c>
      <c r="B56" s="12" t="s">
        <v>34</v>
      </c>
      <c r="D56" s="27">
        <v>4.2069999999999999</v>
      </c>
      <c r="E56" s="12">
        <v>4.4619999999999997</v>
      </c>
      <c r="F56" t="s">
        <v>506</v>
      </c>
    </row>
    <row r="57" spans="1:6" x14ac:dyDescent="0.3">
      <c r="A57" s="124" t="s">
        <v>32</v>
      </c>
      <c r="B57" s="12" t="s">
        <v>35</v>
      </c>
      <c r="D57" s="27">
        <v>4.173</v>
      </c>
      <c r="E57" s="12">
        <v>4.556</v>
      </c>
      <c r="F57" t="s">
        <v>506</v>
      </c>
    </row>
    <row r="58" spans="1:6" ht="15" thickBot="1" x14ac:dyDescent="0.35">
      <c r="A58" s="125" t="s">
        <v>32</v>
      </c>
      <c r="B58" s="32" t="s">
        <v>36</v>
      </c>
      <c r="D58" s="29">
        <v>4.3879999999999999</v>
      </c>
      <c r="E58" s="32">
        <v>4.5410000000000004</v>
      </c>
      <c r="F58" s="18" t="s">
        <v>506</v>
      </c>
    </row>
    <row r="59" spans="1:6" x14ac:dyDescent="0.3">
      <c r="A59" s="139" t="s">
        <v>37</v>
      </c>
      <c r="B59" s="25" t="s">
        <v>38</v>
      </c>
      <c r="C59" s="30">
        <v>3.9591836734693877</v>
      </c>
      <c r="D59" s="24">
        <v>4.3045609548167096</v>
      </c>
      <c r="E59" s="27">
        <v>4.218</v>
      </c>
      <c r="F59" t="s">
        <v>506</v>
      </c>
    </row>
    <row r="60" spans="1:6" x14ac:dyDescent="0.3">
      <c r="A60" s="124" t="s">
        <v>37</v>
      </c>
      <c r="B60" s="12" t="s">
        <v>39</v>
      </c>
      <c r="C60" s="31">
        <v>4.0238095238095202</v>
      </c>
      <c r="D60" s="27">
        <v>4.2397558849171748</v>
      </c>
      <c r="E60" s="27">
        <v>4.3570000000000002</v>
      </c>
      <c r="F60" t="s">
        <v>506</v>
      </c>
    </row>
    <row r="61" spans="1:6" x14ac:dyDescent="0.3">
      <c r="A61" s="124" t="s">
        <v>37</v>
      </c>
      <c r="B61" s="12" t="s">
        <v>40</v>
      </c>
      <c r="C61" s="31">
        <v>3.9565217391304346</v>
      </c>
      <c r="D61" s="27">
        <v>4.2905263157894744</v>
      </c>
      <c r="E61" s="27">
        <v>4.2910000000000004</v>
      </c>
      <c r="F61" t="s">
        <v>506</v>
      </c>
    </row>
    <row r="62" spans="1:6" x14ac:dyDescent="0.3">
      <c r="A62" s="124" t="s">
        <v>37</v>
      </c>
      <c r="B62" s="12" t="s">
        <v>41</v>
      </c>
      <c r="C62" s="31">
        <v>4.0548885077186965</v>
      </c>
      <c r="D62" s="27">
        <v>4.3040816326530607</v>
      </c>
      <c r="E62" s="27">
        <v>4.218</v>
      </c>
      <c r="F62" t="s">
        <v>506</v>
      </c>
    </row>
    <row r="63" spans="1:6" ht="15" thickBot="1" x14ac:dyDescent="0.35">
      <c r="A63" s="125" t="s">
        <v>37</v>
      </c>
      <c r="B63" s="32" t="s">
        <v>42</v>
      </c>
      <c r="C63" s="34">
        <v>4.0400962309542905</v>
      </c>
      <c r="D63" s="29">
        <v>4.3516057585825028</v>
      </c>
      <c r="E63" s="32">
        <v>4.1829999999999998</v>
      </c>
      <c r="F63" s="18" t="s">
        <v>506</v>
      </c>
    </row>
    <row r="64" spans="1:6" x14ac:dyDescent="0.3">
      <c r="A64" s="25" t="s">
        <v>7</v>
      </c>
      <c r="B64" s="25" t="s">
        <v>8</v>
      </c>
      <c r="C64" s="30">
        <v>3.888157894736842</v>
      </c>
      <c r="D64" s="27">
        <v>4.0772154906153482</v>
      </c>
      <c r="E64" s="12">
        <v>4.2249999999999996</v>
      </c>
      <c r="F64" t="s">
        <v>506</v>
      </c>
    </row>
    <row r="65" spans="1:6" x14ac:dyDescent="0.3">
      <c r="A65" s="12" t="s">
        <v>7</v>
      </c>
      <c r="B65" s="12" t="s">
        <v>9</v>
      </c>
      <c r="C65" s="31">
        <v>4.0453003875968996</v>
      </c>
      <c r="D65" s="27">
        <v>4.1752631578947366</v>
      </c>
      <c r="E65" s="28">
        <v>4.0380000000000003</v>
      </c>
      <c r="F65" t="s">
        <v>506</v>
      </c>
    </row>
    <row r="66" spans="1:6" x14ac:dyDescent="0.3">
      <c r="A66" s="12" t="s">
        <v>7</v>
      </c>
      <c r="B66" s="12" t="s">
        <v>10</v>
      </c>
      <c r="C66" s="31">
        <v>4.1660628019323669</v>
      </c>
      <c r="D66" s="27">
        <v>4.0894298996819183</v>
      </c>
      <c r="E66" s="12">
        <v>4.0380000000000003</v>
      </c>
      <c r="F66" t="s">
        <v>506</v>
      </c>
    </row>
    <row r="67" spans="1:6" ht="15" thickBot="1" x14ac:dyDescent="0.35">
      <c r="A67" s="32" t="s">
        <v>7</v>
      </c>
      <c r="B67" s="32" t="s">
        <v>11</v>
      </c>
      <c r="C67" s="34">
        <v>3.9073836961160904</v>
      </c>
      <c r="D67" s="29">
        <v>3.9592039800995025</v>
      </c>
      <c r="E67" s="32">
        <v>4.1959999999999997</v>
      </c>
      <c r="F67" s="18" t="s">
        <v>506</v>
      </c>
    </row>
    <row r="68" spans="1:6" x14ac:dyDescent="0.3">
      <c r="A68" s="139" t="s">
        <v>43</v>
      </c>
      <c r="B68" s="139" t="s">
        <v>47</v>
      </c>
      <c r="C68" s="23">
        <v>3.9333333333333336</v>
      </c>
      <c r="D68" s="24">
        <v>4.070832279281559</v>
      </c>
      <c r="E68" s="27">
        <v>4.2</v>
      </c>
      <c r="F68" t="s">
        <v>506</v>
      </c>
    </row>
    <row r="69" spans="1:6" x14ac:dyDescent="0.3">
      <c r="A69" s="124" t="s">
        <v>43</v>
      </c>
      <c r="B69" s="124" t="s">
        <v>46</v>
      </c>
      <c r="C69" s="26">
        <v>4.1205837173579107</v>
      </c>
      <c r="D69" s="27">
        <v>4.0563909774436091</v>
      </c>
      <c r="E69" s="12">
        <v>4.1189999999999998</v>
      </c>
      <c r="F69" t="s">
        <v>506</v>
      </c>
    </row>
    <row r="70" spans="1:6" x14ac:dyDescent="0.3">
      <c r="A70" s="124" t="s">
        <v>43</v>
      </c>
      <c r="B70" s="124" t="s">
        <v>48</v>
      </c>
      <c r="C70" s="26">
        <v>3.7540983606557377</v>
      </c>
      <c r="D70" s="27">
        <v>3.9581736909323118</v>
      </c>
      <c r="E70" s="27">
        <v>4.2</v>
      </c>
      <c r="F70" t="s">
        <v>506</v>
      </c>
    </row>
    <row r="71" spans="1:6" x14ac:dyDescent="0.3">
      <c r="A71" s="124" t="s">
        <v>43</v>
      </c>
      <c r="B71" s="124" t="s">
        <v>455</v>
      </c>
      <c r="C71" s="26">
        <v>3.9379310344827587</v>
      </c>
      <c r="D71" s="27">
        <v>3.9106263194933146</v>
      </c>
      <c r="E71" s="108"/>
      <c r="F71" t="s">
        <v>506</v>
      </c>
    </row>
    <row r="72" spans="1:6" x14ac:dyDescent="0.3">
      <c r="A72" s="124" t="s">
        <v>43</v>
      </c>
      <c r="B72" s="124" t="s">
        <v>49</v>
      </c>
      <c r="C72" s="26">
        <v>4.0824999999999996</v>
      </c>
      <c r="D72" s="27">
        <v>4.0674269707883157</v>
      </c>
      <c r="E72" s="108"/>
      <c r="F72" t="s">
        <v>506</v>
      </c>
    </row>
    <row r="73" spans="1:6" x14ac:dyDescent="0.3">
      <c r="A73" s="124" t="s">
        <v>43</v>
      </c>
      <c r="B73" s="124" t="s">
        <v>50</v>
      </c>
      <c r="C73" s="26">
        <v>4.0769230769230766</v>
      </c>
      <c r="D73" s="27">
        <v>4.1345029239766085</v>
      </c>
      <c r="E73" s="108"/>
      <c r="F73" t="s">
        <v>506</v>
      </c>
    </row>
    <row r="74" spans="1:6" x14ac:dyDescent="0.3">
      <c r="A74" s="124" t="s">
        <v>43</v>
      </c>
      <c r="B74" s="124" t="s">
        <v>51</v>
      </c>
      <c r="C74" s="26">
        <v>3.9017996870109548</v>
      </c>
      <c r="D74" s="27">
        <v>4.045528017241379</v>
      </c>
      <c r="E74" s="12">
        <v>3.4470000000000001</v>
      </c>
      <c r="F74" t="s">
        <v>506</v>
      </c>
    </row>
    <row r="75" spans="1:6" x14ac:dyDescent="0.3">
      <c r="A75" s="124" t="s">
        <v>43</v>
      </c>
      <c r="B75" s="124" t="s">
        <v>52</v>
      </c>
      <c r="C75" s="26">
        <v>3.83</v>
      </c>
      <c r="D75" s="27">
        <v>4.0379677182685256</v>
      </c>
      <c r="E75" s="12">
        <v>3.9220000000000002</v>
      </c>
      <c r="F75" t="s">
        <v>506</v>
      </c>
    </row>
    <row r="76" spans="1:6" x14ac:dyDescent="0.3">
      <c r="A76" s="124" t="s">
        <v>43</v>
      </c>
      <c r="B76" s="124" t="s">
        <v>460</v>
      </c>
      <c r="C76" s="108"/>
      <c r="D76" s="108"/>
      <c r="E76" s="12">
        <v>3.3140000000000001</v>
      </c>
      <c r="F76" t="s">
        <v>506</v>
      </c>
    </row>
    <row r="77" spans="1:6" x14ac:dyDescent="0.3">
      <c r="A77" s="124" t="s">
        <v>43</v>
      </c>
      <c r="B77" s="124" t="s">
        <v>461</v>
      </c>
      <c r="C77" s="108"/>
      <c r="D77" s="108"/>
      <c r="E77" s="12">
        <v>3.3140000000000001</v>
      </c>
      <c r="F77" t="s">
        <v>506</v>
      </c>
    </row>
    <row r="78" spans="1:6" ht="15" thickBot="1" x14ac:dyDescent="0.35">
      <c r="A78" s="124" t="s">
        <v>43</v>
      </c>
      <c r="B78" s="124" t="s">
        <v>462</v>
      </c>
      <c r="C78" s="108"/>
      <c r="D78" s="108"/>
      <c r="E78" s="32">
        <v>3.706</v>
      </c>
      <c r="F78" s="18" t="s">
        <v>506</v>
      </c>
    </row>
    <row r="79" spans="1:6" x14ac:dyDescent="0.3">
      <c r="A79" s="139" t="s">
        <v>44</v>
      </c>
      <c r="B79" s="139" t="s">
        <v>443</v>
      </c>
      <c r="C79" s="38">
        <v>2.8540000000000001</v>
      </c>
      <c r="D79" s="24">
        <v>3.407</v>
      </c>
      <c r="E79" s="12">
        <v>3.6459999999999999</v>
      </c>
      <c r="F79" t="s">
        <v>506</v>
      </c>
    </row>
    <row r="80" spans="1:6" x14ac:dyDescent="0.3">
      <c r="A80" s="124" t="s">
        <v>44</v>
      </c>
      <c r="B80" s="124" t="s">
        <v>444</v>
      </c>
      <c r="C80" s="108"/>
      <c r="D80" s="27">
        <v>3.7454507857733663</v>
      </c>
      <c r="E80" s="12">
        <v>3.4289999999999998</v>
      </c>
      <c r="F80" t="s">
        <v>506</v>
      </c>
    </row>
    <row r="81" spans="1:6" x14ac:dyDescent="0.3">
      <c r="A81" s="124" t="s">
        <v>44</v>
      </c>
      <c r="B81" s="124" t="s">
        <v>445</v>
      </c>
      <c r="C81" s="108"/>
      <c r="D81" s="108"/>
      <c r="E81" s="12">
        <v>4.157</v>
      </c>
      <c r="F81" t="s">
        <v>506</v>
      </c>
    </row>
    <row r="82" spans="1:6" x14ac:dyDescent="0.3">
      <c r="A82" s="124" t="s">
        <v>44</v>
      </c>
      <c r="B82" s="124" t="s">
        <v>446</v>
      </c>
      <c r="C82" s="39">
        <v>2.9533542976939202</v>
      </c>
      <c r="D82" s="27">
        <v>3.3125</v>
      </c>
      <c r="E82" s="12">
        <v>3.9860000000000002</v>
      </c>
      <c r="F82" t="s">
        <v>506</v>
      </c>
    </row>
    <row r="83" spans="1:6" x14ac:dyDescent="0.3">
      <c r="A83" s="124" t="s">
        <v>44</v>
      </c>
      <c r="B83" s="124" t="s">
        <v>447</v>
      </c>
      <c r="C83" s="108"/>
      <c r="D83" s="27">
        <v>3.4391771019677995</v>
      </c>
      <c r="E83" s="12">
        <v>4.3970000000000002</v>
      </c>
      <c r="F83" t="s">
        <v>506</v>
      </c>
    </row>
    <row r="84" spans="1:6" x14ac:dyDescent="0.3">
      <c r="A84" s="124" t="s">
        <v>44</v>
      </c>
      <c r="B84" s="124" t="s">
        <v>448</v>
      </c>
      <c r="C84" s="39">
        <v>3.108228511530398</v>
      </c>
      <c r="D84" s="27">
        <v>3.4620151939224311</v>
      </c>
      <c r="E84" s="12">
        <v>3.9830000000000001</v>
      </c>
      <c r="F84" t="s">
        <v>506</v>
      </c>
    </row>
    <row r="85" spans="1:6" ht="15" thickBot="1" x14ac:dyDescent="0.35">
      <c r="A85" s="125" t="s">
        <v>44</v>
      </c>
      <c r="B85" s="125" t="s">
        <v>449</v>
      </c>
      <c r="C85" s="108"/>
      <c r="D85" s="29">
        <v>3.6451612903225805</v>
      </c>
      <c r="E85" s="32">
        <v>4.1109999999999998</v>
      </c>
      <c r="F85" s="18" t="s">
        <v>506</v>
      </c>
    </row>
    <row r="86" spans="1:6" x14ac:dyDescent="0.3">
      <c r="A86" s="124" t="s">
        <v>45</v>
      </c>
      <c r="B86" s="139" t="s">
        <v>450</v>
      </c>
      <c r="C86" s="30">
        <v>3.9935141509433962</v>
      </c>
      <c r="D86" s="24">
        <v>3.8653846153846154</v>
      </c>
      <c r="E86" s="108"/>
      <c r="F86" t="s">
        <v>506</v>
      </c>
    </row>
    <row r="87" spans="1:6" x14ac:dyDescent="0.3">
      <c r="A87" s="124" t="s">
        <v>45</v>
      </c>
      <c r="B87" s="124" t="s">
        <v>53</v>
      </c>
      <c r="C87" s="108"/>
      <c r="D87" s="12">
        <v>3.7320000000000002</v>
      </c>
      <c r="E87" s="108"/>
      <c r="F87" t="s">
        <v>506</v>
      </c>
    </row>
    <row r="88" spans="1:6" x14ac:dyDescent="0.3">
      <c r="A88" s="124" t="s">
        <v>45</v>
      </c>
      <c r="B88" s="124" t="s">
        <v>54</v>
      </c>
      <c r="C88" s="31">
        <v>4.0812082574377655</v>
      </c>
      <c r="D88" s="27">
        <v>3.9607843137254903</v>
      </c>
      <c r="E88" s="108"/>
      <c r="F88" t="s">
        <v>506</v>
      </c>
    </row>
    <row r="89" spans="1:6" x14ac:dyDescent="0.3">
      <c r="A89" s="124" t="s">
        <v>45</v>
      </c>
      <c r="B89" s="124" t="s">
        <v>55</v>
      </c>
      <c r="F89" t="s">
        <v>506</v>
      </c>
    </row>
    <row r="90" spans="1:6" ht="15" thickBot="1" x14ac:dyDescent="0.35">
      <c r="A90" s="125" t="s">
        <v>45</v>
      </c>
      <c r="B90" s="125" t="s">
        <v>56</v>
      </c>
      <c r="C90" s="18"/>
      <c r="D90" s="18"/>
      <c r="E90" s="18"/>
      <c r="F90" s="18" t="s">
        <v>506</v>
      </c>
    </row>
  </sheetData>
  <mergeCells count="4">
    <mergeCell ref="B18:B19"/>
    <mergeCell ref="M6:P6"/>
    <mergeCell ref="K1:P2"/>
    <mergeCell ref="M26:P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20283-6102-4514-808F-CF37A361AA8E}">
  <sheetPr codeName="Hoja13"/>
  <dimension ref="A1:F12"/>
  <sheetViews>
    <sheetView workbookViewId="0">
      <selection activeCell="K22" sqref="K22"/>
    </sheetView>
  </sheetViews>
  <sheetFormatPr baseColWidth="10" defaultRowHeight="14.4" x14ac:dyDescent="0.3"/>
  <cols>
    <col min="1" max="1" width="24.5546875" bestFit="1" customWidth="1"/>
    <col min="3" max="3" width="29.77734375" bestFit="1" customWidth="1"/>
  </cols>
  <sheetData>
    <row r="1" spans="1:6" x14ac:dyDescent="0.3">
      <c r="A1" s="10" t="s">
        <v>5</v>
      </c>
      <c r="B1" s="10" t="s">
        <v>451</v>
      </c>
      <c r="C1" s="10" t="s">
        <v>453</v>
      </c>
    </row>
    <row r="2" spans="1:6" x14ac:dyDescent="0.3">
      <c r="A2" s="112" t="s">
        <v>442</v>
      </c>
      <c r="B2" s="112">
        <v>128</v>
      </c>
      <c r="C2" s="113" t="s">
        <v>222</v>
      </c>
    </row>
    <row r="3" spans="1:6" x14ac:dyDescent="0.3">
      <c r="A3" s="142" t="s">
        <v>7</v>
      </c>
      <c r="B3" s="112">
        <v>105</v>
      </c>
      <c r="C3" s="142" t="s">
        <v>124</v>
      </c>
    </row>
    <row r="4" spans="1:6" x14ac:dyDescent="0.3">
      <c r="A4" s="112" t="s">
        <v>12</v>
      </c>
      <c r="B4" s="112">
        <v>93</v>
      </c>
      <c r="C4" s="115" t="s">
        <v>15</v>
      </c>
    </row>
    <row r="5" spans="1:6" x14ac:dyDescent="0.3">
      <c r="A5" s="112" t="s">
        <v>18</v>
      </c>
      <c r="B5" s="112">
        <v>70</v>
      </c>
      <c r="C5" s="115" t="s">
        <v>18</v>
      </c>
      <c r="F5" s="12" t="s">
        <v>457</v>
      </c>
    </row>
    <row r="6" spans="1:6" x14ac:dyDescent="0.3">
      <c r="A6" s="112" t="s">
        <v>24</v>
      </c>
      <c r="B6" s="112">
        <v>66</v>
      </c>
      <c r="C6" s="113" t="s">
        <v>67</v>
      </c>
    </row>
    <row r="7" spans="1:6" x14ac:dyDescent="0.3">
      <c r="A7" s="114" t="s">
        <v>29</v>
      </c>
      <c r="B7" s="112">
        <v>78</v>
      </c>
      <c r="C7" s="115" t="s">
        <v>208</v>
      </c>
    </row>
    <row r="8" spans="1:6" x14ac:dyDescent="0.3">
      <c r="A8" s="114" t="s">
        <v>32</v>
      </c>
      <c r="B8" s="112">
        <v>105</v>
      </c>
      <c r="C8" s="115" t="s">
        <v>93</v>
      </c>
    </row>
    <row r="9" spans="1:6" x14ac:dyDescent="0.3">
      <c r="A9" s="115" t="s">
        <v>37</v>
      </c>
      <c r="B9" s="112">
        <v>56</v>
      </c>
      <c r="C9" s="115" t="s">
        <v>37</v>
      </c>
    </row>
    <row r="10" spans="1:6" x14ac:dyDescent="0.3">
      <c r="A10" s="115" t="s">
        <v>43</v>
      </c>
      <c r="B10" s="112">
        <v>73</v>
      </c>
      <c r="C10" s="115" t="s">
        <v>43</v>
      </c>
    </row>
    <row r="11" spans="1:6" x14ac:dyDescent="0.3">
      <c r="A11" s="115" t="s">
        <v>44</v>
      </c>
      <c r="B11" s="112">
        <v>77</v>
      </c>
      <c r="C11" s="115" t="s">
        <v>44</v>
      </c>
    </row>
    <row r="12" spans="1:6" x14ac:dyDescent="0.3">
      <c r="A12" s="147" t="s">
        <v>45</v>
      </c>
      <c r="B12" s="112">
        <v>97</v>
      </c>
      <c r="C12" s="115" t="s">
        <v>370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48FB-3A16-4B54-9F24-20E6352280B2}">
  <sheetPr codeName="Hoja8"/>
  <dimension ref="A1"/>
  <sheetViews>
    <sheetView tabSelected="1" workbookViewId="0">
      <pane ySplit="1" topLeftCell="A2" activePane="bottomLeft" state="frozenSplit"/>
      <selection pane="bottomLeft"/>
    </sheetView>
  </sheetViews>
  <sheetFormatPr baseColWidth="10"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nvertirATabla">
                <anchor moveWithCells="1" sizeWithCells="1">
                  <from>
                    <xdr:col>17</xdr:col>
                    <xdr:colOff>228600</xdr:colOff>
                    <xdr:row>10</xdr:row>
                    <xdr:rowOff>114300</xdr:rowOff>
                  </from>
                  <to>
                    <xdr:col>18</xdr:col>
                    <xdr:colOff>365760</xdr:colOff>
                    <xdr:row>13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C5DE8-C6A5-49E8-8178-4B0ECCD3CC64}">
  <sheetPr codeName="Hoja1"/>
  <dimension ref="B2:CE72"/>
  <sheetViews>
    <sheetView topLeftCell="A33" zoomScale="86" workbookViewId="0">
      <selection activeCell="L9" sqref="L9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7.33203125" customWidth="1"/>
    <col min="16" max="17" width="7.33203125" bestFit="1" customWidth="1"/>
    <col min="18" max="18" width="8.109375" bestFit="1" customWidth="1"/>
    <col min="19" max="20" width="7.33203125" bestFit="1" customWidth="1"/>
    <col min="21" max="21" width="8" bestFit="1" customWidth="1"/>
    <col min="22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8" max="58" width="5" bestFit="1" customWidth="1"/>
    <col min="59" max="59" width="5.6640625" bestFit="1" customWidth="1"/>
    <col min="60" max="60" width="5.21875" customWidth="1"/>
    <col min="61" max="61" width="6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58" t="s">
        <v>474</v>
      </c>
      <c r="C4" s="158" t="s">
        <v>5</v>
      </c>
      <c r="D4" s="158" t="s">
        <v>475</v>
      </c>
      <c r="E4" s="157" t="s">
        <v>476</v>
      </c>
      <c r="F4" s="157"/>
      <c r="G4" s="157"/>
      <c r="H4" s="157"/>
      <c r="I4" s="174" t="s">
        <v>477</v>
      </c>
      <c r="J4" s="173"/>
      <c r="K4" s="173"/>
      <c r="L4" s="173"/>
      <c r="M4" s="173"/>
      <c r="N4" s="173"/>
      <c r="O4" s="173"/>
      <c r="P4" s="173"/>
      <c r="Q4" s="173"/>
      <c r="R4" s="173"/>
      <c r="S4" s="173"/>
      <c r="T4" s="173"/>
      <c r="U4" s="173"/>
      <c r="V4" s="173"/>
      <c r="W4" s="173"/>
      <c r="X4" s="173"/>
      <c r="Y4" s="173"/>
      <c r="Z4" s="173"/>
      <c r="AA4" s="173"/>
      <c r="AB4" s="173"/>
      <c r="AC4" s="173"/>
      <c r="AD4" s="173"/>
      <c r="AE4" s="173"/>
      <c r="AF4" s="173"/>
      <c r="AG4" s="173"/>
      <c r="AH4" s="173"/>
      <c r="AI4" s="173"/>
      <c r="AJ4" s="173"/>
      <c r="AK4" s="173"/>
      <c r="AL4" s="173"/>
      <c r="AM4" s="173"/>
      <c r="AN4" s="173"/>
      <c r="AO4" s="173"/>
      <c r="AP4" s="173"/>
      <c r="AQ4" s="173"/>
      <c r="AR4" s="173"/>
      <c r="AS4" s="173"/>
      <c r="AT4" s="173"/>
      <c r="AU4" s="173"/>
      <c r="AV4" s="173"/>
      <c r="AW4" s="173"/>
      <c r="AX4" s="173"/>
      <c r="AY4" s="173"/>
      <c r="AZ4" s="173"/>
      <c r="BA4" s="173"/>
      <c r="BB4" s="173"/>
      <c r="BC4" s="173"/>
      <c r="BD4" s="173"/>
      <c r="BE4" s="173"/>
      <c r="BF4" s="173"/>
      <c r="BG4" s="173"/>
      <c r="BH4" s="173"/>
      <c r="BI4" s="173"/>
      <c r="BJ4" s="173"/>
      <c r="BK4" s="173"/>
      <c r="BL4" s="173"/>
      <c r="BM4" s="173"/>
      <c r="BN4" s="173"/>
      <c r="BO4" s="173"/>
      <c r="BP4" s="173"/>
      <c r="BQ4" s="173"/>
      <c r="BR4" s="173"/>
      <c r="BS4" s="173"/>
      <c r="BT4" s="173"/>
      <c r="BU4" s="173"/>
      <c r="BV4" s="173"/>
      <c r="BW4" s="173"/>
    </row>
    <row r="5" spans="2:83" x14ac:dyDescent="0.3">
      <c r="B5" s="158"/>
      <c r="C5" s="158"/>
      <c r="D5" s="158"/>
      <c r="E5" s="157" t="s">
        <v>478</v>
      </c>
      <c r="F5" s="157"/>
      <c r="G5" s="45" t="s">
        <v>479</v>
      </c>
      <c r="H5" s="45"/>
      <c r="I5" s="160" t="s">
        <v>480</v>
      </c>
      <c r="J5" s="161" t="s">
        <v>481</v>
      </c>
      <c r="K5" s="162"/>
      <c r="L5" s="162"/>
      <c r="M5" s="162"/>
      <c r="N5" s="162"/>
      <c r="O5" s="162"/>
      <c r="P5" s="162" t="s">
        <v>482</v>
      </c>
      <c r="Q5" s="162"/>
      <c r="R5" s="162"/>
      <c r="S5" s="162"/>
      <c r="T5" s="162"/>
      <c r="U5" s="162"/>
      <c r="V5" s="162" t="s">
        <v>483</v>
      </c>
      <c r="W5" s="162"/>
      <c r="X5" s="162"/>
      <c r="Y5" s="162"/>
      <c r="Z5" s="162"/>
      <c r="AA5" s="162"/>
      <c r="AB5" s="162" t="s">
        <v>484</v>
      </c>
      <c r="AC5" s="162"/>
      <c r="AD5" s="162"/>
      <c r="AE5" s="162"/>
      <c r="AF5" s="162"/>
      <c r="AG5" s="162"/>
      <c r="AH5" s="162" t="s">
        <v>485</v>
      </c>
      <c r="AI5" s="162"/>
      <c r="AJ5" s="162"/>
      <c r="AK5" s="162"/>
      <c r="AL5" s="162"/>
      <c r="AM5" s="162"/>
      <c r="AN5" s="162" t="s">
        <v>486</v>
      </c>
      <c r="AO5" s="162"/>
      <c r="AP5" s="162"/>
      <c r="AQ5" s="162"/>
      <c r="AR5" s="162"/>
      <c r="AS5" s="162"/>
      <c r="AT5" s="162" t="s">
        <v>487</v>
      </c>
      <c r="AU5" s="162"/>
      <c r="AV5" s="162"/>
      <c r="AW5" s="162"/>
      <c r="AX5" s="162"/>
      <c r="AY5" s="162"/>
      <c r="AZ5" s="162" t="s">
        <v>488</v>
      </c>
      <c r="BA5" s="162"/>
      <c r="BB5" s="162"/>
      <c r="BC5" s="162"/>
      <c r="BD5" s="162"/>
      <c r="BE5" s="163"/>
      <c r="BF5" s="162" t="s">
        <v>517</v>
      </c>
      <c r="BG5" s="162"/>
      <c r="BH5" s="162"/>
      <c r="BI5" s="162"/>
      <c r="BJ5" s="162"/>
      <c r="BK5" s="163"/>
      <c r="BL5" s="162" t="s">
        <v>518</v>
      </c>
      <c r="BM5" s="162"/>
      <c r="BN5" s="162"/>
      <c r="BO5" s="162"/>
      <c r="BP5" s="162"/>
      <c r="BQ5" s="163"/>
      <c r="BR5" s="162" t="s">
        <v>519</v>
      </c>
      <c r="BS5" s="162"/>
      <c r="BT5" s="162"/>
      <c r="BU5" s="162"/>
      <c r="BV5" s="162"/>
      <c r="BW5" s="163"/>
      <c r="CC5" s="157" t="s">
        <v>489</v>
      </c>
      <c r="CD5" s="157"/>
      <c r="CE5" s="157"/>
    </row>
    <row r="6" spans="2:83" x14ac:dyDescent="0.3">
      <c r="B6" s="159"/>
      <c r="C6" s="159"/>
      <c r="D6" s="159"/>
      <c r="E6" s="46" t="s">
        <v>480</v>
      </c>
      <c r="F6" s="46" t="s">
        <v>490</v>
      </c>
      <c r="G6" s="46" t="s">
        <v>480</v>
      </c>
      <c r="H6" s="46" t="s">
        <v>490</v>
      </c>
      <c r="I6" s="160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52" t="s">
        <v>442</v>
      </c>
      <c r="D7" s="118">
        <v>128</v>
      </c>
      <c r="E7" s="119">
        <v>125</v>
      </c>
      <c r="F7" s="54">
        <f>E7/$D7</f>
        <v>0.9765625</v>
      </c>
      <c r="G7" s="53">
        <f>D7-E7</f>
        <v>3</v>
      </c>
      <c r="H7" s="54">
        <f>G7/$D7</f>
        <v>2.34375E-2</v>
      </c>
      <c r="I7" s="137">
        <v>5</v>
      </c>
      <c r="J7" s="56"/>
      <c r="P7" s="56"/>
      <c r="U7" s="57"/>
      <c r="V7" s="56"/>
      <c r="AA7" s="57"/>
      <c r="AB7" s="56"/>
      <c r="AG7" s="57"/>
      <c r="AH7" s="56"/>
      <c r="AM7" s="57"/>
      <c r="AN7" s="56"/>
      <c r="AS7" s="57"/>
      <c r="AT7" s="56"/>
      <c r="AY7" s="57"/>
      <c r="AZ7" s="56"/>
      <c r="BE7" s="57"/>
      <c r="BF7" s="56"/>
      <c r="BK7" s="57"/>
      <c r="BL7" s="56"/>
      <c r="BQ7" s="57"/>
      <c r="BR7" s="56"/>
      <c r="BW7" s="57"/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t="s">
        <v>45</v>
      </c>
      <c r="D8" s="62">
        <f>51+89</f>
        <v>140</v>
      </c>
      <c r="E8" s="63">
        <v>89</v>
      </c>
      <c r="F8" s="64">
        <f t="shared" ref="F8:H18" si="0">E8/$D8</f>
        <v>0.63571428571428568</v>
      </c>
      <c r="G8" s="63">
        <f t="shared" ref="G8:G17" si="1">D8-E8</f>
        <v>51</v>
      </c>
      <c r="H8" s="64">
        <f t="shared" si="0"/>
        <v>0.36428571428571427</v>
      </c>
      <c r="I8" s="55">
        <v>5</v>
      </c>
      <c r="J8" s="56"/>
      <c r="P8" s="56"/>
      <c r="U8" s="57"/>
      <c r="V8" s="56"/>
      <c r="AA8" s="57"/>
      <c r="AB8" s="56"/>
      <c r="AG8" s="57"/>
      <c r="AH8" s="56"/>
      <c r="AM8" s="57"/>
      <c r="AN8" s="56"/>
      <c r="AS8" s="57"/>
      <c r="AT8" s="56"/>
      <c r="AY8" s="57"/>
      <c r="AZ8" s="56"/>
      <c r="BE8" s="57"/>
      <c r="BF8" s="56"/>
      <c r="BK8" s="57"/>
      <c r="BL8" s="56"/>
      <c r="BQ8" s="57"/>
      <c r="BR8" s="56"/>
      <c r="BW8" s="57"/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t="s">
        <v>24</v>
      </c>
      <c r="D9" s="62">
        <v>75</v>
      </c>
      <c r="E9" s="63">
        <v>75</v>
      </c>
      <c r="F9" s="64">
        <f t="shared" si="0"/>
        <v>1</v>
      </c>
      <c r="G9" s="63">
        <f t="shared" si="1"/>
        <v>0</v>
      </c>
      <c r="H9" s="64">
        <f t="shared" si="0"/>
        <v>0</v>
      </c>
      <c r="I9" s="55">
        <v>4</v>
      </c>
      <c r="J9" s="56"/>
      <c r="P9" s="56"/>
      <c r="U9" s="57"/>
      <c r="V9" s="56"/>
      <c r="AA9" s="57"/>
      <c r="AB9" s="56"/>
      <c r="AG9" s="57"/>
      <c r="AH9" s="56"/>
      <c r="AM9" s="57"/>
      <c r="AN9" s="56"/>
      <c r="AS9" s="57"/>
      <c r="AT9" s="56"/>
      <c r="AY9" s="57"/>
      <c r="AZ9" s="56"/>
      <c r="BE9" s="57"/>
      <c r="BF9" s="56"/>
      <c r="BK9" s="57"/>
      <c r="BL9" s="56"/>
      <c r="BQ9" s="57"/>
      <c r="BR9" s="56"/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t="s">
        <v>43</v>
      </c>
      <c r="D10" s="62">
        <f>7+64</f>
        <v>71</v>
      </c>
      <c r="E10" s="63">
        <v>64</v>
      </c>
      <c r="F10" s="64">
        <f t="shared" si="0"/>
        <v>0.90140845070422537</v>
      </c>
      <c r="G10" s="63">
        <f t="shared" si="1"/>
        <v>7</v>
      </c>
      <c r="H10" s="64">
        <f t="shared" si="0"/>
        <v>9.8591549295774641E-2</v>
      </c>
      <c r="I10" s="55">
        <v>8</v>
      </c>
      <c r="J10" s="56"/>
      <c r="P10" s="56"/>
      <c r="U10" s="57"/>
      <c r="V10" s="56"/>
      <c r="AA10" s="57"/>
      <c r="AB10" s="56"/>
      <c r="AG10" s="57"/>
      <c r="AH10" s="56"/>
      <c r="AM10" s="57"/>
      <c r="AN10" s="56"/>
      <c r="AS10" s="57"/>
      <c r="AT10" s="56"/>
      <c r="AY10" s="57"/>
      <c r="AZ10" s="56"/>
      <c r="BE10" s="57"/>
      <c r="BF10" s="56"/>
      <c r="BK10" s="57"/>
      <c r="BL10" s="56"/>
      <c r="BQ10" s="57"/>
      <c r="BR10" s="56"/>
      <c r="BW10" s="57"/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t="s">
        <v>37</v>
      </c>
      <c r="D11" s="62">
        <f>7+51</f>
        <v>58</v>
      </c>
      <c r="E11" s="63">
        <v>51</v>
      </c>
      <c r="F11" s="64">
        <f t="shared" si="0"/>
        <v>0.87931034482758619</v>
      </c>
      <c r="G11" s="63">
        <f t="shared" si="1"/>
        <v>7</v>
      </c>
      <c r="H11" s="64">
        <f t="shared" si="0"/>
        <v>0.1206896551724138</v>
      </c>
      <c r="I11" s="55">
        <v>5</v>
      </c>
      <c r="J11" s="56"/>
      <c r="P11" s="56"/>
      <c r="U11" s="57"/>
      <c r="V11" s="56"/>
      <c r="AA11" s="57"/>
      <c r="AB11" s="56"/>
      <c r="AG11" s="57"/>
      <c r="AH11" s="56"/>
      <c r="AM11" s="57"/>
      <c r="AN11" s="56"/>
      <c r="AS11" s="57"/>
      <c r="AT11" s="56"/>
      <c r="AY11" s="57"/>
      <c r="AZ11" s="56"/>
      <c r="BE11" s="57"/>
      <c r="BF11" s="56"/>
      <c r="BK11" s="57"/>
      <c r="BL11" s="56"/>
      <c r="BQ11" s="57"/>
      <c r="BR11" s="56"/>
      <c r="BW11" s="57"/>
      <c r="CC11" s="58" t="s">
        <v>495</v>
      </c>
      <c r="CD11" s="58" t="s">
        <v>468</v>
      </c>
      <c r="CE11" s="59">
        <v>5</v>
      </c>
    </row>
    <row r="12" spans="2:83" x14ac:dyDescent="0.3">
      <c r="B12" s="60">
        <v>6</v>
      </c>
      <c r="C12" t="s">
        <v>18</v>
      </c>
      <c r="D12" s="135">
        <v>70</v>
      </c>
      <c r="E12" s="136">
        <v>49</v>
      </c>
      <c r="F12" s="64">
        <f t="shared" si="0"/>
        <v>0.7</v>
      </c>
      <c r="G12" s="63">
        <f t="shared" si="1"/>
        <v>21</v>
      </c>
      <c r="H12" s="64">
        <f t="shared" si="0"/>
        <v>0.3</v>
      </c>
      <c r="I12" s="137">
        <v>9</v>
      </c>
      <c r="J12" s="56"/>
      <c r="P12" s="56"/>
      <c r="U12" s="57"/>
      <c r="V12" s="56"/>
      <c r="AA12" s="57"/>
      <c r="AB12" s="56"/>
      <c r="AG12" s="57"/>
      <c r="AH12" s="56"/>
      <c r="AM12" s="57"/>
      <c r="AN12" s="56"/>
      <c r="AS12" s="57"/>
      <c r="AT12" s="56"/>
      <c r="AY12" s="57"/>
      <c r="AZ12" s="56"/>
      <c r="BE12" s="57"/>
      <c r="BF12" s="56"/>
      <c r="BK12" s="57"/>
      <c r="BL12" s="56"/>
      <c r="BQ12" s="57"/>
      <c r="BR12" s="56"/>
      <c r="BW12" s="57"/>
      <c r="CC12" s="58" t="s">
        <v>496</v>
      </c>
      <c r="CD12" s="58" t="s">
        <v>473</v>
      </c>
      <c r="CE12" s="59">
        <v>0</v>
      </c>
    </row>
    <row r="13" spans="2:83" x14ac:dyDescent="0.3">
      <c r="B13" s="60">
        <v>7</v>
      </c>
      <c r="C13" t="s">
        <v>7</v>
      </c>
      <c r="D13" s="62">
        <f>10+88</f>
        <v>98</v>
      </c>
      <c r="E13" s="63">
        <v>88</v>
      </c>
      <c r="F13" s="64">
        <f t="shared" si="0"/>
        <v>0.89795918367346939</v>
      </c>
      <c r="G13" s="63">
        <f t="shared" si="1"/>
        <v>10</v>
      </c>
      <c r="H13" s="64">
        <f t="shared" si="0"/>
        <v>0.10204081632653061</v>
      </c>
      <c r="I13" s="55">
        <v>4</v>
      </c>
      <c r="J13" s="56"/>
      <c r="P13" s="56"/>
      <c r="U13" s="57"/>
      <c r="V13" s="56"/>
      <c r="AA13" s="57"/>
      <c r="AB13" s="56"/>
      <c r="AG13" s="57"/>
      <c r="AH13" s="56"/>
      <c r="AM13" s="57"/>
      <c r="AN13" s="56"/>
      <c r="AS13" s="57"/>
      <c r="AT13" s="56"/>
      <c r="AY13" s="57"/>
      <c r="AZ13" s="56"/>
      <c r="BE13" s="57"/>
      <c r="BF13" s="56"/>
      <c r="BK13" s="57"/>
      <c r="BL13" s="56"/>
      <c r="BQ13" s="57"/>
      <c r="BR13" s="56"/>
      <c r="BW13" s="57"/>
    </row>
    <row r="14" spans="2:83" x14ac:dyDescent="0.3">
      <c r="B14" s="60">
        <v>8</v>
      </c>
      <c r="C14" t="s">
        <v>12</v>
      </c>
      <c r="D14" s="62">
        <f>42+80</f>
        <v>122</v>
      </c>
      <c r="E14" s="63">
        <v>80</v>
      </c>
      <c r="F14" s="64">
        <f t="shared" si="0"/>
        <v>0.65573770491803274</v>
      </c>
      <c r="G14" s="63">
        <f t="shared" si="1"/>
        <v>42</v>
      </c>
      <c r="H14" s="64">
        <f t="shared" si="0"/>
        <v>0.34426229508196721</v>
      </c>
      <c r="I14" s="55">
        <v>5</v>
      </c>
      <c r="J14" s="56"/>
      <c r="P14" s="56"/>
      <c r="U14" s="57"/>
      <c r="V14" s="56"/>
      <c r="AA14" s="57"/>
      <c r="AB14" s="56"/>
      <c r="AG14" s="57"/>
      <c r="AH14" s="56"/>
      <c r="AM14" s="57"/>
      <c r="AN14" s="56"/>
      <c r="AS14" s="57"/>
      <c r="AT14" s="56"/>
      <c r="AY14" s="57"/>
      <c r="AZ14" s="56"/>
      <c r="BE14" s="57"/>
      <c r="BF14" s="56"/>
      <c r="BK14" s="57"/>
      <c r="BL14" s="56"/>
      <c r="BQ14" s="57"/>
      <c r="BR14" s="56"/>
      <c r="BW14" s="57"/>
    </row>
    <row r="15" spans="2:83" x14ac:dyDescent="0.3">
      <c r="B15" s="60">
        <v>9</v>
      </c>
      <c r="C15" t="s">
        <v>32</v>
      </c>
      <c r="D15" s="135">
        <v>105</v>
      </c>
      <c r="E15" s="136">
        <v>93</v>
      </c>
      <c r="F15" s="64">
        <f t="shared" si="0"/>
        <v>0.88571428571428568</v>
      </c>
      <c r="G15" s="63">
        <f t="shared" si="1"/>
        <v>12</v>
      </c>
      <c r="H15" s="64">
        <f t="shared" si="0"/>
        <v>0.11428571428571428</v>
      </c>
      <c r="I15" s="137">
        <v>4</v>
      </c>
      <c r="J15" s="56"/>
      <c r="P15" s="56"/>
      <c r="U15" s="57"/>
      <c r="V15" s="56"/>
      <c r="AA15" s="57"/>
      <c r="AB15" s="56"/>
      <c r="AG15" s="57"/>
      <c r="AH15" s="56"/>
      <c r="AM15" s="57"/>
      <c r="AN15" s="56"/>
      <c r="AS15" s="57"/>
      <c r="AT15" s="56"/>
      <c r="AY15" s="57"/>
      <c r="AZ15" s="56"/>
      <c r="BE15" s="57"/>
      <c r="BF15" s="56"/>
      <c r="BK15" s="57"/>
      <c r="BL15" s="56"/>
      <c r="BQ15" s="57"/>
      <c r="BR15" s="56"/>
      <c r="BW15" s="57"/>
    </row>
    <row r="16" spans="2:83" x14ac:dyDescent="0.3">
      <c r="B16" s="60">
        <v>10</v>
      </c>
      <c r="C16" t="s">
        <v>44</v>
      </c>
      <c r="D16" s="62">
        <f>23+54</f>
        <v>77</v>
      </c>
      <c r="E16" s="63">
        <v>54</v>
      </c>
      <c r="F16" s="64">
        <f t="shared" si="0"/>
        <v>0.70129870129870131</v>
      </c>
      <c r="G16" s="63">
        <f t="shared" si="1"/>
        <v>23</v>
      </c>
      <c r="H16" s="64">
        <f t="shared" si="0"/>
        <v>0.29870129870129869</v>
      </c>
      <c r="I16" s="55">
        <v>7</v>
      </c>
      <c r="J16" s="56"/>
      <c r="P16" s="56"/>
      <c r="U16" s="57"/>
      <c r="V16" s="56"/>
      <c r="AA16" s="57"/>
      <c r="AB16" s="56"/>
      <c r="AG16" s="57"/>
      <c r="AH16" s="56"/>
      <c r="AM16" s="57"/>
      <c r="AN16" s="56"/>
      <c r="AS16" s="57"/>
      <c r="AT16" s="56"/>
      <c r="AY16" s="57"/>
      <c r="AZ16" s="56"/>
      <c r="BE16" s="57"/>
      <c r="BF16" s="56"/>
      <c r="BK16" s="57"/>
      <c r="BL16" s="56"/>
      <c r="BQ16" s="57"/>
      <c r="BR16" s="56"/>
      <c r="BW16" s="57"/>
    </row>
    <row r="17" spans="2:75" x14ac:dyDescent="0.3">
      <c r="B17" s="65">
        <v>11</v>
      </c>
      <c r="C17" t="s">
        <v>29</v>
      </c>
      <c r="D17" s="116">
        <v>78</v>
      </c>
      <c r="E17" s="117">
        <v>73</v>
      </c>
      <c r="F17" s="67">
        <f t="shared" si="0"/>
        <v>0.9358974358974359</v>
      </c>
      <c r="G17" s="66">
        <f t="shared" si="1"/>
        <v>5</v>
      </c>
      <c r="H17" s="67">
        <f t="shared" si="0"/>
        <v>6.4102564102564097E-2</v>
      </c>
      <c r="I17" s="138">
        <v>3</v>
      </c>
      <c r="J17" s="68"/>
      <c r="K17" s="69"/>
      <c r="L17" s="69"/>
      <c r="M17" s="69"/>
      <c r="N17" s="69"/>
      <c r="O17" s="69"/>
      <c r="P17" s="68"/>
      <c r="Q17" s="69"/>
      <c r="R17" s="69"/>
      <c r="S17" s="69"/>
      <c r="T17" s="69"/>
      <c r="U17" s="70"/>
      <c r="V17" s="68"/>
      <c r="W17" s="69"/>
      <c r="X17" s="69"/>
      <c r="Y17" s="69"/>
      <c r="Z17" s="69"/>
      <c r="AA17" s="57"/>
      <c r="AB17" s="68"/>
      <c r="AC17" s="69"/>
      <c r="AD17" s="69"/>
      <c r="AE17" s="69"/>
      <c r="AF17" s="69"/>
      <c r="AG17" s="70"/>
      <c r="AH17" s="68"/>
      <c r="AI17" s="69"/>
      <c r="AJ17" s="69"/>
      <c r="AK17" s="69"/>
      <c r="AL17" s="69"/>
      <c r="AM17" s="70"/>
      <c r="AN17" s="68"/>
      <c r="AO17" s="69"/>
      <c r="AP17" s="69"/>
      <c r="AQ17" s="69"/>
      <c r="AR17" s="69"/>
      <c r="AS17" s="70"/>
      <c r="AT17" s="68"/>
      <c r="AU17" s="69"/>
      <c r="AV17" s="69"/>
      <c r="AW17" s="69"/>
      <c r="AX17" s="69"/>
      <c r="AY17" s="70"/>
      <c r="AZ17" s="68"/>
      <c r="BA17" s="69"/>
      <c r="BB17" s="69"/>
      <c r="BC17" s="69"/>
      <c r="BD17" s="69"/>
      <c r="BE17" s="70"/>
      <c r="BF17" s="68"/>
      <c r="BG17" s="69"/>
      <c r="BH17" s="69"/>
      <c r="BI17" s="69"/>
      <c r="BJ17" s="69"/>
      <c r="BK17" s="70"/>
      <c r="BL17" s="68"/>
      <c r="BM17" s="69"/>
      <c r="BN17" s="69"/>
      <c r="BO17" s="69"/>
      <c r="BP17" s="69"/>
      <c r="BQ17" s="70"/>
      <c r="BR17" s="68"/>
      <c r="BS17" s="69"/>
      <c r="BT17" s="69"/>
      <c r="BU17" s="69"/>
      <c r="BV17" s="69"/>
      <c r="BW17" s="70"/>
    </row>
    <row r="18" spans="2:75" x14ac:dyDescent="0.3">
      <c r="D18" s="71">
        <f>SUM(D7:D17)</f>
        <v>1022</v>
      </c>
      <c r="E18" s="71">
        <f>SUM(E7:E17)</f>
        <v>841</v>
      </c>
      <c r="F18" s="72">
        <f t="shared" si="0"/>
        <v>0.82289628180039143</v>
      </c>
      <c r="G18" s="71">
        <f>SUM(G7:G17)</f>
        <v>181</v>
      </c>
      <c r="H18" s="72">
        <f t="shared" si="0"/>
        <v>0.1771037181996086</v>
      </c>
      <c r="I18" s="71">
        <f>SUM(I7:I17)</f>
        <v>59</v>
      </c>
    </row>
    <row r="19" spans="2:75" x14ac:dyDescent="0.3">
      <c r="D19" s="71"/>
      <c r="E19" s="71"/>
      <c r="F19" s="72"/>
      <c r="G19" s="71"/>
      <c r="H19" s="72"/>
      <c r="I19" s="71"/>
    </row>
    <row r="20" spans="2:75" ht="15.6" x14ac:dyDescent="0.3">
      <c r="B20" s="73" t="s">
        <v>501</v>
      </c>
      <c r="C20" s="74"/>
      <c r="E20" s="72"/>
      <c r="F20" s="72"/>
      <c r="G20" s="72"/>
      <c r="H20" s="72"/>
    </row>
    <row r="22" spans="2:75" x14ac:dyDescent="0.3">
      <c r="B22" s="158" t="s">
        <v>474</v>
      </c>
      <c r="C22" s="158" t="s">
        <v>5</v>
      </c>
      <c r="D22" s="158" t="s">
        <v>475</v>
      </c>
      <c r="E22" s="157" t="s">
        <v>476</v>
      </c>
      <c r="F22" s="157"/>
      <c r="G22" s="157"/>
      <c r="H22" s="157"/>
      <c r="I22" s="174" t="s">
        <v>477</v>
      </c>
      <c r="J22" s="173"/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  <c r="W22" s="173"/>
      <c r="X22" s="173"/>
      <c r="Y22" s="173"/>
      <c r="Z22" s="173"/>
      <c r="AA22" s="173"/>
      <c r="AB22" s="173"/>
      <c r="AC22" s="173"/>
      <c r="AD22" s="173"/>
      <c r="AE22" s="173"/>
      <c r="AF22" s="173"/>
      <c r="AG22" s="173"/>
      <c r="AH22" s="173"/>
      <c r="AI22" s="173"/>
      <c r="AJ22" s="173"/>
      <c r="AK22" s="173"/>
      <c r="AL22" s="173"/>
      <c r="AM22" s="173"/>
      <c r="AN22" s="173"/>
      <c r="AO22" s="173"/>
      <c r="AP22" s="173"/>
      <c r="AQ22" s="173"/>
      <c r="AR22" s="173"/>
      <c r="AS22" s="173"/>
      <c r="AT22" s="173"/>
      <c r="AU22" s="173"/>
      <c r="AV22" s="173"/>
      <c r="AW22" s="173"/>
      <c r="AX22" s="173"/>
      <c r="AY22" s="173"/>
      <c r="AZ22" s="173"/>
      <c r="BA22" s="173"/>
      <c r="BB22" s="173"/>
      <c r="BC22" s="173"/>
      <c r="BD22" s="173"/>
      <c r="BE22" s="173"/>
      <c r="BF22" s="173"/>
      <c r="BG22" s="173"/>
      <c r="BH22" s="173"/>
      <c r="BI22" s="173"/>
      <c r="BJ22" s="173"/>
      <c r="BK22" s="173"/>
      <c r="BL22" s="173"/>
      <c r="BM22" s="173"/>
      <c r="BN22" s="173"/>
      <c r="BO22" s="173"/>
      <c r="BP22" s="173"/>
      <c r="BQ22" s="173"/>
      <c r="BR22" s="173"/>
      <c r="BS22" s="173"/>
      <c r="BT22" s="173"/>
      <c r="BU22" s="173"/>
      <c r="BV22" s="173"/>
      <c r="BW22" s="173"/>
    </row>
    <row r="23" spans="2:75" x14ac:dyDescent="0.3">
      <c r="B23" s="158"/>
      <c r="C23" s="158"/>
      <c r="D23" s="158"/>
      <c r="E23" s="157" t="s">
        <v>478</v>
      </c>
      <c r="F23" s="157"/>
      <c r="G23" s="45" t="s">
        <v>479</v>
      </c>
      <c r="H23" s="45"/>
      <c r="I23" s="160" t="s">
        <v>480</v>
      </c>
      <c r="J23" s="161" t="s">
        <v>481</v>
      </c>
      <c r="K23" s="162"/>
      <c r="L23" s="162"/>
      <c r="M23" s="162"/>
      <c r="N23" s="162"/>
      <c r="O23" s="162"/>
      <c r="P23" s="162" t="s">
        <v>482</v>
      </c>
      <c r="Q23" s="162"/>
      <c r="R23" s="162"/>
      <c r="S23" s="162"/>
      <c r="T23" s="162"/>
      <c r="U23" s="162"/>
      <c r="V23" s="162" t="s">
        <v>483</v>
      </c>
      <c r="W23" s="162"/>
      <c r="X23" s="162"/>
      <c r="Y23" s="162"/>
      <c r="Z23" s="162"/>
      <c r="AA23" s="162"/>
      <c r="AB23" s="162" t="s">
        <v>484</v>
      </c>
      <c r="AC23" s="162"/>
      <c r="AD23" s="162"/>
      <c r="AE23" s="162"/>
      <c r="AF23" s="162"/>
      <c r="AG23" s="162"/>
      <c r="AH23" s="162" t="s">
        <v>485</v>
      </c>
      <c r="AI23" s="162"/>
      <c r="AJ23" s="162"/>
      <c r="AK23" s="162"/>
      <c r="AL23" s="162"/>
      <c r="AM23" s="162"/>
      <c r="AN23" s="162" t="s">
        <v>486</v>
      </c>
      <c r="AO23" s="162"/>
      <c r="AP23" s="162"/>
      <c r="AQ23" s="162"/>
      <c r="AR23" s="162"/>
      <c r="AS23" s="162"/>
      <c r="AT23" s="162" t="s">
        <v>487</v>
      </c>
      <c r="AU23" s="162"/>
      <c r="AV23" s="162"/>
      <c r="AW23" s="162"/>
      <c r="AX23" s="162"/>
      <c r="AY23" s="162"/>
      <c r="AZ23" s="162" t="s">
        <v>488</v>
      </c>
      <c r="BA23" s="162"/>
      <c r="BB23" s="162"/>
      <c r="BC23" s="162"/>
      <c r="BD23" s="162"/>
      <c r="BE23" s="163"/>
      <c r="BF23" s="162" t="s">
        <v>517</v>
      </c>
      <c r="BG23" s="162"/>
      <c r="BH23" s="162"/>
      <c r="BI23" s="162"/>
      <c r="BJ23" s="162"/>
      <c r="BK23" s="163"/>
      <c r="BL23" s="162" t="s">
        <v>518</v>
      </c>
      <c r="BM23" s="162"/>
      <c r="BN23" s="162"/>
      <c r="BO23" s="162"/>
      <c r="BP23" s="162"/>
      <c r="BQ23" s="163"/>
      <c r="BR23" s="162" t="s">
        <v>519</v>
      </c>
      <c r="BS23" s="162"/>
      <c r="BT23" s="162"/>
      <c r="BU23" s="162"/>
      <c r="BV23" s="162"/>
      <c r="BW23" s="163"/>
    </row>
    <row r="24" spans="2:75" x14ac:dyDescent="0.3">
      <c r="B24" s="159"/>
      <c r="C24" s="159"/>
      <c r="D24" s="159"/>
      <c r="E24" s="46" t="s">
        <v>480</v>
      </c>
      <c r="F24" s="46" t="s">
        <v>490</v>
      </c>
      <c r="G24" s="46" t="s">
        <v>480</v>
      </c>
      <c r="H24" s="46" t="s">
        <v>490</v>
      </c>
      <c r="I24" s="160"/>
      <c r="J24" s="75" t="s">
        <v>491</v>
      </c>
      <c r="K24" s="76" t="s">
        <v>492</v>
      </c>
      <c r="L24" s="76" t="s">
        <v>493</v>
      </c>
      <c r="M24" s="76" t="s">
        <v>494</v>
      </c>
      <c r="N24" s="76" t="s">
        <v>495</v>
      </c>
      <c r="O24" s="76" t="s">
        <v>496</v>
      </c>
      <c r="P24" s="48" t="s">
        <v>491</v>
      </c>
      <c r="Q24" s="48" t="s">
        <v>492</v>
      </c>
      <c r="R24" s="48" t="s">
        <v>493</v>
      </c>
      <c r="S24" s="48" t="s">
        <v>494</v>
      </c>
      <c r="T24" s="48" t="s">
        <v>495</v>
      </c>
      <c r="U24" s="48" t="s">
        <v>496</v>
      </c>
      <c r="V24" s="48" t="s">
        <v>491</v>
      </c>
      <c r="W24" s="48" t="s">
        <v>492</v>
      </c>
      <c r="X24" s="48" t="s">
        <v>493</v>
      </c>
      <c r="Y24" s="48" t="s">
        <v>494</v>
      </c>
      <c r="Z24" s="48" t="s">
        <v>495</v>
      </c>
      <c r="AA24" s="48" t="s">
        <v>496</v>
      </c>
      <c r="AB24" s="48" t="s">
        <v>491</v>
      </c>
      <c r="AC24" s="48" t="s">
        <v>492</v>
      </c>
      <c r="AD24" s="48" t="s">
        <v>493</v>
      </c>
      <c r="AE24" s="48" t="s">
        <v>494</v>
      </c>
      <c r="AF24" s="48" t="s">
        <v>495</v>
      </c>
      <c r="AG24" s="48" t="s">
        <v>496</v>
      </c>
      <c r="AH24" s="48" t="s">
        <v>491</v>
      </c>
      <c r="AI24" s="48" t="s">
        <v>492</v>
      </c>
      <c r="AJ24" s="48" t="s">
        <v>493</v>
      </c>
      <c r="AK24" s="48" t="s">
        <v>494</v>
      </c>
      <c r="AL24" s="48" t="s">
        <v>495</v>
      </c>
      <c r="AM24" s="48" t="s">
        <v>496</v>
      </c>
      <c r="AN24" s="48" t="s">
        <v>491</v>
      </c>
      <c r="AO24" s="48" t="s">
        <v>492</v>
      </c>
      <c r="AP24" s="48" t="s">
        <v>493</v>
      </c>
      <c r="AQ24" s="48" t="s">
        <v>494</v>
      </c>
      <c r="AR24" s="48" t="s">
        <v>495</v>
      </c>
      <c r="AS24" s="48" t="s">
        <v>496</v>
      </c>
      <c r="AT24" s="48" t="s">
        <v>491</v>
      </c>
      <c r="AU24" s="48" t="s">
        <v>492</v>
      </c>
      <c r="AV24" s="48" t="s">
        <v>493</v>
      </c>
      <c r="AW24" s="48" t="s">
        <v>494</v>
      </c>
      <c r="AX24" s="48" t="s">
        <v>495</v>
      </c>
      <c r="AY24" s="48" t="s">
        <v>496</v>
      </c>
      <c r="AZ24" s="48" t="s">
        <v>491</v>
      </c>
      <c r="BA24" s="48" t="s">
        <v>492</v>
      </c>
      <c r="BB24" s="48" t="s">
        <v>493</v>
      </c>
      <c r="BC24" s="48" t="s">
        <v>494</v>
      </c>
      <c r="BD24" s="48" t="s">
        <v>495</v>
      </c>
      <c r="BE24" s="49" t="s">
        <v>496</v>
      </c>
      <c r="BF24" s="48" t="s">
        <v>491</v>
      </c>
      <c r="BG24" s="48" t="s">
        <v>492</v>
      </c>
      <c r="BH24" s="48" t="s">
        <v>493</v>
      </c>
      <c r="BI24" s="48" t="s">
        <v>494</v>
      </c>
      <c r="BJ24" s="48" t="s">
        <v>495</v>
      </c>
      <c r="BK24" s="49" t="s">
        <v>496</v>
      </c>
      <c r="BL24" s="48" t="s">
        <v>491</v>
      </c>
      <c r="BM24" s="48" t="s">
        <v>492</v>
      </c>
      <c r="BN24" s="48" t="s">
        <v>493</v>
      </c>
      <c r="BO24" s="48" t="s">
        <v>494</v>
      </c>
      <c r="BP24" s="48" t="s">
        <v>495</v>
      </c>
      <c r="BQ24" s="49" t="s">
        <v>496</v>
      </c>
      <c r="BR24" s="48" t="s">
        <v>491</v>
      </c>
      <c r="BS24" s="48" t="s">
        <v>492</v>
      </c>
      <c r="BT24" s="48" t="s">
        <v>493</v>
      </c>
      <c r="BU24" s="48" t="s">
        <v>494</v>
      </c>
      <c r="BV24" s="48" t="s">
        <v>495</v>
      </c>
      <c r="BW24" s="49" t="s">
        <v>496</v>
      </c>
    </row>
    <row r="25" spans="2:75" x14ac:dyDescent="0.3">
      <c r="B25" s="51">
        <v>1</v>
      </c>
      <c r="C25" s="52" t="str">
        <f>C7</f>
        <v>SistemasTI</v>
      </c>
      <c r="D25" s="130">
        <f>D7</f>
        <v>128</v>
      </c>
      <c r="E25" s="131">
        <f>E7</f>
        <v>125</v>
      </c>
      <c r="F25" s="54">
        <f t="shared" ref="F25:I25" si="2">F7</f>
        <v>0.9765625</v>
      </c>
      <c r="G25" s="53">
        <f t="shared" si="2"/>
        <v>3</v>
      </c>
      <c r="H25" s="54">
        <f t="shared" si="2"/>
        <v>2.34375E-2</v>
      </c>
      <c r="I25" s="137">
        <f t="shared" si="2"/>
        <v>5</v>
      </c>
      <c r="J25" s="77">
        <f t="shared" ref="J25:O35" si="3">IF(AND(J7&lt;&gt;"",J7&gt;0),(VLOOKUP(J$6,$CC$6:$CE$12,3,0)*J7)/SUM($J7:$N7),0)</f>
        <v>0</v>
      </c>
      <c r="K25" s="78">
        <f t="shared" si="3"/>
        <v>0</v>
      </c>
      <c r="L25" s="78">
        <f t="shared" si="3"/>
        <v>0</v>
      </c>
      <c r="M25" s="78">
        <f t="shared" si="3"/>
        <v>0</v>
      </c>
      <c r="N25" s="78">
        <f t="shared" si="3"/>
        <v>0</v>
      </c>
      <c r="O25" s="78">
        <f t="shared" si="3"/>
        <v>0</v>
      </c>
      <c r="P25" s="77">
        <f t="shared" ref="P25:U35" si="4">IF(AND(P7&lt;&gt;"",P7&gt;0),(VLOOKUP(P$6,$CC$6:$CE$12,3,0)*P7)/SUM($P7:$T7),0)</f>
        <v>0</v>
      </c>
      <c r="Q25" s="78">
        <f t="shared" si="4"/>
        <v>0</v>
      </c>
      <c r="R25" s="78">
        <f t="shared" si="4"/>
        <v>0</v>
      </c>
      <c r="S25" s="78">
        <f>IF(AND(S7&lt;&gt;"",S7&gt;0),(VLOOKUP(S$6,$CC$6:$CE$12,3,0)*S7)/SUM($P7:$T7),0)</f>
        <v>0</v>
      </c>
      <c r="T25" s="78">
        <f t="shared" si="4"/>
        <v>0</v>
      </c>
      <c r="U25" s="78">
        <f t="shared" si="4"/>
        <v>0</v>
      </c>
      <c r="V25" s="77">
        <f t="shared" ref="V25:AA35" si="5">IF(AND(V7&lt;&gt;"",V7&gt;0),(VLOOKUP(V$6,$CC$6:$CE$12,3,0)*V7)/SUM($V7:$Z7),0)</f>
        <v>0</v>
      </c>
      <c r="W25" s="78">
        <f t="shared" si="5"/>
        <v>0</v>
      </c>
      <c r="X25" s="78">
        <f t="shared" si="5"/>
        <v>0</v>
      </c>
      <c r="Y25" s="78">
        <f t="shared" si="5"/>
        <v>0</v>
      </c>
      <c r="Z25" s="78">
        <f t="shared" si="5"/>
        <v>0</v>
      </c>
      <c r="AA25" s="78">
        <f t="shared" si="5"/>
        <v>0</v>
      </c>
      <c r="AB25" s="77">
        <f t="shared" ref="AB25:AG26" si="6">IF(AND(AB7&lt;&gt;"",AB7&gt;0),(VLOOKUP(AB$6,$CC$6:$CE$12,3,0)*AB7)/SUM($AB7:$AF7),0)</f>
        <v>0</v>
      </c>
      <c r="AC25" s="78">
        <f t="shared" si="6"/>
        <v>0</v>
      </c>
      <c r="AD25" s="78">
        <f t="shared" si="6"/>
        <v>0</v>
      </c>
      <c r="AE25" s="78">
        <f t="shared" si="6"/>
        <v>0</v>
      </c>
      <c r="AF25" s="78">
        <f t="shared" si="6"/>
        <v>0</v>
      </c>
      <c r="AG25" s="78">
        <f t="shared" si="6"/>
        <v>0</v>
      </c>
      <c r="AH25" s="77">
        <f t="shared" ref="AH25:AM27" si="7">IF(AND(AH7&lt;&gt;"",AH7&gt;0),(VLOOKUP(AH$6,$CC$6:$CE$12,3,0)*AH7)/SUM($AH7:$AL7),0)</f>
        <v>0</v>
      </c>
      <c r="AI25" s="78">
        <f t="shared" si="7"/>
        <v>0</v>
      </c>
      <c r="AJ25" s="78">
        <f t="shared" si="7"/>
        <v>0</v>
      </c>
      <c r="AK25" s="78">
        <f t="shared" si="7"/>
        <v>0</v>
      </c>
      <c r="AL25" s="78">
        <f t="shared" si="7"/>
        <v>0</v>
      </c>
      <c r="AM25" s="78">
        <f t="shared" si="7"/>
        <v>0</v>
      </c>
      <c r="AN25" s="77">
        <f t="shared" ref="AN25:AS35" si="8">IF(AND(AN7&lt;&gt;"",AN7&gt;0),(VLOOKUP(AN$6,$CC$6:$CE$12,3,0)*AN7)/SUM($AN7:$AR7),0)</f>
        <v>0</v>
      </c>
      <c r="AO25" s="78">
        <f t="shared" si="8"/>
        <v>0</v>
      </c>
      <c r="AP25" s="78">
        <f t="shared" si="8"/>
        <v>0</v>
      </c>
      <c r="AQ25" s="78">
        <f t="shared" si="8"/>
        <v>0</v>
      </c>
      <c r="AR25" s="78">
        <f t="shared" si="8"/>
        <v>0</v>
      </c>
      <c r="AS25" s="78">
        <f t="shared" si="8"/>
        <v>0</v>
      </c>
      <c r="AT25" s="77">
        <f t="shared" ref="AT25:AY35" si="9">IF(AND(AT7&lt;&gt;"",AT7&gt;0),(VLOOKUP(AT$6,$CC$6:$CE$12,3,0)*AT7)/SUM($AT7:$AX7),0)</f>
        <v>0</v>
      </c>
      <c r="AU25" s="78">
        <f t="shared" si="9"/>
        <v>0</v>
      </c>
      <c r="AV25" s="78">
        <f t="shared" si="9"/>
        <v>0</v>
      </c>
      <c r="AW25" s="78">
        <f t="shared" si="9"/>
        <v>0</v>
      </c>
      <c r="AX25" s="78">
        <f t="shared" si="9"/>
        <v>0</v>
      </c>
      <c r="AY25" s="78">
        <f t="shared" si="9"/>
        <v>0</v>
      </c>
      <c r="AZ25" s="77">
        <f>IF(AND(AZ7&lt;&gt;"",AZ7&gt;0),(VLOOKUP(AZ$6,$CC$6:$CE$12,3,0)*AZ7)/SUM($AZ7:$BD7),0)</f>
        <v>0</v>
      </c>
      <c r="BA25" s="78">
        <f t="shared" ref="AZ25:BE35" si="10">IF(AND(BA7&lt;&gt;"",BA7&gt;0),(VLOOKUP(BA$6,$CC$6:$CE$12,3,0)*BA7)/SUM($AZ7:$BD7),0)</f>
        <v>0</v>
      </c>
      <c r="BB25" s="78">
        <f t="shared" si="10"/>
        <v>0</v>
      </c>
      <c r="BC25" s="78">
        <f t="shared" si="10"/>
        <v>0</v>
      </c>
      <c r="BD25" s="78">
        <f t="shared" si="10"/>
        <v>0</v>
      </c>
      <c r="BE25" s="78">
        <f>IF(AND(BE7&lt;&gt;"",BE7&gt;0),(VLOOKUP(BE$6,$CC$6:$CE$12,3,0)*BE7)/SUM($AZ7:$BD7),0)</f>
        <v>0</v>
      </c>
      <c r="BF25" s="78">
        <f>IF(AND(BF7&lt;&gt;"",BF7&gt;0),(VLOOKUP(BF$6,$CC$6:$CE$12,3,0)*BF7)/SUM($BF7:$BJ7),0)</f>
        <v>0</v>
      </c>
      <c r="BG25" s="78">
        <f t="shared" ref="BG25:BK25" si="11">IF(AND(BG7&lt;&gt;"",BG7&gt;0),(VLOOKUP(BG$6,$CC$6:$CE$12,3,0)*BG7)/SUM($BF7:$BJ7),0)</f>
        <v>0</v>
      </c>
      <c r="BH25" s="78">
        <f t="shared" si="11"/>
        <v>0</v>
      </c>
      <c r="BI25" s="78">
        <f t="shared" si="11"/>
        <v>0</v>
      </c>
      <c r="BJ25" s="78">
        <f t="shared" si="11"/>
        <v>0</v>
      </c>
      <c r="BK25" s="78">
        <f t="shared" si="11"/>
        <v>0</v>
      </c>
      <c r="BL25" s="77">
        <f>IF(AND(BL7&lt;&gt;"",BL7&gt;0),(VLOOKUP(BL$6,$CC$6:$CE$12,3,0)*BL7)/SUM($BL7:$BP7),0)</f>
        <v>0</v>
      </c>
      <c r="BM25" s="77">
        <f t="shared" ref="BM25:BQ25" si="12">IF(AND(BM7&lt;&gt;"",BM7&gt;0),(VLOOKUP(BM$6,$CC$6:$CE$12,3,0)*BM7)/SUM($BL7:$BP7),0)</f>
        <v>0</v>
      </c>
      <c r="BN25" s="77">
        <f t="shared" si="12"/>
        <v>0</v>
      </c>
      <c r="BO25" s="77">
        <f t="shared" si="12"/>
        <v>0</v>
      </c>
      <c r="BP25" s="77">
        <f>IF(AND(BP7&lt;&gt;"",BP7&gt;0),(VLOOKUP(BP$6,$CC$6:$CE$12,3,0)*BP7)/SUM($BL7:$BP7),0)</f>
        <v>0</v>
      </c>
      <c r="BQ25" s="77">
        <f t="shared" si="12"/>
        <v>0</v>
      </c>
      <c r="BR25" s="77">
        <f>IF(AND(BR7&lt;&gt;"",BR7&gt;0),(VLOOKUP(BR$6,$CC$6:$CE$12,3,0)*BR7)/SUM($BR7:$BV7),0)</f>
        <v>0</v>
      </c>
      <c r="BS25" s="77">
        <f t="shared" ref="BS25:BW25" si="13">IF(AND(BS7&lt;&gt;"",BS7&gt;0),(VLOOKUP(BS$6,$CC$6:$CE$12,3,0)*BS7)/SUM($BR7:$BV7),0)</f>
        <v>0</v>
      </c>
      <c r="BT25" s="77">
        <f t="shared" si="13"/>
        <v>0</v>
      </c>
      <c r="BU25" s="77">
        <f t="shared" si="13"/>
        <v>0</v>
      </c>
      <c r="BV25" s="77">
        <f t="shared" si="13"/>
        <v>0</v>
      </c>
      <c r="BW25" s="77">
        <f t="shared" si="13"/>
        <v>0</v>
      </c>
    </row>
    <row r="26" spans="2:75" x14ac:dyDescent="0.3">
      <c r="B26" s="60">
        <v>2</v>
      </c>
      <c r="C26" s="61" t="str">
        <f>C8</f>
        <v>Sistema integrado de gestión</v>
      </c>
      <c r="D26" s="130">
        <f t="shared" ref="D26:E35" si="14">D8</f>
        <v>140</v>
      </c>
      <c r="E26" s="131">
        <f t="shared" si="14"/>
        <v>89</v>
      </c>
      <c r="F26" s="64">
        <f t="shared" ref="E26:I36" si="15">F8</f>
        <v>0.63571428571428568</v>
      </c>
      <c r="G26" s="63">
        <f t="shared" si="15"/>
        <v>51</v>
      </c>
      <c r="H26" s="64">
        <f t="shared" si="15"/>
        <v>0.36428571428571427</v>
      </c>
      <c r="I26" s="55">
        <f t="shared" si="15"/>
        <v>5</v>
      </c>
      <c r="J26" s="77">
        <f t="shared" si="3"/>
        <v>0</v>
      </c>
      <c r="K26" s="78">
        <f t="shared" si="3"/>
        <v>0</v>
      </c>
      <c r="L26" s="78">
        <f t="shared" si="3"/>
        <v>0</v>
      </c>
      <c r="M26" s="78">
        <f t="shared" si="3"/>
        <v>0</v>
      </c>
      <c r="N26" s="78">
        <f t="shared" si="3"/>
        <v>0</v>
      </c>
      <c r="O26" s="78">
        <f t="shared" si="3"/>
        <v>0</v>
      </c>
      <c r="P26" s="77">
        <f t="shared" si="4"/>
        <v>0</v>
      </c>
      <c r="Q26" s="78">
        <f t="shared" si="4"/>
        <v>0</v>
      </c>
      <c r="R26" s="78">
        <f t="shared" si="4"/>
        <v>0</v>
      </c>
      <c r="S26" s="78">
        <f t="shared" si="4"/>
        <v>0</v>
      </c>
      <c r="T26" s="78">
        <f t="shared" si="4"/>
        <v>0</v>
      </c>
      <c r="U26" s="78">
        <f t="shared" si="4"/>
        <v>0</v>
      </c>
      <c r="V26" s="77">
        <f t="shared" si="5"/>
        <v>0</v>
      </c>
      <c r="W26" s="78">
        <f t="shared" si="5"/>
        <v>0</v>
      </c>
      <c r="X26" s="78">
        <f t="shared" si="5"/>
        <v>0</v>
      </c>
      <c r="Y26" s="78">
        <f t="shared" si="5"/>
        <v>0</v>
      </c>
      <c r="Z26" s="78">
        <f t="shared" si="5"/>
        <v>0</v>
      </c>
      <c r="AA26" s="78">
        <f t="shared" si="5"/>
        <v>0</v>
      </c>
      <c r="AB26" s="77">
        <f t="shared" si="6"/>
        <v>0</v>
      </c>
      <c r="AC26" s="78">
        <f t="shared" si="6"/>
        <v>0</v>
      </c>
      <c r="AD26" s="78">
        <f t="shared" si="6"/>
        <v>0</v>
      </c>
      <c r="AE26" s="78">
        <f t="shared" si="6"/>
        <v>0</v>
      </c>
      <c r="AF26" s="78">
        <f t="shared" si="6"/>
        <v>0</v>
      </c>
      <c r="AG26" s="78">
        <f t="shared" si="6"/>
        <v>0</v>
      </c>
      <c r="AH26" s="77">
        <f t="shared" si="7"/>
        <v>0</v>
      </c>
      <c r="AI26" s="78">
        <f t="shared" si="7"/>
        <v>0</v>
      </c>
      <c r="AJ26" s="78">
        <f t="shared" si="7"/>
        <v>0</v>
      </c>
      <c r="AK26" s="78">
        <f t="shared" si="7"/>
        <v>0</v>
      </c>
      <c r="AL26" s="78">
        <f t="shared" si="7"/>
        <v>0</v>
      </c>
      <c r="AM26" s="78">
        <f t="shared" si="7"/>
        <v>0</v>
      </c>
      <c r="AN26" s="77">
        <f t="shared" si="8"/>
        <v>0</v>
      </c>
      <c r="AO26" s="78">
        <f t="shared" si="8"/>
        <v>0</v>
      </c>
      <c r="AP26" s="78">
        <f t="shared" si="8"/>
        <v>0</v>
      </c>
      <c r="AQ26" s="78">
        <f t="shared" si="8"/>
        <v>0</v>
      </c>
      <c r="AR26" s="78">
        <f t="shared" si="8"/>
        <v>0</v>
      </c>
      <c r="AS26" s="78">
        <f t="shared" si="8"/>
        <v>0</v>
      </c>
      <c r="AT26" s="77">
        <f t="shared" si="9"/>
        <v>0</v>
      </c>
      <c r="AU26" s="78">
        <f t="shared" si="9"/>
        <v>0</v>
      </c>
      <c r="AV26" s="78">
        <f>IF(AND(AV8&lt;&gt;"",AV8&gt;0),(VLOOKUP(AV$6,$CC$6:$CE$12,3,0)*AV8)/SUM($AT8:$AX8),0)</f>
        <v>0</v>
      </c>
      <c r="AW26" s="78">
        <f t="shared" si="9"/>
        <v>0</v>
      </c>
      <c r="AX26" s="78">
        <f t="shared" si="9"/>
        <v>0</v>
      </c>
      <c r="AY26" s="78">
        <f t="shared" si="9"/>
        <v>0</v>
      </c>
      <c r="AZ26" s="77">
        <f t="shared" si="10"/>
        <v>0</v>
      </c>
      <c r="BA26" s="78">
        <f t="shared" si="10"/>
        <v>0</v>
      </c>
      <c r="BB26" s="78">
        <f t="shared" si="10"/>
        <v>0</v>
      </c>
      <c r="BC26" s="78">
        <f t="shared" si="10"/>
        <v>0</v>
      </c>
      <c r="BD26" s="78">
        <f t="shared" si="10"/>
        <v>0</v>
      </c>
      <c r="BE26" s="78">
        <f t="shared" si="10"/>
        <v>0</v>
      </c>
      <c r="BF26" s="78">
        <f t="shared" ref="BF26:BK26" si="16">IF(AND(BF8&lt;&gt;"",BF8&gt;0),(VLOOKUP(BF$6,$CC$6:$CE$12,3,0)*BF8)/SUM($BF8:$BJ8),0)</f>
        <v>0</v>
      </c>
      <c r="BG26" s="78">
        <f t="shared" si="16"/>
        <v>0</v>
      </c>
      <c r="BH26" s="78">
        <f t="shared" si="16"/>
        <v>0</v>
      </c>
      <c r="BI26" s="78">
        <f t="shared" si="16"/>
        <v>0</v>
      </c>
      <c r="BJ26" s="78">
        <f t="shared" si="16"/>
        <v>0</v>
      </c>
      <c r="BK26" s="78">
        <f t="shared" si="16"/>
        <v>0</v>
      </c>
      <c r="BL26" s="77">
        <f t="shared" ref="BL26:BO26" si="17">IF(AND(BL8&lt;&gt;"",BL8&gt;0),(VLOOKUP(BL$6,$CC$6:$CE$12,3,0)*BL8)/SUM($BL8:$BP8),0)</f>
        <v>0</v>
      </c>
      <c r="BM26" s="77">
        <f t="shared" si="17"/>
        <v>0</v>
      </c>
      <c r="BN26" s="77">
        <f t="shared" si="17"/>
        <v>0</v>
      </c>
      <c r="BO26" s="77">
        <f t="shared" si="17"/>
        <v>0</v>
      </c>
      <c r="BP26" s="77">
        <f>IF(AND(BP8&lt;&gt;"",BP8&gt;0),(VLOOKUP(BP$6,$CC$6:$CE$12,3,0)*BP8)/SUM($BL8:$BP8),0)</f>
        <v>0</v>
      </c>
      <c r="BQ26" s="77">
        <f>IF(AND(BQ8&lt;&gt;"",BQ8&gt;0),(VLOOKUP(BQ$6,$CC$6:$CE$12,3,0)*BQ8)/SUM($BL8:$BP8),0)</f>
        <v>0</v>
      </c>
      <c r="BR26" s="77">
        <f t="shared" ref="BR26:BW26" si="18">IF(AND(BR8&lt;&gt;"",BR8&gt;0),(VLOOKUP(BR$6,$CC$6:$CE$12,3,0)*BR8)/SUM($BR8:$BV8),0)</f>
        <v>0</v>
      </c>
      <c r="BS26" s="77">
        <f t="shared" si="18"/>
        <v>0</v>
      </c>
      <c r="BT26" s="77">
        <f t="shared" si="18"/>
        <v>0</v>
      </c>
      <c r="BU26" s="77">
        <f t="shared" si="18"/>
        <v>0</v>
      </c>
      <c r="BV26" s="77">
        <f>IF(AND(BV8&lt;&gt;"",BV8&gt;0),(VLOOKUP(BV$6,$CC$6:$CE$12,3,0)*BV8)/SUM($BR8:$BV8),0)</f>
        <v>0</v>
      </c>
      <c r="BW26" s="77">
        <f t="shared" si="18"/>
        <v>0</v>
      </c>
    </row>
    <row r="27" spans="2:75" x14ac:dyDescent="0.3">
      <c r="B27" s="60">
        <v>3</v>
      </c>
      <c r="C27" s="61" t="str">
        <f>C9</f>
        <v>FinanzasYTesorería</v>
      </c>
      <c r="D27" s="130">
        <f t="shared" si="14"/>
        <v>75</v>
      </c>
      <c r="E27" s="131">
        <f t="shared" si="14"/>
        <v>75</v>
      </c>
      <c r="F27" s="64">
        <f t="shared" si="15"/>
        <v>1</v>
      </c>
      <c r="G27" s="63">
        <f t="shared" si="15"/>
        <v>0</v>
      </c>
      <c r="H27" s="64">
        <f t="shared" si="15"/>
        <v>0</v>
      </c>
      <c r="I27" s="55">
        <f t="shared" si="15"/>
        <v>4</v>
      </c>
      <c r="J27" s="77">
        <f t="shared" si="3"/>
        <v>0</v>
      </c>
      <c r="K27" s="78">
        <f t="shared" si="3"/>
        <v>0</v>
      </c>
      <c r="L27" s="78">
        <f t="shared" si="3"/>
        <v>0</v>
      </c>
      <c r="M27" s="78">
        <f t="shared" si="3"/>
        <v>0</v>
      </c>
      <c r="N27" s="78">
        <f t="shared" si="3"/>
        <v>0</v>
      </c>
      <c r="O27" s="78">
        <f t="shared" si="3"/>
        <v>0</v>
      </c>
      <c r="P27" s="77">
        <f t="shared" si="4"/>
        <v>0</v>
      </c>
      <c r="Q27" s="78">
        <f t="shared" si="4"/>
        <v>0</v>
      </c>
      <c r="R27" s="78">
        <f t="shared" si="4"/>
        <v>0</v>
      </c>
      <c r="S27" s="78">
        <f t="shared" si="4"/>
        <v>0</v>
      </c>
      <c r="T27" s="78">
        <f t="shared" si="4"/>
        <v>0</v>
      </c>
      <c r="U27" s="78">
        <f t="shared" si="4"/>
        <v>0</v>
      </c>
      <c r="V27" s="77">
        <f t="shared" ref="V27:AA32" si="19">IF(AND(V9&lt;&gt;"",V9&gt;0),(VLOOKUP(V$6,$CC$6:$CE$12,3,0)*V9)/SUM($V9:$Z9),0)</f>
        <v>0</v>
      </c>
      <c r="W27" s="78">
        <f t="shared" si="19"/>
        <v>0</v>
      </c>
      <c r="X27" s="78">
        <f t="shared" si="19"/>
        <v>0</v>
      </c>
      <c r="Y27" s="78">
        <f t="shared" si="19"/>
        <v>0</v>
      </c>
      <c r="Z27" s="78">
        <f t="shared" si="19"/>
        <v>0</v>
      </c>
      <c r="AA27" s="78">
        <f t="shared" si="19"/>
        <v>0</v>
      </c>
      <c r="AB27" s="77">
        <f t="shared" ref="AB27:AG35" si="20">IF(AND(AB9&lt;&gt;"",AB9&gt;0),(VLOOKUP(AB$6,$CC$6:$CE$12,3,0)*AB9)/SUM($AB9:$AF9),0)</f>
        <v>0</v>
      </c>
      <c r="AC27" s="78">
        <f t="shared" si="20"/>
        <v>0</v>
      </c>
      <c r="AD27" s="78">
        <f t="shared" si="20"/>
        <v>0</v>
      </c>
      <c r="AE27" s="78">
        <f t="shared" si="20"/>
        <v>0</v>
      </c>
      <c r="AF27" s="78">
        <f t="shared" si="20"/>
        <v>0</v>
      </c>
      <c r="AG27" s="78">
        <f t="shared" si="20"/>
        <v>0</v>
      </c>
      <c r="AH27" s="77">
        <f t="shared" si="7"/>
        <v>0</v>
      </c>
      <c r="AI27" s="78">
        <f t="shared" si="7"/>
        <v>0</v>
      </c>
      <c r="AJ27" s="78">
        <f t="shared" si="7"/>
        <v>0</v>
      </c>
      <c r="AK27" s="78">
        <f t="shared" si="7"/>
        <v>0</v>
      </c>
      <c r="AL27" s="78">
        <f t="shared" si="7"/>
        <v>0</v>
      </c>
      <c r="AM27" s="78">
        <f t="shared" si="7"/>
        <v>0</v>
      </c>
      <c r="AN27" s="77">
        <f t="shared" si="8"/>
        <v>0</v>
      </c>
      <c r="AO27" s="78">
        <f t="shared" si="8"/>
        <v>0</v>
      </c>
      <c r="AP27" s="78">
        <f t="shared" si="8"/>
        <v>0</v>
      </c>
      <c r="AQ27" s="78">
        <f t="shared" si="8"/>
        <v>0</v>
      </c>
      <c r="AR27" s="78">
        <f t="shared" si="8"/>
        <v>0</v>
      </c>
      <c r="AS27" s="78">
        <f t="shared" si="8"/>
        <v>0</v>
      </c>
      <c r="AT27" s="77">
        <f t="shared" si="9"/>
        <v>0</v>
      </c>
      <c r="AU27" s="78">
        <f t="shared" si="9"/>
        <v>0</v>
      </c>
      <c r="AV27" s="78">
        <f t="shared" si="9"/>
        <v>0</v>
      </c>
      <c r="AW27" s="78">
        <f t="shared" si="9"/>
        <v>0</v>
      </c>
      <c r="AX27" s="78">
        <f t="shared" si="9"/>
        <v>0</v>
      </c>
      <c r="AY27" s="78">
        <f t="shared" si="9"/>
        <v>0</v>
      </c>
      <c r="AZ27" s="77">
        <f>IF(AND(AZ9&lt;&gt;"",AZ9&gt;0),(VLOOKUP(AZ$6,$CC$6:$CE$12,3,0)*AZ9)/SUM($AZ9:$BD9),0)</f>
        <v>0</v>
      </c>
      <c r="BA27" s="78">
        <f t="shared" si="10"/>
        <v>0</v>
      </c>
      <c r="BB27" s="78">
        <f t="shared" si="10"/>
        <v>0</v>
      </c>
      <c r="BC27" s="78">
        <f>IF(AND(BC9&lt;&gt;"",BC9&gt;0),(VLOOKUP(BC$6,$CC$6:$CE$12,3,0)*BC9)/SUM($AZ9:$BD9),0)</f>
        <v>0</v>
      </c>
      <c r="BD27" s="78">
        <f t="shared" si="10"/>
        <v>0</v>
      </c>
      <c r="BE27" s="78">
        <f>IF(AND(BE9&lt;&gt;"",BE9&gt;0),(VLOOKUP(BE$6,$CC$6:$CE$12,3,0)*BE9)/SUM($AZ9:$BD9),0)</f>
        <v>0</v>
      </c>
      <c r="BF27" s="78">
        <f t="shared" ref="BF27:BK27" si="21">IF(AND(BF9&lt;&gt;"",BF9&gt;0),(VLOOKUP(BF$6,$CC$6:$CE$12,3,0)*BF9)/SUM($BF9:$BJ9),0)</f>
        <v>0</v>
      </c>
      <c r="BG27" s="78">
        <f t="shared" si="21"/>
        <v>0</v>
      </c>
      <c r="BH27" s="78">
        <f t="shared" si="21"/>
        <v>0</v>
      </c>
      <c r="BI27" s="78">
        <f t="shared" si="21"/>
        <v>0</v>
      </c>
      <c r="BJ27" s="78">
        <f t="shared" si="21"/>
        <v>0</v>
      </c>
      <c r="BK27" s="78">
        <f t="shared" si="21"/>
        <v>0</v>
      </c>
      <c r="BL27" s="77">
        <f t="shared" ref="BL27:BQ27" si="22">IF(AND(BL9&lt;&gt;"",BL9&gt;0),(VLOOKUP(BL$6,$CC$6:$CE$12,3,0)*BL9)/SUM($BL9:$BP9),0)</f>
        <v>0</v>
      </c>
      <c r="BM27" s="77">
        <f t="shared" si="22"/>
        <v>0</v>
      </c>
      <c r="BN27" s="77">
        <f t="shared" si="22"/>
        <v>0</v>
      </c>
      <c r="BO27" s="77">
        <f t="shared" si="22"/>
        <v>0</v>
      </c>
      <c r="BP27" s="77">
        <f t="shared" si="22"/>
        <v>0</v>
      </c>
      <c r="BQ27" s="77">
        <f t="shared" si="22"/>
        <v>0</v>
      </c>
      <c r="BR27" s="77">
        <f t="shared" ref="BR27:BW27" si="23">IF(AND(BR9&lt;&gt;"",BR9&gt;0),(VLOOKUP(BR$6,$CC$6:$CE$12,3,0)*BR9)/SUM($BR9:$BV9),0)</f>
        <v>0</v>
      </c>
      <c r="BS27" s="77">
        <f t="shared" si="23"/>
        <v>0</v>
      </c>
      <c r="BT27" s="77">
        <f t="shared" si="23"/>
        <v>0</v>
      </c>
      <c r="BU27" s="77">
        <f t="shared" si="23"/>
        <v>0</v>
      </c>
      <c r="BV27" s="77">
        <f t="shared" si="23"/>
        <v>0</v>
      </c>
      <c r="BW27" s="77">
        <f t="shared" si="23"/>
        <v>0</v>
      </c>
    </row>
    <row r="28" spans="2:75" x14ac:dyDescent="0.3">
      <c r="B28" s="60">
        <v>4</v>
      </c>
      <c r="C28" s="61" t="str">
        <f>C10</f>
        <v>Seguridad</v>
      </c>
      <c r="D28" s="130">
        <f t="shared" si="14"/>
        <v>71</v>
      </c>
      <c r="E28" s="131">
        <f t="shared" si="14"/>
        <v>64</v>
      </c>
      <c r="F28" s="64">
        <f t="shared" si="15"/>
        <v>0.90140845070422537</v>
      </c>
      <c r="G28" s="63">
        <f t="shared" si="15"/>
        <v>7</v>
      </c>
      <c r="H28" s="64">
        <f t="shared" si="15"/>
        <v>9.8591549295774641E-2</v>
      </c>
      <c r="I28" s="55">
        <f t="shared" si="15"/>
        <v>8</v>
      </c>
      <c r="J28" s="77">
        <f t="shared" si="3"/>
        <v>0</v>
      </c>
      <c r="K28" s="78">
        <f t="shared" si="3"/>
        <v>0</v>
      </c>
      <c r="L28" s="78">
        <f t="shared" si="3"/>
        <v>0</v>
      </c>
      <c r="M28" s="78">
        <f t="shared" si="3"/>
        <v>0</v>
      </c>
      <c r="N28" s="78">
        <f t="shared" si="3"/>
        <v>0</v>
      </c>
      <c r="O28" s="78">
        <f t="shared" si="3"/>
        <v>0</v>
      </c>
      <c r="P28" s="77">
        <f t="shared" si="4"/>
        <v>0</v>
      </c>
      <c r="Q28" s="78">
        <f t="shared" si="4"/>
        <v>0</v>
      </c>
      <c r="R28" s="78">
        <f t="shared" si="4"/>
        <v>0</v>
      </c>
      <c r="S28" s="78">
        <f t="shared" si="4"/>
        <v>0</v>
      </c>
      <c r="T28" s="78">
        <f t="shared" si="4"/>
        <v>0</v>
      </c>
      <c r="U28" s="78">
        <f t="shared" si="4"/>
        <v>0</v>
      </c>
      <c r="V28" s="77">
        <f t="shared" si="19"/>
        <v>0</v>
      </c>
      <c r="W28" s="78">
        <f t="shared" si="19"/>
        <v>0</v>
      </c>
      <c r="X28" s="78">
        <f t="shared" si="19"/>
        <v>0</v>
      </c>
      <c r="Y28" s="78">
        <f t="shared" si="19"/>
        <v>0</v>
      </c>
      <c r="Z28" s="78">
        <f t="shared" si="19"/>
        <v>0</v>
      </c>
      <c r="AA28" s="78">
        <f t="shared" si="19"/>
        <v>0</v>
      </c>
      <c r="AB28" s="77">
        <f t="shared" si="20"/>
        <v>0</v>
      </c>
      <c r="AC28" s="78">
        <f t="shared" si="20"/>
        <v>0</v>
      </c>
      <c r="AD28" s="78">
        <f t="shared" si="20"/>
        <v>0</v>
      </c>
      <c r="AE28" s="78">
        <f t="shared" si="20"/>
        <v>0</v>
      </c>
      <c r="AF28" s="78">
        <f t="shared" si="20"/>
        <v>0</v>
      </c>
      <c r="AG28" s="78">
        <f t="shared" si="20"/>
        <v>0</v>
      </c>
      <c r="AH28" s="77">
        <f t="shared" ref="AH28:AM35" si="24">IF(AND(AH10&lt;&gt;"",AH10&gt;0),(VLOOKUP(AH$6,$CC$6:$CE$12,3,0)*AH10)/SUM($AH10:$AL10),0)</f>
        <v>0</v>
      </c>
      <c r="AI28" s="78">
        <f t="shared" si="24"/>
        <v>0</v>
      </c>
      <c r="AJ28" s="78">
        <f t="shared" si="24"/>
        <v>0</v>
      </c>
      <c r="AK28" s="78">
        <f t="shared" si="24"/>
        <v>0</v>
      </c>
      <c r="AL28" s="78">
        <f t="shared" si="24"/>
        <v>0</v>
      </c>
      <c r="AM28" s="78">
        <f t="shared" si="24"/>
        <v>0</v>
      </c>
      <c r="AN28" s="77">
        <f t="shared" si="8"/>
        <v>0</v>
      </c>
      <c r="AO28" s="78">
        <f t="shared" si="8"/>
        <v>0</v>
      </c>
      <c r="AP28" s="78">
        <f t="shared" si="8"/>
        <v>0</v>
      </c>
      <c r="AQ28" s="78">
        <f t="shared" si="8"/>
        <v>0</v>
      </c>
      <c r="AR28" s="78">
        <f t="shared" si="8"/>
        <v>0</v>
      </c>
      <c r="AS28" s="78">
        <f t="shared" si="8"/>
        <v>0</v>
      </c>
      <c r="AT28" s="77">
        <f t="shared" si="9"/>
        <v>0</v>
      </c>
      <c r="AU28" s="78">
        <f t="shared" si="9"/>
        <v>0</v>
      </c>
      <c r="AV28" s="78">
        <f t="shared" si="9"/>
        <v>0</v>
      </c>
      <c r="AW28" s="78">
        <f t="shared" si="9"/>
        <v>0</v>
      </c>
      <c r="AX28" s="78">
        <f t="shared" si="9"/>
        <v>0</v>
      </c>
      <c r="AY28" s="78">
        <f t="shared" si="9"/>
        <v>0</v>
      </c>
      <c r="AZ28" s="77">
        <f t="shared" si="10"/>
        <v>0</v>
      </c>
      <c r="BA28" s="78">
        <f t="shared" si="10"/>
        <v>0</v>
      </c>
      <c r="BB28" s="78">
        <f t="shared" si="10"/>
        <v>0</v>
      </c>
      <c r="BC28" s="78">
        <f t="shared" si="10"/>
        <v>0</v>
      </c>
      <c r="BD28" s="78">
        <f t="shared" si="10"/>
        <v>0</v>
      </c>
      <c r="BE28" s="78">
        <f t="shared" si="10"/>
        <v>0</v>
      </c>
      <c r="BF28" s="78">
        <f t="shared" ref="BF28:BK28" si="25">IF(AND(BF10&lt;&gt;"",BF10&gt;0),(VLOOKUP(BF$6,$CC$6:$CE$12,3,0)*BF10)/SUM($BF10:$BJ10),0)</f>
        <v>0</v>
      </c>
      <c r="BG28" s="78">
        <f t="shared" si="25"/>
        <v>0</v>
      </c>
      <c r="BH28" s="78">
        <f t="shared" si="25"/>
        <v>0</v>
      </c>
      <c r="BI28" s="78">
        <f t="shared" si="25"/>
        <v>0</v>
      </c>
      <c r="BJ28" s="78">
        <f t="shared" si="25"/>
        <v>0</v>
      </c>
      <c r="BK28" s="78">
        <f t="shared" si="25"/>
        <v>0</v>
      </c>
      <c r="BL28" s="77">
        <f t="shared" ref="BL28:BN28" si="26">IF(AND(BL10&lt;&gt;"",BL10&gt;0),(VLOOKUP(BL$6,$CC$6:$CE$12,3,0)*BL10)/SUM($BL10:$BP10),0)</f>
        <v>0</v>
      </c>
      <c r="BM28" s="77">
        <f t="shared" si="26"/>
        <v>0</v>
      </c>
      <c r="BN28" s="77">
        <f t="shared" si="26"/>
        <v>0</v>
      </c>
      <c r="BO28" s="77">
        <f>IF(AND(BO10&lt;&gt;"",BO10&gt;0),(VLOOKUP(BO$6,$CC$6:$CE$12,3,0)*BO10)/SUM($BL10:$BP10),0)</f>
        <v>0</v>
      </c>
      <c r="BP28" s="77">
        <f>IF(AND(BP10&lt;&gt;"",BP10&gt;0),(VLOOKUP(BP$6,$CC$6:$CE$12,3,0)*BP10)/SUM($BL10:$BP10),0)</f>
        <v>0</v>
      </c>
      <c r="BQ28" s="77">
        <f>IF(AND(BQ10&lt;&gt;"",BQ10&gt;0),(VLOOKUP(BQ$6,$CC$6:$CE$12,3,0)*BQ10)/SUM($BL10:$BP10),0)</f>
        <v>0</v>
      </c>
      <c r="BR28" s="77">
        <f t="shared" ref="BR28:BW28" si="27">IF(AND(BR10&lt;&gt;"",BR10&gt;0),(VLOOKUP(BR$6,$CC$6:$CE$12,3,0)*BR10)/SUM($BR10:$BV10),0)</f>
        <v>0</v>
      </c>
      <c r="BS28" s="77">
        <f t="shared" si="27"/>
        <v>0</v>
      </c>
      <c r="BT28" s="77">
        <f t="shared" si="27"/>
        <v>0</v>
      </c>
      <c r="BU28" s="77">
        <f t="shared" si="27"/>
        <v>0</v>
      </c>
      <c r="BV28" s="77">
        <f t="shared" si="27"/>
        <v>0</v>
      </c>
      <c r="BW28" s="77">
        <f t="shared" si="27"/>
        <v>0</v>
      </c>
    </row>
    <row r="29" spans="2:75" x14ac:dyDescent="0.3">
      <c r="B29" s="60">
        <v>5</v>
      </c>
      <c r="C29" s="61" t="str">
        <f>C11</f>
        <v>Legal</v>
      </c>
      <c r="D29" s="130">
        <f t="shared" si="14"/>
        <v>58</v>
      </c>
      <c r="E29" s="131">
        <f t="shared" si="14"/>
        <v>51</v>
      </c>
      <c r="F29" s="64">
        <f t="shared" si="15"/>
        <v>0.87931034482758619</v>
      </c>
      <c r="G29" s="63">
        <f t="shared" si="15"/>
        <v>7</v>
      </c>
      <c r="H29" s="64">
        <f t="shared" si="15"/>
        <v>0.1206896551724138</v>
      </c>
      <c r="I29" s="55">
        <f t="shared" si="15"/>
        <v>5</v>
      </c>
      <c r="J29" s="77">
        <f t="shared" si="3"/>
        <v>0</v>
      </c>
      <c r="K29" s="78">
        <f t="shared" si="3"/>
        <v>0</v>
      </c>
      <c r="L29" s="78">
        <f t="shared" si="3"/>
        <v>0</v>
      </c>
      <c r="M29" s="78">
        <f t="shared" si="3"/>
        <v>0</v>
      </c>
      <c r="N29" s="78">
        <f t="shared" si="3"/>
        <v>0</v>
      </c>
      <c r="O29" s="78">
        <f t="shared" si="3"/>
        <v>0</v>
      </c>
      <c r="P29" s="77">
        <f t="shared" si="4"/>
        <v>0</v>
      </c>
      <c r="Q29" s="78">
        <f t="shared" si="4"/>
        <v>0</v>
      </c>
      <c r="R29" s="78">
        <f t="shared" si="4"/>
        <v>0</v>
      </c>
      <c r="S29" s="78">
        <f t="shared" si="4"/>
        <v>0</v>
      </c>
      <c r="T29" s="78">
        <f t="shared" si="4"/>
        <v>0</v>
      </c>
      <c r="U29" s="78">
        <f t="shared" si="4"/>
        <v>0</v>
      </c>
      <c r="V29" s="77">
        <f t="shared" si="19"/>
        <v>0</v>
      </c>
      <c r="W29" s="78">
        <f t="shared" si="19"/>
        <v>0</v>
      </c>
      <c r="X29" s="78">
        <f t="shared" si="19"/>
        <v>0</v>
      </c>
      <c r="Y29" s="78">
        <f t="shared" si="19"/>
        <v>0</v>
      </c>
      <c r="Z29" s="78">
        <f t="shared" si="19"/>
        <v>0</v>
      </c>
      <c r="AA29" s="78">
        <f t="shared" si="19"/>
        <v>0</v>
      </c>
      <c r="AB29" s="77">
        <f t="shared" si="20"/>
        <v>0</v>
      </c>
      <c r="AC29" s="78">
        <f t="shared" si="20"/>
        <v>0</v>
      </c>
      <c r="AD29" s="78">
        <f t="shared" si="20"/>
        <v>0</v>
      </c>
      <c r="AE29" s="78">
        <f t="shared" si="20"/>
        <v>0</v>
      </c>
      <c r="AF29" s="78">
        <f t="shared" si="20"/>
        <v>0</v>
      </c>
      <c r="AG29" s="78">
        <f t="shared" si="20"/>
        <v>0</v>
      </c>
      <c r="AH29" s="77">
        <f t="shared" si="24"/>
        <v>0</v>
      </c>
      <c r="AI29" s="78">
        <f t="shared" si="24"/>
        <v>0</v>
      </c>
      <c r="AJ29" s="78">
        <f t="shared" si="24"/>
        <v>0</v>
      </c>
      <c r="AK29" s="78">
        <f t="shared" si="24"/>
        <v>0</v>
      </c>
      <c r="AL29" s="78">
        <f t="shared" si="24"/>
        <v>0</v>
      </c>
      <c r="AM29" s="78">
        <f t="shared" si="24"/>
        <v>0</v>
      </c>
      <c r="AN29" s="77">
        <f t="shared" si="8"/>
        <v>0</v>
      </c>
      <c r="AO29" s="78">
        <f t="shared" si="8"/>
        <v>0</v>
      </c>
      <c r="AP29" s="78">
        <f t="shared" si="8"/>
        <v>0</v>
      </c>
      <c r="AQ29" s="78">
        <f t="shared" si="8"/>
        <v>0</v>
      </c>
      <c r="AR29" s="78">
        <f t="shared" si="8"/>
        <v>0</v>
      </c>
      <c r="AS29" s="78">
        <f t="shared" si="8"/>
        <v>0</v>
      </c>
      <c r="AT29" s="77">
        <f t="shared" si="9"/>
        <v>0</v>
      </c>
      <c r="AU29" s="78">
        <f t="shared" si="9"/>
        <v>0</v>
      </c>
      <c r="AV29" s="78">
        <f t="shared" si="9"/>
        <v>0</v>
      </c>
      <c r="AW29" s="78">
        <f t="shared" si="9"/>
        <v>0</v>
      </c>
      <c r="AX29" s="78">
        <f t="shared" si="9"/>
        <v>0</v>
      </c>
      <c r="AY29" s="78">
        <f t="shared" si="9"/>
        <v>0</v>
      </c>
      <c r="AZ29" s="77">
        <f t="shared" si="10"/>
        <v>0</v>
      </c>
      <c r="BA29" s="78">
        <f t="shared" si="10"/>
        <v>0</v>
      </c>
      <c r="BB29" s="78">
        <f t="shared" si="10"/>
        <v>0</v>
      </c>
      <c r="BC29" s="78">
        <f t="shared" si="10"/>
        <v>0</v>
      </c>
      <c r="BD29" s="78">
        <f t="shared" si="10"/>
        <v>0</v>
      </c>
      <c r="BE29" s="78">
        <f t="shared" si="10"/>
        <v>0</v>
      </c>
      <c r="BF29" s="78">
        <f t="shared" ref="BF29:BK29" si="28">IF(AND(BF11&lt;&gt;"",BF11&gt;0),(VLOOKUP(BF$6,$CC$6:$CE$12,3,0)*BF11)/SUM($BF11:$BJ11),0)</f>
        <v>0</v>
      </c>
      <c r="BG29" s="78">
        <f t="shared" si="28"/>
        <v>0</v>
      </c>
      <c r="BH29" s="78">
        <f t="shared" si="28"/>
        <v>0</v>
      </c>
      <c r="BI29" s="78">
        <f t="shared" si="28"/>
        <v>0</v>
      </c>
      <c r="BJ29" s="78">
        <f t="shared" si="28"/>
        <v>0</v>
      </c>
      <c r="BK29" s="78">
        <f t="shared" si="28"/>
        <v>0</v>
      </c>
      <c r="BL29" s="77">
        <f t="shared" ref="BL29:BQ29" si="29">IF(AND(BL11&lt;&gt;"",BL11&gt;0),(VLOOKUP(BL$6,$CC$6:$CE$12,3,0)*BL11)/SUM($BL11:$BP11),0)</f>
        <v>0</v>
      </c>
      <c r="BM29" s="77">
        <f t="shared" si="29"/>
        <v>0</v>
      </c>
      <c r="BN29" s="77">
        <f t="shared" si="29"/>
        <v>0</v>
      </c>
      <c r="BO29" s="77">
        <f t="shared" si="29"/>
        <v>0</v>
      </c>
      <c r="BP29" s="77">
        <f t="shared" si="29"/>
        <v>0</v>
      </c>
      <c r="BQ29" s="77">
        <f t="shared" si="29"/>
        <v>0</v>
      </c>
      <c r="BR29" s="77">
        <f t="shared" ref="BR29:BW29" si="30">IF(AND(BR11&lt;&gt;"",BR11&gt;0),(VLOOKUP(BR$6,$CC$6:$CE$12,3,0)*BR11)/SUM($BR11:$BV11),0)</f>
        <v>0</v>
      </c>
      <c r="BS29" s="77">
        <f t="shared" si="30"/>
        <v>0</v>
      </c>
      <c r="BT29" s="77">
        <f t="shared" si="30"/>
        <v>0</v>
      </c>
      <c r="BU29" s="77">
        <f t="shared" si="30"/>
        <v>0</v>
      </c>
      <c r="BV29" s="77">
        <f t="shared" si="30"/>
        <v>0</v>
      </c>
      <c r="BW29" s="77">
        <f t="shared" si="30"/>
        <v>0</v>
      </c>
    </row>
    <row r="30" spans="2:75" x14ac:dyDescent="0.3">
      <c r="B30" s="60">
        <v>6</v>
      </c>
      <c r="C30" s="61" t="str">
        <f t="shared" ref="C30:C35" si="31">C12</f>
        <v>Calidad</v>
      </c>
      <c r="D30" s="130">
        <f>D12</f>
        <v>70</v>
      </c>
      <c r="E30" s="131">
        <f t="shared" ref="E30:E35" si="32">E12</f>
        <v>49</v>
      </c>
      <c r="F30" s="64">
        <f t="shared" si="15"/>
        <v>0.7</v>
      </c>
      <c r="G30" s="63">
        <f t="shared" si="15"/>
        <v>21</v>
      </c>
      <c r="H30" s="64">
        <f t="shared" si="15"/>
        <v>0.3</v>
      </c>
      <c r="I30" s="137">
        <f t="shared" si="15"/>
        <v>9</v>
      </c>
      <c r="J30" s="77">
        <f t="shared" si="3"/>
        <v>0</v>
      </c>
      <c r="K30" s="78">
        <f t="shared" si="3"/>
        <v>0</v>
      </c>
      <c r="L30" s="78">
        <f t="shared" si="3"/>
        <v>0</v>
      </c>
      <c r="M30" s="78">
        <f t="shared" si="3"/>
        <v>0</v>
      </c>
      <c r="N30" s="78">
        <f t="shared" si="3"/>
        <v>0</v>
      </c>
      <c r="O30" s="78">
        <f t="shared" si="3"/>
        <v>0</v>
      </c>
      <c r="P30" s="77">
        <f t="shared" si="4"/>
        <v>0</v>
      </c>
      <c r="Q30" s="78">
        <f t="shared" si="4"/>
        <v>0</v>
      </c>
      <c r="R30" s="78">
        <f t="shared" si="4"/>
        <v>0</v>
      </c>
      <c r="S30" s="78">
        <f t="shared" si="4"/>
        <v>0</v>
      </c>
      <c r="T30" s="78">
        <f t="shared" si="4"/>
        <v>0</v>
      </c>
      <c r="U30" s="78">
        <f t="shared" si="4"/>
        <v>0</v>
      </c>
      <c r="V30" s="77">
        <f t="shared" si="19"/>
        <v>0</v>
      </c>
      <c r="W30" s="78">
        <f t="shared" si="19"/>
        <v>0</v>
      </c>
      <c r="X30" s="78">
        <f t="shared" si="19"/>
        <v>0</v>
      </c>
      <c r="Y30" s="78">
        <f t="shared" si="19"/>
        <v>0</v>
      </c>
      <c r="Z30" s="78">
        <f t="shared" si="19"/>
        <v>0</v>
      </c>
      <c r="AA30" s="78">
        <f t="shared" si="19"/>
        <v>0</v>
      </c>
      <c r="AB30" s="77">
        <f t="shared" si="20"/>
        <v>0</v>
      </c>
      <c r="AC30" s="78">
        <f t="shared" si="20"/>
        <v>0</v>
      </c>
      <c r="AD30" s="78">
        <f t="shared" si="20"/>
        <v>0</v>
      </c>
      <c r="AE30" s="78">
        <f t="shared" si="20"/>
        <v>0</v>
      </c>
      <c r="AF30" s="78">
        <f t="shared" si="20"/>
        <v>0</v>
      </c>
      <c r="AG30" s="78">
        <f t="shared" si="20"/>
        <v>0</v>
      </c>
      <c r="AH30" s="77">
        <f t="shared" si="24"/>
        <v>0</v>
      </c>
      <c r="AI30" s="78">
        <f t="shared" si="24"/>
        <v>0</v>
      </c>
      <c r="AJ30" s="78">
        <f t="shared" si="24"/>
        <v>0</v>
      </c>
      <c r="AK30" s="78">
        <f t="shared" si="24"/>
        <v>0</v>
      </c>
      <c r="AL30" s="78">
        <f t="shared" si="24"/>
        <v>0</v>
      </c>
      <c r="AM30" s="78">
        <f t="shared" si="24"/>
        <v>0</v>
      </c>
      <c r="AN30" s="77">
        <f t="shared" si="8"/>
        <v>0</v>
      </c>
      <c r="AO30" s="78">
        <f t="shared" si="8"/>
        <v>0</v>
      </c>
      <c r="AP30" s="78">
        <f t="shared" si="8"/>
        <v>0</v>
      </c>
      <c r="AQ30" s="78">
        <f>IF(AND(AQ12&lt;&gt;"",AQ12&gt;0),(VLOOKUP(AQ$6,$CC$6:$CE$12,3,0)*AQ12)/SUM($AN12:$AR12),0)</f>
        <v>0</v>
      </c>
      <c r="AR30" s="78">
        <f t="shared" si="8"/>
        <v>0</v>
      </c>
      <c r="AS30" s="78">
        <f t="shared" si="8"/>
        <v>0</v>
      </c>
      <c r="AT30" s="77">
        <f t="shared" si="9"/>
        <v>0</v>
      </c>
      <c r="AU30" s="78">
        <f t="shared" si="9"/>
        <v>0</v>
      </c>
      <c r="AV30" s="78">
        <f t="shared" si="9"/>
        <v>0</v>
      </c>
      <c r="AW30" s="78">
        <f t="shared" si="9"/>
        <v>0</v>
      </c>
      <c r="AX30" s="78">
        <f t="shared" si="9"/>
        <v>0</v>
      </c>
      <c r="AY30" s="78">
        <f t="shared" si="9"/>
        <v>0</v>
      </c>
      <c r="AZ30" s="77">
        <f t="shared" si="10"/>
        <v>0</v>
      </c>
      <c r="BA30" s="78">
        <f t="shared" si="10"/>
        <v>0</v>
      </c>
      <c r="BB30" s="78">
        <f t="shared" si="10"/>
        <v>0</v>
      </c>
      <c r="BC30" s="78">
        <f t="shared" si="10"/>
        <v>0</v>
      </c>
      <c r="BD30" s="78">
        <f t="shared" si="10"/>
        <v>0</v>
      </c>
      <c r="BE30" s="78">
        <f t="shared" si="10"/>
        <v>0</v>
      </c>
      <c r="BF30" s="78">
        <f t="shared" ref="BF30:BK30" si="33">IF(AND(BF12&lt;&gt;"",BF12&gt;0),(VLOOKUP(BF$6,$CC$6:$CE$12,3,0)*BF12)/SUM($BF12:$BJ12),0)</f>
        <v>0</v>
      </c>
      <c r="BG30" s="78">
        <f t="shared" si="33"/>
        <v>0</v>
      </c>
      <c r="BH30" s="78">
        <f t="shared" si="33"/>
        <v>0</v>
      </c>
      <c r="BI30" s="78">
        <f t="shared" si="33"/>
        <v>0</v>
      </c>
      <c r="BJ30" s="78">
        <f>IF(AND(BJ12&lt;&gt;"",BJ12&gt;0),(VLOOKUP(BJ$6,$CC$6:$CE$12,3,0)*BJ12)/SUM($BF12:$BJ12),0)</f>
        <v>0</v>
      </c>
      <c r="BK30" s="78">
        <f t="shared" si="33"/>
        <v>0</v>
      </c>
      <c r="BL30" s="77">
        <f t="shared" ref="BL30:BQ30" si="34">IF(AND(BL12&lt;&gt;"",BL12&gt;0),(VLOOKUP(BL$6,$CC$6:$CE$12,3,0)*BL12)/SUM($BL12:$BP12),0)</f>
        <v>0</v>
      </c>
      <c r="BM30" s="77">
        <f t="shared" si="34"/>
        <v>0</v>
      </c>
      <c r="BN30" s="77">
        <f t="shared" si="34"/>
        <v>0</v>
      </c>
      <c r="BO30" s="77">
        <f t="shared" si="34"/>
        <v>0</v>
      </c>
      <c r="BP30" s="77">
        <f t="shared" si="34"/>
        <v>0</v>
      </c>
      <c r="BQ30" s="77">
        <f t="shared" si="34"/>
        <v>0</v>
      </c>
      <c r="BR30" s="77">
        <f t="shared" ref="BR30:BW30" si="35">IF(AND(BR12&lt;&gt;"",BR12&gt;0),(VLOOKUP(BR$6,$CC$6:$CE$12,3,0)*BR12)/SUM($BR12:$BV12),0)</f>
        <v>0</v>
      </c>
      <c r="BS30" s="77">
        <f t="shared" si="35"/>
        <v>0</v>
      </c>
      <c r="BT30" s="77">
        <f>IF(AND(BT12&lt;&gt;"",BT12&gt;0),(VLOOKUP(BT$6,$CC$6:$CE$12,3,0)*BT12)/SUM($BR12:$BV12),0)</f>
        <v>0</v>
      </c>
      <c r="BU30" s="77">
        <f t="shared" si="35"/>
        <v>0</v>
      </c>
      <c r="BV30" s="77">
        <f t="shared" si="35"/>
        <v>0</v>
      </c>
      <c r="BW30" s="77">
        <f t="shared" si="35"/>
        <v>0</v>
      </c>
    </row>
    <row r="31" spans="2:75" x14ac:dyDescent="0.3">
      <c r="B31" s="60">
        <v>7</v>
      </c>
      <c r="C31" s="61" t="str">
        <f t="shared" si="31"/>
        <v>Administración</v>
      </c>
      <c r="D31" s="130">
        <f t="shared" si="14"/>
        <v>98</v>
      </c>
      <c r="E31" s="131">
        <f t="shared" si="32"/>
        <v>88</v>
      </c>
      <c r="F31" s="64">
        <f t="shared" si="15"/>
        <v>0.89795918367346939</v>
      </c>
      <c r="G31" s="63">
        <f t="shared" si="15"/>
        <v>10</v>
      </c>
      <c r="H31" s="64">
        <f t="shared" si="15"/>
        <v>0.10204081632653061</v>
      </c>
      <c r="I31" s="55">
        <f t="shared" si="15"/>
        <v>4</v>
      </c>
      <c r="J31" s="77">
        <f t="shared" si="3"/>
        <v>0</v>
      </c>
      <c r="K31" s="78">
        <f t="shared" si="3"/>
        <v>0</v>
      </c>
      <c r="L31" s="78">
        <f t="shared" si="3"/>
        <v>0</v>
      </c>
      <c r="M31" s="78">
        <f t="shared" si="3"/>
        <v>0</v>
      </c>
      <c r="N31" s="78">
        <f t="shared" si="3"/>
        <v>0</v>
      </c>
      <c r="O31" s="78">
        <f t="shared" si="3"/>
        <v>0</v>
      </c>
      <c r="P31" s="77">
        <f t="shared" si="4"/>
        <v>0</v>
      </c>
      <c r="Q31" s="78">
        <f t="shared" si="4"/>
        <v>0</v>
      </c>
      <c r="R31" s="78">
        <f t="shared" si="4"/>
        <v>0</v>
      </c>
      <c r="S31" s="78">
        <f t="shared" si="4"/>
        <v>0</v>
      </c>
      <c r="T31" s="78">
        <f t="shared" si="4"/>
        <v>0</v>
      </c>
      <c r="U31" s="78">
        <f>IF(AND(U13&lt;&gt;"",U13&gt;0),(VLOOKUP(U$6,$CC$6:$CE$12,3,0)*U13)/SUM($P13:$T13),0)</f>
        <v>0</v>
      </c>
      <c r="V31" s="77">
        <f t="shared" si="19"/>
        <v>0</v>
      </c>
      <c r="W31" s="78">
        <f t="shared" si="19"/>
        <v>0</v>
      </c>
      <c r="X31" s="78">
        <f t="shared" si="19"/>
        <v>0</v>
      </c>
      <c r="Y31" s="78">
        <f t="shared" si="19"/>
        <v>0</v>
      </c>
      <c r="Z31" s="78">
        <f t="shared" si="19"/>
        <v>0</v>
      </c>
      <c r="AA31" s="78">
        <f t="shared" si="19"/>
        <v>0</v>
      </c>
      <c r="AB31" s="77">
        <f t="shared" si="20"/>
        <v>0</v>
      </c>
      <c r="AC31" s="78">
        <f t="shared" si="20"/>
        <v>0</v>
      </c>
      <c r="AD31" s="78">
        <f t="shared" si="20"/>
        <v>0</v>
      </c>
      <c r="AE31" s="78">
        <f t="shared" si="20"/>
        <v>0</v>
      </c>
      <c r="AF31" s="78">
        <f t="shared" si="20"/>
        <v>0</v>
      </c>
      <c r="AG31" s="78">
        <f t="shared" si="20"/>
        <v>0</v>
      </c>
      <c r="AH31" s="77">
        <f t="shared" si="24"/>
        <v>0</v>
      </c>
      <c r="AI31" s="78">
        <f t="shared" si="24"/>
        <v>0</v>
      </c>
      <c r="AJ31" s="78">
        <f t="shared" si="24"/>
        <v>0</v>
      </c>
      <c r="AK31" s="78">
        <f t="shared" si="24"/>
        <v>0</v>
      </c>
      <c r="AL31" s="78">
        <f t="shared" si="24"/>
        <v>0</v>
      </c>
      <c r="AM31" s="78">
        <f t="shared" si="24"/>
        <v>0</v>
      </c>
      <c r="AN31" s="77">
        <f t="shared" si="8"/>
        <v>0</v>
      </c>
      <c r="AO31" s="78">
        <f t="shared" si="8"/>
        <v>0</v>
      </c>
      <c r="AP31" s="78">
        <f t="shared" si="8"/>
        <v>0</v>
      </c>
      <c r="AQ31" s="78">
        <f t="shared" si="8"/>
        <v>0</v>
      </c>
      <c r="AR31" s="78">
        <f>IF(AND(AR13&lt;&gt;"",AR13&gt;0),(VLOOKUP(AR$6,$CC$6:$CE$12,3,0)*AR13)/SUM($AN13:$AR13),0)</f>
        <v>0</v>
      </c>
      <c r="AS31" s="78">
        <f t="shared" si="8"/>
        <v>0</v>
      </c>
      <c r="AT31" s="77">
        <f t="shared" si="9"/>
        <v>0</v>
      </c>
      <c r="AU31" s="78">
        <f t="shared" si="9"/>
        <v>0</v>
      </c>
      <c r="AV31" s="78">
        <f t="shared" si="9"/>
        <v>0</v>
      </c>
      <c r="AW31" s="78">
        <f t="shared" si="9"/>
        <v>0</v>
      </c>
      <c r="AX31" s="78">
        <f>IF(AND(AX13&lt;&gt;"",AX13&gt;0),(VLOOKUP(AX$6,$CC$6:$CE$12,3,0)*AX13)/SUM($AT13:$AX13),0)</f>
        <v>0</v>
      </c>
      <c r="AY31" s="78">
        <f t="shared" si="9"/>
        <v>0</v>
      </c>
      <c r="AZ31" s="77">
        <f t="shared" si="10"/>
        <v>0</v>
      </c>
      <c r="BA31" s="78">
        <f t="shared" si="10"/>
        <v>0</v>
      </c>
      <c r="BB31" s="78">
        <f t="shared" si="10"/>
        <v>0</v>
      </c>
      <c r="BC31" s="78">
        <f t="shared" si="10"/>
        <v>0</v>
      </c>
      <c r="BD31" s="78">
        <f t="shared" si="10"/>
        <v>0</v>
      </c>
      <c r="BE31" s="78">
        <f t="shared" si="10"/>
        <v>0</v>
      </c>
      <c r="BF31" s="78">
        <f t="shared" ref="BF31:BK31" si="36">IF(AND(BF13&lt;&gt;"",BF13&gt;0),(VLOOKUP(BF$6,$CC$6:$CE$12,3,0)*BF13)/SUM($BF13:$BJ13),0)</f>
        <v>0</v>
      </c>
      <c r="BG31" s="78">
        <f t="shared" si="36"/>
        <v>0</v>
      </c>
      <c r="BH31" s="78">
        <f t="shared" si="36"/>
        <v>0</v>
      </c>
      <c r="BI31" s="78">
        <f t="shared" si="36"/>
        <v>0</v>
      </c>
      <c r="BJ31" s="78">
        <f t="shared" si="36"/>
        <v>0</v>
      </c>
      <c r="BK31" s="78">
        <f t="shared" si="36"/>
        <v>0</v>
      </c>
      <c r="BL31" s="77">
        <f t="shared" ref="BL31:BQ31" si="37">IF(AND(BL13&lt;&gt;"",BL13&gt;0),(VLOOKUP(BL$6,$CC$6:$CE$12,3,0)*BL13)/SUM($BL13:$BP13),0)</f>
        <v>0</v>
      </c>
      <c r="BM31" s="77">
        <f t="shared" si="37"/>
        <v>0</v>
      </c>
      <c r="BN31" s="77">
        <f t="shared" si="37"/>
        <v>0</v>
      </c>
      <c r="BO31" s="77">
        <f t="shared" si="37"/>
        <v>0</v>
      </c>
      <c r="BP31" s="77">
        <f t="shared" si="37"/>
        <v>0</v>
      </c>
      <c r="BQ31" s="77">
        <f t="shared" si="37"/>
        <v>0</v>
      </c>
      <c r="BR31" s="77">
        <f t="shared" ref="BR31:BV31" si="38">IF(AND(BR13&lt;&gt;"",BR13&gt;0),(VLOOKUP(BR$6,$CC$6:$CE$12,3,0)*BR13)/SUM($BR13:$BV13),0)</f>
        <v>0</v>
      </c>
      <c r="BS31" s="77">
        <f t="shared" si="38"/>
        <v>0</v>
      </c>
      <c r="BT31" s="77">
        <f t="shared" si="38"/>
        <v>0</v>
      </c>
      <c r="BU31" s="77">
        <f t="shared" si="38"/>
        <v>0</v>
      </c>
      <c r="BV31" s="77">
        <f t="shared" si="38"/>
        <v>0</v>
      </c>
      <c r="BW31" s="77">
        <f>IF(AND(BW13&lt;&gt;"",BW13&gt;0),(VLOOKUP(BW$6,$CC$6:$CE$12,3,0)*BW13)/SUM($BR13:$BV13),0)</f>
        <v>0</v>
      </c>
    </row>
    <row r="32" spans="2:75" x14ac:dyDescent="0.3">
      <c r="B32" s="60">
        <v>8</v>
      </c>
      <c r="C32" s="61" t="str">
        <f t="shared" si="31"/>
        <v>Contabilidad</v>
      </c>
      <c r="D32" s="130">
        <f t="shared" si="14"/>
        <v>122</v>
      </c>
      <c r="E32" s="131">
        <f t="shared" si="32"/>
        <v>80</v>
      </c>
      <c r="F32" s="64">
        <f t="shared" si="15"/>
        <v>0.65573770491803274</v>
      </c>
      <c r="G32" s="63">
        <f t="shared" si="15"/>
        <v>42</v>
      </c>
      <c r="H32" s="64">
        <f t="shared" si="15"/>
        <v>0.34426229508196721</v>
      </c>
      <c r="I32" s="55">
        <f t="shared" si="15"/>
        <v>5</v>
      </c>
      <c r="J32" s="77">
        <f t="shared" si="3"/>
        <v>0</v>
      </c>
      <c r="K32" s="78">
        <f t="shared" si="3"/>
        <v>0</v>
      </c>
      <c r="L32" s="78">
        <f t="shared" si="3"/>
        <v>0</v>
      </c>
      <c r="M32" s="78">
        <f t="shared" si="3"/>
        <v>0</v>
      </c>
      <c r="N32" s="78">
        <f t="shared" si="3"/>
        <v>0</v>
      </c>
      <c r="O32" s="78">
        <f t="shared" si="3"/>
        <v>0</v>
      </c>
      <c r="P32" s="77">
        <f t="shared" si="4"/>
        <v>0</v>
      </c>
      <c r="Q32" s="78">
        <f t="shared" si="4"/>
        <v>0</v>
      </c>
      <c r="R32" s="78">
        <f t="shared" si="4"/>
        <v>0</v>
      </c>
      <c r="S32" s="78">
        <f t="shared" si="4"/>
        <v>0</v>
      </c>
      <c r="T32" s="78">
        <f t="shared" si="4"/>
        <v>0</v>
      </c>
      <c r="U32" s="78">
        <f t="shared" si="4"/>
        <v>0</v>
      </c>
      <c r="V32" s="77">
        <f t="shared" si="19"/>
        <v>0</v>
      </c>
      <c r="W32" s="78">
        <f t="shared" si="19"/>
        <v>0</v>
      </c>
      <c r="X32" s="78">
        <f t="shared" si="19"/>
        <v>0</v>
      </c>
      <c r="Y32" s="78">
        <f t="shared" si="19"/>
        <v>0</v>
      </c>
      <c r="Z32" s="78">
        <f t="shared" si="19"/>
        <v>0</v>
      </c>
      <c r="AA32" s="78">
        <f t="shared" si="19"/>
        <v>0</v>
      </c>
      <c r="AB32" s="77">
        <f t="shared" si="20"/>
        <v>0</v>
      </c>
      <c r="AC32" s="78">
        <f t="shared" si="20"/>
        <v>0</v>
      </c>
      <c r="AD32" s="78">
        <f t="shared" si="20"/>
        <v>0</v>
      </c>
      <c r="AE32" s="78">
        <f t="shared" si="20"/>
        <v>0</v>
      </c>
      <c r="AF32" s="78">
        <f t="shared" si="20"/>
        <v>0</v>
      </c>
      <c r="AG32" s="78">
        <f t="shared" si="20"/>
        <v>0</v>
      </c>
      <c r="AH32" s="77">
        <f t="shared" si="24"/>
        <v>0</v>
      </c>
      <c r="AI32" s="78">
        <f t="shared" si="24"/>
        <v>0</v>
      </c>
      <c r="AJ32" s="78">
        <f t="shared" si="24"/>
        <v>0</v>
      </c>
      <c r="AK32" s="78">
        <f t="shared" si="24"/>
        <v>0</v>
      </c>
      <c r="AL32" s="78">
        <f t="shared" si="24"/>
        <v>0</v>
      </c>
      <c r="AM32" s="78">
        <f t="shared" si="24"/>
        <v>0</v>
      </c>
      <c r="AN32" s="77">
        <f t="shared" si="8"/>
        <v>0</v>
      </c>
      <c r="AO32" s="78">
        <f t="shared" si="8"/>
        <v>0</v>
      </c>
      <c r="AP32" s="78">
        <f t="shared" si="8"/>
        <v>0</v>
      </c>
      <c r="AQ32" s="78">
        <f t="shared" si="8"/>
        <v>0</v>
      </c>
      <c r="AR32" s="78">
        <f t="shared" si="8"/>
        <v>0</v>
      </c>
      <c r="AS32" s="78">
        <f>IF(AND(AS14&lt;&gt;"",AS14&gt;0),(VLOOKUP(AS$6,$CC$6:$CE$12,3,0)*AS14)/SUM($AN14:$AR14),0)</f>
        <v>0</v>
      </c>
      <c r="AT32" s="77">
        <f t="shared" si="9"/>
        <v>0</v>
      </c>
      <c r="AU32" s="78">
        <f t="shared" si="9"/>
        <v>0</v>
      </c>
      <c r="AV32" s="78">
        <f t="shared" si="9"/>
        <v>0</v>
      </c>
      <c r="AW32" s="78">
        <f t="shared" si="9"/>
        <v>0</v>
      </c>
      <c r="AX32" s="78">
        <f t="shared" si="9"/>
        <v>0</v>
      </c>
      <c r="AY32" s="78">
        <f t="shared" si="9"/>
        <v>0</v>
      </c>
      <c r="AZ32" s="77">
        <f t="shared" si="10"/>
        <v>0</v>
      </c>
      <c r="BA32" s="78">
        <f t="shared" si="10"/>
        <v>0</v>
      </c>
      <c r="BB32" s="78">
        <f t="shared" si="10"/>
        <v>0</v>
      </c>
      <c r="BC32" s="78">
        <f t="shared" si="10"/>
        <v>0</v>
      </c>
      <c r="BD32" s="78">
        <f t="shared" si="10"/>
        <v>0</v>
      </c>
      <c r="BE32" s="78">
        <f t="shared" si="10"/>
        <v>0</v>
      </c>
      <c r="BF32" s="78">
        <f t="shared" ref="BF32:BJ32" si="39">IF(AND(BF14&lt;&gt;"",BF14&gt;0),(VLOOKUP(BF$6,$CC$6:$CE$12,3,0)*BF14)/SUM($BF14:$BJ14),0)</f>
        <v>0</v>
      </c>
      <c r="BG32" s="78">
        <f t="shared" si="39"/>
        <v>0</v>
      </c>
      <c r="BH32" s="78">
        <f t="shared" si="39"/>
        <v>0</v>
      </c>
      <c r="BI32" s="78">
        <f t="shared" si="39"/>
        <v>0</v>
      </c>
      <c r="BJ32" s="78">
        <f t="shared" si="39"/>
        <v>0</v>
      </c>
      <c r="BK32" s="78">
        <f>IF(AND(BK14&lt;&gt;"",BK14&gt;0),(VLOOKUP(BK$6,$CC$6:$CE$12,3,0)*BK14)/SUM($BF14:$BJ14),0)</f>
        <v>0</v>
      </c>
      <c r="BL32" s="77">
        <f t="shared" ref="BL32:BQ32" si="40">IF(AND(BL14&lt;&gt;"",BL14&gt;0),(VLOOKUP(BL$6,$CC$6:$CE$12,3,0)*BL14)/SUM($BL14:$BP14),0)</f>
        <v>0</v>
      </c>
      <c r="BM32" s="77">
        <f t="shared" si="40"/>
        <v>0</v>
      </c>
      <c r="BN32" s="77">
        <f t="shared" si="40"/>
        <v>0</v>
      </c>
      <c r="BO32" s="77">
        <f t="shared" si="40"/>
        <v>0</v>
      </c>
      <c r="BP32" s="77">
        <f t="shared" si="40"/>
        <v>0</v>
      </c>
      <c r="BQ32" s="77">
        <f t="shared" si="40"/>
        <v>0</v>
      </c>
      <c r="BR32" s="77">
        <f t="shared" ref="BR32:BW32" si="41">IF(AND(BR14&lt;&gt;"",BR14&gt;0),(VLOOKUP(BR$6,$CC$6:$CE$12,3,0)*BR14)/SUM($BR14:$BV14),0)</f>
        <v>0</v>
      </c>
      <c r="BS32" s="77">
        <f>IF(AND(BS14&lt;&gt;"",BS14&gt;0),(VLOOKUP(BS$6,$CC$6:$CE$12,3,0)*BS14)/SUM($BR14:$BV14),0)</f>
        <v>0</v>
      </c>
      <c r="BT32" s="77">
        <f t="shared" si="41"/>
        <v>0</v>
      </c>
      <c r="BU32" s="77">
        <f t="shared" si="41"/>
        <v>0</v>
      </c>
      <c r="BV32" s="77">
        <f t="shared" si="41"/>
        <v>0</v>
      </c>
      <c r="BW32" s="77">
        <f t="shared" si="41"/>
        <v>0</v>
      </c>
    </row>
    <row r="33" spans="2:75" x14ac:dyDescent="0.3">
      <c r="B33" s="60">
        <v>9</v>
      </c>
      <c r="C33" s="61" t="str">
        <f t="shared" si="31"/>
        <v>ControlDeGestión</v>
      </c>
      <c r="D33" s="130">
        <f t="shared" si="14"/>
        <v>105</v>
      </c>
      <c r="E33" s="131">
        <f t="shared" si="32"/>
        <v>93</v>
      </c>
      <c r="F33" s="64">
        <f t="shared" si="15"/>
        <v>0.88571428571428568</v>
      </c>
      <c r="G33" s="63">
        <f t="shared" si="15"/>
        <v>12</v>
      </c>
      <c r="H33" s="64">
        <f t="shared" si="15"/>
        <v>0.11428571428571428</v>
      </c>
      <c r="I33" s="137">
        <f t="shared" si="15"/>
        <v>4</v>
      </c>
      <c r="J33" s="77">
        <f t="shared" si="3"/>
        <v>0</v>
      </c>
      <c r="K33" s="78">
        <f t="shared" si="3"/>
        <v>0</v>
      </c>
      <c r="L33" s="78">
        <f t="shared" si="3"/>
        <v>0</v>
      </c>
      <c r="M33" s="78">
        <f t="shared" si="3"/>
        <v>0</v>
      </c>
      <c r="N33" s="78">
        <f t="shared" si="3"/>
        <v>0</v>
      </c>
      <c r="O33" s="78">
        <f t="shared" si="3"/>
        <v>0</v>
      </c>
      <c r="P33" s="77">
        <f t="shared" si="4"/>
        <v>0</v>
      </c>
      <c r="Q33" s="78">
        <f t="shared" si="4"/>
        <v>0</v>
      </c>
      <c r="R33" s="78">
        <f t="shared" si="4"/>
        <v>0</v>
      </c>
      <c r="S33" s="78">
        <f t="shared" si="4"/>
        <v>0</v>
      </c>
      <c r="T33" s="78">
        <f t="shared" si="4"/>
        <v>0</v>
      </c>
      <c r="U33" s="78">
        <f t="shared" si="4"/>
        <v>0</v>
      </c>
      <c r="V33" s="77">
        <f t="shared" si="5"/>
        <v>0</v>
      </c>
      <c r="W33" s="78">
        <f t="shared" si="5"/>
        <v>0</v>
      </c>
      <c r="X33" s="78">
        <f t="shared" si="5"/>
        <v>0</v>
      </c>
      <c r="Y33" s="78">
        <f t="shared" si="5"/>
        <v>0</v>
      </c>
      <c r="Z33" s="78">
        <f t="shared" si="5"/>
        <v>0</v>
      </c>
      <c r="AA33" s="78">
        <f t="shared" si="5"/>
        <v>0</v>
      </c>
      <c r="AB33" s="77">
        <f t="shared" si="20"/>
        <v>0</v>
      </c>
      <c r="AC33" s="78">
        <f t="shared" si="20"/>
        <v>0</v>
      </c>
      <c r="AD33" s="78">
        <f t="shared" si="20"/>
        <v>0</v>
      </c>
      <c r="AE33" s="78">
        <f t="shared" si="20"/>
        <v>0</v>
      </c>
      <c r="AF33" s="78">
        <f t="shared" si="20"/>
        <v>0</v>
      </c>
      <c r="AG33" s="78">
        <f t="shared" si="20"/>
        <v>0</v>
      </c>
      <c r="AH33" s="77">
        <f t="shared" si="24"/>
        <v>0</v>
      </c>
      <c r="AI33" s="78">
        <f t="shared" si="24"/>
        <v>0</v>
      </c>
      <c r="AJ33" s="78">
        <f t="shared" si="24"/>
        <v>0</v>
      </c>
      <c r="AK33" s="78">
        <f t="shared" si="24"/>
        <v>0</v>
      </c>
      <c r="AL33" s="78">
        <f t="shared" si="24"/>
        <v>0</v>
      </c>
      <c r="AM33" s="78">
        <f t="shared" si="24"/>
        <v>0</v>
      </c>
      <c r="AN33" s="77">
        <f t="shared" si="8"/>
        <v>0</v>
      </c>
      <c r="AO33" s="78">
        <f t="shared" si="8"/>
        <v>0</v>
      </c>
      <c r="AP33" s="78">
        <f t="shared" si="8"/>
        <v>0</v>
      </c>
      <c r="AQ33" s="78">
        <f t="shared" si="8"/>
        <v>0</v>
      </c>
      <c r="AR33" s="78">
        <f t="shared" si="8"/>
        <v>0</v>
      </c>
      <c r="AS33" s="78">
        <f t="shared" si="8"/>
        <v>0</v>
      </c>
      <c r="AT33" s="77">
        <f t="shared" si="9"/>
        <v>0</v>
      </c>
      <c r="AU33" s="78">
        <f t="shared" si="9"/>
        <v>0</v>
      </c>
      <c r="AV33" s="78">
        <f t="shared" si="9"/>
        <v>0</v>
      </c>
      <c r="AW33" s="78">
        <f t="shared" si="9"/>
        <v>0</v>
      </c>
      <c r="AX33" s="78">
        <f t="shared" si="9"/>
        <v>0</v>
      </c>
      <c r="AY33" s="78">
        <f t="shared" si="9"/>
        <v>0</v>
      </c>
      <c r="AZ33" s="77">
        <f t="shared" si="10"/>
        <v>0</v>
      </c>
      <c r="BA33" s="78">
        <f t="shared" si="10"/>
        <v>0</v>
      </c>
      <c r="BB33" s="78">
        <f t="shared" si="10"/>
        <v>0</v>
      </c>
      <c r="BC33" s="78">
        <f t="shared" si="10"/>
        <v>0</v>
      </c>
      <c r="BD33" s="78">
        <f t="shared" si="10"/>
        <v>0</v>
      </c>
      <c r="BE33" s="78">
        <f t="shared" si="10"/>
        <v>0</v>
      </c>
      <c r="BF33" s="78">
        <f t="shared" ref="BF33:BK33" si="42">IF(AND(BF15&lt;&gt;"",BF15&gt;0),(VLOOKUP(BF$6,$CC$6:$CE$12,3,0)*BF15)/SUM($BF15:$BJ15),0)</f>
        <v>0</v>
      </c>
      <c r="BG33" s="78">
        <f t="shared" si="42"/>
        <v>0</v>
      </c>
      <c r="BH33" s="78">
        <f t="shared" si="42"/>
        <v>0</v>
      </c>
      <c r="BI33" s="78">
        <f t="shared" si="42"/>
        <v>0</v>
      </c>
      <c r="BJ33" s="78">
        <f>IF(AND(BJ15&lt;&gt;"",BJ15&gt;0),(VLOOKUP(BJ$6,$CC$6:$CE$12,3,0)*BJ15)/SUM($BF15:$BJ15),0)</f>
        <v>0</v>
      </c>
      <c r="BK33" s="78">
        <f t="shared" si="42"/>
        <v>0</v>
      </c>
      <c r="BL33" s="77">
        <f t="shared" ref="BL33:BP33" si="43">IF(AND(BL15&lt;&gt;"",BL15&gt;0),(VLOOKUP(BL$6,$CC$6:$CE$12,3,0)*BL15)/SUM($BL15:$BP15),0)</f>
        <v>0</v>
      </c>
      <c r="BM33" s="77">
        <f t="shared" si="43"/>
        <v>0</v>
      </c>
      <c r="BN33" s="77">
        <f t="shared" si="43"/>
        <v>0</v>
      </c>
      <c r="BO33" s="77">
        <f t="shared" si="43"/>
        <v>0</v>
      </c>
      <c r="BP33" s="77">
        <f t="shared" si="43"/>
        <v>0</v>
      </c>
      <c r="BQ33" s="77">
        <f>IF(AND(BQ15&lt;&gt;"",BQ15&gt;0),(VLOOKUP(BQ$6,$CC$6:$CE$12,3,0)*BQ15)/SUM($BL15:$BP15),0)</f>
        <v>0</v>
      </c>
      <c r="BR33" s="77">
        <f t="shared" ref="BR33:BW33" si="44">IF(AND(BR15&lt;&gt;"",BR15&gt;0),(VLOOKUP(BR$6,$CC$6:$CE$12,3,0)*BR15)/SUM($BR15:$BV15),0)</f>
        <v>0</v>
      </c>
      <c r="BS33" s="77">
        <f t="shared" si="44"/>
        <v>0</v>
      </c>
      <c r="BT33" s="77">
        <f t="shared" si="44"/>
        <v>0</v>
      </c>
      <c r="BU33" s="77">
        <f t="shared" si="44"/>
        <v>0</v>
      </c>
      <c r="BV33" s="77">
        <f t="shared" si="44"/>
        <v>0</v>
      </c>
      <c r="BW33" s="77">
        <f t="shared" si="44"/>
        <v>0</v>
      </c>
    </row>
    <row r="34" spans="2:75" x14ac:dyDescent="0.3">
      <c r="B34" s="60">
        <v>10</v>
      </c>
      <c r="C34" s="61" t="str">
        <f t="shared" si="31"/>
        <v>Compras</v>
      </c>
      <c r="D34" s="130">
        <f t="shared" si="14"/>
        <v>77</v>
      </c>
      <c r="E34" s="131">
        <f t="shared" si="32"/>
        <v>54</v>
      </c>
      <c r="F34" s="64">
        <f t="shared" si="15"/>
        <v>0.70129870129870131</v>
      </c>
      <c r="G34" s="63">
        <f t="shared" si="15"/>
        <v>23</v>
      </c>
      <c r="H34" s="64">
        <f t="shared" si="15"/>
        <v>0.29870129870129869</v>
      </c>
      <c r="I34" s="55">
        <f>I16</f>
        <v>7</v>
      </c>
      <c r="J34" s="77">
        <f t="shared" si="3"/>
        <v>0</v>
      </c>
      <c r="K34" s="78">
        <f t="shared" si="3"/>
        <v>0</v>
      </c>
      <c r="L34" s="78">
        <f t="shared" si="3"/>
        <v>0</v>
      </c>
      <c r="M34" s="78">
        <f t="shared" si="3"/>
        <v>0</v>
      </c>
      <c r="N34" s="78">
        <f t="shared" si="3"/>
        <v>0</v>
      </c>
      <c r="O34" s="78">
        <f t="shared" si="3"/>
        <v>0</v>
      </c>
      <c r="P34" s="77">
        <f t="shared" si="4"/>
        <v>0</v>
      </c>
      <c r="Q34" s="78">
        <f t="shared" si="4"/>
        <v>0</v>
      </c>
      <c r="R34" s="78">
        <f t="shared" si="4"/>
        <v>0</v>
      </c>
      <c r="S34" s="78">
        <f t="shared" si="4"/>
        <v>0</v>
      </c>
      <c r="T34" s="78">
        <f t="shared" si="4"/>
        <v>0</v>
      </c>
      <c r="U34" s="78">
        <f t="shared" si="4"/>
        <v>0</v>
      </c>
      <c r="V34" s="77">
        <f t="shared" si="5"/>
        <v>0</v>
      </c>
      <c r="W34" s="78">
        <f t="shared" si="5"/>
        <v>0</v>
      </c>
      <c r="X34" s="78">
        <f t="shared" si="5"/>
        <v>0</v>
      </c>
      <c r="Y34" s="78">
        <f t="shared" si="5"/>
        <v>0</v>
      </c>
      <c r="Z34" s="78">
        <f t="shared" si="5"/>
        <v>0</v>
      </c>
      <c r="AA34" s="78">
        <f t="shared" si="5"/>
        <v>0</v>
      </c>
      <c r="AB34" s="77">
        <f t="shared" si="20"/>
        <v>0</v>
      </c>
      <c r="AC34" s="78">
        <f t="shared" si="20"/>
        <v>0</v>
      </c>
      <c r="AD34" s="78">
        <f t="shared" si="20"/>
        <v>0</v>
      </c>
      <c r="AE34" s="78">
        <f t="shared" si="20"/>
        <v>0</v>
      </c>
      <c r="AF34" s="78">
        <f t="shared" si="20"/>
        <v>0</v>
      </c>
      <c r="AG34" s="78">
        <f t="shared" si="20"/>
        <v>0</v>
      </c>
      <c r="AH34" s="77">
        <f t="shared" si="24"/>
        <v>0</v>
      </c>
      <c r="AI34" s="78">
        <f t="shared" si="24"/>
        <v>0</v>
      </c>
      <c r="AJ34" s="78">
        <f t="shared" si="24"/>
        <v>0</v>
      </c>
      <c r="AK34" s="78">
        <f t="shared" si="24"/>
        <v>0</v>
      </c>
      <c r="AL34" s="78">
        <f t="shared" si="24"/>
        <v>0</v>
      </c>
      <c r="AM34" s="78">
        <f t="shared" si="24"/>
        <v>0</v>
      </c>
      <c r="AN34" s="77">
        <f t="shared" si="8"/>
        <v>0</v>
      </c>
      <c r="AO34" s="78">
        <f t="shared" si="8"/>
        <v>0</v>
      </c>
      <c r="AP34" s="78">
        <f t="shared" si="8"/>
        <v>0</v>
      </c>
      <c r="AQ34" s="78">
        <f t="shared" si="8"/>
        <v>0</v>
      </c>
      <c r="AR34" s="78">
        <f t="shared" si="8"/>
        <v>0</v>
      </c>
      <c r="AS34" s="78">
        <f t="shared" si="8"/>
        <v>0</v>
      </c>
      <c r="AT34" s="77">
        <f t="shared" si="9"/>
        <v>0</v>
      </c>
      <c r="AU34" s="78">
        <f t="shared" si="9"/>
        <v>0</v>
      </c>
      <c r="AV34" s="78">
        <f t="shared" si="9"/>
        <v>0</v>
      </c>
      <c r="AW34" s="78">
        <f t="shared" si="9"/>
        <v>0</v>
      </c>
      <c r="AX34" s="78">
        <f t="shared" si="9"/>
        <v>0</v>
      </c>
      <c r="AY34" s="78">
        <f t="shared" si="9"/>
        <v>0</v>
      </c>
      <c r="AZ34" s="77">
        <f t="shared" si="10"/>
        <v>0</v>
      </c>
      <c r="BA34" s="78">
        <f t="shared" si="10"/>
        <v>0</v>
      </c>
      <c r="BB34" s="78">
        <f t="shared" si="10"/>
        <v>0</v>
      </c>
      <c r="BC34" s="78">
        <f t="shared" si="10"/>
        <v>0</v>
      </c>
      <c r="BD34" s="78">
        <f t="shared" si="10"/>
        <v>0</v>
      </c>
      <c r="BE34" s="78">
        <f t="shared" si="10"/>
        <v>0</v>
      </c>
      <c r="BF34" s="78">
        <f t="shared" ref="BF34:BK34" si="45">IF(AND(BF16&lt;&gt;"",BF16&gt;0),(VLOOKUP(BF$6,$CC$6:$CE$12,3,0)*BF16)/SUM($BF16:$BJ16),0)</f>
        <v>0</v>
      </c>
      <c r="BG34" s="78">
        <f t="shared" si="45"/>
        <v>0</v>
      </c>
      <c r="BH34" s="78">
        <f>IF(AND(BH16&lt;&gt;"",BH16&gt;0),(VLOOKUP(BH$6,$CC$6:$CE$12,3,0)*BH16)/SUM($BF16:$BJ16),0)</f>
        <v>0</v>
      </c>
      <c r="BI34" s="78">
        <f>IF(AND(BI16&lt;&gt;"",BI16&gt;0),(VLOOKUP(BI$6,$CC$6:$CE$12,3,0)*BI16)/SUM($BF16:$BJ16),0)</f>
        <v>0</v>
      </c>
      <c r="BJ34" s="78">
        <f t="shared" si="45"/>
        <v>0</v>
      </c>
      <c r="BK34" s="78">
        <f t="shared" si="45"/>
        <v>0</v>
      </c>
      <c r="BL34" s="77">
        <f t="shared" ref="BL34:BQ34" si="46">IF(AND(BL16&lt;&gt;"",BL16&gt;0),(VLOOKUP(BL$6,$CC$6:$CE$12,3,0)*BL16)/SUM($BL16:$BP16),0)</f>
        <v>0</v>
      </c>
      <c r="BM34" s="77">
        <f>IF(AND(BM16&lt;&gt;"",BM16&gt;0),(VLOOKUP(BM$6,$CC$6:$CE$12,3,0)*BM16)/SUM($BL16:$BP16),0)</f>
        <v>0</v>
      </c>
      <c r="BN34" s="77">
        <f t="shared" si="46"/>
        <v>0</v>
      </c>
      <c r="BO34" s="77">
        <f t="shared" si="46"/>
        <v>0</v>
      </c>
      <c r="BP34" s="77">
        <f t="shared" si="46"/>
        <v>0</v>
      </c>
      <c r="BQ34" s="77">
        <f t="shared" si="46"/>
        <v>0</v>
      </c>
      <c r="BR34" s="77">
        <f>IF(AND(BR16&lt;&gt;"",BR16&gt;0),(VLOOKUP(BR$6,$CC$6:$CE$12,3,0)*BR16)/SUM($BR16:$BV16),0)</f>
        <v>0</v>
      </c>
      <c r="BS34" s="77">
        <f t="shared" ref="BS34:BW34" si="47">IF(AND(BS16&lt;&gt;"",BS16&gt;0),(VLOOKUP(BS$6,$CC$6:$CE$12,3,0)*BS16)/SUM($BR16:$BV16),0)</f>
        <v>0</v>
      </c>
      <c r="BT34" s="77">
        <f>IF(AND(BT16&lt;&gt;"",BT16&gt;0),(VLOOKUP(BT$6,$CC$6:$CE$12,3,0)*BT16)/SUM($BR16:$BV16),0)</f>
        <v>0</v>
      </c>
      <c r="BU34" s="77">
        <f t="shared" si="47"/>
        <v>0</v>
      </c>
      <c r="BV34" s="77">
        <f t="shared" si="47"/>
        <v>0</v>
      </c>
      <c r="BW34" s="77">
        <f t="shared" si="47"/>
        <v>0</v>
      </c>
    </row>
    <row r="35" spans="2:75" x14ac:dyDescent="0.3">
      <c r="B35" s="65">
        <v>11</v>
      </c>
      <c r="C35" s="61" t="str">
        <f t="shared" si="31"/>
        <v>RiesgosYCumplimiento</v>
      </c>
      <c r="D35" s="130">
        <f t="shared" si="14"/>
        <v>78</v>
      </c>
      <c r="E35" s="131">
        <f t="shared" si="32"/>
        <v>73</v>
      </c>
      <c r="F35" s="67">
        <f t="shared" si="15"/>
        <v>0.9358974358974359</v>
      </c>
      <c r="G35" s="66">
        <f t="shared" si="15"/>
        <v>5</v>
      </c>
      <c r="H35" s="67">
        <f t="shared" si="15"/>
        <v>6.4102564102564097E-2</v>
      </c>
      <c r="I35" s="138">
        <f t="shared" si="15"/>
        <v>3</v>
      </c>
      <c r="J35" s="79">
        <f t="shared" si="3"/>
        <v>0</v>
      </c>
      <c r="K35" s="80">
        <f t="shared" si="3"/>
        <v>0</v>
      </c>
      <c r="L35" s="80">
        <f t="shared" si="3"/>
        <v>0</v>
      </c>
      <c r="M35" s="80">
        <f t="shared" si="3"/>
        <v>0</v>
      </c>
      <c r="N35" s="80">
        <f t="shared" si="3"/>
        <v>0</v>
      </c>
      <c r="O35" s="80">
        <f t="shared" si="3"/>
        <v>0</v>
      </c>
      <c r="P35" s="79">
        <f t="shared" si="4"/>
        <v>0</v>
      </c>
      <c r="Q35" s="80">
        <f t="shared" si="4"/>
        <v>0</v>
      </c>
      <c r="R35" s="80">
        <f t="shared" si="4"/>
        <v>0</v>
      </c>
      <c r="S35" s="80">
        <f t="shared" si="4"/>
        <v>0</v>
      </c>
      <c r="T35" s="80">
        <f t="shared" si="4"/>
        <v>0</v>
      </c>
      <c r="U35" s="81">
        <f t="shared" si="4"/>
        <v>0</v>
      </c>
      <c r="V35" s="79">
        <f t="shared" si="5"/>
        <v>0</v>
      </c>
      <c r="W35" s="80">
        <f t="shared" si="5"/>
        <v>0</v>
      </c>
      <c r="X35" s="80">
        <f t="shared" si="5"/>
        <v>0</v>
      </c>
      <c r="Y35" s="80">
        <f t="shared" si="5"/>
        <v>0</v>
      </c>
      <c r="Z35" s="80">
        <f t="shared" si="5"/>
        <v>0</v>
      </c>
      <c r="AA35" s="81">
        <f t="shared" si="5"/>
        <v>0</v>
      </c>
      <c r="AB35" s="79">
        <f t="shared" si="20"/>
        <v>0</v>
      </c>
      <c r="AC35" s="80">
        <f t="shared" si="20"/>
        <v>0</v>
      </c>
      <c r="AD35" s="80">
        <f t="shared" si="20"/>
        <v>0</v>
      </c>
      <c r="AE35" s="80">
        <f t="shared" si="20"/>
        <v>0</v>
      </c>
      <c r="AF35" s="80">
        <f t="shared" si="20"/>
        <v>0</v>
      </c>
      <c r="AG35" s="81">
        <f t="shared" si="20"/>
        <v>0</v>
      </c>
      <c r="AH35" s="79">
        <f t="shared" si="24"/>
        <v>0</v>
      </c>
      <c r="AI35" s="80">
        <f t="shared" si="24"/>
        <v>0</v>
      </c>
      <c r="AJ35" s="80">
        <f t="shared" si="24"/>
        <v>0</v>
      </c>
      <c r="AK35" s="80">
        <f t="shared" si="24"/>
        <v>0</v>
      </c>
      <c r="AL35" s="80">
        <f t="shared" si="24"/>
        <v>0</v>
      </c>
      <c r="AM35" s="81">
        <f t="shared" si="24"/>
        <v>0</v>
      </c>
      <c r="AN35" s="79">
        <f t="shared" si="8"/>
        <v>0</v>
      </c>
      <c r="AO35" s="80">
        <f t="shared" si="8"/>
        <v>0</v>
      </c>
      <c r="AP35" s="80">
        <f t="shared" si="8"/>
        <v>0</v>
      </c>
      <c r="AQ35" s="80">
        <f t="shared" si="8"/>
        <v>0</v>
      </c>
      <c r="AR35" s="80">
        <f t="shared" si="8"/>
        <v>0</v>
      </c>
      <c r="AS35" s="81">
        <f t="shared" si="8"/>
        <v>0</v>
      </c>
      <c r="AT35" s="79">
        <f t="shared" si="9"/>
        <v>0</v>
      </c>
      <c r="AU35" s="80">
        <f t="shared" si="9"/>
        <v>0</v>
      </c>
      <c r="AV35" s="80">
        <f t="shared" si="9"/>
        <v>0</v>
      </c>
      <c r="AW35" s="80">
        <f t="shared" si="9"/>
        <v>0</v>
      </c>
      <c r="AX35" s="80">
        <f t="shared" si="9"/>
        <v>0</v>
      </c>
      <c r="AY35" s="81">
        <f t="shared" si="9"/>
        <v>0</v>
      </c>
      <c r="AZ35" s="79">
        <f t="shared" si="10"/>
        <v>0</v>
      </c>
      <c r="BA35" s="80">
        <f t="shared" si="10"/>
        <v>0</v>
      </c>
      <c r="BB35" s="80">
        <f t="shared" si="10"/>
        <v>0</v>
      </c>
      <c r="BC35" s="80">
        <f t="shared" si="10"/>
        <v>0</v>
      </c>
      <c r="BD35" s="80">
        <f t="shared" si="10"/>
        <v>0</v>
      </c>
      <c r="BE35" s="81">
        <f t="shared" si="10"/>
        <v>0</v>
      </c>
      <c r="BF35" s="78">
        <f t="shared" ref="BF35:BK35" si="48">IF(AND(BF17&lt;&gt;"",BF17&gt;0),(VLOOKUP(BF$6,$CC$6:$CE$12,3,0)*BF17)/SUM($BF17:$BJ17),0)</f>
        <v>0</v>
      </c>
      <c r="BG35" s="78">
        <f t="shared" si="48"/>
        <v>0</v>
      </c>
      <c r="BH35" s="78">
        <f t="shared" si="48"/>
        <v>0</v>
      </c>
      <c r="BI35" s="78">
        <f t="shared" si="48"/>
        <v>0</v>
      </c>
      <c r="BJ35" s="78">
        <f t="shared" si="48"/>
        <v>0</v>
      </c>
      <c r="BK35" s="78">
        <f t="shared" si="48"/>
        <v>0</v>
      </c>
      <c r="BL35" s="77">
        <f>IF(AND(BL17&lt;&gt;"",BL17&gt;0),(VLOOKUP(BL$6,$CC$6:$CE$12,3,0)*BL17)/SUM($BL17:$BP17),0)</f>
        <v>0</v>
      </c>
      <c r="BM35" s="77">
        <f t="shared" ref="BM35:BQ35" si="49">IF(AND(BM17&lt;&gt;"",BM17&gt;0),(VLOOKUP(BM$6,$CC$6:$CE$12,3,0)*BM17)/SUM($BL17:$BP17),0)</f>
        <v>0</v>
      </c>
      <c r="BN35" s="77">
        <f t="shared" si="49"/>
        <v>0</v>
      </c>
      <c r="BO35" s="77">
        <f t="shared" si="49"/>
        <v>0</v>
      </c>
      <c r="BP35" s="77">
        <f t="shared" si="49"/>
        <v>0</v>
      </c>
      <c r="BQ35" s="77">
        <f t="shared" si="49"/>
        <v>0</v>
      </c>
      <c r="BR35" s="77">
        <f t="shared" ref="BR35:BV35" si="50">IF(AND(BR17&lt;&gt;"",BR17&gt;0),(VLOOKUP(BR$6,$CC$6:$CE$12,3,0)*BR17)/SUM($BR17:$BV17),0)</f>
        <v>0</v>
      </c>
      <c r="BS35" s="77">
        <f t="shared" si="50"/>
        <v>0</v>
      </c>
      <c r="BT35" s="77">
        <f t="shared" si="50"/>
        <v>0</v>
      </c>
      <c r="BU35" s="77">
        <f>IF(AND(BU17&lt;&gt;"",BU17&gt;0),(VLOOKUP(BU$6,$CC$6:$CE$12,3,0)*BU17)/SUM($BR17:$BV17),0)</f>
        <v>0</v>
      </c>
      <c r="BV35" s="77">
        <f t="shared" si="50"/>
        <v>0</v>
      </c>
      <c r="BW35" s="77">
        <f>IF(AND(BW17&lt;&gt;"",BW17&gt;0),(VLOOKUP(BW$6,$CC$6:$CE$12,3,0)*BW17)/SUM($BR17:$BV17),0)</f>
        <v>0</v>
      </c>
    </row>
    <row r="36" spans="2:75" x14ac:dyDescent="0.3">
      <c r="D36" s="71">
        <f>SUM(D25:D35)</f>
        <v>1022</v>
      </c>
      <c r="E36" s="71">
        <f t="shared" si="15"/>
        <v>841</v>
      </c>
      <c r="F36" s="72">
        <f t="shared" si="15"/>
        <v>0.82289628180039143</v>
      </c>
      <c r="G36" s="71">
        <f t="shared" si="15"/>
        <v>181</v>
      </c>
      <c r="H36" s="72">
        <f t="shared" si="15"/>
        <v>0.1771037181996086</v>
      </c>
      <c r="I36" s="71">
        <f t="shared" si="15"/>
        <v>59</v>
      </c>
    </row>
    <row r="37" spans="2:75" x14ac:dyDescent="0.3">
      <c r="D37" s="71"/>
      <c r="E37" s="71"/>
      <c r="F37" s="72"/>
      <c r="G37" s="71"/>
      <c r="H37" s="72"/>
      <c r="I37" s="71"/>
    </row>
    <row r="38" spans="2:75" x14ac:dyDescent="0.3">
      <c r="D38" s="71"/>
      <c r="E38" s="71"/>
      <c r="F38" s="72"/>
      <c r="G38" s="71"/>
      <c r="H38" s="72"/>
      <c r="I38" s="71"/>
      <c r="J38" s="82"/>
    </row>
    <row r="39" spans="2:75" ht="15.6" x14ac:dyDescent="0.3">
      <c r="D39" s="71"/>
      <c r="E39" s="71"/>
      <c r="F39" s="72"/>
      <c r="G39" s="71"/>
      <c r="H39" s="72"/>
      <c r="I39" s="71"/>
      <c r="K39" s="83" t="s">
        <v>502</v>
      </c>
    </row>
    <row r="40" spans="2:75" x14ac:dyDescent="0.3">
      <c r="D40" s="71"/>
      <c r="E40" s="71"/>
      <c r="F40" s="72"/>
      <c r="G40" s="71"/>
      <c r="H40" s="72"/>
      <c r="I40" s="71"/>
    </row>
    <row r="41" spans="2:75" x14ac:dyDescent="0.3">
      <c r="D41" s="71"/>
      <c r="E41" s="71"/>
      <c r="F41" s="72"/>
      <c r="G41" s="71"/>
      <c r="H41" s="72"/>
      <c r="I41" s="71"/>
    </row>
    <row r="42" spans="2:75" x14ac:dyDescent="0.3">
      <c r="U42" s="84"/>
    </row>
    <row r="43" spans="2:75" x14ac:dyDescent="0.3">
      <c r="E43" s="164" t="s">
        <v>474</v>
      </c>
      <c r="F43" s="166" t="s">
        <v>5</v>
      </c>
      <c r="G43" s="167"/>
      <c r="H43" s="167"/>
      <c r="I43" s="168"/>
      <c r="J43" s="172" t="s">
        <v>503</v>
      </c>
      <c r="K43" s="173"/>
      <c r="L43" s="173"/>
      <c r="M43" s="173"/>
      <c r="N43" s="173"/>
      <c r="O43" s="173"/>
      <c r="P43" s="173"/>
      <c r="Q43" s="173"/>
      <c r="R43" s="173"/>
      <c r="S43" s="173"/>
      <c r="T43" s="173"/>
    </row>
    <row r="44" spans="2:75" x14ac:dyDescent="0.3">
      <c r="E44" s="165"/>
      <c r="F44" s="169"/>
      <c r="G44" s="170"/>
      <c r="H44" s="170"/>
      <c r="I44" s="171"/>
      <c r="J44" s="85">
        <v>1</v>
      </c>
      <c r="K44" s="86">
        <v>2</v>
      </c>
      <c r="L44" s="86">
        <v>3</v>
      </c>
      <c r="M44" s="86">
        <v>4</v>
      </c>
      <c r="N44" s="86">
        <v>5</v>
      </c>
      <c r="O44" s="86">
        <v>6</v>
      </c>
      <c r="P44" s="86">
        <v>7</v>
      </c>
      <c r="Q44" s="86">
        <v>8</v>
      </c>
      <c r="R44" s="140">
        <v>9</v>
      </c>
      <c r="S44" s="140">
        <v>10</v>
      </c>
      <c r="T44" s="140">
        <v>11</v>
      </c>
      <c r="U44" s="87" t="s">
        <v>504</v>
      </c>
      <c r="W44" s="87" t="s">
        <v>454</v>
      </c>
    </row>
    <row r="45" spans="2:75" x14ac:dyDescent="0.3">
      <c r="E45" s="51">
        <v>1</v>
      </c>
      <c r="F45" s="88" t="s">
        <v>442</v>
      </c>
      <c r="G45" s="89"/>
      <c r="H45" s="89"/>
      <c r="I45" s="90"/>
      <c r="J45" s="91">
        <f t="shared" ref="J45:J55" si="51">SUM(J25:O25)</f>
        <v>0</v>
      </c>
      <c r="K45" s="91">
        <f t="shared" ref="K45:K55" si="52">SUM(P25:U25)</f>
        <v>0</v>
      </c>
      <c r="L45" s="91">
        <f t="shared" ref="L45:L55" si="53">SUM(V25:AA25)</f>
        <v>0</v>
      </c>
      <c r="M45" s="91">
        <f t="shared" ref="M45:M55" si="54">SUM(AB25:AG25)</f>
        <v>0</v>
      </c>
      <c r="N45" s="91">
        <f t="shared" ref="N45:N55" si="55">SUM(AH25:AM25)</f>
        <v>0</v>
      </c>
      <c r="O45" s="91">
        <f t="shared" ref="O45:O55" si="56">SUM(AN25:AS25)</f>
        <v>0</v>
      </c>
      <c r="P45" s="91">
        <f t="shared" ref="P45:P55" si="57">SUM(AT25:AY25)</f>
        <v>0</v>
      </c>
      <c r="Q45" s="91">
        <f>SUM(AZ25:BE25)</f>
        <v>0</v>
      </c>
      <c r="R45" s="141">
        <f>SUM(BF25:BK25)</f>
        <v>0</v>
      </c>
      <c r="S45" s="141">
        <f>SUM(BL25:BQ25)</f>
        <v>0</v>
      </c>
      <c r="T45" s="141">
        <f>SUM(BR25:BW25)</f>
        <v>0</v>
      </c>
      <c r="U45" s="92">
        <f t="shared" ref="U45:U55" si="58">IFERROR(AVERAGEIF(J45:Q45,"&gt;0",J45:Q45),0)</f>
        <v>0</v>
      </c>
      <c r="V45" s="93"/>
      <c r="W45" s="92">
        <v>4.4600389863547756</v>
      </c>
    </row>
    <row r="46" spans="2:75" x14ac:dyDescent="0.3">
      <c r="E46" s="60">
        <v>2</v>
      </c>
      <c r="F46" s="94" t="s">
        <v>500</v>
      </c>
      <c r="I46" s="95"/>
      <c r="J46" s="96">
        <f t="shared" si="51"/>
        <v>0</v>
      </c>
      <c r="K46" s="96">
        <f t="shared" si="52"/>
        <v>0</v>
      </c>
      <c r="L46" s="96">
        <f t="shared" si="53"/>
        <v>0</v>
      </c>
      <c r="M46" s="96">
        <f t="shared" si="54"/>
        <v>0</v>
      </c>
      <c r="N46" s="96">
        <f t="shared" si="55"/>
        <v>0</v>
      </c>
      <c r="O46" s="96">
        <f t="shared" si="56"/>
        <v>0</v>
      </c>
      <c r="P46" s="96">
        <f t="shared" si="57"/>
        <v>0</v>
      </c>
      <c r="Q46" s="96">
        <f t="shared" ref="Q46:Q55" si="59">SUM(AZ26:BE26)</f>
        <v>0</v>
      </c>
      <c r="R46" s="141">
        <f t="shared" ref="R46:R55" si="60">SUM(BF26:BK26)</f>
        <v>0</v>
      </c>
      <c r="S46" s="141">
        <f t="shared" ref="S46:S55" si="61">SUM(BL26:BQ26)</f>
        <v>0</v>
      </c>
      <c r="T46" s="141">
        <f t="shared" ref="T46:T55" si="62">SUM(BR26:BW26)</f>
        <v>0</v>
      </c>
      <c r="U46" s="97">
        <f t="shared" si="58"/>
        <v>0</v>
      </c>
      <c r="V46" s="93"/>
      <c r="W46" s="98">
        <v>4.1269999999999998</v>
      </c>
    </row>
    <row r="47" spans="2:75" x14ac:dyDescent="0.3">
      <c r="E47" s="60">
        <v>3</v>
      </c>
      <c r="F47" s="94" t="s">
        <v>67</v>
      </c>
      <c r="I47" s="95"/>
      <c r="J47" s="96">
        <f t="shared" si="51"/>
        <v>0</v>
      </c>
      <c r="K47" s="96">
        <f t="shared" si="52"/>
        <v>0</v>
      </c>
      <c r="L47" s="96">
        <f t="shared" si="53"/>
        <v>0</v>
      </c>
      <c r="M47" s="96">
        <f t="shared" si="54"/>
        <v>0</v>
      </c>
      <c r="N47" s="96">
        <f t="shared" si="55"/>
        <v>0</v>
      </c>
      <c r="O47" s="96">
        <f t="shared" si="56"/>
        <v>0</v>
      </c>
      <c r="P47" s="96">
        <f t="shared" si="57"/>
        <v>0</v>
      </c>
      <c r="Q47" s="96">
        <f t="shared" si="59"/>
        <v>0</v>
      </c>
      <c r="R47" s="141">
        <f t="shared" si="60"/>
        <v>0</v>
      </c>
      <c r="S47" s="141">
        <f t="shared" si="61"/>
        <v>0</v>
      </c>
      <c r="T47" s="141">
        <f t="shared" si="62"/>
        <v>0</v>
      </c>
      <c r="U47" s="97">
        <f t="shared" si="58"/>
        <v>0</v>
      </c>
      <c r="V47" s="93"/>
      <c r="W47" s="98">
        <v>4.0410000000000004</v>
      </c>
    </row>
    <row r="48" spans="2:75" x14ac:dyDescent="0.3">
      <c r="E48" s="60">
        <v>4</v>
      </c>
      <c r="F48" s="94" t="s">
        <v>43</v>
      </c>
      <c r="I48" s="95"/>
      <c r="J48" s="96">
        <f t="shared" si="51"/>
        <v>0</v>
      </c>
      <c r="K48" s="96">
        <f t="shared" si="52"/>
        <v>0</v>
      </c>
      <c r="L48" s="96">
        <f t="shared" si="53"/>
        <v>0</v>
      </c>
      <c r="M48" s="96">
        <f t="shared" si="54"/>
        <v>0</v>
      </c>
      <c r="N48" s="96">
        <f t="shared" si="55"/>
        <v>0</v>
      </c>
      <c r="O48" s="96">
        <f t="shared" si="56"/>
        <v>0</v>
      </c>
      <c r="P48" s="96">
        <f t="shared" si="57"/>
        <v>0</v>
      </c>
      <c r="Q48" s="96">
        <f t="shared" si="59"/>
        <v>0</v>
      </c>
      <c r="R48" s="141">
        <f t="shared" si="60"/>
        <v>0</v>
      </c>
      <c r="S48" s="141">
        <f t="shared" si="61"/>
        <v>0</v>
      </c>
      <c r="T48" s="141">
        <f t="shared" si="62"/>
        <v>0</v>
      </c>
      <c r="U48" s="97">
        <f t="shared" si="58"/>
        <v>0</v>
      </c>
      <c r="V48" s="93"/>
      <c r="W48" s="98">
        <v>4.1500000000000004</v>
      </c>
    </row>
    <row r="49" spans="5:25" x14ac:dyDescent="0.3">
      <c r="E49" s="60">
        <v>5</v>
      </c>
      <c r="F49" s="94" t="s">
        <v>37</v>
      </c>
      <c r="I49" s="95"/>
      <c r="J49" s="96">
        <f t="shared" si="51"/>
        <v>0</v>
      </c>
      <c r="K49" s="96">
        <f t="shared" si="52"/>
        <v>0</v>
      </c>
      <c r="L49" s="96">
        <f t="shared" si="53"/>
        <v>0</v>
      </c>
      <c r="M49" s="96">
        <f t="shared" si="54"/>
        <v>0</v>
      </c>
      <c r="N49" s="96">
        <f t="shared" si="55"/>
        <v>0</v>
      </c>
      <c r="O49" s="96">
        <f t="shared" si="56"/>
        <v>0</v>
      </c>
      <c r="P49" s="96">
        <f t="shared" si="57"/>
        <v>0</v>
      </c>
      <c r="Q49" s="96">
        <f t="shared" si="59"/>
        <v>0</v>
      </c>
      <c r="R49" s="141">
        <f>SUM(BF29:BK29)</f>
        <v>0</v>
      </c>
      <c r="S49" s="141">
        <f t="shared" si="61"/>
        <v>0</v>
      </c>
      <c r="T49" s="141">
        <f t="shared" si="62"/>
        <v>0</v>
      </c>
      <c r="U49" s="99">
        <f t="shared" si="58"/>
        <v>0</v>
      </c>
      <c r="V49" s="93"/>
      <c r="W49" s="99">
        <v>4.5289999999999999</v>
      </c>
      <c r="Y49" s="146"/>
    </row>
    <row r="50" spans="5:25" x14ac:dyDescent="0.3">
      <c r="E50" s="60">
        <v>6</v>
      </c>
      <c r="F50" s="94" t="s">
        <v>18</v>
      </c>
      <c r="I50" s="95"/>
      <c r="J50" s="96">
        <f t="shared" si="51"/>
        <v>0</v>
      </c>
      <c r="K50" s="96">
        <f t="shared" si="52"/>
        <v>0</v>
      </c>
      <c r="L50" s="96">
        <f t="shared" si="53"/>
        <v>0</v>
      </c>
      <c r="M50" s="96">
        <f t="shared" si="54"/>
        <v>0</v>
      </c>
      <c r="N50" s="96">
        <f t="shared" si="55"/>
        <v>0</v>
      </c>
      <c r="O50" s="96">
        <f t="shared" si="56"/>
        <v>0</v>
      </c>
      <c r="P50" s="96">
        <f t="shared" si="57"/>
        <v>0</v>
      </c>
      <c r="Q50" s="96">
        <f t="shared" si="59"/>
        <v>0</v>
      </c>
      <c r="R50" s="141">
        <f t="shared" si="60"/>
        <v>0</v>
      </c>
      <c r="S50" s="141">
        <f>SUM(BL30:BQ30)</f>
        <v>0</v>
      </c>
      <c r="T50" s="141">
        <f t="shared" si="62"/>
        <v>0</v>
      </c>
      <c r="U50" s="97">
        <f t="shared" si="58"/>
        <v>0</v>
      </c>
      <c r="V50" s="93"/>
      <c r="W50" s="98">
        <v>4.0529999999999999</v>
      </c>
      <c r="Y50" s="146"/>
    </row>
    <row r="51" spans="5:25" x14ac:dyDescent="0.3">
      <c r="E51" s="60">
        <v>7</v>
      </c>
      <c r="F51" s="94" t="s">
        <v>7</v>
      </c>
      <c r="I51" s="95"/>
      <c r="J51" s="96">
        <f t="shared" si="51"/>
        <v>0</v>
      </c>
      <c r="K51" s="96">
        <f t="shared" si="52"/>
        <v>0</v>
      </c>
      <c r="L51" s="96">
        <f t="shared" si="53"/>
        <v>0</v>
      </c>
      <c r="M51" s="96">
        <f t="shared" si="54"/>
        <v>0</v>
      </c>
      <c r="N51" s="96">
        <f t="shared" si="55"/>
        <v>0</v>
      </c>
      <c r="O51" s="96">
        <f t="shared" si="56"/>
        <v>0</v>
      </c>
      <c r="P51" s="96">
        <f t="shared" si="57"/>
        <v>0</v>
      </c>
      <c r="Q51" s="96">
        <f t="shared" si="59"/>
        <v>0</v>
      </c>
      <c r="R51" s="141">
        <f t="shared" si="60"/>
        <v>0</v>
      </c>
      <c r="S51" s="141">
        <f t="shared" si="61"/>
        <v>0</v>
      </c>
      <c r="T51" s="141">
        <f t="shared" si="62"/>
        <v>0</v>
      </c>
      <c r="U51" s="97">
        <f t="shared" si="58"/>
        <v>0</v>
      </c>
      <c r="V51" s="93"/>
      <c r="W51" s="98">
        <v>4.2709999999999999</v>
      </c>
      <c r="Y51" s="146"/>
    </row>
    <row r="52" spans="5:25" x14ac:dyDescent="0.3">
      <c r="E52" s="60">
        <v>8</v>
      </c>
      <c r="F52" s="94" t="s">
        <v>12</v>
      </c>
      <c r="I52" s="95"/>
      <c r="J52" s="100">
        <f t="shared" si="51"/>
        <v>0</v>
      </c>
      <c r="K52" s="100">
        <f t="shared" si="52"/>
        <v>0</v>
      </c>
      <c r="L52" s="100">
        <f t="shared" si="53"/>
        <v>0</v>
      </c>
      <c r="M52" s="100">
        <f t="shared" si="54"/>
        <v>0</v>
      </c>
      <c r="N52" s="100">
        <f t="shared" si="55"/>
        <v>0</v>
      </c>
      <c r="O52" s="100">
        <f t="shared" si="56"/>
        <v>0</v>
      </c>
      <c r="P52" s="100">
        <f t="shared" si="57"/>
        <v>0</v>
      </c>
      <c r="Q52" s="100">
        <f t="shared" si="59"/>
        <v>0</v>
      </c>
      <c r="R52" s="141">
        <f t="shared" si="60"/>
        <v>0</v>
      </c>
      <c r="S52" s="141">
        <f t="shared" si="61"/>
        <v>0</v>
      </c>
      <c r="T52" s="141">
        <f t="shared" si="62"/>
        <v>0</v>
      </c>
      <c r="U52" s="97">
        <f t="shared" si="58"/>
        <v>0</v>
      </c>
      <c r="V52" s="93"/>
      <c r="W52" s="98">
        <v>4.1929999999999996</v>
      </c>
      <c r="Y52" s="146"/>
    </row>
    <row r="53" spans="5:25" x14ac:dyDescent="0.3">
      <c r="E53" s="60">
        <v>9</v>
      </c>
      <c r="F53" s="94" t="s">
        <v>93</v>
      </c>
      <c r="I53" s="95"/>
      <c r="J53" s="96">
        <f t="shared" si="51"/>
        <v>0</v>
      </c>
      <c r="K53" s="96">
        <f t="shared" si="52"/>
        <v>0</v>
      </c>
      <c r="L53" s="96">
        <f t="shared" si="53"/>
        <v>0</v>
      </c>
      <c r="M53" s="96">
        <f t="shared" si="54"/>
        <v>0</v>
      </c>
      <c r="N53" s="96">
        <f t="shared" si="55"/>
        <v>0</v>
      </c>
      <c r="O53" s="96">
        <f t="shared" si="56"/>
        <v>0</v>
      </c>
      <c r="P53" s="96">
        <f t="shared" si="57"/>
        <v>0</v>
      </c>
      <c r="Q53" s="96">
        <f t="shared" si="59"/>
        <v>0</v>
      </c>
      <c r="R53" s="141">
        <f>SUM(BF33:BK33)</f>
        <v>0</v>
      </c>
      <c r="S53" s="141">
        <f t="shared" si="61"/>
        <v>0</v>
      </c>
      <c r="T53" s="141">
        <f t="shared" si="62"/>
        <v>0</v>
      </c>
      <c r="U53" s="99">
        <f t="shared" si="58"/>
        <v>0</v>
      </c>
      <c r="V53" s="93"/>
      <c r="W53" s="99">
        <v>4.407</v>
      </c>
    </row>
    <row r="54" spans="5:25" x14ac:dyDescent="0.3">
      <c r="E54" s="60">
        <v>10</v>
      </c>
      <c r="F54" s="94" t="s">
        <v>44</v>
      </c>
      <c r="I54" s="95"/>
      <c r="J54" s="96">
        <f t="shared" si="51"/>
        <v>0</v>
      </c>
      <c r="K54" s="96">
        <f t="shared" si="52"/>
        <v>0</v>
      </c>
      <c r="L54" s="96">
        <f t="shared" si="53"/>
        <v>0</v>
      </c>
      <c r="M54" s="96">
        <f t="shared" si="54"/>
        <v>0</v>
      </c>
      <c r="N54" s="96">
        <f t="shared" si="55"/>
        <v>0</v>
      </c>
      <c r="O54" s="96">
        <f t="shared" si="56"/>
        <v>0</v>
      </c>
      <c r="P54" s="96">
        <f t="shared" si="57"/>
        <v>0</v>
      </c>
      <c r="Q54" s="96">
        <f t="shared" si="59"/>
        <v>0</v>
      </c>
      <c r="R54" s="141">
        <f t="shared" si="60"/>
        <v>0</v>
      </c>
      <c r="S54" s="141">
        <f t="shared" si="61"/>
        <v>0</v>
      </c>
      <c r="T54" s="141">
        <f t="shared" si="62"/>
        <v>0</v>
      </c>
      <c r="U54" s="97">
        <f t="shared" si="58"/>
        <v>0</v>
      </c>
      <c r="V54" s="93"/>
      <c r="W54" s="98">
        <v>3.5390000000000001</v>
      </c>
    </row>
    <row r="55" spans="5:25" x14ac:dyDescent="0.3">
      <c r="E55" s="65">
        <v>11</v>
      </c>
      <c r="F55" s="101" t="s">
        <v>29</v>
      </c>
      <c r="G55" s="102"/>
      <c r="H55" s="102"/>
      <c r="I55" s="103"/>
      <c r="J55" s="104">
        <f t="shared" si="51"/>
        <v>0</v>
      </c>
      <c r="K55" s="104">
        <f t="shared" si="52"/>
        <v>0</v>
      </c>
      <c r="L55" s="104">
        <f t="shared" si="53"/>
        <v>0</v>
      </c>
      <c r="M55" s="104">
        <f t="shared" si="54"/>
        <v>0</v>
      </c>
      <c r="N55" s="104">
        <f t="shared" si="55"/>
        <v>0</v>
      </c>
      <c r="O55" s="104">
        <f t="shared" si="56"/>
        <v>0</v>
      </c>
      <c r="P55" s="104">
        <f t="shared" si="57"/>
        <v>0</v>
      </c>
      <c r="Q55" s="104">
        <f t="shared" si="59"/>
        <v>0</v>
      </c>
      <c r="R55" s="141">
        <f t="shared" si="60"/>
        <v>0</v>
      </c>
      <c r="S55" s="141">
        <f t="shared" si="61"/>
        <v>0</v>
      </c>
      <c r="T55" s="141">
        <f t="shared" si="62"/>
        <v>0</v>
      </c>
      <c r="U55" s="105">
        <f t="shared" si="58"/>
        <v>0</v>
      </c>
      <c r="V55" s="93"/>
      <c r="W55" s="106">
        <v>4.2439999999999998</v>
      </c>
    </row>
    <row r="57" spans="5:25" ht="15.6" x14ac:dyDescent="0.3">
      <c r="J57" s="157" t="s">
        <v>489</v>
      </c>
      <c r="K57" s="157"/>
      <c r="L57" s="157"/>
      <c r="O57" s="83"/>
    </row>
    <row r="58" spans="5:25" x14ac:dyDescent="0.3">
      <c r="J58" s="50" t="s">
        <v>497</v>
      </c>
      <c r="K58" s="50" t="s">
        <v>498</v>
      </c>
      <c r="L58" s="50" t="s">
        <v>499</v>
      </c>
    </row>
    <row r="59" spans="5:25" x14ac:dyDescent="0.3">
      <c r="J59" s="58" t="s">
        <v>491</v>
      </c>
      <c r="K59" s="58" t="s">
        <v>471</v>
      </c>
      <c r="L59" s="59">
        <v>1</v>
      </c>
    </row>
    <row r="60" spans="5:25" x14ac:dyDescent="0.3">
      <c r="J60" s="58" t="s">
        <v>492</v>
      </c>
      <c r="K60" s="58" t="s">
        <v>470</v>
      </c>
      <c r="L60" s="59">
        <v>2</v>
      </c>
    </row>
    <row r="61" spans="5:25" x14ac:dyDescent="0.3">
      <c r="J61" s="58" t="s">
        <v>493</v>
      </c>
      <c r="K61" s="58" t="s">
        <v>469</v>
      </c>
      <c r="L61" s="59">
        <v>3</v>
      </c>
    </row>
    <row r="62" spans="5:25" x14ac:dyDescent="0.3">
      <c r="J62" s="58" t="s">
        <v>494</v>
      </c>
      <c r="K62" s="58" t="s">
        <v>467</v>
      </c>
      <c r="L62" s="59">
        <v>4</v>
      </c>
    </row>
    <row r="63" spans="5:25" x14ac:dyDescent="0.3">
      <c r="J63" s="58" t="s">
        <v>495</v>
      </c>
      <c r="K63" s="58" t="s">
        <v>468</v>
      </c>
      <c r="L63" s="59">
        <v>5</v>
      </c>
    </row>
    <row r="64" spans="5:25" x14ac:dyDescent="0.3">
      <c r="J64" s="58" t="s">
        <v>496</v>
      </c>
      <c r="K64" s="58" t="s">
        <v>473</v>
      </c>
      <c r="L64" s="59">
        <v>0</v>
      </c>
    </row>
    <row r="72" spans="10:10" ht="18" x14ac:dyDescent="0.4">
      <c r="J72" t="s">
        <v>505</v>
      </c>
    </row>
  </sheetData>
  <mergeCells count="41">
    <mergeCell ref="BL5:BQ5"/>
    <mergeCell ref="BR5:BW5"/>
    <mergeCell ref="I4:BW4"/>
    <mergeCell ref="BF23:BK23"/>
    <mergeCell ref="BL23:BQ23"/>
    <mergeCell ref="BR23:BW23"/>
    <mergeCell ref="I22:BW22"/>
    <mergeCell ref="AZ23:BE23"/>
    <mergeCell ref="J57:L57"/>
    <mergeCell ref="AB23:AG23"/>
    <mergeCell ref="AH23:AM23"/>
    <mergeCell ref="AN23:AS23"/>
    <mergeCell ref="AT23:AY23"/>
    <mergeCell ref="V23:AA23"/>
    <mergeCell ref="J43:T43"/>
    <mergeCell ref="J23:O23"/>
    <mergeCell ref="P23:U23"/>
    <mergeCell ref="E43:E44"/>
    <mergeCell ref="F43:I44"/>
    <mergeCell ref="B22:B24"/>
    <mergeCell ref="C22:C24"/>
    <mergeCell ref="D22:D24"/>
    <mergeCell ref="E22:H22"/>
    <mergeCell ref="E23:F23"/>
    <mergeCell ref="I23:I24"/>
    <mergeCell ref="CC5:CE5"/>
    <mergeCell ref="B4:B6"/>
    <mergeCell ref="C4:C6"/>
    <mergeCell ref="D4:D6"/>
    <mergeCell ref="E4:H4"/>
    <mergeCell ref="E5:F5"/>
    <mergeCell ref="I5:I6"/>
    <mergeCell ref="J5:O5"/>
    <mergeCell ref="P5:U5"/>
    <mergeCell ref="V5:AA5"/>
    <mergeCell ref="AB5:AG5"/>
    <mergeCell ref="AH5:AM5"/>
    <mergeCell ref="AN5:AS5"/>
    <mergeCell ref="AT5:AY5"/>
    <mergeCell ref="AZ5:BE5"/>
    <mergeCell ref="BF5:BK5"/>
  </mergeCells>
  <conditionalFormatting sqref="J7:BE17">
    <cfRule type="expression" dxfId="16" priority="9">
      <formula>J7=""</formula>
    </cfRule>
  </conditionalFormatting>
  <conditionalFormatting sqref="J25:BE35">
    <cfRule type="expression" dxfId="15" priority="8">
      <formula>J25=0</formula>
    </cfRule>
  </conditionalFormatting>
  <conditionalFormatting sqref="BF7:BK17">
    <cfRule type="expression" dxfId="14" priority="7">
      <formula>BF7=""</formula>
    </cfRule>
  </conditionalFormatting>
  <conditionalFormatting sqref="BL7:BQ17">
    <cfRule type="expression" dxfId="13" priority="6">
      <formula>BL7=""</formula>
    </cfRule>
  </conditionalFormatting>
  <conditionalFormatting sqref="BR7:BW17">
    <cfRule type="expression" dxfId="12" priority="5">
      <formula>BR7=""</formula>
    </cfRule>
  </conditionalFormatting>
  <conditionalFormatting sqref="BL25:BQ35">
    <cfRule type="expression" dxfId="11" priority="3">
      <formula>BL25=0</formula>
    </cfRule>
  </conditionalFormatting>
  <conditionalFormatting sqref="BR25:BW35">
    <cfRule type="expression" dxfId="10" priority="2">
      <formula>BR25=0</formula>
    </cfRule>
  </conditionalFormatting>
  <conditionalFormatting sqref="BF25:BK35">
    <cfRule type="expression" dxfId="9" priority="1">
      <formula>BF25=0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FBA05-6B25-4398-9DBD-2886CBF137E8}">
  <sheetPr codeName="Hoja3"/>
  <dimension ref="B2:CE54"/>
  <sheetViews>
    <sheetView zoomScale="86" workbookViewId="0">
      <selection activeCell="J7" sqref="J7:BL11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8.88671875" bestFit="1" customWidth="1"/>
    <col min="16" max="17" width="7.33203125" bestFit="1" customWidth="1"/>
    <col min="18" max="18" width="8.109375" bestFit="1" customWidth="1"/>
    <col min="19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9" max="59" width="5.6640625" bestFit="1" customWidth="1"/>
    <col min="60" max="60" width="9.5546875" bestFit="1" customWidth="1"/>
    <col min="61" max="61" width="6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58" t="s">
        <v>474</v>
      </c>
      <c r="C4" s="158" t="s">
        <v>5</v>
      </c>
      <c r="D4" s="158" t="s">
        <v>475</v>
      </c>
      <c r="E4" s="157" t="s">
        <v>476</v>
      </c>
      <c r="F4" s="157"/>
      <c r="G4" s="157"/>
      <c r="H4" s="157"/>
      <c r="I4" s="174" t="s">
        <v>477</v>
      </c>
      <c r="J4" s="173"/>
      <c r="K4" s="173"/>
      <c r="L4" s="173"/>
      <c r="M4" s="173"/>
      <c r="N4" s="173"/>
      <c r="O4" s="173"/>
      <c r="P4" s="173"/>
      <c r="Q4" s="173"/>
      <c r="R4" s="173"/>
      <c r="S4" s="173"/>
      <c r="T4" s="173"/>
      <c r="U4" s="173"/>
      <c r="V4" s="173"/>
      <c r="W4" s="173"/>
      <c r="X4" s="173"/>
      <c r="Y4" s="173"/>
      <c r="Z4" s="173"/>
      <c r="AA4" s="173"/>
      <c r="AB4" s="173"/>
      <c r="AC4" s="173"/>
      <c r="AD4" s="173"/>
      <c r="AE4" s="173"/>
      <c r="AF4" s="173"/>
      <c r="AG4" s="173"/>
      <c r="AH4" s="173"/>
      <c r="AI4" s="173"/>
      <c r="AJ4" s="173"/>
      <c r="AK4" s="173"/>
      <c r="AL4" s="173"/>
      <c r="AM4" s="173"/>
      <c r="AN4" s="173"/>
      <c r="AO4" s="173"/>
      <c r="AP4" s="173"/>
      <c r="AQ4" s="173"/>
      <c r="AR4" s="173"/>
      <c r="AS4" s="173"/>
      <c r="AT4" s="173"/>
      <c r="AU4" s="173"/>
      <c r="AV4" s="173"/>
      <c r="AW4" s="173"/>
      <c r="AX4" s="173"/>
      <c r="AY4" s="173"/>
      <c r="AZ4" s="173"/>
      <c r="BA4" s="173"/>
      <c r="BB4" s="173"/>
      <c r="BC4" s="173"/>
      <c r="BD4" s="173"/>
      <c r="BE4" s="173"/>
      <c r="BF4" s="173"/>
      <c r="BG4" s="173"/>
      <c r="BH4" s="173"/>
      <c r="BI4" s="173"/>
      <c r="BJ4" s="173"/>
      <c r="BK4" s="173"/>
      <c r="BL4" s="173"/>
      <c r="BM4" s="173"/>
      <c r="BN4" s="173"/>
      <c r="BO4" s="173"/>
      <c r="BP4" s="173"/>
      <c r="BQ4" s="173"/>
      <c r="BR4" s="173"/>
      <c r="BS4" s="173"/>
      <c r="BT4" s="173"/>
      <c r="BU4" s="173"/>
      <c r="BV4" s="173"/>
      <c r="BW4" s="173"/>
    </row>
    <row r="5" spans="2:83" x14ac:dyDescent="0.3">
      <c r="B5" s="158"/>
      <c r="C5" s="158"/>
      <c r="D5" s="158"/>
      <c r="E5" s="157" t="s">
        <v>478</v>
      </c>
      <c r="F5" s="157"/>
      <c r="G5" s="45" t="s">
        <v>479</v>
      </c>
      <c r="H5" s="45"/>
      <c r="I5" s="160" t="s">
        <v>480</v>
      </c>
      <c r="J5" s="161" t="s">
        <v>481</v>
      </c>
      <c r="K5" s="162"/>
      <c r="L5" s="162"/>
      <c r="M5" s="162"/>
      <c r="N5" s="162"/>
      <c r="O5" s="162"/>
      <c r="P5" s="162" t="s">
        <v>482</v>
      </c>
      <c r="Q5" s="162"/>
      <c r="R5" s="162"/>
      <c r="S5" s="162"/>
      <c r="T5" s="162"/>
      <c r="U5" s="162"/>
      <c r="V5" s="162" t="s">
        <v>483</v>
      </c>
      <c r="W5" s="162"/>
      <c r="X5" s="162"/>
      <c r="Y5" s="162"/>
      <c r="Z5" s="162"/>
      <c r="AA5" s="162"/>
      <c r="AB5" s="162" t="s">
        <v>484</v>
      </c>
      <c r="AC5" s="162"/>
      <c r="AD5" s="162"/>
      <c r="AE5" s="162"/>
      <c r="AF5" s="162"/>
      <c r="AG5" s="162"/>
      <c r="AH5" s="162" t="s">
        <v>485</v>
      </c>
      <c r="AI5" s="162"/>
      <c r="AJ5" s="162"/>
      <c r="AK5" s="162"/>
      <c r="AL5" s="162"/>
      <c r="AM5" s="162"/>
      <c r="AN5" s="162" t="s">
        <v>486</v>
      </c>
      <c r="AO5" s="162"/>
      <c r="AP5" s="162"/>
      <c r="AQ5" s="162"/>
      <c r="AR5" s="162"/>
      <c r="AS5" s="162"/>
      <c r="AT5" s="162" t="s">
        <v>487</v>
      </c>
      <c r="AU5" s="162"/>
      <c r="AV5" s="162"/>
      <c r="AW5" s="162"/>
      <c r="AX5" s="162"/>
      <c r="AY5" s="162"/>
      <c r="AZ5" s="162" t="s">
        <v>488</v>
      </c>
      <c r="BA5" s="162"/>
      <c r="BB5" s="162"/>
      <c r="BC5" s="162"/>
      <c r="BD5" s="162"/>
      <c r="BE5" s="163"/>
      <c r="BF5" s="162" t="s">
        <v>517</v>
      </c>
      <c r="BG5" s="162"/>
      <c r="BH5" s="162"/>
      <c r="BI5" s="162"/>
      <c r="BJ5" s="162"/>
      <c r="BK5" s="163"/>
      <c r="BL5" s="162" t="s">
        <v>518</v>
      </c>
      <c r="BM5" s="162"/>
      <c r="BN5" s="162"/>
      <c r="BO5" s="162"/>
      <c r="BP5" s="162"/>
      <c r="BQ5" s="163"/>
      <c r="BR5" s="162" t="s">
        <v>519</v>
      </c>
      <c r="BS5" s="162"/>
      <c r="BT5" s="162"/>
      <c r="BU5" s="162"/>
      <c r="BV5" s="162"/>
      <c r="BW5" s="163"/>
      <c r="CC5" s="157" t="s">
        <v>489</v>
      </c>
      <c r="CD5" s="157"/>
      <c r="CE5" s="157"/>
    </row>
    <row r="6" spans="2:83" x14ac:dyDescent="0.3">
      <c r="B6" s="159"/>
      <c r="C6" s="159"/>
      <c r="D6" s="159"/>
      <c r="E6" s="46" t="s">
        <v>480</v>
      </c>
      <c r="F6" s="46" t="s">
        <v>490</v>
      </c>
      <c r="G6" s="46" t="s">
        <v>480</v>
      </c>
      <c r="H6" s="46" t="s">
        <v>490</v>
      </c>
      <c r="I6" s="160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132" t="s">
        <v>66</v>
      </c>
      <c r="D7" s="118"/>
      <c r="E7" s="119"/>
      <c r="F7" s="54"/>
      <c r="G7" s="53"/>
      <c r="H7" s="54"/>
      <c r="I7" s="55"/>
      <c r="J7" s="56"/>
      <c r="P7" s="56"/>
      <c r="U7" s="57"/>
      <c r="V7" s="56"/>
      <c r="AA7" s="57"/>
      <c r="AB7" s="56"/>
      <c r="AG7" s="57"/>
      <c r="AH7" s="56"/>
      <c r="AM7" s="57"/>
      <c r="AN7" s="56"/>
      <c r="AS7" s="57"/>
      <c r="AT7" s="56"/>
      <c r="AY7" s="57"/>
      <c r="AZ7" s="56"/>
      <c r="BE7" s="57"/>
      <c r="BF7" s="56"/>
      <c r="BK7" s="57"/>
      <c r="BL7" s="56"/>
      <c r="BQ7" s="57"/>
      <c r="BR7" s="56"/>
      <c r="BW7" s="57"/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s="132" t="s">
        <v>70</v>
      </c>
      <c r="D8" s="62"/>
      <c r="E8" s="63"/>
      <c r="F8" s="64"/>
      <c r="G8" s="63"/>
      <c r="H8" s="64"/>
      <c r="I8" s="55"/>
      <c r="J8" s="56"/>
      <c r="P8" s="56"/>
      <c r="U8" s="57"/>
      <c r="V8" s="56"/>
      <c r="AA8" s="57"/>
      <c r="AB8" s="56"/>
      <c r="AG8" s="57"/>
      <c r="AH8" s="56"/>
      <c r="AM8" s="57"/>
      <c r="AN8" s="56"/>
      <c r="AS8" s="57"/>
      <c r="AT8" s="56"/>
      <c r="AY8" s="57"/>
      <c r="AZ8" s="56"/>
      <c r="BE8" s="57"/>
      <c r="BF8" s="56"/>
      <c r="BK8" s="57"/>
      <c r="BL8" s="56"/>
      <c r="BQ8" s="57"/>
      <c r="BR8" s="56"/>
      <c r="BW8" s="57"/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s="133" t="s">
        <v>62</v>
      </c>
      <c r="D9" s="62"/>
      <c r="E9" s="63"/>
      <c r="F9" s="64"/>
      <c r="G9" s="63"/>
      <c r="H9" s="64"/>
      <c r="I9" s="55"/>
      <c r="J9" s="56"/>
      <c r="P9" s="56"/>
      <c r="U9" s="57"/>
      <c r="V9" s="56"/>
      <c r="AA9" s="57"/>
      <c r="AB9" s="56"/>
      <c r="AG9" s="57"/>
      <c r="AH9" s="56"/>
      <c r="AM9" s="57"/>
      <c r="AN9" s="56"/>
      <c r="AS9" s="57"/>
      <c r="AT9" s="56"/>
      <c r="AY9" s="57"/>
      <c r="AZ9" s="56"/>
      <c r="BE9" s="57"/>
      <c r="BF9" s="56"/>
      <c r="BK9" s="57"/>
      <c r="BL9" s="56"/>
      <c r="BQ9" s="57"/>
      <c r="BR9" s="56"/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s="132" t="s">
        <v>74</v>
      </c>
      <c r="D10" s="62"/>
      <c r="E10" s="63"/>
      <c r="F10" s="64"/>
      <c r="G10" s="63"/>
      <c r="H10" s="64"/>
      <c r="I10" s="55"/>
      <c r="J10" s="56"/>
      <c r="P10" s="56"/>
      <c r="U10" s="57"/>
      <c r="V10" s="56"/>
      <c r="AA10" s="57"/>
      <c r="AB10" s="56"/>
      <c r="AG10" s="57"/>
      <c r="AH10" s="56"/>
      <c r="AM10" s="57"/>
      <c r="AN10" s="56"/>
      <c r="AS10" s="57"/>
      <c r="AT10" s="56"/>
      <c r="AY10" s="57"/>
      <c r="AZ10" s="56"/>
      <c r="BE10" s="57"/>
      <c r="BF10" s="56"/>
      <c r="BK10" s="57"/>
      <c r="BL10" s="56"/>
      <c r="BQ10" s="57"/>
      <c r="BR10" s="56"/>
      <c r="BW10" s="57"/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s="132" t="s">
        <v>89</v>
      </c>
      <c r="D11" s="62"/>
      <c r="E11" s="63"/>
      <c r="F11" s="64"/>
      <c r="G11" s="63"/>
      <c r="H11" s="64"/>
      <c r="I11" s="55"/>
      <c r="J11" s="56"/>
      <c r="P11" s="56"/>
      <c r="U11" s="57"/>
      <c r="V11" s="56"/>
      <c r="AA11" s="57"/>
      <c r="AB11" s="56"/>
      <c r="AG11" s="57"/>
      <c r="AH11" s="56"/>
      <c r="AM11" s="57"/>
      <c r="AN11" s="56"/>
      <c r="AS11" s="57"/>
      <c r="AT11" s="56"/>
      <c r="AY11" s="57"/>
      <c r="AZ11" s="56"/>
      <c r="BE11" s="57"/>
      <c r="BF11" s="56"/>
      <c r="BK11" s="57"/>
      <c r="BL11" s="56"/>
      <c r="BQ11" s="57"/>
      <c r="BR11" s="56"/>
      <c r="BW11" s="57"/>
      <c r="CC11" s="58" t="s">
        <v>495</v>
      </c>
      <c r="CD11" s="58" t="s">
        <v>468</v>
      </c>
      <c r="CE11" s="59">
        <v>5</v>
      </c>
    </row>
    <row r="12" spans="2:83" x14ac:dyDescent="0.3">
      <c r="D12" s="71"/>
      <c r="E12" s="71"/>
      <c r="F12" s="72"/>
      <c r="G12" s="71"/>
      <c r="H12" s="72"/>
      <c r="I12" s="71">
        <f>SUM(I7:I11)</f>
        <v>0</v>
      </c>
      <c r="CC12" s="58" t="s">
        <v>496</v>
      </c>
      <c r="CD12" s="58" t="s">
        <v>473</v>
      </c>
      <c r="CE12" s="59">
        <v>0</v>
      </c>
    </row>
    <row r="13" spans="2:83" x14ac:dyDescent="0.3">
      <c r="D13" s="71"/>
      <c r="E13" s="71"/>
      <c r="F13" s="72"/>
      <c r="G13" s="71"/>
      <c r="H13" s="72"/>
      <c r="I13" s="71"/>
    </row>
    <row r="14" spans="2:83" ht="15.6" x14ac:dyDescent="0.3">
      <c r="B14" s="83" t="s">
        <v>580</v>
      </c>
      <c r="C14" s="74"/>
      <c r="E14" s="72"/>
      <c r="F14" s="72"/>
      <c r="G14" s="72"/>
      <c r="H14" s="72"/>
    </row>
    <row r="16" spans="2:83" x14ac:dyDescent="0.3">
      <c r="B16" s="158" t="s">
        <v>474</v>
      </c>
      <c r="C16" s="158" t="s">
        <v>5</v>
      </c>
      <c r="D16" s="158" t="s">
        <v>475</v>
      </c>
      <c r="E16" s="157" t="s">
        <v>476</v>
      </c>
      <c r="F16" s="157"/>
      <c r="G16" s="157"/>
      <c r="H16" s="157"/>
      <c r="I16" s="174" t="s">
        <v>477</v>
      </c>
      <c r="J16" s="173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  <c r="W16" s="173"/>
      <c r="X16" s="173"/>
      <c r="Y16" s="173"/>
      <c r="Z16" s="173"/>
      <c r="AA16" s="173"/>
      <c r="AB16" s="173"/>
      <c r="AC16" s="173"/>
      <c r="AD16" s="173"/>
      <c r="AE16" s="173"/>
      <c r="AF16" s="173"/>
      <c r="AG16" s="173"/>
      <c r="AH16" s="173"/>
      <c r="AI16" s="173"/>
      <c r="AJ16" s="173"/>
      <c r="AK16" s="173"/>
      <c r="AL16" s="173"/>
      <c r="AM16" s="173"/>
      <c r="AN16" s="173"/>
      <c r="AO16" s="173"/>
      <c r="AP16" s="173"/>
      <c r="AQ16" s="173"/>
      <c r="AR16" s="173"/>
      <c r="AS16" s="173"/>
      <c r="AT16" s="173"/>
      <c r="AU16" s="173"/>
      <c r="AV16" s="173"/>
      <c r="AW16" s="173"/>
      <c r="AX16" s="173"/>
      <c r="AY16" s="173"/>
      <c r="AZ16" s="173"/>
      <c r="BA16" s="173"/>
      <c r="BB16" s="173"/>
      <c r="BC16" s="173"/>
      <c r="BD16" s="173"/>
      <c r="BE16" s="173"/>
      <c r="BF16" s="173"/>
      <c r="BG16" s="173"/>
      <c r="BH16" s="173"/>
      <c r="BI16" s="173"/>
      <c r="BJ16" s="173"/>
      <c r="BK16" s="173"/>
      <c r="BL16" s="173"/>
      <c r="BM16" s="173"/>
      <c r="BN16" s="173"/>
      <c r="BO16" s="173"/>
      <c r="BP16" s="173"/>
      <c r="BQ16" s="173"/>
      <c r="BR16" s="173"/>
      <c r="BS16" s="173"/>
      <c r="BT16" s="173"/>
      <c r="BU16" s="173"/>
      <c r="BV16" s="173"/>
      <c r="BW16" s="173"/>
    </row>
    <row r="17" spans="2:75" x14ac:dyDescent="0.3">
      <c r="B17" s="158"/>
      <c r="C17" s="158"/>
      <c r="D17" s="158"/>
      <c r="E17" s="157" t="s">
        <v>478</v>
      </c>
      <c r="F17" s="157"/>
      <c r="G17" s="45" t="s">
        <v>479</v>
      </c>
      <c r="H17" s="45"/>
      <c r="I17" s="160" t="s">
        <v>480</v>
      </c>
      <c r="J17" s="161" t="s">
        <v>481</v>
      </c>
      <c r="K17" s="162"/>
      <c r="L17" s="162"/>
      <c r="M17" s="162"/>
      <c r="N17" s="162"/>
      <c r="O17" s="162"/>
      <c r="P17" s="162" t="s">
        <v>482</v>
      </c>
      <c r="Q17" s="162"/>
      <c r="R17" s="162"/>
      <c r="S17" s="162"/>
      <c r="T17" s="162"/>
      <c r="U17" s="162"/>
      <c r="V17" s="162" t="s">
        <v>483</v>
      </c>
      <c r="W17" s="162"/>
      <c r="X17" s="162"/>
      <c r="Y17" s="162"/>
      <c r="Z17" s="162"/>
      <c r="AA17" s="162"/>
      <c r="AB17" s="162" t="s">
        <v>484</v>
      </c>
      <c r="AC17" s="162"/>
      <c r="AD17" s="162"/>
      <c r="AE17" s="162"/>
      <c r="AF17" s="162"/>
      <c r="AG17" s="162"/>
      <c r="AH17" s="162" t="s">
        <v>485</v>
      </c>
      <c r="AI17" s="162"/>
      <c r="AJ17" s="162"/>
      <c r="AK17" s="162"/>
      <c r="AL17" s="162"/>
      <c r="AM17" s="162"/>
      <c r="AN17" s="162" t="s">
        <v>486</v>
      </c>
      <c r="AO17" s="162"/>
      <c r="AP17" s="162"/>
      <c r="AQ17" s="162"/>
      <c r="AR17" s="162"/>
      <c r="AS17" s="162"/>
      <c r="AT17" s="162" t="s">
        <v>487</v>
      </c>
      <c r="AU17" s="162"/>
      <c r="AV17" s="162"/>
      <c r="AW17" s="162"/>
      <c r="AX17" s="162"/>
      <c r="AY17" s="162"/>
      <c r="AZ17" s="162" t="s">
        <v>488</v>
      </c>
      <c r="BA17" s="162"/>
      <c r="BB17" s="162"/>
      <c r="BC17" s="162"/>
      <c r="BD17" s="162"/>
      <c r="BE17" s="163"/>
      <c r="BF17" s="162" t="s">
        <v>517</v>
      </c>
      <c r="BG17" s="162"/>
      <c r="BH17" s="162"/>
      <c r="BI17" s="162"/>
      <c r="BJ17" s="162"/>
      <c r="BK17" s="163"/>
      <c r="BL17" s="162" t="s">
        <v>518</v>
      </c>
      <c r="BM17" s="162"/>
      <c r="BN17" s="162"/>
      <c r="BO17" s="162"/>
      <c r="BP17" s="162"/>
      <c r="BQ17" s="163"/>
      <c r="BR17" s="162" t="s">
        <v>519</v>
      </c>
      <c r="BS17" s="162"/>
      <c r="BT17" s="162"/>
      <c r="BU17" s="162"/>
      <c r="BV17" s="162"/>
      <c r="BW17" s="163"/>
    </row>
    <row r="18" spans="2:75" x14ac:dyDescent="0.3">
      <c r="B18" s="159"/>
      <c r="C18" s="159"/>
      <c r="D18" s="159"/>
      <c r="E18" s="46" t="s">
        <v>480</v>
      </c>
      <c r="F18" s="46" t="s">
        <v>490</v>
      </c>
      <c r="G18" s="46" t="s">
        <v>480</v>
      </c>
      <c r="H18" s="46" t="s">
        <v>490</v>
      </c>
      <c r="I18" s="160"/>
      <c r="J18" s="75" t="s">
        <v>491</v>
      </c>
      <c r="K18" s="76" t="s">
        <v>492</v>
      </c>
      <c r="L18" s="76" t="s">
        <v>493</v>
      </c>
      <c r="M18" s="76" t="s">
        <v>494</v>
      </c>
      <c r="N18" s="76" t="s">
        <v>495</v>
      </c>
      <c r="O18" s="76" t="s">
        <v>496</v>
      </c>
      <c r="P18" s="48" t="s">
        <v>491</v>
      </c>
      <c r="Q18" s="48" t="s">
        <v>492</v>
      </c>
      <c r="R18" s="48" t="s">
        <v>493</v>
      </c>
      <c r="S18" s="48" t="s">
        <v>494</v>
      </c>
      <c r="T18" s="48" t="s">
        <v>495</v>
      </c>
      <c r="U18" s="48" t="s">
        <v>496</v>
      </c>
      <c r="V18" s="48" t="s">
        <v>491</v>
      </c>
      <c r="W18" s="48" t="s">
        <v>492</v>
      </c>
      <c r="X18" s="48" t="s">
        <v>493</v>
      </c>
      <c r="Y18" s="48" t="s">
        <v>494</v>
      </c>
      <c r="Z18" s="48" t="s">
        <v>495</v>
      </c>
      <c r="AA18" s="48" t="s">
        <v>496</v>
      </c>
      <c r="AB18" s="48" t="s">
        <v>491</v>
      </c>
      <c r="AC18" s="48" t="s">
        <v>492</v>
      </c>
      <c r="AD18" s="48" t="s">
        <v>493</v>
      </c>
      <c r="AE18" s="48" t="s">
        <v>494</v>
      </c>
      <c r="AF18" s="48" t="s">
        <v>495</v>
      </c>
      <c r="AG18" s="48" t="s">
        <v>496</v>
      </c>
      <c r="AH18" s="48" t="s">
        <v>491</v>
      </c>
      <c r="AI18" s="48" t="s">
        <v>492</v>
      </c>
      <c r="AJ18" s="48" t="s">
        <v>493</v>
      </c>
      <c r="AK18" s="48" t="s">
        <v>494</v>
      </c>
      <c r="AL18" s="48" t="s">
        <v>495</v>
      </c>
      <c r="AM18" s="48" t="s">
        <v>496</v>
      </c>
      <c r="AN18" s="48" t="s">
        <v>491</v>
      </c>
      <c r="AO18" s="48" t="s">
        <v>492</v>
      </c>
      <c r="AP18" s="48" t="s">
        <v>493</v>
      </c>
      <c r="AQ18" s="48" t="s">
        <v>494</v>
      </c>
      <c r="AR18" s="48" t="s">
        <v>495</v>
      </c>
      <c r="AS18" s="48" t="s">
        <v>496</v>
      </c>
      <c r="AT18" s="48" t="s">
        <v>491</v>
      </c>
      <c r="AU18" s="48" t="s">
        <v>492</v>
      </c>
      <c r="AV18" s="48" t="s">
        <v>493</v>
      </c>
      <c r="AW18" s="48" t="s">
        <v>494</v>
      </c>
      <c r="AX18" s="48" t="s">
        <v>495</v>
      </c>
      <c r="AY18" s="48" t="s">
        <v>496</v>
      </c>
      <c r="AZ18" s="48" t="s">
        <v>491</v>
      </c>
      <c r="BA18" s="48" t="s">
        <v>492</v>
      </c>
      <c r="BB18" s="48" t="s">
        <v>493</v>
      </c>
      <c r="BC18" s="48" t="s">
        <v>494</v>
      </c>
      <c r="BD18" s="48" t="s">
        <v>495</v>
      </c>
      <c r="BE18" s="49" t="s">
        <v>496</v>
      </c>
      <c r="BF18" s="48" t="s">
        <v>491</v>
      </c>
      <c r="BG18" s="48" t="s">
        <v>492</v>
      </c>
      <c r="BH18" s="48" t="s">
        <v>493</v>
      </c>
      <c r="BI18" s="48" t="s">
        <v>494</v>
      </c>
      <c r="BJ18" s="48" t="s">
        <v>495</v>
      </c>
      <c r="BK18" s="49" t="s">
        <v>496</v>
      </c>
      <c r="BL18" s="48" t="s">
        <v>491</v>
      </c>
      <c r="BM18" s="48" t="s">
        <v>492</v>
      </c>
      <c r="BN18" s="48" t="s">
        <v>493</v>
      </c>
      <c r="BO18" s="48" t="s">
        <v>494</v>
      </c>
      <c r="BP18" s="48" t="s">
        <v>495</v>
      </c>
      <c r="BQ18" s="49" t="s">
        <v>496</v>
      </c>
      <c r="BR18" s="48" t="s">
        <v>491</v>
      </c>
      <c r="BS18" s="48" t="s">
        <v>492</v>
      </c>
      <c r="BT18" s="48" t="s">
        <v>493</v>
      </c>
      <c r="BU18" s="48" t="s">
        <v>494</v>
      </c>
      <c r="BV18" s="48" t="s">
        <v>495</v>
      </c>
      <c r="BW18" s="49" t="s">
        <v>496</v>
      </c>
    </row>
    <row r="19" spans="2:75" x14ac:dyDescent="0.3">
      <c r="B19" s="51">
        <v>1</v>
      </c>
      <c r="C19" s="132" t="s">
        <v>66</v>
      </c>
      <c r="D19" s="130"/>
      <c r="E19" s="131"/>
      <c r="F19" s="54">
        <f t="shared" ref="F19:I24" si="0">F7</f>
        <v>0</v>
      </c>
      <c r="G19" s="53">
        <f t="shared" si="0"/>
        <v>0</v>
      </c>
      <c r="H19" s="54">
        <f t="shared" si="0"/>
        <v>0</v>
      </c>
      <c r="I19" s="55">
        <f t="shared" si="0"/>
        <v>0</v>
      </c>
      <c r="J19" s="77">
        <f>IF(AND(J7&lt;&gt;"",J7&gt;0),(VLOOKUP(J$6,$CC$6:$CE$11,3,0)*J7)/SUM($J7:$N7),0)</f>
        <v>0</v>
      </c>
      <c r="K19" s="78">
        <f t="shared" ref="J19:L23" si="1">IF(AND(K7&lt;&gt;"",K7&gt;0),(VLOOKUP(K$6,$CC$6:$CE$11,3,0)*K7)/SUM($J7:$N7),0)</f>
        <v>0</v>
      </c>
      <c r="L19" s="78">
        <f t="shared" si="1"/>
        <v>0</v>
      </c>
      <c r="M19" s="78">
        <f>IF(AND(M7&lt;&gt;"",M7&gt;0),(VLOOKUP(M$6,$CC$6:$CE$12,3,0)*M7)/SUM($J7:$N7),0)</f>
        <v>0</v>
      </c>
      <c r="N19" s="78">
        <f>IF(AND(N7&lt;&gt;"",N7&gt;0),(VLOOKUP(N$6,$CC$6:$CE$12,3,0)*N7)/SUM($J7:$N7),0)</f>
        <v>0</v>
      </c>
      <c r="O19" s="78">
        <f>IF(AND(O7&lt;&gt;"",O7&gt;0),(VLOOKUP(O$6,$CC$6:$CE$12,3,0)*O7)/SUM($J7:$N7),0)</f>
        <v>0</v>
      </c>
      <c r="P19" s="77">
        <f t="shared" ref="P19:T23" si="2">IF(AND(P7&lt;&gt;"",P7&gt;0),(VLOOKUP(P$6,$CC$6:$CE$11,3,0)*P7)/SUM($P7:$T7),0)</f>
        <v>0</v>
      </c>
      <c r="Q19" s="78">
        <f t="shared" si="2"/>
        <v>0</v>
      </c>
      <c r="R19" s="78">
        <f t="shared" si="2"/>
        <v>0</v>
      </c>
      <c r="S19" s="78">
        <f t="shared" si="2"/>
        <v>0</v>
      </c>
      <c r="T19" s="78">
        <f t="shared" si="2"/>
        <v>0</v>
      </c>
      <c r="U19" s="78">
        <f t="shared" ref="U19:U23" si="3">IF(AND(U7&lt;&gt;"",U7&gt;0),(VLOOKUP(U$6,$CC$6:$CE$12,3,0)*U7)/SUM($P7:$T7),0)</f>
        <v>0</v>
      </c>
      <c r="V19" s="77">
        <f t="shared" ref="V19:Z23" si="4">IF(AND(V7&lt;&gt;"",V7&gt;0),(VLOOKUP(V$6,$CC$6:$CE$11,3,0)*V7)/SUM($V7:$Z7),0)</f>
        <v>0</v>
      </c>
      <c r="W19" s="78">
        <f t="shared" si="4"/>
        <v>0</v>
      </c>
      <c r="X19" s="78">
        <f t="shared" si="4"/>
        <v>0</v>
      </c>
      <c r="Y19" s="78">
        <f t="shared" si="4"/>
        <v>0</v>
      </c>
      <c r="Z19" s="78">
        <f t="shared" si="4"/>
        <v>0</v>
      </c>
      <c r="AA19" s="78">
        <f>IF(AND(AA7&lt;&gt;"",AA7&gt;0),(VLOOKUP(AA$6,$CC$6:$CE$12,3,0)*AA7)/SUM($V7:$Z7),0)</f>
        <v>0</v>
      </c>
      <c r="AB19" s="77">
        <f t="shared" ref="AB19:AF23" si="5">IF(AND(AB7&lt;&gt;"",AB7&gt;0),(VLOOKUP(AB$6,$CC$6:$CE$11,3,0)*AB7)/SUM($AB7:$AF7),0)</f>
        <v>0</v>
      </c>
      <c r="AC19" s="78">
        <f t="shared" si="5"/>
        <v>0</v>
      </c>
      <c r="AD19" s="78">
        <f t="shared" si="5"/>
        <v>0</v>
      </c>
      <c r="AE19" s="78">
        <f t="shared" si="5"/>
        <v>0</v>
      </c>
      <c r="AF19" s="78">
        <f t="shared" si="5"/>
        <v>0</v>
      </c>
      <c r="AG19" s="78">
        <f>IF(AND(AG7&lt;&gt;"",AG7&gt;0),(VLOOKUP(AG$6,$CC$6:$CE$12,3,0)*AG7)/SUM($AB7:$AF7),0)</f>
        <v>0</v>
      </c>
      <c r="AH19" s="77">
        <f t="shared" ref="AH19:AL23" si="6">IF(AND(AH7&lt;&gt;"",AH7&gt;0),(VLOOKUP(AH$6,$CC$6:$CE$11,3,0)*AH7)/SUM($AH7:$AL7),0)</f>
        <v>0</v>
      </c>
      <c r="AI19" s="78">
        <f t="shared" si="6"/>
        <v>0</v>
      </c>
      <c r="AJ19" s="78">
        <f t="shared" si="6"/>
        <v>0</v>
      </c>
      <c r="AK19" s="78">
        <f t="shared" si="6"/>
        <v>0</v>
      </c>
      <c r="AL19" s="78">
        <f t="shared" si="6"/>
        <v>0</v>
      </c>
      <c r="AM19" s="78">
        <f>IF(AND(AM7&lt;&gt;"",AM7&gt;0),(VLOOKUP(AM$6,$CC$6:$CE$12,3,0)*AM7)/SUM($AH7:$AL7),0)</f>
        <v>0</v>
      </c>
      <c r="AN19" s="77">
        <f t="shared" ref="AN19:AR23" si="7">IF(AND(AN7&lt;&gt;"",AN7&gt;0),(VLOOKUP(AN$6,$CC$6:$CE$11,3,0)*AN7)/SUM($AN7:$AR7),0)</f>
        <v>0</v>
      </c>
      <c r="AO19" s="78">
        <f t="shared" si="7"/>
        <v>0</v>
      </c>
      <c r="AP19" s="78">
        <f t="shared" si="7"/>
        <v>0</v>
      </c>
      <c r="AQ19" s="78">
        <f t="shared" si="7"/>
        <v>0</v>
      </c>
      <c r="AR19" s="78">
        <f t="shared" si="7"/>
        <v>0</v>
      </c>
      <c r="AS19" s="78">
        <f>IF(AND(AS7&lt;&gt;"",AS7&gt;0),(VLOOKUP(AS$6,$CC$6:$CE$12,3,0)*AS7)/SUM($AN7:$AR7),0)</f>
        <v>0</v>
      </c>
      <c r="AT19" s="77">
        <f t="shared" ref="AT19:AX23" si="8">IF(AND(AT7&lt;&gt;"",AT7&gt;0),(VLOOKUP(AT$6,$CC$6:$CE$11,3,0)*AT7)/SUM($AT7:$AX7),0)</f>
        <v>0</v>
      </c>
      <c r="AU19" s="78">
        <f t="shared" si="8"/>
        <v>0</v>
      </c>
      <c r="AV19" s="78">
        <f t="shared" si="8"/>
        <v>0</v>
      </c>
      <c r="AW19" s="78">
        <f t="shared" si="8"/>
        <v>0</v>
      </c>
      <c r="AX19" s="78">
        <f t="shared" si="8"/>
        <v>0</v>
      </c>
      <c r="AY19" s="78">
        <f>IF(AND(AY7&lt;&gt;"",AY7&gt;0),(VLOOKUP(AY$6,$CC$6:$CE$12,3,0)*AY7)/SUM($AT7:$AX7),0)</f>
        <v>0</v>
      </c>
      <c r="AZ19" s="77">
        <f t="shared" ref="AZ19:BD23" si="9">IF(AND(AZ7&lt;&gt;"",AZ7&gt;0),(VLOOKUP(AZ$6,$CC$6:$CE$11,3,0)*AZ7)/SUM($AZ7:$BD7),0)</f>
        <v>0</v>
      </c>
      <c r="BA19" s="78">
        <f t="shared" si="9"/>
        <v>0</v>
      </c>
      <c r="BB19" s="78">
        <f t="shared" si="9"/>
        <v>0</v>
      </c>
      <c r="BC19" s="78">
        <f t="shared" si="9"/>
        <v>0</v>
      </c>
      <c r="BD19" s="78">
        <f t="shared" si="9"/>
        <v>0</v>
      </c>
      <c r="BE19" s="78">
        <f>IF(AND(BE7&lt;&gt;"",BE7&gt;0),(VLOOKUP(BE$6,$CC$6:$CE$12,3,0)*BE7)/SUM($AZ7:$BD7),0)</f>
        <v>0</v>
      </c>
      <c r="BF19" s="78">
        <f>IF(AND(BF7&lt;&gt;"",BF7&gt;0),(VLOOKUP(BF$6,$CC$6:$CE$12,3,0)*BF7)/SUM($BF7:$BJ7),0)</f>
        <v>0</v>
      </c>
      <c r="BG19" s="78">
        <f t="shared" ref="BG19:BJ19" si="10">IF(AND(BG7&lt;&gt;"",BG7&gt;0),(VLOOKUP(BG$6,$CC$6:$CE$12,3,0)*BG7)/SUM($BF7:$BJ7),0)</f>
        <v>0</v>
      </c>
      <c r="BH19" s="78">
        <f t="shared" si="10"/>
        <v>0</v>
      </c>
      <c r="BI19" s="78">
        <f t="shared" si="10"/>
        <v>0</v>
      </c>
      <c r="BJ19" s="78">
        <f t="shared" si="10"/>
        <v>0</v>
      </c>
      <c r="BK19" s="78">
        <f>IF(AND(BK7&lt;&gt;"",BK7&gt;0),(VLOOKUP(BK$6,$CC$6:$CE$12,3,0)*BK7)/SUM($BF7:$BJ7),0)</f>
        <v>0</v>
      </c>
      <c r="BL19" s="78">
        <f>IF(AND(BL7&lt;&gt;"",BL7&gt;0),(VLOOKUP(BL$6,$CC$6:$CE$12,3,0)*BL7)/SUM($BL7:$BP7),0)</f>
        <v>0</v>
      </c>
      <c r="BM19" s="78">
        <f t="shared" ref="BM19:BQ19" si="11">IF(AND(BM7&lt;&gt;"",BM7&gt;0),(VLOOKUP(BM$6,$CC$6:$CE$12,3,0)*BM7)/SUM($BL7:$BP7),0)</f>
        <v>0</v>
      </c>
      <c r="BN19" s="78">
        <f t="shared" si="11"/>
        <v>0</v>
      </c>
      <c r="BO19" s="78">
        <f t="shared" si="11"/>
        <v>0</v>
      </c>
      <c r="BP19" s="78">
        <f t="shared" si="11"/>
        <v>0</v>
      </c>
      <c r="BQ19" s="78">
        <f t="shared" si="11"/>
        <v>0</v>
      </c>
      <c r="BR19" s="78">
        <f>IF(AND(BR7&lt;&gt;"",BR7&gt;0),(VLOOKUP(BR$6,$CC$6:$CE$12,3,0)*BR7)/SUM($BR7:$BV7),0)</f>
        <v>0</v>
      </c>
      <c r="BS19" s="78">
        <f t="shared" ref="BS19:BW19" si="12">IF(AND(BS7&lt;&gt;"",BS7&gt;0),(VLOOKUP(BS$6,$CC$6:$CE$12,3,0)*BS7)/SUM($BR7:$BV7),0)</f>
        <v>0</v>
      </c>
      <c r="BT19" s="78">
        <f t="shared" si="12"/>
        <v>0</v>
      </c>
      <c r="BU19" s="78">
        <f t="shared" si="12"/>
        <v>0</v>
      </c>
      <c r="BV19" s="78">
        <f t="shared" si="12"/>
        <v>0</v>
      </c>
      <c r="BW19" s="78">
        <f t="shared" si="12"/>
        <v>0</v>
      </c>
    </row>
    <row r="20" spans="2:75" x14ac:dyDescent="0.3">
      <c r="B20" s="60">
        <v>2</v>
      </c>
      <c r="C20" s="132" t="s">
        <v>70</v>
      </c>
      <c r="D20" s="62"/>
      <c r="E20" s="63"/>
      <c r="F20" s="64">
        <f t="shared" si="0"/>
        <v>0</v>
      </c>
      <c r="G20" s="63">
        <f t="shared" si="0"/>
        <v>0</v>
      </c>
      <c r="H20" s="64">
        <f t="shared" si="0"/>
        <v>0</v>
      </c>
      <c r="I20" s="55">
        <f t="shared" si="0"/>
        <v>0</v>
      </c>
      <c r="J20" s="77">
        <f t="shared" si="1"/>
        <v>0</v>
      </c>
      <c r="K20" s="78">
        <f t="shared" si="1"/>
        <v>0</v>
      </c>
      <c r="L20" s="78">
        <f t="shared" si="1"/>
        <v>0</v>
      </c>
      <c r="M20" s="78">
        <f>IF(AND(M8&lt;&gt;"",M8&gt;0),(VLOOKUP(M$6,$CC$6:$CE$12,3,0)*M8)/SUM($J8:$N8),0)</f>
        <v>0</v>
      </c>
      <c r="N20" s="78">
        <f t="shared" ref="N20" si="13">IF(AND(N8&lt;&gt;"",N8&gt;0),(VLOOKUP(N$6,$CC$6:$CE$12,3,0)*N8)/SUM($J8:$N8),0)</f>
        <v>0</v>
      </c>
      <c r="O20" s="78">
        <f t="shared" ref="O20:O23" si="14">IF(AND(O8&lt;&gt;"",O8&gt;0),(VLOOKUP(O$6,$CC$6:$CE$12,3,0)*O8)/SUM($J8:$N8),0)</f>
        <v>0</v>
      </c>
      <c r="P20" s="77">
        <f t="shared" si="2"/>
        <v>0</v>
      </c>
      <c r="Q20" s="78">
        <f t="shared" si="2"/>
        <v>0</v>
      </c>
      <c r="R20" s="78">
        <f t="shared" si="2"/>
        <v>0</v>
      </c>
      <c r="S20" s="78">
        <f t="shared" si="2"/>
        <v>0</v>
      </c>
      <c r="T20" s="78">
        <f t="shared" si="2"/>
        <v>0</v>
      </c>
      <c r="U20" s="78">
        <f t="shared" si="3"/>
        <v>0</v>
      </c>
      <c r="V20" s="77">
        <f t="shared" si="4"/>
        <v>0</v>
      </c>
      <c r="W20" s="78">
        <f t="shared" si="4"/>
        <v>0</v>
      </c>
      <c r="X20" s="78">
        <f t="shared" si="4"/>
        <v>0</v>
      </c>
      <c r="Y20" s="78">
        <f t="shared" si="4"/>
        <v>0</v>
      </c>
      <c r="Z20" s="78">
        <f t="shared" si="4"/>
        <v>0</v>
      </c>
      <c r="AA20" s="78">
        <f t="shared" ref="AA20:AA23" si="15">IF(AND(AA8&lt;&gt;"",AA8&gt;0),(VLOOKUP(AA$6,$CC$6:$CE$12,3,0)*AA8)/SUM($V8:$Z8),0)</f>
        <v>0</v>
      </c>
      <c r="AB20" s="77">
        <f t="shared" si="5"/>
        <v>0</v>
      </c>
      <c r="AC20" s="78">
        <f t="shared" si="5"/>
        <v>0</v>
      </c>
      <c r="AD20" s="78">
        <f t="shared" si="5"/>
        <v>0</v>
      </c>
      <c r="AE20" s="78">
        <f t="shared" si="5"/>
        <v>0</v>
      </c>
      <c r="AF20" s="78">
        <f t="shared" si="5"/>
        <v>0</v>
      </c>
      <c r="AG20" s="78">
        <f>IF(AND(AG8&lt;&gt;"",AG8&gt;0),(VLOOKUP(AG$6,$CC$6:$CE$12,3,0)*AG8)/SUM($AB8:$AF8),0)</f>
        <v>0</v>
      </c>
      <c r="AH20" s="77">
        <f t="shared" si="6"/>
        <v>0</v>
      </c>
      <c r="AI20" s="78">
        <f t="shared" si="6"/>
        <v>0</v>
      </c>
      <c r="AJ20" s="78">
        <f t="shared" si="6"/>
        <v>0</v>
      </c>
      <c r="AK20" s="78">
        <f t="shared" si="6"/>
        <v>0</v>
      </c>
      <c r="AL20" s="78">
        <f t="shared" si="6"/>
        <v>0</v>
      </c>
      <c r="AM20" s="78">
        <f t="shared" ref="AM20:AM23" si="16">IF(AND(AM8&lt;&gt;"",AM8&gt;0),(VLOOKUP(AM$6,$CC$6:$CE$12,3,0)*AM8)/SUM($AH8:$AL8),0)</f>
        <v>0</v>
      </c>
      <c r="AN20" s="77">
        <f t="shared" si="7"/>
        <v>0</v>
      </c>
      <c r="AO20" s="78">
        <f t="shared" si="7"/>
        <v>0</v>
      </c>
      <c r="AP20" s="78">
        <f t="shared" si="7"/>
        <v>0</v>
      </c>
      <c r="AQ20" s="78">
        <f t="shared" si="7"/>
        <v>0</v>
      </c>
      <c r="AR20" s="78">
        <f t="shared" si="7"/>
        <v>0</v>
      </c>
      <c r="AS20" s="78">
        <f t="shared" ref="AS20:AS23" si="17">IF(AND(AS8&lt;&gt;"",AS8&gt;0),(VLOOKUP(AS$6,$CC$6:$CE$12,3,0)*AS8)/SUM($AN8:$AR8),0)</f>
        <v>0</v>
      </c>
      <c r="AT20" s="77">
        <f t="shared" si="8"/>
        <v>0</v>
      </c>
      <c r="AU20" s="78">
        <f t="shared" si="8"/>
        <v>0</v>
      </c>
      <c r="AV20" s="78">
        <f>IF(AND(AV8&lt;&gt;"",AV8&gt;0),(VLOOKUP(AV$6,$CC$6:$CE$11,3,0)*AV8)/SUM($AT8:$AX8),0)</f>
        <v>0</v>
      </c>
      <c r="AW20" s="78">
        <f t="shared" si="8"/>
        <v>0</v>
      </c>
      <c r="AX20" s="78">
        <f>IF(AND(AX8&lt;&gt;"",AX8&gt;0),(VLOOKUP(AX$6,$CC$6:$CE$11,3,0)*AX8)/SUM($AT8:$AX8),0)</f>
        <v>0</v>
      </c>
      <c r="AY20" s="78">
        <f t="shared" ref="AY20:AY22" si="18">IF(AND(AY8&lt;&gt;"",AY8&gt;0),(VLOOKUP(AY$6,$CC$6:$CE$12,3,0)*AY8)/SUM($AT8:$AX8),0)</f>
        <v>0</v>
      </c>
      <c r="AZ20" s="77">
        <f>IF(AND(AZ8&lt;&gt;"",AZ8&gt;0),(VLOOKUP(AZ$6,$CC$6:$CE$11,3,0)*AZ8)/SUM($AZ8:$BD8),0)</f>
        <v>0</v>
      </c>
      <c r="BA20" s="78">
        <f t="shared" si="9"/>
        <v>0</v>
      </c>
      <c r="BB20" s="78">
        <f t="shared" si="9"/>
        <v>0</v>
      </c>
      <c r="BC20" s="78">
        <f t="shared" si="9"/>
        <v>0</v>
      </c>
      <c r="BD20" s="78">
        <f t="shared" si="9"/>
        <v>0</v>
      </c>
      <c r="BE20" s="78">
        <f t="shared" ref="BE20:BE23" si="19">IF(AND(BE8&lt;&gt;"",BE8&gt;0),(VLOOKUP(BE$6,$CC$6:$CE$12,3,0)*BE8)/SUM($AZ8:$BD8),0)</f>
        <v>0</v>
      </c>
      <c r="BF20" s="78">
        <f t="shared" ref="BF20:BK23" si="20">IF(AND(BF8&lt;&gt;"",BF8&gt;0),(VLOOKUP(BF$6,$CC$6:$CE$12,3,0)*BF8)/SUM($BF8:$BJ8),0)</f>
        <v>0</v>
      </c>
      <c r="BG20" s="78">
        <f t="shared" si="20"/>
        <v>0</v>
      </c>
      <c r="BH20" s="78">
        <f t="shared" si="20"/>
        <v>0</v>
      </c>
      <c r="BI20" s="78">
        <f t="shared" si="20"/>
        <v>0</v>
      </c>
      <c r="BJ20" s="78">
        <f>IF(AND(BJ8&lt;&gt;"",BJ8&gt;0),(VLOOKUP(BJ$6,$CC$6:$CE$12,3,0)*BJ8)/SUM($BF8:$BJ8),0)</f>
        <v>0</v>
      </c>
      <c r="BK20" s="78">
        <f t="shared" si="20"/>
        <v>0</v>
      </c>
      <c r="BL20" s="78">
        <f t="shared" ref="BL20:BQ20" si="21">IF(AND(BL8&lt;&gt;"",BL8&gt;0),(VLOOKUP(BL$6,$CC$6:$CE$12,3,0)*BL8)/SUM($BL8:$BP8),0)</f>
        <v>0</v>
      </c>
      <c r="BM20" s="78">
        <f>IF(AND(BM8&lt;&gt;"",BM8&gt;0),(VLOOKUP(BM$6,$CC$6:$CE$12,3,0)*BM8)/SUM($BL8:$BP8),0)</f>
        <v>0</v>
      </c>
      <c r="BN20" s="78">
        <f t="shared" si="21"/>
        <v>0</v>
      </c>
      <c r="BO20" s="78">
        <f t="shared" si="21"/>
        <v>0</v>
      </c>
      <c r="BP20" s="78">
        <f>IF(AND(BP8&lt;&gt;"",BP8&gt;0),(VLOOKUP(BP$6,$CC$6:$CE$12,3,0)*BP8)/SUM($BL8:$BP8),0)</f>
        <v>0</v>
      </c>
      <c r="BQ20" s="78">
        <f t="shared" si="21"/>
        <v>0</v>
      </c>
      <c r="BR20" s="78">
        <f t="shared" ref="BR20:BW20" si="22">IF(AND(BR8&lt;&gt;"",BR8&gt;0),(VLOOKUP(BR$6,$CC$6:$CE$12,3,0)*BR8)/SUM($BR8:$BV8),0)</f>
        <v>0</v>
      </c>
      <c r="BS20" s="78">
        <f t="shared" si="22"/>
        <v>0</v>
      </c>
      <c r="BT20" s="78">
        <f t="shared" si="22"/>
        <v>0</v>
      </c>
      <c r="BU20" s="78">
        <f t="shared" si="22"/>
        <v>0</v>
      </c>
      <c r="BV20" s="78">
        <f t="shared" si="22"/>
        <v>0</v>
      </c>
      <c r="BW20" s="78">
        <f t="shared" si="22"/>
        <v>0</v>
      </c>
    </row>
    <row r="21" spans="2:75" x14ac:dyDescent="0.3">
      <c r="B21" s="60">
        <v>3</v>
      </c>
      <c r="C21" s="133" t="s">
        <v>62</v>
      </c>
      <c r="D21" s="62"/>
      <c r="E21" s="63"/>
      <c r="F21" s="64">
        <f t="shared" si="0"/>
        <v>0</v>
      </c>
      <c r="G21" s="63">
        <f t="shared" si="0"/>
        <v>0</v>
      </c>
      <c r="H21" s="64">
        <f t="shared" si="0"/>
        <v>0</v>
      </c>
      <c r="I21" s="55">
        <f t="shared" si="0"/>
        <v>0</v>
      </c>
      <c r="J21" s="77">
        <f t="shared" si="1"/>
        <v>0</v>
      </c>
      <c r="K21" s="78">
        <f t="shared" si="1"/>
        <v>0</v>
      </c>
      <c r="L21" s="78">
        <f t="shared" si="1"/>
        <v>0</v>
      </c>
      <c r="M21" s="78">
        <f t="shared" ref="M21:N21" si="23">IF(AND(M9&lt;&gt;"",M9&gt;0),(VLOOKUP(M$6,$CC$6:$CE$12,3,0)*M9)/SUM($J9:$N9),0)</f>
        <v>0</v>
      </c>
      <c r="N21" s="78">
        <f t="shared" si="23"/>
        <v>0</v>
      </c>
      <c r="O21" s="78">
        <f>IF(AND(O9&lt;&gt;"",O9&gt;0),(VLOOKUP(O$6,$CC$6:$CE$12,3,0)*O9)/SUM($J9:$N9),0)</f>
        <v>0</v>
      </c>
      <c r="P21" s="77">
        <f t="shared" si="2"/>
        <v>0</v>
      </c>
      <c r="Q21" s="78">
        <f t="shared" si="2"/>
        <v>0</v>
      </c>
      <c r="R21" s="78">
        <f t="shared" si="2"/>
        <v>0</v>
      </c>
      <c r="S21" s="78">
        <f t="shared" si="2"/>
        <v>0</v>
      </c>
      <c r="T21" s="78">
        <f t="shared" si="2"/>
        <v>0</v>
      </c>
      <c r="U21" s="78">
        <f t="shared" si="3"/>
        <v>0</v>
      </c>
      <c r="V21" s="77">
        <f t="shared" si="4"/>
        <v>0</v>
      </c>
      <c r="W21" s="78">
        <f t="shared" si="4"/>
        <v>0</v>
      </c>
      <c r="X21" s="78">
        <f t="shared" si="4"/>
        <v>0</v>
      </c>
      <c r="Y21" s="78">
        <f t="shared" si="4"/>
        <v>0</v>
      </c>
      <c r="Z21" s="78">
        <f t="shared" si="4"/>
        <v>0</v>
      </c>
      <c r="AA21" s="78">
        <f t="shared" si="15"/>
        <v>0</v>
      </c>
      <c r="AB21" s="77">
        <f t="shared" si="5"/>
        <v>0</v>
      </c>
      <c r="AC21" s="78">
        <f t="shared" si="5"/>
        <v>0</v>
      </c>
      <c r="AD21" s="78">
        <f t="shared" si="5"/>
        <v>0</v>
      </c>
      <c r="AE21" s="78">
        <f t="shared" si="5"/>
        <v>0</v>
      </c>
      <c r="AF21" s="78">
        <f t="shared" si="5"/>
        <v>0</v>
      </c>
      <c r="AG21" s="78">
        <f t="shared" ref="AG21:AG23" si="24">IF(AND(AG9&lt;&gt;"",AG9&gt;0),(VLOOKUP(AG$6,$CC$6:$CE$12,3,0)*AG9)/SUM($AB9:$AF9),0)</f>
        <v>0</v>
      </c>
      <c r="AH21" s="77">
        <f t="shared" si="6"/>
        <v>0</v>
      </c>
      <c r="AI21" s="78">
        <f t="shared" si="6"/>
        <v>0</v>
      </c>
      <c r="AJ21" s="78">
        <f t="shared" si="6"/>
        <v>0</v>
      </c>
      <c r="AK21" s="78">
        <f t="shared" si="6"/>
        <v>0</v>
      </c>
      <c r="AL21" s="78">
        <f t="shared" si="6"/>
        <v>0</v>
      </c>
      <c r="AM21" s="78">
        <f t="shared" si="16"/>
        <v>0</v>
      </c>
      <c r="AN21" s="77">
        <f t="shared" si="7"/>
        <v>0</v>
      </c>
      <c r="AO21" s="78">
        <f t="shared" si="7"/>
        <v>0</v>
      </c>
      <c r="AP21" s="78">
        <f t="shared" si="7"/>
        <v>0</v>
      </c>
      <c r="AQ21" s="78">
        <f t="shared" si="7"/>
        <v>0</v>
      </c>
      <c r="AR21" s="78">
        <f t="shared" si="7"/>
        <v>0</v>
      </c>
      <c r="AS21" s="78">
        <f t="shared" si="17"/>
        <v>0</v>
      </c>
      <c r="AT21" s="77">
        <f t="shared" si="8"/>
        <v>0</v>
      </c>
      <c r="AU21" s="78">
        <f t="shared" si="8"/>
        <v>0</v>
      </c>
      <c r="AV21" s="78">
        <f t="shared" si="8"/>
        <v>0</v>
      </c>
      <c r="AW21" s="78">
        <f t="shared" si="8"/>
        <v>0</v>
      </c>
      <c r="AX21" s="78">
        <f t="shared" si="8"/>
        <v>0</v>
      </c>
      <c r="AY21" s="78">
        <f t="shared" si="18"/>
        <v>0</v>
      </c>
      <c r="AZ21" s="77">
        <f t="shared" si="9"/>
        <v>0</v>
      </c>
      <c r="BA21" s="78">
        <f t="shared" si="9"/>
        <v>0</v>
      </c>
      <c r="BB21" s="78">
        <f t="shared" si="9"/>
        <v>0</v>
      </c>
      <c r="BC21" s="78">
        <f>IF(AND(BC9&lt;&gt;"",BC9&gt;0),(VLOOKUP(BC$6,$CC$6:$CE$11,3,0)*BC9)/SUM($AZ9:$BD9),0)</f>
        <v>0</v>
      </c>
      <c r="BD21" s="78">
        <f t="shared" si="9"/>
        <v>0</v>
      </c>
      <c r="BE21" s="78">
        <f t="shared" si="19"/>
        <v>0</v>
      </c>
      <c r="BF21" s="78">
        <f t="shared" si="20"/>
        <v>0</v>
      </c>
      <c r="BG21" s="78">
        <f t="shared" si="20"/>
        <v>0</v>
      </c>
      <c r="BH21" s="78">
        <f t="shared" si="20"/>
        <v>0</v>
      </c>
      <c r="BI21" s="78">
        <f t="shared" si="20"/>
        <v>0</v>
      </c>
      <c r="BJ21" s="78">
        <f>IF(AND(BJ9&lt;&gt;"",BJ9&gt;0),(VLOOKUP(BJ$6,$CC$6:$CE$12,3,0)*BJ9)/SUM($BF9:$BJ9),0)</f>
        <v>0</v>
      </c>
      <c r="BK21" s="78">
        <f t="shared" si="20"/>
        <v>0</v>
      </c>
      <c r="BL21" s="78">
        <f t="shared" ref="BL21:BO21" si="25">IF(AND(BL9&lt;&gt;"",BL9&gt;0),(VLOOKUP(BL$6,$CC$6:$CE$12,3,0)*BL9)/SUM($BL9:$BP9),0)</f>
        <v>0</v>
      </c>
      <c r="BM21" s="78">
        <f t="shared" si="25"/>
        <v>0</v>
      </c>
      <c r="BN21" s="78">
        <f t="shared" si="25"/>
        <v>0</v>
      </c>
      <c r="BO21" s="78">
        <f t="shared" si="25"/>
        <v>0</v>
      </c>
      <c r="BP21" s="78">
        <f>IF(AND(BP9&lt;&gt;"",BP9&gt;0),(VLOOKUP(BP$6,$CC$6:$CE$12,3,0)*BP9)/SUM($BL9:$BP9),0)</f>
        <v>0</v>
      </c>
      <c r="BQ21" s="78">
        <f>IF(AND(BQ9&lt;&gt;"",BQ9&gt;0),(VLOOKUP(BQ$6,$CC$6:$CE$12,3,0)*BQ9)/SUM($BL9:$BP9),0)</f>
        <v>0</v>
      </c>
      <c r="BR21" s="78">
        <f t="shared" ref="BR21:BW21" si="26">IF(AND(BR9&lt;&gt;"",BR9&gt;0),(VLOOKUP(BR$6,$CC$6:$CE$12,3,0)*BR9)/SUM($BR9:$BV9),0)</f>
        <v>0</v>
      </c>
      <c r="BS21" s="78">
        <f t="shared" si="26"/>
        <v>0</v>
      </c>
      <c r="BT21" s="78">
        <f t="shared" si="26"/>
        <v>0</v>
      </c>
      <c r="BU21" s="78">
        <f t="shared" si="26"/>
        <v>0</v>
      </c>
      <c r="BV21" s="78">
        <f t="shared" si="26"/>
        <v>0</v>
      </c>
      <c r="BW21" s="78">
        <f t="shared" si="26"/>
        <v>0</v>
      </c>
    </row>
    <row r="22" spans="2:75" x14ac:dyDescent="0.3">
      <c r="B22" s="60">
        <v>4</v>
      </c>
      <c r="C22" s="132" t="s">
        <v>74</v>
      </c>
      <c r="D22" s="62"/>
      <c r="E22" s="63"/>
      <c r="F22" s="64">
        <f t="shared" si="0"/>
        <v>0</v>
      </c>
      <c r="G22" s="63">
        <f t="shared" si="0"/>
        <v>0</v>
      </c>
      <c r="H22" s="64">
        <f t="shared" si="0"/>
        <v>0</v>
      </c>
      <c r="I22" s="55">
        <f t="shared" si="0"/>
        <v>0</v>
      </c>
      <c r="J22" s="77">
        <f t="shared" si="1"/>
        <v>0</v>
      </c>
      <c r="K22" s="78">
        <f t="shared" si="1"/>
        <v>0</v>
      </c>
      <c r="L22" s="78">
        <f t="shared" si="1"/>
        <v>0</v>
      </c>
      <c r="M22" s="78">
        <f t="shared" ref="M22:N22" si="27">IF(AND(M10&lt;&gt;"",M10&gt;0),(VLOOKUP(M$6,$CC$6:$CE$12,3,0)*M10)/SUM($J10:$N10),0)</f>
        <v>0</v>
      </c>
      <c r="N22" s="78">
        <f t="shared" si="27"/>
        <v>0</v>
      </c>
      <c r="O22" s="78">
        <f>IF(AND(O10&lt;&gt;"",O10&gt;0),(VLOOKUP(O$6,$CC$6:$CE$12,3,0)*O10)/SUM($J10:$N10),0)</f>
        <v>0</v>
      </c>
      <c r="P22" s="77">
        <f t="shared" si="2"/>
        <v>0</v>
      </c>
      <c r="Q22" s="78">
        <f t="shared" si="2"/>
        <v>0</v>
      </c>
      <c r="R22" s="78">
        <f t="shared" si="2"/>
        <v>0</v>
      </c>
      <c r="S22" s="78">
        <f t="shared" si="2"/>
        <v>0</v>
      </c>
      <c r="T22" s="78">
        <f t="shared" si="2"/>
        <v>0</v>
      </c>
      <c r="U22" s="78">
        <f t="shared" si="3"/>
        <v>0</v>
      </c>
      <c r="V22" s="77">
        <f t="shared" si="4"/>
        <v>0</v>
      </c>
      <c r="W22" s="78">
        <f t="shared" si="4"/>
        <v>0</v>
      </c>
      <c r="X22" s="78">
        <f t="shared" si="4"/>
        <v>0</v>
      </c>
      <c r="Y22" s="78">
        <f t="shared" si="4"/>
        <v>0</v>
      </c>
      <c r="Z22" s="78">
        <f t="shared" si="4"/>
        <v>0</v>
      </c>
      <c r="AA22" s="78">
        <f t="shared" si="15"/>
        <v>0</v>
      </c>
      <c r="AB22" s="77">
        <f t="shared" si="5"/>
        <v>0</v>
      </c>
      <c r="AC22" s="78">
        <f t="shared" si="5"/>
        <v>0</v>
      </c>
      <c r="AD22" s="78">
        <f t="shared" si="5"/>
        <v>0</v>
      </c>
      <c r="AE22" s="78">
        <f t="shared" si="5"/>
        <v>0</v>
      </c>
      <c r="AF22" s="78">
        <f t="shared" si="5"/>
        <v>0</v>
      </c>
      <c r="AG22" s="78">
        <f t="shared" si="24"/>
        <v>0</v>
      </c>
      <c r="AH22" s="77">
        <f t="shared" si="6"/>
        <v>0</v>
      </c>
      <c r="AI22" s="78">
        <f t="shared" si="6"/>
        <v>0</v>
      </c>
      <c r="AJ22" s="78">
        <f t="shared" si="6"/>
        <v>0</v>
      </c>
      <c r="AK22" s="78">
        <f t="shared" si="6"/>
        <v>0</v>
      </c>
      <c r="AL22" s="78">
        <f t="shared" si="6"/>
        <v>0</v>
      </c>
      <c r="AM22" s="78">
        <f t="shared" si="16"/>
        <v>0</v>
      </c>
      <c r="AN22" s="77">
        <f t="shared" si="7"/>
        <v>0</v>
      </c>
      <c r="AO22" s="78">
        <f t="shared" si="7"/>
        <v>0</v>
      </c>
      <c r="AP22" s="78">
        <f t="shared" si="7"/>
        <v>0</v>
      </c>
      <c r="AQ22" s="78">
        <f t="shared" si="7"/>
        <v>0</v>
      </c>
      <c r="AR22" s="78">
        <f t="shared" si="7"/>
        <v>0</v>
      </c>
      <c r="AS22" s="78">
        <f t="shared" si="17"/>
        <v>0</v>
      </c>
      <c r="AT22" s="77">
        <f t="shared" si="8"/>
        <v>0</v>
      </c>
      <c r="AU22" s="78">
        <f t="shared" si="8"/>
        <v>0</v>
      </c>
      <c r="AV22" s="78">
        <f t="shared" si="8"/>
        <v>0</v>
      </c>
      <c r="AW22" s="78">
        <f t="shared" si="8"/>
        <v>0</v>
      </c>
      <c r="AX22" s="78">
        <f t="shared" si="8"/>
        <v>0</v>
      </c>
      <c r="AY22" s="78">
        <f t="shared" si="18"/>
        <v>0</v>
      </c>
      <c r="AZ22" s="77">
        <f t="shared" si="9"/>
        <v>0</v>
      </c>
      <c r="BA22" s="78">
        <f t="shared" si="9"/>
        <v>0</v>
      </c>
      <c r="BB22" s="78">
        <f t="shared" si="9"/>
        <v>0</v>
      </c>
      <c r="BC22" s="78">
        <f t="shared" si="9"/>
        <v>0</v>
      </c>
      <c r="BD22" s="78">
        <f t="shared" si="9"/>
        <v>0</v>
      </c>
      <c r="BE22" s="78">
        <f t="shared" si="19"/>
        <v>0</v>
      </c>
      <c r="BF22" s="78">
        <f t="shared" si="20"/>
        <v>0</v>
      </c>
      <c r="BG22" s="78">
        <f t="shared" si="20"/>
        <v>0</v>
      </c>
      <c r="BH22" s="78">
        <f t="shared" si="20"/>
        <v>0</v>
      </c>
      <c r="BI22" s="78">
        <f t="shared" si="20"/>
        <v>0</v>
      </c>
      <c r="BJ22" s="78">
        <f>IF(AND(BJ10&lt;&gt;"",BJ10&gt;0),(VLOOKUP(BJ$6,$CC$6:$CE$12,3,0)*BJ10)/SUM($BF10:$BJ10),0)</f>
        <v>0</v>
      </c>
      <c r="BK22" s="78">
        <f>IF(AND(BK10&lt;&gt;"",BK10&gt;0),(VLOOKUP(BK$6,$CC$6:$CE$12,3,0)*BK10)/SUM($BF10:$BJ10),0)</f>
        <v>0</v>
      </c>
      <c r="BL22" s="78">
        <f t="shared" ref="BL22:BQ22" si="28">IF(AND(BL10&lt;&gt;"",BL10&gt;0),(VLOOKUP(BL$6,$CC$6:$CE$12,3,0)*BL10)/SUM($BL10:$BP10),0)</f>
        <v>0</v>
      </c>
      <c r="BM22" s="78">
        <f t="shared" si="28"/>
        <v>0</v>
      </c>
      <c r="BN22" s="78">
        <f t="shared" si="28"/>
        <v>0</v>
      </c>
      <c r="BO22" s="78">
        <f t="shared" si="28"/>
        <v>0</v>
      </c>
      <c r="BP22" s="78">
        <f t="shared" si="28"/>
        <v>0</v>
      </c>
      <c r="BQ22" s="78">
        <f t="shared" si="28"/>
        <v>0</v>
      </c>
      <c r="BR22" s="78">
        <f t="shared" ref="BR22:BW22" si="29">IF(AND(BR10&lt;&gt;"",BR10&gt;0),(VLOOKUP(BR$6,$CC$6:$CE$12,3,0)*BR10)/SUM($BR10:$BV10),0)</f>
        <v>0</v>
      </c>
      <c r="BS22" s="78">
        <f t="shared" si="29"/>
        <v>0</v>
      </c>
      <c r="BT22" s="78">
        <f t="shared" si="29"/>
        <v>0</v>
      </c>
      <c r="BU22" s="78">
        <f t="shared" si="29"/>
        <v>0</v>
      </c>
      <c r="BV22" s="78">
        <f t="shared" si="29"/>
        <v>0</v>
      </c>
      <c r="BW22" s="78">
        <f t="shared" si="29"/>
        <v>0</v>
      </c>
    </row>
    <row r="23" spans="2:75" x14ac:dyDescent="0.3">
      <c r="B23" s="60">
        <v>5</v>
      </c>
      <c r="C23" s="132" t="s">
        <v>89</v>
      </c>
      <c r="D23" s="62"/>
      <c r="E23" s="63"/>
      <c r="F23" s="64">
        <f t="shared" si="0"/>
        <v>0</v>
      </c>
      <c r="G23" s="63">
        <f t="shared" si="0"/>
        <v>0</v>
      </c>
      <c r="H23" s="64">
        <f t="shared" si="0"/>
        <v>0</v>
      </c>
      <c r="I23" s="55">
        <f t="shared" si="0"/>
        <v>0</v>
      </c>
      <c r="J23" s="77">
        <f t="shared" si="1"/>
        <v>0</v>
      </c>
      <c r="K23" s="78">
        <f t="shared" si="1"/>
        <v>0</v>
      </c>
      <c r="L23" s="78">
        <f t="shared" si="1"/>
        <v>0</v>
      </c>
      <c r="M23" s="78">
        <f t="shared" ref="M23:N23" si="30">IF(AND(M11&lt;&gt;"",M11&gt;0),(VLOOKUP(M$6,$CC$6:$CE$12,3,0)*M11)/SUM($J11:$N11),0)</f>
        <v>0</v>
      </c>
      <c r="N23" s="78">
        <f t="shared" si="30"/>
        <v>0</v>
      </c>
      <c r="O23" s="78">
        <f t="shared" si="14"/>
        <v>0</v>
      </c>
      <c r="P23" s="77">
        <f t="shared" si="2"/>
        <v>0</v>
      </c>
      <c r="Q23" s="78">
        <f t="shared" si="2"/>
        <v>0</v>
      </c>
      <c r="R23" s="78">
        <f t="shared" si="2"/>
        <v>0</v>
      </c>
      <c r="S23" s="78">
        <f t="shared" si="2"/>
        <v>0</v>
      </c>
      <c r="T23" s="78">
        <f t="shared" si="2"/>
        <v>0</v>
      </c>
      <c r="U23" s="78">
        <f t="shared" si="3"/>
        <v>0</v>
      </c>
      <c r="V23" s="77">
        <f t="shared" si="4"/>
        <v>0</v>
      </c>
      <c r="W23" s="78">
        <f t="shared" si="4"/>
        <v>0</v>
      </c>
      <c r="X23" s="78">
        <f t="shared" si="4"/>
        <v>0</v>
      </c>
      <c r="Y23" s="78">
        <f t="shared" si="4"/>
        <v>0</v>
      </c>
      <c r="Z23" s="78">
        <f t="shared" si="4"/>
        <v>0</v>
      </c>
      <c r="AA23" s="78">
        <f t="shared" si="15"/>
        <v>0</v>
      </c>
      <c r="AB23" s="77">
        <f t="shared" si="5"/>
        <v>0</v>
      </c>
      <c r="AC23" s="78">
        <f t="shared" si="5"/>
        <v>0</v>
      </c>
      <c r="AD23" s="78">
        <f t="shared" si="5"/>
        <v>0</v>
      </c>
      <c r="AE23" s="78">
        <f t="shared" si="5"/>
        <v>0</v>
      </c>
      <c r="AF23" s="78">
        <f t="shared" si="5"/>
        <v>0</v>
      </c>
      <c r="AG23" s="78">
        <f t="shared" si="24"/>
        <v>0</v>
      </c>
      <c r="AH23" s="77">
        <f t="shared" si="6"/>
        <v>0</v>
      </c>
      <c r="AI23" s="78">
        <f t="shared" si="6"/>
        <v>0</v>
      </c>
      <c r="AJ23" s="78">
        <f t="shared" si="6"/>
        <v>0</v>
      </c>
      <c r="AK23" s="78">
        <f t="shared" si="6"/>
        <v>0</v>
      </c>
      <c r="AL23" s="78">
        <f t="shared" si="6"/>
        <v>0</v>
      </c>
      <c r="AM23" s="78">
        <f t="shared" si="16"/>
        <v>0</v>
      </c>
      <c r="AN23" s="77">
        <f t="shared" si="7"/>
        <v>0</v>
      </c>
      <c r="AO23" s="78">
        <f t="shared" si="7"/>
        <v>0</v>
      </c>
      <c r="AP23" s="78">
        <f t="shared" si="7"/>
        <v>0</v>
      </c>
      <c r="AQ23" s="78">
        <f t="shared" si="7"/>
        <v>0</v>
      </c>
      <c r="AR23" s="78">
        <f t="shared" si="7"/>
        <v>0</v>
      </c>
      <c r="AS23" s="78">
        <f t="shared" si="17"/>
        <v>0</v>
      </c>
      <c r="AT23" s="77">
        <f t="shared" si="8"/>
        <v>0</v>
      </c>
      <c r="AU23" s="78">
        <f t="shared" si="8"/>
        <v>0</v>
      </c>
      <c r="AV23" s="78">
        <f t="shared" si="8"/>
        <v>0</v>
      </c>
      <c r="AW23" s="78">
        <f t="shared" si="8"/>
        <v>0</v>
      </c>
      <c r="AX23" s="78">
        <f t="shared" si="8"/>
        <v>0</v>
      </c>
      <c r="AY23" s="78">
        <f>IF(AND(AY11&lt;&gt;"",AY11&gt;0),(VLOOKUP(AY$6,$CC$6:$CE$12,3,0)*AY11)/SUM($AT11:$AX11),0)</f>
        <v>0</v>
      </c>
      <c r="AZ23" s="77">
        <f t="shared" si="9"/>
        <v>0</v>
      </c>
      <c r="BA23" s="78">
        <f t="shared" si="9"/>
        <v>0</v>
      </c>
      <c r="BB23" s="78">
        <f t="shared" si="9"/>
        <v>0</v>
      </c>
      <c r="BC23" s="78">
        <f t="shared" si="9"/>
        <v>0</v>
      </c>
      <c r="BD23" s="78">
        <f>IF(AND(BD11&lt;&gt;"",BD11&gt;0),(VLOOKUP(BD$6,$CC$6:$CE$11,3,0)*BD11)/SUM($AZ11:$BD11),0)</f>
        <v>0</v>
      </c>
      <c r="BE23" s="78">
        <f t="shared" si="19"/>
        <v>0</v>
      </c>
      <c r="BF23" s="78">
        <f t="shared" si="20"/>
        <v>0</v>
      </c>
      <c r="BG23" s="78">
        <f t="shared" si="20"/>
        <v>0</v>
      </c>
      <c r="BH23" s="78">
        <f t="shared" si="20"/>
        <v>0</v>
      </c>
      <c r="BI23" s="78">
        <f t="shared" si="20"/>
        <v>0</v>
      </c>
      <c r="BJ23" s="78">
        <f t="shared" si="20"/>
        <v>0</v>
      </c>
      <c r="BK23" s="78">
        <f>IF(AND(BK11&lt;&gt;"",BK11&gt;0),(VLOOKUP(BK$6,$CC$6:$CE$12,3,0)*BK11)/SUM($BF11:$BJ11),0)</f>
        <v>0</v>
      </c>
      <c r="BL23" s="78">
        <f t="shared" ref="BL23:BQ23" si="31">IF(AND(BL11&lt;&gt;"",BL11&gt;0),(VLOOKUP(BL$6,$CC$6:$CE$12,3,0)*BL11)/SUM($BL11:$BP11),0)</f>
        <v>0</v>
      </c>
      <c r="BM23" s="78">
        <f t="shared" si="31"/>
        <v>0</v>
      </c>
      <c r="BN23" s="78">
        <f t="shared" si="31"/>
        <v>0</v>
      </c>
      <c r="BO23" s="78">
        <f t="shared" si="31"/>
        <v>0</v>
      </c>
      <c r="BP23" s="78">
        <f t="shared" si="31"/>
        <v>0</v>
      </c>
      <c r="BQ23" s="78">
        <f t="shared" si="31"/>
        <v>0</v>
      </c>
      <c r="BR23" s="78">
        <f t="shared" ref="BR23:BW23" si="32">IF(AND(BR11&lt;&gt;"",BR11&gt;0),(VLOOKUP(BR$6,$CC$6:$CE$12,3,0)*BR11)/SUM($BR11:$BV11),0)</f>
        <v>0</v>
      </c>
      <c r="BS23" s="78">
        <f t="shared" si="32"/>
        <v>0</v>
      </c>
      <c r="BT23" s="78">
        <f t="shared" si="32"/>
        <v>0</v>
      </c>
      <c r="BU23" s="78">
        <f t="shared" si="32"/>
        <v>0</v>
      </c>
      <c r="BV23" s="78">
        <f t="shared" si="32"/>
        <v>0</v>
      </c>
      <c r="BW23" s="78">
        <f t="shared" si="32"/>
        <v>0</v>
      </c>
    </row>
    <row r="24" spans="2:75" x14ac:dyDescent="0.3">
      <c r="D24" s="71"/>
      <c r="E24" s="71"/>
      <c r="F24" s="72">
        <f t="shared" si="0"/>
        <v>0</v>
      </c>
      <c r="G24" s="71">
        <f t="shared" si="0"/>
        <v>0</v>
      </c>
      <c r="H24" s="72">
        <f t="shared" si="0"/>
        <v>0</v>
      </c>
      <c r="I24" s="71">
        <f t="shared" si="0"/>
        <v>0</v>
      </c>
    </row>
    <row r="25" spans="2:75" x14ac:dyDescent="0.3">
      <c r="D25" s="71"/>
      <c r="E25" s="71"/>
      <c r="F25" s="72"/>
      <c r="G25" s="71"/>
      <c r="H25" s="72"/>
      <c r="I25" s="71"/>
    </row>
    <row r="26" spans="2:75" x14ac:dyDescent="0.3">
      <c r="D26" s="71"/>
      <c r="E26" s="71"/>
      <c r="F26" s="72"/>
      <c r="G26" s="71"/>
      <c r="H26" s="72"/>
      <c r="I26" s="71"/>
      <c r="J26" s="82"/>
    </row>
    <row r="27" spans="2:75" ht="15.6" x14ac:dyDescent="0.3">
      <c r="D27" s="71"/>
      <c r="E27" s="71"/>
      <c r="F27" s="72"/>
      <c r="G27" s="71"/>
      <c r="H27" s="72"/>
      <c r="I27" s="71"/>
      <c r="K27" s="83" t="s">
        <v>502</v>
      </c>
    </row>
    <row r="28" spans="2:75" x14ac:dyDescent="0.3">
      <c r="D28" s="71"/>
      <c r="E28" s="71"/>
      <c r="F28" s="72"/>
      <c r="G28" s="71"/>
      <c r="H28" s="72"/>
      <c r="I28" s="71"/>
    </row>
    <row r="29" spans="2:75" x14ac:dyDescent="0.3">
      <c r="D29" s="71"/>
      <c r="E29" s="71"/>
      <c r="F29" s="72"/>
      <c r="G29" s="71"/>
      <c r="H29" s="72"/>
      <c r="I29" s="71"/>
    </row>
    <row r="30" spans="2:75" x14ac:dyDescent="0.3">
      <c r="U30" s="84"/>
    </row>
    <row r="31" spans="2:75" x14ac:dyDescent="0.3">
      <c r="E31" s="164" t="s">
        <v>474</v>
      </c>
      <c r="F31" s="166" t="s">
        <v>5</v>
      </c>
      <c r="G31" s="167"/>
      <c r="H31" s="167"/>
      <c r="I31" s="168"/>
      <c r="J31" s="172" t="s">
        <v>503</v>
      </c>
      <c r="K31" s="173"/>
      <c r="L31" s="173"/>
      <c r="M31" s="173"/>
      <c r="N31" s="173"/>
      <c r="O31" s="173"/>
      <c r="P31" s="173"/>
      <c r="Q31" s="173"/>
      <c r="R31" s="173"/>
      <c r="S31" s="173"/>
      <c r="T31" s="173"/>
    </row>
    <row r="32" spans="2:75" x14ac:dyDescent="0.3">
      <c r="E32" s="165"/>
      <c r="F32" s="169"/>
      <c r="G32" s="170"/>
      <c r="H32" s="170"/>
      <c r="I32" s="171"/>
      <c r="J32" s="85">
        <v>1</v>
      </c>
      <c r="K32" s="86">
        <v>2</v>
      </c>
      <c r="L32" s="86">
        <v>3</v>
      </c>
      <c r="M32" s="86">
        <v>4</v>
      </c>
      <c r="N32" s="86">
        <v>5</v>
      </c>
      <c r="O32" s="86">
        <v>6</v>
      </c>
      <c r="P32" s="86">
        <v>7</v>
      </c>
      <c r="Q32" s="86">
        <v>8</v>
      </c>
      <c r="R32" s="140">
        <v>9</v>
      </c>
      <c r="S32" s="140">
        <v>10</v>
      </c>
      <c r="T32" s="140">
        <v>11</v>
      </c>
      <c r="U32" s="87" t="s">
        <v>504</v>
      </c>
      <c r="X32" s="87" t="s">
        <v>454</v>
      </c>
    </row>
    <row r="33" spans="5:24" x14ac:dyDescent="0.3">
      <c r="E33" s="51">
        <v>1</v>
      </c>
      <c r="F33" s="88" t="s">
        <v>66</v>
      </c>
      <c r="G33" s="89"/>
      <c r="H33" s="89"/>
      <c r="I33" s="90"/>
      <c r="J33" s="91">
        <f>SUM(J19:O19)</f>
        <v>0</v>
      </c>
      <c r="K33" s="91">
        <f>SUM(P19:U19)</f>
        <v>0</v>
      </c>
      <c r="L33" s="91">
        <f>SUM(V19:AA19)</f>
        <v>0</v>
      </c>
      <c r="M33" s="91">
        <f>SUM(AB19:AG19)</f>
        <v>0</v>
      </c>
      <c r="N33" s="91">
        <f>SUM(AH19:AM19)</f>
        <v>0</v>
      </c>
      <c r="O33" s="91">
        <f>SUM(AN19:AS19)</f>
        <v>0</v>
      </c>
      <c r="P33" s="91">
        <f>SUM(AT19:AY19)</f>
        <v>0</v>
      </c>
      <c r="Q33" s="91">
        <f>SUM(AZ19:BE19)</f>
        <v>0</v>
      </c>
      <c r="R33" s="91">
        <f>SUM(BF19:BK19)</f>
        <v>0</v>
      </c>
      <c r="S33" s="141">
        <f>SUM(BL19:BQ19)</f>
        <v>0</v>
      </c>
      <c r="T33" s="141">
        <f>SUM(BR19:BW19)</f>
        <v>0</v>
      </c>
      <c r="U33" s="92">
        <f>IFERROR(AVERAGEIF(J33:Q33,"&gt;0",J33:Q33),0)</f>
        <v>0</v>
      </c>
      <c r="V33" s="93"/>
      <c r="X33" s="92">
        <v>4.4600389863547756</v>
      </c>
    </row>
    <row r="34" spans="5:24" x14ac:dyDescent="0.3">
      <c r="E34" s="60">
        <v>2</v>
      </c>
      <c r="F34" s="94" t="s">
        <v>70</v>
      </c>
      <c r="I34" s="95"/>
      <c r="J34" s="96">
        <f>SUM(J20:O20)</f>
        <v>0</v>
      </c>
      <c r="K34" s="96">
        <f>SUM(P20:U20)</f>
        <v>0</v>
      </c>
      <c r="L34" s="96">
        <f>SUM(V20:AA20)</f>
        <v>0</v>
      </c>
      <c r="M34" s="96">
        <f>SUM(AB20:AG20)</f>
        <v>0</v>
      </c>
      <c r="N34" s="96">
        <f>SUM(AH20:AM20)</f>
        <v>0</v>
      </c>
      <c r="O34" s="96">
        <f>SUM(AN20:AS20)</f>
        <v>0</v>
      </c>
      <c r="P34" s="96">
        <f>SUM(AT20:AY20)</f>
        <v>0</v>
      </c>
      <c r="Q34" s="96">
        <f>SUM(AZ20:BE20)</f>
        <v>0</v>
      </c>
      <c r="R34" s="91">
        <f t="shared" ref="R34:R37" si="33">SUM(BF20:BK20)</f>
        <v>0</v>
      </c>
      <c r="S34" s="141">
        <f t="shared" ref="S34:S37" si="34">SUM(BL20:BQ20)</f>
        <v>0</v>
      </c>
      <c r="T34" s="141">
        <f t="shared" ref="T34:T37" si="35">SUM(BR20:BW20)</f>
        <v>0</v>
      </c>
      <c r="U34" s="97">
        <f>IFERROR(AVERAGEIF(J34:Q34,"&gt;0",J34:Q34),0)</f>
        <v>0</v>
      </c>
      <c r="V34" s="93"/>
      <c r="X34" s="98">
        <v>4.1269999999999998</v>
      </c>
    </row>
    <row r="35" spans="5:24" x14ac:dyDescent="0.3">
      <c r="E35" s="60">
        <v>3</v>
      </c>
      <c r="F35" s="94" t="s">
        <v>62</v>
      </c>
      <c r="I35" s="95"/>
      <c r="J35" s="96">
        <f>SUM(J21:O21)</f>
        <v>0</v>
      </c>
      <c r="K35" s="96">
        <f>SUM(P21:U21)</f>
        <v>0</v>
      </c>
      <c r="L35" s="96">
        <f>SUM(V21:AA21)</f>
        <v>0</v>
      </c>
      <c r="M35" s="96">
        <f>SUM(AB21:AG21)</f>
        <v>0</v>
      </c>
      <c r="N35" s="96">
        <f>SUM(AH21:AM21)</f>
        <v>0</v>
      </c>
      <c r="O35" s="96">
        <f>SUM(AN21:AS21)</f>
        <v>0</v>
      </c>
      <c r="P35" s="96">
        <f>SUM(AT21:AY21)</f>
        <v>0</v>
      </c>
      <c r="Q35" s="96">
        <f>SUM(AZ21:BE21)</f>
        <v>0</v>
      </c>
      <c r="R35" s="91">
        <f t="shared" si="33"/>
        <v>0</v>
      </c>
      <c r="S35" s="141">
        <f t="shared" si="34"/>
        <v>0</v>
      </c>
      <c r="T35" s="141">
        <f>SUM(BR21:BW21)</f>
        <v>0</v>
      </c>
      <c r="U35" s="97">
        <f>IFERROR(AVERAGEIF(J35:Q35,"&gt;0",J35:Q35),0)</f>
        <v>0</v>
      </c>
      <c r="V35" s="93"/>
      <c r="X35" s="98">
        <v>4.0410000000000004</v>
      </c>
    </row>
    <row r="36" spans="5:24" x14ac:dyDescent="0.3">
      <c r="E36" s="60">
        <v>4</v>
      </c>
      <c r="F36" s="94" t="s">
        <v>74</v>
      </c>
      <c r="I36" s="95"/>
      <c r="J36" s="96">
        <f>SUM(J22:O22)</f>
        <v>0</v>
      </c>
      <c r="K36" s="96">
        <f>SUM(P22:U22)</f>
        <v>0</v>
      </c>
      <c r="L36" s="96">
        <f>SUM(V22:AA22)</f>
        <v>0</v>
      </c>
      <c r="M36" s="96">
        <f>SUM(AB22:AG22)</f>
        <v>0</v>
      </c>
      <c r="N36" s="96">
        <f>SUM(AH22:AM22)</f>
        <v>0</v>
      </c>
      <c r="O36" s="96">
        <f>SUM(AN22:AS22)</f>
        <v>0</v>
      </c>
      <c r="P36" s="96">
        <f>SUM(AT22:AY22)</f>
        <v>0</v>
      </c>
      <c r="Q36" s="96">
        <f>SUM(AZ22:BE22)</f>
        <v>0</v>
      </c>
      <c r="R36" s="91">
        <f>SUM(BF22:BK22)</f>
        <v>0</v>
      </c>
      <c r="S36" s="141">
        <f t="shared" si="34"/>
        <v>0</v>
      </c>
      <c r="T36" s="141">
        <f t="shared" si="35"/>
        <v>0</v>
      </c>
      <c r="U36" s="97">
        <f>IFERROR(AVERAGEIF(J36:Q36,"&gt;0",J36:Q36),0)</f>
        <v>0</v>
      </c>
      <c r="V36" s="93"/>
      <c r="X36" s="98">
        <v>4.1500000000000004</v>
      </c>
    </row>
    <row r="37" spans="5:24" x14ac:dyDescent="0.3">
      <c r="E37" s="60">
        <v>5</v>
      </c>
      <c r="F37" s="94" t="s">
        <v>89</v>
      </c>
      <c r="I37" s="95"/>
      <c r="J37" s="96">
        <f>SUM(J23:O23)</f>
        <v>0</v>
      </c>
      <c r="K37" s="96">
        <f>SUM(P23:U23)</f>
        <v>0</v>
      </c>
      <c r="L37" s="96">
        <f>SUM(V23:AA23)</f>
        <v>0</v>
      </c>
      <c r="M37" s="96">
        <f>SUM(AB23:AG23)</f>
        <v>0</v>
      </c>
      <c r="N37" s="96">
        <f>SUM(AH23:AM23)</f>
        <v>0</v>
      </c>
      <c r="O37" s="96">
        <f>SUM(AN23:AS23)</f>
        <v>0</v>
      </c>
      <c r="P37" s="96">
        <f>SUM(AT23:AY23)</f>
        <v>0</v>
      </c>
      <c r="Q37" s="96">
        <f>SUM(AZ23:BE23)</f>
        <v>0</v>
      </c>
      <c r="R37" s="91">
        <f t="shared" si="33"/>
        <v>0</v>
      </c>
      <c r="S37" s="141">
        <f t="shared" si="34"/>
        <v>0</v>
      </c>
      <c r="T37" s="141">
        <f t="shared" si="35"/>
        <v>0</v>
      </c>
      <c r="U37" s="99">
        <f>IFERROR(AVERAGEIF(J37:Q37,"&gt;0",J37:Q37),0)</f>
        <v>0</v>
      </c>
      <c r="V37" s="93"/>
      <c r="X37" s="99">
        <v>4.5289999999999999</v>
      </c>
    </row>
    <row r="39" spans="5:24" ht="15.6" x14ac:dyDescent="0.3">
      <c r="J39" s="157" t="s">
        <v>489</v>
      </c>
      <c r="K39" s="157"/>
      <c r="L39" s="157"/>
      <c r="O39" s="83"/>
    </row>
    <row r="40" spans="5:24" x14ac:dyDescent="0.3">
      <c r="J40" s="50" t="s">
        <v>497</v>
      </c>
      <c r="K40" s="50" t="s">
        <v>498</v>
      </c>
      <c r="L40" s="50" t="s">
        <v>499</v>
      </c>
    </row>
    <row r="41" spans="5:24" x14ac:dyDescent="0.3">
      <c r="J41" s="58" t="s">
        <v>491</v>
      </c>
      <c r="K41" s="58" t="s">
        <v>471</v>
      </c>
      <c r="L41" s="59">
        <v>1</v>
      </c>
    </row>
    <row r="42" spans="5:24" x14ac:dyDescent="0.3">
      <c r="J42" s="58" t="s">
        <v>492</v>
      </c>
      <c r="K42" s="58" t="s">
        <v>470</v>
      </c>
      <c r="L42" s="59">
        <v>2</v>
      </c>
    </row>
    <row r="43" spans="5:24" x14ac:dyDescent="0.3">
      <c r="J43" s="58" t="s">
        <v>493</v>
      </c>
      <c r="K43" s="58" t="s">
        <v>469</v>
      </c>
      <c r="L43" s="59">
        <v>3</v>
      </c>
    </row>
    <row r="44" spans="5:24" x14ac:dyDescent="0.3">
      <c r="J44" s="58" t="s">
        <v>494</v>
      </c>
      <c r="K44" s="58" t="s">
        <v>467</v>
      </c>
      <c r="L44" s="59">
        <v>4</v>
      </c>
    </row>
    <row r="45" spans="5:24" x14ac:dyDescent="0.3">
      <c r="J45" s="58" t="s">
        <v>495</v>
      </c>
      <c r="K45" s="58" t="s">
        <v>468</v>
      </c>
      <c r="L45" s="59">
        <v>5</v>
      </c>
    </row>
    <row r="46" spans="5:24" x14ac:dyDescent="0.3">
      <c r="J46" s="58" t="s">
        <v>496</v>
      </c>
      <c r="K46" s="58" t="s">
        <v>473</v>
      </c>
      <c r="L46" s="59">
        <v>0</v>
      </c>
    </row>
    <row r="54" spans="10:10" ht="18" x14ac:dyDescent="0.4">
      <c r="J54" t="s">
        <v>505</v>
      </c>
    </row>
  </sheetData>
  <mergeCells count="41">
    <mergeCell ref="AZ17:BE17"/>
    <mergeCell ref="BF17:BK17"/>
    <mergeCell ref="BL17:BQ17"/>
    <mergeCell ref="AB17:AG17"/>
    <mergeCell ref="AH17:AM17"/>
    <mergeCell ref="AN17:AS17"/>
    <mergeCell ref="J39:L39"/>
    <mergeCell ref="AT17:AY17"/>
    <mergeCell ref="E31:E32"/>
    <mergeCell ref="F31:I32"/>
    <mergeCell ref="J17:O17"/>
    <mergeCell ref="P17:U17"/>
    <mergeCell ref="J31:T31"/>
    <mergeCell ref="CC5:CE5"/>
    <mergeCell ref="B16:B18"/>
    <mergeCell ref="C16:C18"/>
    <mergeCell ref="D16:D18"/>
    <mergeCell ref="E16:H16"/>
    <mergeCell ref="I16:BW16"/>
    <mergeCell ref="E17:F17"/>
    <mergeCell ref="I17:I18"/>
    <mergeCell ref="AB5:AG5"/>
    <mergeCell ref="AH5:AM5"/>
    <mergeCell ref="AN5:AS5"/>
    <mergeCell ref="AT5:AY5"/>
    <mergeCell ref="AZ5:BE5"/>
    <mergeCell ref="BF5:BK5"/>
    <mergeCell ref="BR17:BW17"/>
    <mergeCell ref="V17:AA17"/>
    <mergeCell ref="B4:B6"/>
    <mergeCell ref="C4:C6"/>
    <mergeCell ref="D4:D6"/>
    <mergeCell ref="E4:H4"/>
    <mergeCell ref="I4:BW4"/>
    <mergeCell ref="E5:F5"/>
    <mergeCell ref="I5:I6"/>
    <mergeCell ref="J5:O5"/>
    <mergeCell ref="P5:U5"/>
    <mergeCell ref="V5:AA5"/>
    <mergeCell ref="BL5:BQ5"/>
    <mergeCell ref="BR5:BW5"/>
  </mergeCells>
  <conditionalFormatting sqref="J7:BE11">
    <cfRule type="expression" dxfId="8" priority="14">
      <formula>J7=""</formula>
    </cfRule>
  </conditionalFormatting>
  <conditionalFormatting sqref="P19:AF23 AH19:BK23 J19:N23">
    <cfRule type="expression" dxfId="7" priority="13">
      <formula>J19=0</formula>
    </cfRule>
  </conditionalFormatting>
  <conditionalFormatting sqref="BF7:BK11">
    <cfRule type="expression" dxfId="6" priority="12">
      <formula>BF7=""</formula>
    </cfRule>
  </conditionalFormatting>
  <conditionalFormatting sqref="BL7:BQ11">
    <cfRule type="expression" dxfId="5" priority="11">
      <formula>BL7=""</formula>
    </cfRule>
  </conditionalFormatting>
  <conditionalFormatting sqref="BR7:BW11">
    <cfRule type="expression" dxfId="4" priority="10">
      <formula>BR7=""</formula>
    </cfRule>
  </conditionalFormatting>
  <conditionalFormatting sqref="O19:O23">
    <cfRule type="expression" dxfId="3" priority="4">
      <formula>O19=0</formula>
    </cfRule>
  </conditionalFormatting>
  <conditionalFormatting sqref="AG19:AG23">
    <cfRule type="expression" dxfId="2" priority="3">
      <formula>AG19=0</formula>
    </cfRule>
  </conditionalFormatting>
  <conditionalFormatting sqref="BL19:BQ23">
    <cfRule type="expression" dxfId="1" priority="2">
      <formula>BL19=0</formula>
    </cfRule>
  </conditionalFormatting>
  <conditionalFormatting sqref="BR19:BW23">
    <cfRule type="expression" dxfId="0" priority="1">
      <formula>BR19=0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DataUsuario</vt:lpstr>
      <vt:lpstr>EncuestaAreas</vt:lpstr>
      <vt:lpstr>HistoricoAreas</vt:lpstr>
      <vt:lpstr>UniversoAreas</vt:lpstr>
      <vt:lpstr>Paso1_RespuestasMicrosoftForms</vt:lpstr>
      <vt:lpstr>Estadística</vt:lpstr>
      <vt:lpstr>Estadística_Gerencias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Martin Valladolid Chero</dc:creator>
  <cp:lastModifiedBy>Cristhian Martin Valladolid Chero</cp:lastModifiedBy>
  <dcterms:created xsi:type="dcterms:W3CDTF">2024-08-22T19:34:42Z</dcterms:created>
  <dcterms:modified xsi:type="dcterms:W3CDTF">2024-12-26T14:52:57Z</dcterms:modified>
</cp:coreProperties>
</file>