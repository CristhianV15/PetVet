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"/>
    </mc:Choice>
  </mc:AlternateContent>
  <xr:revisionPtr revIDLastSave="0" documentId="13_ncr:1_{E0D69C10-B55E-4C80-92D6-505BA4C2CEFF}" xr6:coauthVersionLast="47" xr6:coauthVersionMax="47" xr10:uidLastSave="{00000000-0000-0000-0000-000000000000}"/>
  <bookViews>
    <workbookView xWindow="-108" yWindow="-108" windowWidth="23256" windowHeight="13896" firstSheet="2" activeTab="4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62" l="1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R46" i="193" s="1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S35" i="200" s="1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35" i="200" l="1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<sst xmlns="http://schemas.openxmlformats.org/spreadsheetml/2006/main" count="1679" uniqueCount="583">
  <si>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</si>
  <si>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</si>
  <si>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</si>
  <si>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</si>
  <si>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</si>
  <si>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</si>
  <si>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</si>
  <si>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</si>
  <si>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</si>
  <si>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</si>
  <si>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</si>
  <si>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</si>
  <si>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</si>
  <si>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</si>
  <si>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</si>
  <si>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</si>
  <si>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</si>
  <si>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</si>
  <si>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</si>
  <si>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</si>
  <si>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</si>
  <si>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</si>
  <si>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</si>
  <si>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</si>
  <si>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</si>
  <si>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</si>
  <si>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</si>
  <si>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</si>
  <si>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</si>
  <si>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</si>
  <si>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</si>
  <si>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</si>
  <si>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</si>
  <si>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</si>
  <si>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</si>
  <si>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</si>
  <si>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</si>
  <si>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</si>
  <si>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</si>
  <si>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</si>
  <si>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</si>
  <si>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</si>
  <si>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</si>
  <si>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</si>
  <si>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</si>
  <si>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</si>
  <si>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</si>
  <si>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</si>
  <si>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</si>
  <si>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</si>
  <si>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</si>
  <si>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</si>
  <si>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</si>
  <si>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</si>
  <si>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</si>
  <si>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</si>
  <si>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</si>
  <si>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</si>
  <si>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</si>
  <si>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</si>
  <si>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</si>
  <si>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</si>
  <si>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</si>
  <si>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</si>
  <si>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</si>
  <si>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</si>
  <si>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</si>
  <si>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</si>
  <si>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</si>
  <si>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</si>
  <si>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</si>
  <si>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</si>
  <si>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</si>
  <si>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</si>
  <si>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</si>
  <si>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</si>
  <si>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</si>
  <si>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</si>
  <si>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</si>
  <si>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</si>
  <si>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</si>
  <si>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</si>
  <si>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</si>
  <si>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</si>
  <si>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</si>
  <si>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</si>
  <si>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</si>
  <si>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</si>
  <si>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</si>
  <si>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</si>
  <si>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</si>
  <si>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</si>
  <si>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</si>
  <si>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</si>
  <si>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</si>
  <si>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</si>
  <si>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</si>
  <si>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</si>
  <si>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</si>
  <si>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</si>
  <si>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</si>
  <si>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</si>
  <si>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</si>
  <si>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</si>
  <si>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</si>
  <si>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</si>
  <si>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</si>
  <si>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</si>
  <si>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</si>
  <si>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</si>
  <si>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</si>
  <si>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</si>
  <si>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</si>
  <si>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</si>
  <si>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</si>
  <si>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</si>
  <si>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</si>
  <si>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</si>
  <si>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</si>
  <si>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</si>
  <si>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</si>
  <si>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</si>
  <si>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</si>
  <si>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</si>
  <si>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</si>
  <si>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</si>
  <si>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</si>
  <si>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</si>
  <si>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</si>
  <si>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</si>
  <si>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</si>
  <si>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</si>
  <si>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</si>
  <si>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</si>
  <si>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</si>
  <si>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</si>
  <si>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</si>
  <si>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</si>
  <si>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</si>
  <si>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</si>
  <si>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</si>
  <si>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</si>
  <si>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</si>
  <si>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</si>
  <si>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</si>
  <si>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</si>
  <si>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</si>
  <si>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</si>
  <si>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</si>
  <si>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</si>
  <si>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</si>
  <si>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</si>
  <si>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</si>
  <si>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</si>
  <si>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</si>
  <si>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</si>
  <si>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</si>
  <si>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</si>
  <si>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</si>
  <si>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</si>
  <si>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</si>
  <si>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</si>
  <si>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</si>
  <si>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</si>
  <si>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</si>
  <si>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</si>
  <si>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</si>
  <si>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</si>
  <si>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</si>
  <si>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</si>
  <si>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</si>
  <si>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</si>
  <si>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</si>
  <si>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</si>
  <si>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</si>
  <si>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</si>
  <si>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</si>
  <si>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</si>
  <si>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</si>
  <si>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</si>
  <si>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</si>
  <si>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</si>
  <si>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</si>
  <si>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</si>
  <si>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</si>
  <si>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</si>
  <si>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</si>
  <si>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</si>
  <si>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</si>
  <si>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</si>
  <si>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</si>
  <si>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</si>
  <si>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</si>
  <si>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</si>
  <si>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</si>
  <si>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</si>
  <si>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</si>
  <si>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</si>
  <si>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</si>
  <si>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</si>
  <si>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</si>
  <si>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</si>
  <si>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</si>
  <si>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</si>
  <si>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</si>
  <si>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</si>
  <si>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</si>
  <si>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</si>
  <si>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</si>
  <si>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</si>
  <si>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</si>
  <si>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</si>
  <si>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</si>
  <si>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</si>
  <si>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</si>
  <si>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</si>
  <si>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</si>
  <si>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</si>
  <si>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</si>
  <si>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</si>
  <si>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</si>
  <si>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</si>
  <si>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</si>
  <si>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</si>
  <si>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</si>
  <si>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</si>
  <si>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</si>
  <si>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</si>
  <si>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</si>
  <si>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</si>
  <si>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</si>
  <si>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</si>
  <si>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</si>
  <si>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</si>
  <si>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</si>
  <si>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</si>
  <si>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</si>
  <si>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</si>
  <si>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</si>
  <si>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</si>
  <si>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</si>
  <si>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</si>
  <si>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</si>
  <si>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</si>
  <si>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</si>
  <si>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</si>
  <si>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</si>
  <si>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</si>
  <si>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</si>
  <si>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</si>
  <si>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</si>
  <si>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</si>
  <si>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</si>
  <si>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</si>
  <si>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</si>
  <si>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</si>
  <si>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</si>
  <si>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</si>
  <si>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</si>
  <si>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</si>
  <si>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</si>
  <si>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</si>
  <si>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</si>
  <si>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</si>
  <si>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</si>
  <si>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</si>
  <si>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</si>
  <si>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</si>
  <si>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</si>
  <si>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</si>
  <si>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</si>
  <si>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</si>
  <si>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</si>
  <si>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</si>
  <si>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</si>
  <si>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</si>
  <si>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</si>
  <si>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</si>
  <si>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</si>
  <si>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</si>
  <si>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</si>
  <si>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</si>
  <si>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</si>
  <si>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</si>
  <si>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</si>
  <si>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</si>
  <si>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</si>
  <si>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</si>
  <si>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</si>
  <si>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</si>
  <si>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</si>
  <si>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</si>
  <si>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</si>
  <si>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</si>
  <si>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</si>
  <si>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</si>
  <si>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</si>
  <si>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</si>
  <si>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</si>
  <si>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</si>
  <si>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</si>
  <si>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</si>
  <si>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</si>
  <si>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</si>
  <si>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</si>
  <si>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</si>
  <si>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</si>
  <si>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</si>
  <si>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</si>
  <si>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</si>
  <si>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</si>
  <si>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</si>
  <si>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</si>
  <si>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</si>
  <si>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</si>
  <si>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</si>
  <si>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</si>
  <si>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</si>
  <si>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</si>
  <si>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</si>
  <si>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</si>
  <si>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</si>
  <si>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</si>
  <si>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</si>
  <si>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</si>
  <si>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</si>
  <si>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</si>
  <si>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</si>
  <si>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</si>
  <si>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</si>
  <si>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</si>
  <si>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</si>
  <si>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</si>
  <si>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</si>
  <si>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</si>
  <si>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</si>
  <si>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</si>
  <si>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</si>
  <si>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</si>
  <si>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</si>
  <si>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</si>
  <si>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</si>
  <si>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</si>
  <si>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</si>
  <si>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</si>
  <si>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</si>
  <si>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</si>
  <si>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</si>
  <si>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</si>
  <si>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</si>
  <si>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</si>
  <si>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</si>
  <si>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</si>
  <si>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</si>
  <si>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</si>
  <si>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</si>
  <si>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</si>
  <si>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</si>
  <si>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</si>
  <si>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</si>
  <si>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</si>
  <si>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</si>
  <si>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</si>
  <si>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</si>
  <si>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</si>
  <si>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</si>
  <si>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</si>
  <si>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</si>
  <si>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</si>
  <si>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</si>
  <si>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</si>
  <si>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</si>
  <si>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</si>
  <si>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</si>
  <si>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</si>
  <si>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</si>
  <si>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</si>
  <si>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</si>
  <si>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</si>
  <si>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</si>
  <si>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</si>
  <si>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</si>
  <si>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</si>
  <si>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</si>
  <si>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</si>
  <si>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</si>
  <si>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</si>
  <si>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</si>
  <si>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</si>
  <si>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</si>
  <si>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</si>
  <si>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</si>
  <si>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</si>
  <si>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</si>
  <si>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</si>
  <si>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</si>
  <si>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</si>
  <si>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</si>
  <si>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</si>
  <si>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</si>
  <si>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</si>
  <si>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</si>
  <si>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</si>
  <si>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</si>
  <si>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</si>
  <si>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</si>
  <si>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</si>
  <si>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</si>
  <si>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</si>
  <si>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</si>
  <si>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</si>
  <si>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</si>
  <si>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</si>
  <si>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</si>
  <si>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</si>
  <si>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</si>
  <si>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</si>
  <si>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</si>
  <si>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</si>
  <si>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</si>
  <si>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</si>
  <si>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</si>
  <si>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</si>
  <si>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</si>
  <si>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</si>
  <si>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</si>
  <si>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</si>
  <si>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</si>
  <si>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</si>
  <si>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</si>
  <si>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</si>
  <si>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</si>
  <si>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</si>
  <si>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</si>
  <si>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</si>
  <si>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</si>
  <si>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</si>
  <si>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</si>
  <si>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</si>
  <si>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</si>
  <si>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</si>
  <si>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</si>
  <si>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</si>
  <si>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</si>
  <si>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</si>
  <si>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</si>
  <si>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</si>
  <si>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</si>
  <si>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</si>
  <si>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</si>
  <si>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</si>
  <si>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</si>
  <si>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</si>
  <si>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</si>
  <si>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</si>
  <si>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</si>
  <si>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</si>
  <si>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</si>
  <si>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</si>
  <si>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</si>
  <si>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</si>
  <si>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</si>
  <si>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</si>
  <si>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</si>
  <si>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</si>
  <si>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</si>
  <si>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</si>
  <si>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</si>
  <si>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</si>
  <si>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</si>
  <si>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</si>
  <si>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</si>
  <si>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</si>
  <si>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</si>
  <si>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</si>
  <si>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</si>
  <si>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</si>
  <si>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</si>
  <si>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</si>
  <si>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</si>
  <si>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</si>
  <si>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</si>
  <si>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</si>
  <si>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</si>
  <si>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</si>
  <si>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</si>
  <si>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</si>
  <si>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</si>
  <si>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</si>
  <si>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</si>
  <si>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</si>
  <si>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</si>
  <si>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</si>
  <si>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</si>
  <si>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</si>
  <si>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</si>
  <si>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</si>
  <si>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</si>
  <si>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</si>
  <si>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</si>
  <si>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</si>
  <si>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</si>
  <si>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</si>
  <si>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</si>
  <si>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</si>
  <si>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</si>
  <si>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</si>
  <si>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</si>
  <si>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</si>
  <si>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</si>
  <si>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</si>
  <si>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</si>
  <si>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</si>
  <si>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</si>
  <si>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</si>
  <si>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</si>
  <si>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</si>
  <si>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</si>
  <si>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</si>
  <si>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</si>
  <si>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</si>
  <si>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</si>
  <si>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</si>
  <si>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</si>
  <si>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</si>
  <si>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</si>
  <si>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</si>
  <si>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</si>
  <si>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</si>
  <si>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</si>
  <si>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</si>
  <si>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</si>
  <si>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</si>
  <si>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</si>
  <si>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</si>
  <si>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</si>
  <si>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</si>
  <si>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</si>
  <si>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</si>
  <si>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</si>
  <si>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</si>
  <si>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</si>
  <si>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</si>
  <si>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</si>
  <si>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</si>
  <si>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</si>
  <si>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</si>
  <si>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</si>
  <si>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</si>
  <si>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</si>
  <si>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</si>
  <si>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</si>
  <si>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</si>
  <si>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</si>
  <si>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</si>
  <si>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</si>
  <si>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</si>
  <si>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</si>
  <si>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</si>
  <si>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</si>
  <si>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</si>
  <si>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</si>
  <si>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</si>
  <si>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</si>
  <si>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</si>
  <si>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</si>
  <si>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</si>
  <si>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</si>
  <si>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</si>
  <si>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</si>
  <si>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</si>
  <si>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</si>
  <si>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</si>
  <si>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</si>
  <si>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</si>
  <si>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</si>
  <si>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</si>
  <si>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</si>
  <si>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</si>
  <si>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</si>
  <si>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</si>
  <si>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Fresia Antonella Rodriguez Villena</t>
  </si>
  <si>
    <t>frodriguezv@agricolachira.com.pe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</si>
</sst>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5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4" borderId="47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10</xdr:row>
          <xdr:rowOff>114300</xdr:rowOff>
        </xdr:from>
        <xdr:to>
          <xdr:col>18</xdr:col>
          <xdr:colOff>365760</xdr:colOff>
          <xdr:row>13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  <row r="201" spans="1:4" x14ac:dyDescent="0.3">
      <c r="A201" t="s">
        <v>581</v>
      </c>
      <c r="B201" s="145" t="s">
        <v>582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C17" sqref="C17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533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B103" sqref="B103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56"/>
      <c r="L1" s="156"/>
      <c r="M1" s="156"/>
      <c r="N1" s="156"/>
      <c r="O1" s="156"/>
      <c r="P1" s="156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 t="s">
        <v>506</v>
      </c>
      <c r="K2" s="156"/>
      <c r="L2" s="156"/>
      <c r="M2" s="156"/>
      <c r="N2" s="156"/>
      <c r="O2" s="156"/>
      <c r="P2" s="156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506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55" t="s">
        <v>510</v>
      </c>
      <c r="N6" s="155"/>
      <c r="O6" s="155"/>
      <c r="P6" s="155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10">
        <f>COUNT(B2:J2)+2</f>
        <v>6</v>
      </c>
      <c r="L7" s="108" t="s">
        <v>508</v>
      </c>
      <c r="M7" t="s">
        <v>509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506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43" t="s">
        <v>511</v>
      </c>
    </row>
    <row r="13" spans="1:17" x14ac:dyDescent="0.3">
      <c r="M13" s="43" t="s">
        <v>512</v>
      </c>
    </row>
    <row r="14" spans="1:17" x14ac:dyDescent="0.3">
      <c r="M14" s="43" t="s">
        <v>513</v>
      </c>
    </row>
    <row r="16" spans="1:17" x14ac:dyDescent="0.3">
      <c r="K16" s="109" t="s">
        <v>506</v>
      </c>
      <c r="L16" s="108" t="s">
        <v>515</v>
      </c>
      <c r="M16" t="s">
        <v>514</v>
      </c>
    </row>
    <row r="18" spans="1:16" x14ac:dyDescent="0.3">
      <c r="B18" s="154" t="s">
        <v>456</v>
      </c>
    </row>
    <row r="19" spans="1:16" x14ac:dyDescent="0.3">
      <c r="B19" s="154"/>
    </row>
    <row r="26" spans="1:16" x14ac:dyDescent="0.3">
      <c r="K26" t="s">
        <v>507</v>
      </c>
      <c r="M26" s="155" t="s">
        <v>510</v>
      </c>
      <c r="N26" s="155"/>
      <c r="O26" s="155"/>
      <c r="P26" s="155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4</v>
      </c>
      <c r="L27" s="108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 t="s">
        <v>506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 t="s">
        <v>506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 t="s">
        <v>506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 t="s">
        <v>506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 t="s">
        <v>506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 t="s">
        <v>506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 t="s">
        <v>506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 t="s">
        <v>506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 t="s">
        <v>506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 t="s">
        <v>506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 t="s">
        <v>506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 t="s">
        <v>506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 t="s">
        <v>506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 t="s">
        <v>506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 t="s">
        <v>506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 t="s">
        <v>506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506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506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506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506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/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 t="s">
        <v>506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 t="s">
        <v>506</v>
      </c>
    </row>
    <row r="54" spans="1:6" ht="15" thickBot="1" x14ac:dyDescent="0.35">
      <c r="A54" s="125" t="s">
        <v>29</v>
      </c>
      <c r="B54" s="32" t="s">
        <v>533</v>
      </c>
      <c r="C54" s="32"/>
      <c r="D54" s="29"/>
      <c r="E54" s="32"/>
      <c r="F54" s="18" t="s">
        <v>506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 t="s">
        <v>506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 t="s">
        <v>506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 t="s">
        <v>506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 t="s">
        <v>506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 t="s">
        <v>506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 t="s">
        <v>506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 t="s">
        <v>506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 t="s">
        <v>506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 t="s">
        <v>506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506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506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 t="s">
        <v>506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 t="s">
        <v>506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 t="s">
        <v>506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 t="s">
        <v>506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 t="s">
        <v>506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 t="s">
        <v>506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 t="s">
        <v>506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 t="s">
        <v>506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 t="s">
        <v>506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 t="s">
        <v>506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 t="s">
        <v>506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506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506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506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506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506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506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506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108"/>
      <c r="F86" t="s">
        <v>506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108"/>
      <c r="F87" t="s">
        <v>506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108"/>
      <c r="F88" t="s">
        <v>506</v>
      </c>
    </row>
    <row r="89" spans="1:6" x14ac:dyDescent="0.3">
      <c r="A89" s="124" t="s">
        <v>45</v>
      </c>
      <c r="B89" s="124" t="s">
        <v>55</v>
      </c>
      <c r="F89" t="s">
        <v>506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K22" sqref="K22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66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56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77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"/>
  <sheetViews>
    <sheetView tabSelected="1" workbookViewId="0">
      <pane ySplit="1" topLeftCell="A2" activePane="bottomLeft" state="frozenSplit"/>
      <selection pane="bottomLeft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17</xdr:col>
                    <xdr:colOff>228600</xdr:colOff>
                    <xdr:row>10</xdr:row>
                    <xdr:rowOff>114300</xdr:rowOff>
                  </from>
                  <to>
                    <xdr:col>18</xdr:col>
                    <xdr:colOff>365760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33" zoomScale="86" workbookViewId="0">
      <selection activeCell="L9" sqref="L9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2" t="s">
        <v>474</v>
      </c>
      <c r="C4" s="172" t="s">
        <v>5</v>
      </c>
      <c r="D4" s="172" t="s">
        <v>475</v>
      </c>
      <c r="E4" s="161" t="s">
        <v>476</v>
      </c>
      <c r="F4" s="161"/>
      <c r="G4" s="161"/>
      <c r="H4" s="161"/>
      <c r="I4" s="159" t="s">
        <v>477</v>
      </c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</row>
    <row r="5" spans="2:83" x14ac:dyDescent="0.3">
      <c r="B5" s="172"/>
      <c r="C5" s="172"/>
      <c r="D5" s="172"/>
      <c r="E5" s="161" t="s">
        <v>478</v>
      </c>
      <c r="F5" s="161"/>
      <c r="G5" s="45" t="s">
        <v>479</v>
      </c>
      <c r="H5" s="45"/>
      <c r="I5" s="174" t="s">
        <v>480</v>
      </c>
      <c r="J5" s="163" t="s">
        <v>481</v>
      </c>
      <c r="K5" s="157"/>
      <c r="L5" s="157"/>
      <c r="M5" s="157"/>
      <c r="N5" s="157"/>
      <c r="O5" s="157"/>
      <c r="P5" s="157" t="s">
        <v>482</v>
      </c>
      <c r="Q5" s="157"/>
      <c r="R5" s="157"/>
      <c r="S5" s="157"/>
      <c r="T5" s="157"/>
      <c r="U5" s="157"/>
      <c r="V5" s="157" t="s">
        <v>483</v>
      </c>
      <c r="W5" s="157"/>
      <c r="X5" s="157"/>
      <c r="Y5" s="157"/>
      <c r="Z5" s="157"/>
      <c r="AA5" s="157"/>
      <c r="AB5" s="157" t="s">
        <v>484</v>
      </c>
      <c r="AC5" s="157"/>
      <c r="AD5" s="157"/>
      <c r="AE5" s="157"/>
      <c r="AF5" s="157"/>
      <c r="AG5" s="157"/>
      <c r="AH5" s="157" t="s">
        <v>485</v>
      </c>
      <c r="AI5" s="157"/>
      <c r="AJ5" s="157"/>
      <c r="AK5" s="157"/>
      <c r="AL5" s="157"/>
      <c r="AM5" s="157"/>
      <c r="AN5" s="157" t="s">
        <v>486</v>
      </c>
      <c r="AO5" s="157"/>
      <c r="AP5" s="157"/>
      <c r="AQ5" s="157"/>
      <c r="AR5" s="157"/>
      <c r="AS5" s="157"/>
      <c r="AT5" s="157" t="s">
        <v>487</v>
      </c>
      <c r="AU5" s="157"/>
      <c r="AV5" s="157"/>
      <c r="AW5" s="157"/>
      <c r="AX5" s="157"/>
      <c r="AY5" s="157"/>
      <c r="AZ5" s="157" t="s">
        <v>488</v>
      </c>
      <c r="BA5" s="157"/>
      <c r="BB5" s="157"/>
      <c r="BC5" s="157"/>
      <c r="BD5" s="157"/>
      <c r="BE5" s="158"/>
      <c r="BF5" s="157" t="s">
        <v>517</v>
      </c>
      <c r="BG5" s="157"/>
      <c r="BH5" s="157"/>
      <c r="BI5" s="157"/>
      <c r="BJ5" s="157"/>
      <c r="BK5" s="158"/>
      <c r="BL5" s="157" t="s">
        <v>518</v>
      </c>
      <c r="BM5" s="157"/>
      <c r="BN5" s="157"/>
      <c r="BO5" s="157"/>
      <c r="BP5" s="157"/>
      <c r="BQ5" s="158"/>
      <c r="BR5" s="157" t="s">
        <v>519</v>
      </c>
      <c r="BS5" s="157"/>
      <c r="BT5" s="157"/>
      <c r="BU5" s="157"/>
      <c r="BV5" s="157"/>
      <c r="BW5" s="158"/>
      <c r="CC5" s="161" t="s">
        <v>489</v>
      </c>
      <c r="CD5" s="161"/>
      <c r="CE5" s="161"/>
    </row>
    <row r="6" spans="2:83" x14ac:dyDescent="0.3">
      <c r="B6" s="173"/>
      <c r="C6" s="173"/>
      <c r="D6" s="173"/>
      <c r="E6" s="46" t="s">
        <v>480</v>
      </c>
      <c r="F6" s="46" t="s">
        <v>490</v>
      </c>
      <c r="G6" s="46" t="s">
        <v>480</v>
      </c>
      <c r="H6" s="46" t="s">
        <v>490</v>
      </c>
      <c r="I6" s="174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P12" s="56"/>
      <c r="U12" s="57"/>
      <c r="V12" s="56"/>
      <c r="AA12" s="57"/>
      <c r="AB12" s="56"/>
      <c r="AG12" s="57"/>
      <c r="AH12" s="56"/>
      <c r="AM12" s="57"/>
      <c r="AN12" s="56"/>
      <c r="AS12" s="57"/>
      <c r="AT12" s="56"/>
      <c r="AY12" s="57"/>
      <c r="AZ12" s="56"/>
      <c r="BE12" s="57"/>
      <c r="BF12" s="56"/>
      <c r="BK12" s="57"/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P14" s="56"/>
      <c r="U14" s="57"/>
      <c r="V14" s="56"/>
      <c r="AA14" s="57"/>
      <c r="AB14" s="56"/>
      <c r="AG14" s="57"/>
      <c r="AH14" s="56"/>
      <c r="AM14" s="57"/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P15" s="56"/>
      <c r="U15" s="57"/>
      <c r="V15" s="56"/>
      <c r="AA15" s="57"/>
      <c r="AB15" s="56"/>
      <c r="AG15" s="57"/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/>
      <c r="L17" s="69"/>
      <c r="M17" s="69"/>
      <c r="N17" s="69"/>
      <c r="O17" s="69"/>
      <c r="P17" s="68"/>
      <c r="Q17" s="69"/>
      <c r="R17" s="69"/>
      <c r="S17" s="69"/>
      <c r="T17" s="69"/>
      <c r="U17" s="70"/>
      <c r="V17" s="68"/>
      <c r="W17" s="69"/>
      <c r="X17" s="69"/>
      <c r="Y17" s="69"/>
      <c r="Z17" s="69"/>
      <c r="AA17" s="57"/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501</v>
      </c>
      <c r="C20" s="74"/>
      <c r="E20" s="72"/>
      <c r="F20" s="72"/>
      <c r="G20" s="72"/>
      <c r="H20" s="72"/>
    </row>
    <row r="22" spans="2:75" x14ac:dyDescent="0.3">
      <c r="B22" s="172" t="s">
        <v>474</v>
      </c>
      <c r="C22" s="172" t="s">
        <v>5</v>
      </c>
      <c r="D22" s="172" t="s">
        <v>475</v>
      </c>
      <c r="E22" s="161" t="s">
        <v>476</v>
      </c>
      <c r="F22" s="161"/>
      <c r="G22" s="161"/>
      <c r="H22" s="161"/>
      <c r="I22" s="159" t="s">
        <v>477</v>
      </c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60"/>
      <c r="BD22" s="160"/>
      <c r="BE22" s="160"/>
      <c r="BF22" s="160"/>
      <c r="BG22" s="160"/>
      <c r="BH22" s="160"/>
      <c r="BI22" s="160"/>
      <c r="BJ22" s="160"/>
      <c r="BK22" s="160"/>
      <c r="BL22" s="160"/>
      <c r="BM22" s="160"/>
      <c r="BN22" s="160"/>
      <c r="BO22" s="160"/>
      <c r="BP22" s="160"/>
      <c r="BQ22" s="160"/>
      <c r="BR22" s="160"/>
      <c r="BS22" s="160"/>
      <c r="BT22" s="160"/>
      <c r="BU22" s="160"/>
      <c r="BV22" s="160"/>
      <c r="BW22" s="160"/>
    </row>
    <row r="23" spans="2:75" x14ac:dyDescent="0.3">
      <c r="B23" s="172"/>
      <c r="C23" s="172"/>
      <c r="D23" s="172"/>
      <c r="E23" s="161" t="s">
        <v>478</v>
      </c>
      <c r="F23" s="161"/>
      <c r="G23" s="45" t="s">
        <v>479</v>
      </c>
      <c r="H23" s="45"/>
      <c r="I23" s="174" t="s">
        <v>480</v>
      </c>
      <c r="J23" s="163" t="s">
        <v>481</v>
      </c>
      <c r="K23" s="157"/>
      <c r="L23" s="157"/>
      <c r="M23" s="157"/>
      <c r="N23" s="157"/>
      <c r="O23" s="157"/>
      <c r="P23" s="157" t="s">
        <v>482</v>
      </c>
      <c r="Q23" s="157"/>
      <c r="R23" s="157"/>
      <c r="S23" s="157"/>
      <c r="T23" s="157"/>
      <c r="U23" s="157"/>
      <c r="V23" s="157" t="s">
        <v>483</v>
      </c>
      <c r="W23" s="157"/>
      <c r="X23" s="157"/>
      <c r="Y23" s="157"/>
      <c r="Z23" s="157"/>
      <c r="AA23" s="157"/>
      <c r="AB23" s="157" t="s">
        <v>484</v>
      </c>
      <c r="AC23" s="157"/>
      <c r="AD23" s="157"/>
      <c r="AE23" s="157"/>
      <c r="AF23" s="157"/>
      <c r="AG23" s="157"/>
      <c r="AH23" s="157" t="s">
        <v>485</v>
      </c>
      <c r="AI23" s="157"/>
      <c r="AJ23" s="157"/>
      <c r="AK23" s="157"/>
      <c r="AL23" s="157"/>
      <c r="AM23" s="157"/>
      <c r="AN23" s="157" t="s">
        <v>486</v>
      </c>
      <c r="AO23" s="157"/>
      <c r="AP23" s="157"/>
      <c r="AQ23" s="157"/>
      <c r="AR23" s="157"/>
      <c r="AS23" s="157"/>
      <c r="AT23" s="157" t="s">
        <v>487</v>
      </c>
      <c r="AU23" s="157"/>
      <c r="AV23" s="157"/>
      <c r="AW23" s="157"/>
      <c r="AX23" s="157"/>
      <c r="AY23" s="157"/>
      <c r="AZ23" s="157" t="s">
        <v>488</v>
      </c>
      <c r="BA23" s="157"/>
      <c r="BB23" s="157"/>
      <c r="BC23" s="157"/>
      <c r="BD23" s="157"/>
      <c r="BE23" s="158"/>
      <c r="BF23" s="157" t="s">
        <v>517</v>
      </c>
      <c r="BG23" s="157"/>
      <c r="BH23" s="157"/>
      <c r="BI23" s="157"/>
      <c r="BJ23" s="157"/>
      <c r="BK23" s="158"/>
      <c r="BL23" s="157" t="s">
        <v>518</v>
      </c>
      <c r="BM23" s="157"/>
      <c r="BN23" s="157"/>
      <c r="BO23" s="157"/>
      <c r="BP23" s="157"/>
      <c r="BQ23" s="158"/>
      <c r="BR23" s="157" t="s">
        <v>519</v>
      </c>
      <c r="BS23" s="157"/>
      <c r="BT23" s="157"/>
      <c r="BU23" s="157"/>
      <c r="BV23" s="157"/>
      <c r="BW23" s="158"/>
    </row>
    <row r="24" spans="2:75" x14ac:dyDescent="0.3">
      <c r="B24" s="173"/>
      <c r="C24" s="173"/>
      <c r="D24" s="173"/>
      <c r="E24" s="46" t="s">
        <v>480</v>
      </c>
      <c r="F24" s="46" t="s">
        <v>490</v>
      </c>
      <c r="G24" s="46" t="s">
        <v>480</v>
      </c>
      <c r="H24" s="46" t="s">
        <v>490</v>
      </c>
      <c r="I24" s="174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>C7</f>
        <v>SistemasTI</v>
      </c>
      <c r="D25" s="130">
        <f>D7</f>
        <v>128</v>
      </c>
      <c r="E25" s="131">
        <f>E7</f>
        <v>125</v>
      </c>
      <c r="F25" s="54">
        <f t="shared" ref="F25:I25" si="2">F7</f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0</v>
      </c>
      <c r="L25" s="78">
        <f t="shared" si="3"/>
        <v>0</v>
      </c>
      <c r="M25" s="78">
        <f t="shared" si="3"/>
        <v>0</v>
      </c>
      <c r="N25" s="78">
        <f t="shared" si="3"/>
        <v>0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0</v>
      </c>
      <c r="R25" s="78">
        <f t="shared" si="4"/>
        <v>0</v>
      </c>
      <c r="S25" s="78">
        <f>IF(AND(S7&lt;&gt;"",S7&gt;0),(VLOOKUP(S$6,$CC$6:$CE$12,3,0)*S7)/SUM($P7:$T7),0)</f>
        <v>0</v>
      </c>
      <c r="T25" s="78">
        <f t="shared" si="4"/>
        <v>0</v>
      </c>
      <c r="U25" s="78">
        <f t="shared" si="4"/>
        <v>0</v>
      </c>
      <c r="V25" s="77">
        <f t="shared" ref="V25:AA35" si="5">IF(AND(V7&lt;&gt;"",V7&gt;0),(VLOOKUP(V$6,$CC$6:$CE$12,3,0)*V7)/SUM($V7:$Z7),0)</f>
        <v>0</v>
      </c>
      <c r="W25" s="78">
        <f t="shared" si="5"/>
        <v>0</v>
      </c>
      <c r="X25" s="78">
        <f t="shared" si="5"/>
        <v>0</v>
      </c>
      <c r="Y25" s="78">
        <f t="shared" si="5"/>
        <v>0</v>
      </c>
      <c r="Z25" s="78">
        <f t="shared" si="5"/>
        <v>0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0</v>
      </c>
      <c r="AD25" s="78">
        <f t="shared" si="6"/>
        <v>0</v>
      </c>
      <c r="AE25" s="78">
        <f t="shared" si="6"/>
        <v>0</v>
      </c>
      <c r="AF25" s="78">
        <f t="shared" si="6"/>
        <v>0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0</v>
      </c>
      <c r="AJ25" s="78">
        <f t="shared" si="7"/>
        <v>0</v>
      </c>
      <c r="AK25" s="78">
        <f t="shared" si="7"/>
        <v>0</v>
      </c>
      <c r="AL25" s="78">
        <f t="shared" si="7"/>
        <v>0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>IF(AND(BF7&lt;&gt;"",BF7&gt;0),(VLOOKUP(BF$6,$CC$6:$CE$12,3,0)*BF7)/SUM($BF7:$BJ7),0)</f>
        <v>0</v>
      </c>
      <c r="BG25" s="78">
        <f t="shared" ref="BG25:BK25" si="11">IF(AND(BG7&lt;&gt;"",BG7&gt;0),(VLOOKUP(BG$6,$CC$6:$CE$12,3,0)*BG7)/SUM($BF7:$BJ7),0)</f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>IF(AND(BL7&lt;&gt;"",BL7&gt;0),(VLOOKUP(BL$6,$CC$6:$CE$12,3,0)*BL7)/SUM($BL7:$BP7),0)</f>
        <v>0</v>
      </c>
      <c r="BM25" s="77">
        <f t="shared" ref="BM25:BQ25" si="12">IF(AND(BM7&lt;&gt;"",BM7&gt;0),(VLOOKUP(BM$6,$CC$6:$CE$12,3,0)*BM7)/SUM($BL7:$BP7),0)</f>
        <v>0</v>
      </c>
      <c r="BN25" s="77">
        <f t="shared" si="12"/>
        <v>0</v>
      </c>
      <c r="BO25" s="77">
        <f t="shared" si="12"/>
        <v>0</v>
      </c>
      <c r="BP25" s="77">
        <f>IF(AND(BP7&lt;&gt;"",BP7&gt;0),(VLOOKUP(BP$6,$CC$6:$CE$12,3,0)*BP7)/SUM($BL7:$BP7),0)</f>
        <v>0</v>
      </c>
      <c r="BQ25" s="77">
        <f t="shared" si="12"/>
        <v>0</v>
      </c>
      <c r="BR25" s="77">
        <f>IF(AND(BR7&lt;&gt;"",BR7&gt;0),(VLOOKUP(BR$6,$CC$6:$CE$12,3,0)*BR7)/SUM($BR7:$BV7),0)</f>
        <v>0</v>
      </c>
      <c r="BS25" s="77">
        <f t="shared" ref="BS25:BW25" si="13">IF(AND(BS7&lt;&gt;"",BS7&gt;0),(VLOOKUP(BS$6,$CC$6:$CE$12,3,0)*BS7)/SUM($BR7:$BV7),0)</f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ref="BL26:BO26" si="17">IF(AND(BL8&lt;&gt;"",BL8&gt;0),(VLOOKUP(BL$6,$CC$6:$CE$12,3,0)*BL8)/SUM($BL8:$BP8),0)</f>
        <v>0</v>
      </c>
      <c r="BM26" s="77">
        <f t="shared" si="17"/>
        <v>0</v>
      </c>
      <c r="BN26" s="77">
        <f t="shared" si="17"/>
        <v>0</v>
      </c>
      <c r="BO26" s="77">
        <f t="shared" si="17"/>
        <v>0</v>
      </c>
      <c r="BP26" s="77">
        <f>IF(AND(BP8&lt;&gt;"",BP8&gt;0),(VLOOKUP(BP$6,$CC$6:$CE$12,3,0)*BP8)/SUM($BL8:$BP8),0)</f>
        <v>0</v>
      </c>
      <c r="BQ26" s="77">
        <f>IF(AND(BQ8&lt;&gt;"",BQ8&gt;0),(VLOOKUP(BQ$6,$CC$6:$CE$12,3,0)*BQ8)/SUM($BL8:$BP8),0)</f>
        <v>0</v>
      </c>
      <c r="BR26" s="77">
        <f t="shared" ref="BR26:BW26" si="18">IF(AND(BR8&lt;&gt;"",BR8&gt;0),(VLOOKUP(BR$6,$CC$6:$CE$12,3,0)*BR8)/SUM($BR8:$BV8),0)</f>
        <v>0</v>
      </c>
      <c r="BS26" s="77">
        <f t="shared" si="18"/>
        <v>0</v>
      </c>
      <c r="BT26" s="77">
        <f t="shared" si="18"/>
        <v>0</v>
      </c>
      <c r="BU26" s="77">
        <f t="shared" si="18"/>
        <v>0</v>
      </c>
      <c r="BV26" s="77">
        <f>IF(AND(BV8&lt;&gt;"",BV8&gt;0),(VLOOKUP(BV$6,$CC$6:$CE$12,3,0)*BV8)/SUM($BR8:$BV8),0)</f>
        <v>0</v>
      </c>
      <c r="BW26" s="77">
        <f t="shared" si="18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9">IF(AND(V9&lt;&gt;"",V9&gt;0),(VLOOKUP(V$6,$CC$6:$CE$12,3,0)*V9)/SUM($V9:$Z9),0)</f>
        <v>0</v>
      </c>
      <c r="W27" s="78">
        <f t="shared" si="19"/>
        <v>0</v>
      </c>
      <c r="X27" s="78">
        <f t="shared" si="19"/>
        <v>0</v>
      </c>
      <c r="Y27" s="78">
        <f t="shared" si="19"/>
        <v>0</v>
      </c>
      <c r="Z27" s="78">
        <f t="shared" si="19"/>
        <v>0</v>
      </c>
      <c r="AA27" s="78">
        <f t="shared" si="19"/>
        <v>0</v>
      </c>
      <c r="AB27" s="77">
        <f t="shared" ref="AB27:AG35" si="20">IF(AND(AB9&lt;&gt;"",AB9&gt;0),(VLOOKUP(AB$6,$CC$6:$CE$12,3,0)*AB9)/SUM($AB9:$AF9),0)</f>
        <v>0</v>
      </c>
      <c r="AC27" s="78">
        <f t="shared" si="20"/>
        <v>0</v>
      </c>
      <c r="AD27" s="78">
        <f t="shared" si="20"/>
        <v>0</v>
      </c>
      <c r="AE27" s="78">
        <f t="shared" si="20"/>
        <v>0</v>
      </c>
      <c r="AF27" s="78">
        <f t="shared" si="20"/>
        <v>0</v>
      </c>
      <c r="AG27" s="78">
        <f t="shared" si="20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1">IF(AND(BF9&lt;&gt;"",BF9&gt;0),(VLOOKUP(BF$6,$CC$6:$CE$12,3,0)*BF9)/SUM($BF9:$BJ9),0)</f>
        <v>0</v>
      </c>
      <c r="BG27" s="78">
        <f t="shared" si="21"/>
        <v>0</v>
      </c>
      <c r="BH27" s="78">
        <f t="shared" si="21"/>
        <v>0</v>
      </c>
      <c r="BI27" s="78">
        <f t="shared" si="21"/>
        <v>0</v>
      </c>
      <c r="BJ27" s="78">
        <f t="shared" si="21"/>
        <v>0</v>
      </c>
      <c r="BK27" s="78">
        <f t="shared" si="21"/>
        <v>0</v>
      </c>
      <c r="BL27" s="77">
        <f t="shared" ref="BL27:BQ27" si="22">IF(AND(BL9&lt;&gt;"",BL9&gt;0),(VLOOKUP(BL$6,$CC$6:$CE$12,3,0)*BL9)/SUM($BL9:$BP9),0)</f>
        <v>0</v>
      </c>
      <c r="BM27" s="77">
        <f t="shared" si="22"/>
        <v>0</v>
      </c>
      <c r="BN27" s="77">
        <f t="shared" si="22"/>
        <v>0</v>
      </c>
      <c r="BO27" s="77">
        <f t="shared" si="22"/>
        <v>0</v>
      </c>
      <c r="BP27" s="77">
        <f t="shared" si="22"/>
        <v>0</v>
      </c>
      <c r="BQ27" s="77">
        <f t="shared" si="22"/>
        <v>0</v>
      </c>
      <c r="BR27" s="77">
        <f t="shared" ref="BR27:BW27" si="23">IF(AND(BR9&lt;&gt;"",BR9&gt;0),(VLOOKUP(BR$6,$CC$6:$CE$12,3,0)*BR9)/SUM($BR9:$BV9),0)</f>
        <v>0</v>
      </c>
      <c r="BS27" s="77">
        <f t="shared" si="23"/>
        <v>0</v>
      </c>
      <c r="BT27" s="77">
        <f t="shared" si="23"/>
        <v>0</v>
      </c>
      <c r="BU27" s="77">
        <f t="shared" si="23"/>
        <v>0</v>
      </c>
      <c r="BV27" s="77">
        <f t="shared" si="23"/>
        <v>0</v>
      </c>
      <c r="BW27" s="77">
        <f t="shared" si="23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</v>
      </c>
      <c r="M28" s="78">
        <f t="shared" si="3"/>
        <v>0</v>
      </c>
      <c r="N28" s="78">
        <f t="shared" si="3"/>
        <v>0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</v>
      </c>
      <c r="S28" s="78">
        <f t="shared" si="4"/>
        <v>0</v>
      </c>
      <c r="T28" s="78">
        <f t="shared" si="4"/>
        <v>0</v>
      </c>
      <c r="U28" s="78">
        <f t="shared" si="4"/>
        <v>0</v>
      </c>
      <c r="V28" s="77">
        <f t="shared" si="19"/>
        <v>0</v>
      </c>
      <c r="W28" s="78">
        <f t="shared" si="19"/>
        <v>0</v>
      </c>
      <c r="X28" s="78">
        <f t="shared" si="19"/>
        <v>0</v>
      </c>
      <c r="Y28" s="78">
        <f t="shared" si="19"/>
        <v>0</v>
      </c>
      <c r="Z28" s="78">
        <f t="shared" si="19"/>
        <v>0</v>
      </c>
      <c r="AA28" s="78">
        <f t="shared" si="19"/>
        <v>0</v>
      </c>
      <c r="AB28" s="77">
        <f t="shared" si="20"/>
        <v>0</v>
      </c>
      <c r="AC28" s="78">
        <f t="shared" si="20"/>
        <v>0</v>
      </c>
      <c r="AD28" s="78">
        <f t="shared" si="20"/>
        <v>0</v>
      </c>
      <c r="AE28" s="78">
        <f t="shared" si="20"/>
        <v>0</v>
      </c>
      <c r="AF28" s="78">
        <f t="shared" si="20"/>
        <v>0</v>
      </c>
      <c r="AG28" s="78">
        <f t="shared" si="20"/>
        <v>0</v>
      </c>
      <c r="AH28" s="77">
        <f t="shared" ref="AH28:AM35" si="24">IF(AND(AH10&lt;&gt;"",AH10&gt;0),(VLOOKUP(AH$6,$CC$6:$CE$12,3,0)*AH10)/SUM($AH10:$AL10),0)</f>
        <v>0</v>
      </c>
      <c r="AI28" s="78">
        <f t="shared" si="24"/>
        <v>0</v>
      </c>
      <c r="AJ28" s="78">
        <f t="shared" si="24"/>
        <v>0</v>
      </c>
      <c r="AK28" s="78">
        <f t="shared" si="24"/>
        <v>0</v>
      </c>
      <c r="AL28" s="78">
        <f t="shared" si="24"/>
        <v>0</v>
      </c>
      <c r="AM28" s="78">
        <f t="shared" si="24"/>
        <v>0</v>
      </c>
      <c r="AN28" s="77">
        <f t="shared" si="8"/>
        <v>0</v>
      </c>
      <c r="AO28" s="78">
        <f t="shared" si="8"/>
        <v>0</v>
      </c>
      <c r="AP28" s="78">
        <f t="shared" si="8"/>
        <v>0</v>
      </c>
      <c r="AQ28" s="78">
        <f t="shared" si="8"/>
        <v>0</v>
      </c>
      <c r="AR28" s="78">
        <f t="shared" si="8"/>
        <v>0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</v>
      </c>
      <c r="AW28" s="78">
        <f t="shared" si="9"/>
        <v>0</v>
      </c>
      <c r="AX28" s="78">
        <f t="shared" si="9"/>
        <v>0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</v>
      </c>
      <c r="BC28" s="78">
        <f t="shared" si="10"/>
        <v>0</v>
      </c>
      <c r="BD28" s="78">
        <f t="shared" si="10"/>
        <v>0</v>
      </c>
      <c r="BE28" s="78">
        <f t="shared" si="10"/>
        <v>0</v>
      </c>
      <c r="BF28" s="78">
        <f t="shared" ref="BF28:BK28" si="25">IF(AND(BF10&lt;&gt;"",BF10&gt;0),(VLOOKUP(BF$6,$CC$6:$CE$12,3,0)*BF10)/SUM($BF10:$BJ10),0)</f>
        <v>0</v>
      </c>
      <c r="BG28" s="78">
        <f t="shared" si="25"/>
        <v>0</v>
      </c>
      <c r="BH28" s="78">
        <f t="shared" si="25"/>
        <v>0</v>
      </c>
      <c r="BI28" s="78">
        <f t="shared" si="25"/>
        <v>0</v>
      </c>
      <c r="BJ28" s="78">
        <f t="shared" si="25"/>
        <v>0</v>
      </c>
      <c r="BK28" s="78">
        <f t="shared" si="25"/>
        <v>0</v>
      </c>
      <c r="BL28" s="77">
        <f t="shared" ref="BL28:BN28" si="26">IF(AND(BL10&lt;&gt;"",BL10&gt;0),(VLOOKUP(BL$6,$CC$6:$CE$12,3,0)*BL10)/SUM($BL10:$BP10),0)</f>
        <v>0</v>
      </c>
      <c r="BM28" s="77">
        <f t="shared" si="26"/>
        <v>0</v>
      </c>
      <c r="BN28" s="77">
        <f t="shared" si="26"/>
        <v>0</v>
      </c>
      <c r="BO28" s="77">
        <f>IF(AND(BO10&lt;&gt;"",BO10&gt;0),(VLOOKUP(BO$6,$CC$6:$CE$12,3,0)*BO10)/SUM($BL10:$BP10),0)</f>
        <v>0</v>
      </c>
      <c r="BP28" s="77">
        <f>IF(AND(BP10&lt;&gt;"",BP10&gt;0),(VLOOKUP(BP$6,$CC$6:$CE$12,3,0)*BP10)/SUM($BL10:$BP10),0)</f>
        <v>0</v>
      </c>
      <c r="BQ28" s="77">
        <f>IF(AND(BQ10&lt;&gt;"",BQ10&gt;0),(VLOOKUP(BQ$6,$CC$6:$CE$12,3,0)*BQ10)/SUM($BL10:$BP10),0)</f>
        <v>0</v>
      </c>
      <c r="BR28" s="77">
        <f t="shared" ref="BR28:BW28" si="27">IF(AND(BR10&lt;&gt;"",BR10&gt;0),(VLOOKUP(BR$6,$CC$6:$CE$12,3,0)*BR10)/SUM($BR10:$BV10),0)</f>
        <v>0</v>
      </c>
      <c r="BS28" s="77">
        <f t="shared" si="27"/>
        <v>0</v>
      </c>
      <c r="BT28" s="77">
        <f t="shared" si="27"/>
        <v>0</v>
      </c>
      <c r="BU28" s="77">
        <f t="shared" si="27"/>
        <v>0</v>
      </c>
      <c r="BV28" s="77">
        <f t="shared" si="27"/>
        <v>0</v>
      </c>
      <c r="BW28" s="77">
        <f t="shared" si="27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</v>
      </c>
      <c r="S29" s="78">
        <f t="shared" si="4"/>
        <v>0</v>
      </c>
      <c r="T29" s="78">
        <f t="shared" si="4"/>
        <v>0</v>
      </c>
      <c r="U29" s="78">
        <f t="shared" si="4"/>
        <v>0</v>
      </c>
      <c r="V29" s="77">
        <f t="shared" si="19"/>
        <v>0</v>
      </c>
      <c r="W29" s="78">
        <f t="shared" si="19"/>
        <v>0</v>
      </c>
      <c r="X29" s="78">
        <f t="shared" si="19"/>
        <v>0</v>
      </c>
      <c r="Y29" s="78">
        <f t="shared" si="19"/>
        <v>0</v>
      </c>
      <c r="Z29" s="78">
        <f t="shared" si="19"/>
        <v>0</v>
      </c>
      <c r="AA29" s="78">
        <f t="shared" si="19"/>
        <v>0</v>
      </c>
      <c r="AB29" s="77">
        <f t="shared" si="20"/>
        <v>0</v>
      </c>
      <c r="AC29" s="78">
        <f t="shared" si="20"/>
        <v>0</v>
      </c>
      <c r="AD29" s="78">
        <f t="shared" si="20"/>
        <v>0</v>
      </c>
      <c r="AE29" s="78">
        <f t="shared" si="20"/>
        <v>0</v>
      </c>
      <c r="AF29" s="78">
        <f t="shared" si="20"/>
        <v>0</v>
      </c>
      <c r="AG29" s="78">
        <f t="shared" si="20"/>
        <v>0</v>
      </c>
      <c r="AH29" s="77">
        <f t="shared" si="24"/>
        <v>0</v>
      </c>
      <c r="AI29" s="78">
        <f t="shared" si="24"/>
        <v>0</v>
      </c>
      <c r="AJ29" s="78">
        <f t="shared" si="24"/>
        <v>0</v>
      </c>
      <c r="AK29" s="78">
        <f t="shared" si="24"/>
        <v>0</v>
      </c>
      <c r="AL29" s="78">
        <f t="shared" si="24"/>
        <v>0</v>
      </c>
      <c r="AM29" s="78">
        <f t="shared" si="24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8">IF(AND(BF11&lt;&gt;"",BF11&gt;0),(VLOOKUP(BF$6,$CC$6:$CE$12,3,0)*BF11)/SUM($BF11:$BJ11),0)</f>
        <v>0</v>
      </c>
      <c r="BG29" s="78">
        <f t="shared" si="28"/>
        <v>0</v>
      </c>
      <c r="BH29" s="78">
        <f t="shared" si="28"/>
        <v>0</v>
      </c>
      <c r="BI29" s="78">
        <f t="shared" si="28"/>
        <v>0</v>
      </c>
      <c r="BJ29" s="78">
        <f t="shared" si="28"/>
        <v>0</v>
      </c>
      <c r="BK29" s="78">
        <f t="shared" si="28"/>
        <v>0</v>
      </c>
      <c r="BL29" s="77">
        <f t="shared" ref="BL29:BQ29" si="29">IF(AND(BL11&lt;&gt;"",BL11&gt;0),(VLOOKUP(BL$6,$CC$6:$CE$12,3,0)*BL11)/SUM($BL11:$BP11),0)</f>
        <v>0</v>
      </c>
      <c r="BM29" s="77">
        <f t="shared" si="29"/>
        <v>0</v>
      </c>
      <c r="BN29" s="77">
        <f t="shared" si="29"/>
        <v>0</v>
      </c>
      <c r="BO29" s="77">
        <f t="shared" si="29"/>
        <v>0</v>
      </c>
      <c r="BP29" s="77">
        <f t="shared" si="29"/>
        <v>0</v>
      </c>
      <c r="BQ29" s="77">
        <f t="shared" si="29"/>
        <v>0</v>
      </c>
      <c r="BR29" s="77">
        <f t="shared" ref="BR29:BW29" si="30">IF(AND(BR11&lt;&gt;"",BR11&gt;0),(VLOOKUP(BR$6,$CC$6:$CE$12,3,0)*BR11)/SUM($BR11:$BV11),0)</f>
        <v>0</v>
      </c>
      <c r="BS29" s="77">
        <f t="shared" si="30"/>
        <v>0</v>
      </c>
      <c r="BT29" s="77">
        <f t="shared" si="30"/>
        <v>0</v>
      </c>
      <c r="BU29" s="77">
        <f t="shared" si="30"/>
        <v>0</v>
      </c>
      <c r="BV29" s="77">
        <f t="shared" si="30"/>
        <v>0</v>
      </c>
      <c r="BW29" s="77">
        <f t="shared" si="30"/>
        <v>0</v>
      </c>
    </row>
    <row r="30" spans="2:75" x14ac:dyDescent="0.3">
      <c r="B30" s="60">
        <v>6</v>
      </c>
      <c r="C30" s="61" t="str">
        <f t="shared" ref="C30:C35" si="31">C12</f>
        <v>Calidad</v>
      </c>
      <c r="D30" s="130">
        <f>D12</f>
        <v>70</v>
      </c>
      <c r="E30" s="131">
        <f t="shared" ref="E30:E35" si="32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</v>
      </c>
      <c r="M30" s="78">
        <f t="shared" si="3"/>
        <v>0</v>
      </c>
      <c r="N30" s="78">
        <f t="shared" si="3"/>
        <v>0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</v>
      </c>
      <c r="S30" s="78">
        <f t="shared" si="4"/>
        <v>0</v>
      </c>
      <c r="T30" s="78">
        <f t="shared" si="4"/>
        <v>0</v>
      </c>
      <c r="U30" s="78">
        <f t="shared" si="4"/>
        <v>0</v>
      </c>
      <c r="V30" s="77">
        <f t="shared" si="19"/>
        <v>0</v>
      </c>
      <c r="W30" s="78">
        <f t="shared" si="19"/>
        <v>0</v>
      </c>
      <c r="X30" s="78">
        <f t="shared" si="19"/>
        <v>0</v>
      </c>
      <c r="Y30" s="78">
        <f t="shared" si="19"/>
        <v>0</v>
      </c>
      <c r="Z30" s="78">
        <f t="shared" si="19"/>
        <v>0</v>
      </c>
      <c r="AA30" s="78">
        <f t="shared" si="19"/>
        <v>0</v>
      </c>
      <c r="AB30" s="77">
        <f t="shared" si="20"/>
        <v>0</v>
      </c>
      <c r="AC30" s="78">
        <f t="shared" si="20"/>
        <v>0</v>
      </c>
      <c r="AD30" s="78">
        <f t="shared" si="20"/>
        <v>0</v>
      </c>
      <c r="AE30" s="78">
        <f t="shared" si="20"/>
        <v>0</v>
      </c>
      <c r="AF30" s="78">
        <f t="shared" si="20"/>
        <v>0</v>
      </c>
      <c r="AG30" s="78">
        <f t="shared" si="20"/>
        <v>0</v>
      </c>
      <c r="AH30" s="77">
        <f t="shared" si="24"/>
        <v>0</v>
      </c>
      <c r="AI30" s="78">
        <f t="shared" si="24"/>
        <v>0</v>
      </c>
      <c r="AJ30" s="78">
        <f t="shared" si="24"/>
        <v>0</v>
      </c>
      <c r="AK30" s="78">
        <f t="shared" si="24"/>
        <v>0</v>
      </c>
      <c r="AL30" s="78">
        <f t="shared" si="24"/>
        <v>0</v>
      </c>
      <c r="AM30" s="78">
        <f t="shared" si="24"/>
        <v>0</v>
      </c>
      <c r="AN30" s="77">
        <f t="shared" si="8"/>
        <v>0</v>
      </c>
      <c r="AO30" s="78">
        <f t="shared" si="8"/>
        <v>0</v>
      </c>
      <c r="AP30" s="78">
        <f t="shared" si="8"/>
        <v>0</v>
      </c>
      <c r="AQ30" s="78">
        <f>IF(AND(AQ12&lt;&gt;"",AQ12&gt;0),(VLOOKUP(AQ$6,$CC$6:$CE$12,3,0)*AQ12)/SUM($AN12:$AR12),0)</f>
        <v>0</v>
      </c>
      <c r="AR30" s="78">
        <f t="shared" si="8"/>
        <v>0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</v>
      </c>
      <c r="AW30" s="78">
        <f t="shared" si="9"/>
        <v>0</v>
      </c>
      <c r="AX30" s="78">
        <f t="shared" si="9"/>
        <v>0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</v>
      </c>
      <c r="BC30" s="78">
        <f t="shared" si="10"/>
        <v>0</v>
      </c>
      <c r="BD30" s="78">
        <f t="shared" si="10"/>
        <v>0</v>
      </c>
      <c r="BE30" s="78">
        <f t="shared" si="10"/>
        <v>0</v>
      </c>
      <c r="BF30" s="78">
        <f t="shared" ref="BF30:BK30" si="33">IF(AND(BF12&lt;&gt;"",BF12&gt;0),(VLOOKUP(BF$6,$CC$6:$CE$12,3,0)*BF12)/SUM($BF12:$BJ12),0)</f>
        <v>0</v>
      </c>
      <c r="BG30" s="78">
        <f t="shared" si="33"/>
        <v>0</v>
      </c>
      <c r="BH30" s="78">
        <f t="shared" si="33"/>
        <v>0</v>
      </c>
      <c r="BI30" s="78">
        <f t="shared" si="33"/>
        <v>0</v>
      </c>
      <c r="BJ30" s="78">
        <f>IF(AND(BJ12&lt;&gt;"",BJ12&gt;0),(VLOOKUP(BJ$6,$CC$6:$CE$12,3,0)*BJ12)/SUM($BF12:$BJ12),0)</f>
        <v>0</v>
      </c>
      <c r="BK30" s="78">
        <f t="shared" si="33"/>
        <v>0</v>
      </c>
      <c r="BL30" s="77">
        <f t="shared" ref="BL30:BQ30" si="34">IF(AND(BL12&lt;&gt;"",BL12&gt;0),(VLOOKUP(BL$6,$CC$6:$CE$12,3,0)*BL12)/SUM($BL12:$BP12),0)</f>
        <v>0</v>
      </c>
      <c r="BM30" s="77">
        <f t="shared" si="34"/>
        <v>0</v>
      </c>
      <c r="BN30" s="77">
        <f t="shared" si="34"/>
        <v>0</v>
      </c>
      <c r="BO30" s="77">
        <f t="shared" si="34"/>
        <v>0</v>
      </c>
      <c r="BP30" s="77">
        <f t="shared" si="34"/>
        <v>0</v>
      </c>
      <c r="BQ30" s="77">
        <f t="shared" si="34"/>
        <v>0</v>
      </c>
      <c r="BR30" s="77">
        <f t="shared" ref="BR30:BW30" si="35">IF(AND(BR12&lt;&gt;"",BR12&gt;0),(VLOOKUP(BR$6,$CC$6:$CE$12,3,0)*BR12)/SUM($BR12:$BV12),0)</f>
        <v>0</v>
      </c>
      <c r="BS30" s="77">
        <f t="shared" si="35"/>
        <v>0</v>
      </c>
      <c r="BT30" s="77">
        <f>IF(AND(BT12&lt;&gt;"",BT12&gt;0),(VLOOKUP(BT$6,$CC$6:$CE$12,3,0)*BT12)/SUM($BR12:$BV12),0)</f>
        <v>0</v>
      </c>
      <c r="BU30" s="77">
        <f t="shared" si="35"/>
        <v>0</v>
      </c>
      <c r="BV30" s="77">
        <f t="shared" si="35"/>
        <v>0</v>
      </c>
      <c r="BW30" s="77">
        <f t="shared" si="35"/>
        <v>0</v>
      </c>
    </row>
    <row r="31" spans="2:75" x14ac:dyDescent="0.3">
      <c r="B31" s="60">
        <v>7</v>
      </c>
      <c r="C31" s="61" t="str">
        <f t="shared" si="31"/>
        <v>Administración</v>
      </c>
      <c r="D31" s="130">
        <f t="shared" si="14"/>
        <v>98</v>
      </c>
      <c r="E31" s="131">
        <f t="shared" si="32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9"/>
        <v>0</v>
      </c>
      <c r="W31" s="78">
        <f t="shared" si="19"/>
        <v>0</v>
      </c>
      <c r="X31" s="78">
        <f t="shared" si="19"/>
        <v>0</v>
      </c>
      <c r="Y31" s="78">
        <f t="shared" si="19"/>
        <v>0</v>
      </c>
      <c r="Z31" s="78">
        <f t="shared" si="19"/>
        <v>0</v>
      </c>
      <c r="AA31" s="78">
        <f t="shared" si="19"/>
        <v>0</v>
      </c>
      <c r="AB31" s="77">
        <f t="shared" si="20"/>
        <v>0</v>
      </c>
      <c r="AC31" s="78">
        <f t="shared" si="20"/>
        <v>0</v>
      </c>
      <c r="AD31" s="78">
        <f t="shared" si="20"/>
        <v>0</v>
      </c>
      <c r="AE31" s="78">
        <f t="shared" si="20"/>
        <v>0</v>
      </c>
      <c r="AF31" s="78">
        <f t="shared" si="20"/>
        <v>0</v>
      </c>
      <c r="AG31" s="78">
        <f t="shared" si="20"/>
        <v>0</v>
      </c>
      <c r="AH31" s="77">
        <f t="shared" si="24"/>
        <v>0</v>
      </c>
      <c r="AI31" s="78">
        <f t="shared" si="24"/>
        <v>0</v>
      </c>
      <c r="AJ31" s="78">
        <f t="shared" si="24"/>
        <v>0</v>
      </c>
      <c r="AK31" s="78">
        <f t="shared" si="24"/>
        <v>0</v>
      </c>
      <c r="AL31" s="78">
        <f t="shared" si="24"/>
        <v>0</v>
      </c>
      <c r="AM31" s="78">
        <f t="shared" si="24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6">IF(AND(BF13&lt;&gt;"",BF13&gt;0),(VLOOKUP(BF$6,$CC$6:$CE$12,3,0)*BF13)/SUM($BF13:$BJ13),0)</f>
        <v>0</v>
      </c>
      <c r="BG31" s="78">
        <f t="shared" si="36"/>
        <v>0</v>
      </c>
      <c r="BH31" s="78">
        <f t="shared" si="36"/>
        <v>0</v>
      </c>
      <c r="BI31" s="78">
        <f t="shared" si="36"/>
        <v>0</v>
      </c>
      <c r="BJ31" s="78">
        <f t="shared" si="36"/>
        <v>0</v>
      </c>
      <c r="BK31" s="78">
        <f t="shared" si="36"/>
        <v>0</v>
      </c>
      <c r="BL31" s="77">
        <f t="shared" ref="BL31:BQ31" si="37">IF(AND(BL13&lt;&gt;"",BL13&gt;0),(VLOOKUP(BL$6,$CC$6:$CE$12,3,0)*BL13)/SUM($BL13:$BP13),0)</f>
        <v>0</v>
      </c>
      <c r="BM31" s="77">
        <f t="shared" si="37"/>
        <v>0</v>
      </c>
      <c r="BN31" s="77">
        <f t="shared" si="37"/>
        <v>0</v>
      </c>
      <c r="BO31" s="77">
        <f t="shared" si="37"/>
        <v>0</v>
      </c>
      <c r="BP31" s="77">
        <f t="shared" si="37"/>
        <v>0</v>
      </c>
      <c r="BQ31" s="77">
        <f t="shared" si="37"/>
        <v>0</v>
      </c>
      <c r="BR31" s="77">
        <f t="shared" ref="BR31:BV31" si="38">IF(AND(BR13&lt;&gt;"",BR13&gt;0),(VLOOKUP(BR$6,$CC$6:$CE$12,3,0)*BR13)/SUM($BR13:$BV13),0)</f>
        <v>0</v>
      </c>
      <c r="BS31" s="77">
        <f t="shared" si="38"/>
        <v>0</v>
      </c>
      <c r="BT31" s="77">
        <f t="shared" si="38"/>
        <v>0</v>
      </c>
      <c r="BU31" s="77">
        <f t="shared" si="38"/>
        <v>0</v>
      </c>
      <c r="BV31" s="77">
        <f t="shared" si="38"/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1"/>
        <v>Contabilidad</v>
      </c>
      <c r="D32" s="130">
        <f t="shared" si="14"/>
        <v>122</v>
      </c>
      <c r="E32" s="131">
        <f t="shared" si="32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</v>
      </c>
      <c r="M32" s="78">
        <f t="shared" si="3"/>
        <v>0</v>
      </c>
      <c r="N32" s="78">
        <f t="shared" si="3"/>
        <v>0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</v>
      </c>
      <c r="S32" s="78">
        <f t="shared" si="4"/>
        <v>0</v>
      </c>
      <c r="T32" s="78">
        <f t="shared" si="4"/>
        <v>0</v>
      </c>
      <c r="U32" s="78">
        <f t="shared" si="4"/>
        <v>0</v>
      </c>
      <c r="V32" s="77">
        <f t="shared" si="19"/>
        <v>0</v>
      </c>
      <c r="W32" s="78">
        <f t="shared" si="19"/>
        <v>0</v>
      </c>
      <c r="X32" s="78">
        <f t="shared" si="19"/>
        <v>0</v>
      </c>
      <c r="Y32" s="78">
        <f t="shared" si="19"/>
        <v>0</v>
      </c>
      <c r="Z32" s="78">
        <f t="shared" si="19"/>
        <v>0</v>
      </c>
      <c r="AA32" s="78">
        <f t="shared" si="19"/>
        <v>0</v>
      </c>
      <c r="AB32" s="77">
        <f t="shared" si="20"/>
        <v>0</v>
      </c>
      <c r="AC32" s="78">
        <f t="shared" si="20"/>
        <v>0</v>
      </c>
      <c r="AD32" s="78">
        <f t="shared" si="20"/>
        <v>0</v>
      </c>
      <c r="AE32" s="78">
        <f t="shared" si="20"/>
        <v>0</v>
      </c>
      <c r="AF32" s="78">
        <f t="shared" si="20"/>
        <v>0</v>
      </c>
      <c r="AG32" s="78">
        <f t="shared" si="20"/>
        <v>0</v>
      </c>
      <c r="AH32" s="77">
        <f t="shared" si="24"/>
        <v>0</v>
      </c>
      <c r="AI32" s="78">
        <f t="shared" si="24"/>
        <v>0</v>
      </c>
      <c r="AJ32" s="78">
        <f t="shared" si="24"/>
        <v>0</v>
      </c>
      <c r="AK32" s="78">
        <f t="shared" si="24"/>
        <v>0</v>
      </c>
      <c r="AL32" s="78">
        <f t="shared" si="24"/>
        <v>0</v>
      </c>
      <c r="AM32" s="78">
        <f t="shared" si="24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J32" si="39">IF(AND(BF14&lt;&gt;"",BF14&gt;0),(VLOOKUP(BF$6,$CC$6:$CE$12,3,0)*BF14)/SUM($BF14:$BJ14),0)</f>
        <v>0</v>
      </c>
      <c r="BG32" s="78">
        <f t="shared" si="39"/>
        <v>0</v>
      </c>
      <c r="BH32" s="78">
        <f t="shared" si="39"/>
        <v>0</v>
      </c>
      <c r="BI32" s="78">
        <f t="shared" si="39"/>
        <v>0</v>
      </c>
      <c r="BJ32" s="78">
        <f t="shared" si="39"/>
        <v>0</v>
      </c>
      <c r="BK32" s="78">
        <f>IF(AND(BK14&lt;&gt;"",BK14&gt;0),(VLOOKUP(BK$6,$CC$6:$CE$12,3,0)*BK14)/SUM($BF14:$BJ14),0)</f>
        <v>0</v>
      </c>
      <c r="BL32" s="77">
        <f t="shared" ref="BL32:BQ32" si="40">IF(AND(BL14&lt;&gt;"",BL14&gt;0),(VLOOKUP(BL$6,$CC$6:$CE$12,3,0)*BL14)/SUM($BL14:$BP14),0)</f>
        <v>0</v>
      </c>
      <c r="BM32" s="77">
        <f t="shared" si="40"/>
        <v>0</v>
      </c>
      <c r="BN32" s="77">
        <f t="shared" si="40"/>
        <v>0</v>
      </c>
      <c r="BO32" s="77">
        <f t="shared" si="40"/>
        <v>0</v>
      </c>
      <c r="BP32" s="77">
        <f t="shared" si="40"/>
        <v>0</v>
      </c>
      <c r="BQ32" s="77">
        <f t="shared" si="40"/>
        <v>0</v>
      </c>
      <c r="BR32" s="77">
        <f t="shared" ref="BR32:BW32" si="41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41"/>
        <v>0</v>
      </c>
      <c r="BU32" s="77">
        <f t="shared" si="41"/>
        <v>0</v>
      </c>
      <c r="BV32" s="77">
        <f t="shared" si="41"/>
        <v>0</v>
      </c>
      <c r="BW32" s="77">
        <f t="shared" si="41"/>
        <v>0</v>
      </c>
    </row>
    <row r="33" spans="2:75" x14ac:dyDescent="0.3">
      <c r="B33" s="60">
        <v>9</v>
      </c>
      <c r="C33" s="61" t="str">
        <f t="shared" si="31"/>
        <v>ControlDeGestión</v>
      </c>
      <c r="D33" s="130">
        <f t="shared" si="14"/>
        <v>105</v>
      </c>
      <c r="E33" s="131">
        <f t="shared" si="32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0</v>
      </c>
      <c r="L33" s="78">
        <f t="shared" si="3"/>
        <v>0</v>
      </c>
      <c r="M33" s="78">
        <f t="shared" si="3"/>
        <v>0</v>
      </c>
      <c r="N33" s="78">
        <f t="shared" si="3"/>
        <v>0</v>
      </c>
      <c r="O33" s="78">
        <f t="shared" si="3"/>
        <v>0</v>
      </c>
      <c r="P33" s="77">
        <f t="shared" si="4"/>
        <v>0</v>
      </c>
      <c r="Q33" s="78">
        <f t="shared" si="4"/>
        <v>0</v>
      </c>
      <c r="R33" s="78">
        <f t="shared" si="4"/>
        <v>0</v>
      </c>
      <c r="S33" s="78">
        <f t="shared" si="4"/>
        <v>0</v>
      </c>
      <c r="T33" s="78">
        <f t="shared" si="4"/>
        <v>0</v>
      </c>
      <c r="U33" s="78">
        <f t="shared" si="4"/>
        <v>0</v>
      </c>
      <c r="V33" s="77">
        <f t="shared" si="5"/>
        <v>0</v>
      </c>
      <c r="W33" s="78">
        <f t="shared" si="5"/>
        <v>0</v>
      </c>
      <c r="X33" s="78">
        <f t="shared" si="5"/>
        <v>0</v>
      </c>
      <c r="Y33" s="78">
        <f t="shared" si="5"/>
        <v>0</v>
      </c>
      <c r="Z33" s="78">
        <f t="shared" si="5"/>
        <v>0</v>
      </c>
      <c r="AA33" s="78">
        <f t="shared" si="5"/>
        <v>0</v>
      </c>
      <c r="AB33" s="77">
        <f t="shared" si="20"/>
        <v>0</v>
      </c>
      <c r="AC33" s="78">
        <f t="shared" si="20"/>
        <v>0</v>
      </c>
      <c r="AD33" s="78">
        <f t="shared" si="20"/>
        <v>0</v>
      </c>
      <c r="AE33" s="78">
        <f t="shared" si="20"/>
        <v>0</v>
      </c>
      <c r="AF33" s="78">
        <f t="shared" si="20"/>
        <v>0</v>
      </c>
      <c r="AG33" s="78">
        <f t="shared" si="20"/>
        <v>0</v>
      </c>
      <c r="AH33" s="77">
        <f t="shared" si="24"/>
        <v>0</v>
      </c>
      <c r="AI33" s="78">
        <f t="shared" si="24"/>
        <v>0</v>
      </c>
      <c r="AJ33" s="78">
        <f t="shared" si="24"/>
        <v>0</v>
      </c>
      <c r="AK33" s="78">
        <f t="shared" si="24"/>
        <v>0</v>
      </c>
      <c r="AL33" s="78">
        <f t="shared" si="24"/>
        <v>0</v>
      </c>
      <c r="AM33" s="78">
        <f t="shared" si="24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2">IF(AND(BF15&lt;&gt;"",BF15&gt;0),(VLOOKUP(BF$6,$CC$6:$CE$12,3,0)*BF15)/SUM($BF15:$BJ15),0)</f>
        <v>0</v>
      </c>
      <c r="BG33" s="78">
        <f t="shared" si="42"/>
        <v>0</v>
      </c>
      <c r="BH33" s="78">
        <f t="shared" si="42"/>
        <v>0</v>
      </c>
      <c r="BI33" s="78">
        <f t="shared" si="42"/>
        <v>0</v>
      </c>
      <c r="BJ33" s="78">
        <f>IF(AND(BJ15&lt;&gt;"",BJ15&gt;0),(VLOOKUP(BJ$6,$CC$6:$CE$12,3,0)*BJ15)/SUM($BF15:$BJ15),0)</f>
        <v>0</v>
      </c>
      <c r="BK33" s="78">
        <f t="shared" si="42"/>
        <v>0</v>
      </c>
      <c r="BL33" s="77">
        <f t="shared" ref="BL33:BP33" si="43">IF(AND(BL15&lt;&gt;"",BL15&gt;0),(VLOOKUP(BL$6,$CC$6:$CE$12,3,0)*BL15)/SUM($BL15:$BP15),0)</f>
        <v>0</v>
      </c>
      <c r="BM33" s="77">
        <f t="shared" si="43"/>
        <v>0</v>
      </c>
      <c r="BN33" s="77">
        <f t="shared" si="43"/>
        <v>0</v>
      </c>
      <c r="BO33" s="77">
        <f t="shared" si="43"/>
        <v>0</v>
      </c>
      <c r="BP33" s="77">
        <f t="shared" si="43"/>
        <v>0</v>
      </c>
      <c r="BQ33" s="77">
        <f>IF(AND(BQ15&lt;&gt;"",BQ15&gt;0),(VLOOKUP(BQ$6,$CC$6:$CE$12,3,0)*BQ15)/SUM($BL15:$BP15),0)</f>
        <v>0</v>
      </c>
      <c r="BR33" s="77">
        <f t="shared" ref="BR33:BW33" si="44">IF(AND(BR15&lt;&gt;"",BR15&gt;0),(VLOOKUP(BR$6,$CC$6:$CE$12,3,0)*BR15)/SUM($BR15:$BV15),0)</f>
        <v>0</v>
      </c>
      <c r="BS33" s="77">
        <f t="shared" si="44"/>
        <v>0</v>
      </c>
      <c r="BT33" s="77">
        <f t="shared" si="44"/>
        <v>0</v>
      </c>
      <c r="BU33" s="77">
        <f t="shared" si="44"/>
        <v>0</v>
      </c>
      <c r="BV33" s="77">
        <f t="shared" si="44"/>
        <v>0</v>
      </c>
      <c r="BW33" s="77">
        <f t="shared" si="44"/>
        <v>0</v>
      </c>
    </row>
    <row r="34" spans="2:75" x14ac:dyDescent="0.3">
      <c r="B34" s="60">
        <v>10</v>
      </c>
      <c r="C34" s="61" t="str">
        <f t="shared" si="31"/>
        <v>Compras</v>
      </c>
      <c r="D34" s="130">
        <f t="shared" si="14"/>
        <v>77</v>
      </c>
      <c r="E34" s="131">
        <f t="shared" si="32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5"/>
        <v>0</v>
      </c>
      <c r="W34" s="78">
        <f t="shared" si="5"/>
        <v>0</v>
      </c>
      <c r="X34" s="78">
        <f t="shared" si="5"/>
        <v>0</v>
      </c>
      <c r="Y34" s="78">
        <f t="shared" si="5"/>
        <v>0</v>
      </c>
      <c r="Z34" s="78">
        <f t="shared" si="5"/>
        <v>0</v>
      </c>
      <c r="AA34" s="78">
        <f t="shared" si="5"/>
        <v>0</v>
      </c>
      <c r="AB34" s="77">
        <f t="shared" si="20"/>
        <v>0</v>
      </c>
      <c r="AC34" s="78">
        <f t="shared" si="20"/>
        <v>0</v>
      </c>
      <c r="AD34" s="78">
        <f t="shared" si="20"/>
        <v>0</v>
      </c>
      <c r="AE34" s="78">
        <f t="shared" si="20"/>
        <v>0</v>
      </c>
      <c r="AF34" s="78">
        <f t="shared" si="20"/>
        <v>0</v>
      </c>
      <c r="AG34" s="78">
        <f t="shared" si="20"/>
        <v>0</v>
      </c>
      <c r="AH34" s="77">
        <f t="shared" si="24"/>
        <v>0</v>
      </c>
      <c r="AI34" s="78">
        <f t="shared" si="24"/>
        <v>0</v>
      </c>
      <c r="AJ34" s="78">
        <f t="shared" si="24"/>
        <v>0</v>
      </c>
      <c r="AK34" s="78">
        <f t="shared" si="24"/>
        <v>0</v>
      </c>
      <c r="AL34" s="78">
        <f t="shared" si="24"/>
        <v>0</v>
      </c>
      <c r="AM34" s="78">
        <f t="shared" si="24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5">IF(AND(BF16&lt;&gt;"",BF16&gt;0),(VLOOKUP(BF$6,$CC$6:$CE$12,3,0)*BF16)/SUM($BF16:$BJ16),0)</f>
        <v>0</v>
      </c>
      <c r="BG34" s="78">
        <f t="shared" si="45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5"/>
        <v>0</v>
      </c>
      <c r="BK34" s="78">
        <f t="shared" si="45"/>
        <v>0</v>
      </c>
      <c r="BL34" s="77">
        <f t="shared" ref="BL34:BQ34" si="46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6"/>
        <v>0</v>
      </c>
      <c r="BO34" s="77">
        <f t="shared" si="46"/>
        <v>0</v>
      </c>
      <c r="BP34" s="77">
        <f t="shared" si="46"/>
        <v>0</v>
      </c>
      <c r="BQ34" s="77">
        <f t="shared" si="46"/>
        <v>0</v>
      </c>
      <c r="BR34" s="77">
        <f>IF(AND(BR16&lt;&gt;"",BR16&gt;0),(VLOOKUP(BR$6,$CC$6:$CE$12,3,0)*BR16)/SUM($BR16:$BV16),0)</f>
        <v>0</v>
      </c>
      <c r="BS34" s="77">
        <f t="shared" ref="BS34:BW34" si="47">IF(AND(BS16&lt;&gt;"",BS16&gt;0),(VLOOKUP(BS$6,$CC$6:$CE$12,3,0)*BS16)/SUM($BR16:$BV16),0)</f>
        <v>0</v>
      </c>
      <c r="BT34" s="77">
        <f>IF(AND(BT16&lt;&gt;"",BT16&gt;0),(VLOOKUP(BT$6,$CC$6:$CE$12,3,0)*BT16)/SUM($BR16:$BV16),0)</f>
        <v>0</v>
      </c>
      <c r="BU34" s="77">
        <f t="shared" si="47"/>
        <v>0</v>
      </c>
      <c r="BV34" s="77">
        <f t="shared" si="47"/>
        <v>0</v>
      </c>
      <c r="BW34" s="77">
        <f t="shared" si="47"/>
        <v>0</v>
      </c>
    </row>
    <row r="35" spans="2:75" x14ac:dyDescent="0.3">
      <c r="B35" s="65">
        <v>11</v>
      </c>
      <c r="C35" s="61" t="str">
        <f t="shared" si="31"/>
        <v>RiesgosYCumplimiento</v>
      </c>
      <c r="D35" s="130">
        <f t="shared" si="14"/>
        <v>78</v>
      </c>
      <c r="E35" s="131">
        <f t="shared" si="32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0</v>
      </c>
      <c r="L35" s="80">
        <f t="shared" si="3"/>
        <v>0</v>
      </c>
      <c r="M35" s="80">
        <f t="shared" si="3"/>
        <v>0</v>
      </c>
      <c r="N35" s="80">
        <f t="shared" si="3"/>
        <v>0</v>
      </c>
      <c r="O35" s="80">
        <f t="shared" si="3"/>
        <v>0</v>
      </c>
      <c r="P35" s="79">
        <f t="shared" si="4"/>
        <v>0</v>
      </c>
      <c r="Q35" s="80">
        <f t="shared" si="4"/>
        <v>0</v>
      </c>
      <c r="R35" s="80">
        <f t="shared" si="4"/>
        <v>0</v>
      </c>
      <c r="S35" s="80">
        <f t="shared" si="4"/>
        <v>0</v>
      </c>
      <c r="T35" s="80">
        <f t="shared" si="4"/>
        <v>0</v>
      </c>
      <c r="U35" s="81">
        <f t="shared" si="4"/>
        <v>0</v>
      </c>
      <c r="V35" s="79">
        <f t="shared" si="5"/>
        <v>0</v>
      </c>
      <c r="W35" s="80">
        <f t="shared" si="5"/>
        <v>0</v>
      </c>
      <c r="X35" s="80">
        <f t="shared" si="5"/>
        <v>0</v>
      </c>
      <c r="Y35" s="80">
        <f t="shared" si="5"/>
        <v>0</v>
      </c>
      <c r="Z35" s="80">
        <f t="shared" si="5"/>
        <v>0</v>
      </c>
      <c r="AA35" s="81">
        <f t="shared" si="5"/>
        <v>0</v>
      </c>
      <c r="AB35" s="79">
        <f t="shared" si="20"/>
        <v>0</v>
      </c>
      <c r="AC35" s="80">
        <f t="shared" si="20"/>
        <v>0</v>
      </c>
      <c r="AD35" s="80">
        <f t="shared" si="20"/>
        <v>0</v>
      </c>
      <c r="AE35" s="80">
        <f t="shared" si="20"/>
        <v>0</v>
      </c>
      <c r="AF35" s="80">
        <f t="shared" si="20"/>
        <v>0</v>
      </c>
      <c r="AG35" s="81">
        <f t="shared" si="20"/>
        <v>0</v>
      </c>
      <c r="AH35" s="79">
        <f t="shared" si="24"/>
        <v>0</v>
      </c>
      <c r="AI35" s="80">
        <f t="shared" si="24"/>
        <v>0</v>
      </c>
      <c r="AJ35" s="80">
        <f t="shared" si="24"/>
        <v>0</v>
      </c>
      <c r="AK35" s="80">
        <f t="shared" si="24"/>
        <v>0</v>
      </c>
      <c r="AL35" s="80">
        <f t="shared" si="24"/>
        <v>0</v>
      </c>
      <c r="AM35" s="81">
        <f t="shared" si="24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8">IF(AND(BF17&lt;&gt;"",BF17&gt;0),(VLOOKUP(BF$6,$CC$6:$CE$12,3,0)*BF17)/SUM($BF17:$BJ17),0)</f>
        <v>0</v>
      </c>
      <c r="BG35" s="78">
        <f t="shared" si="48"/>
        <v>0</v>
      </c>
      <c r="BH35" s="78">
        <f t="shared" si="48"/>
        <v>0</v>
      </c>
      <c r="BI35" s="78">
        <f t="shared" si="48"/>
        <v>0</v>
      </c>
      <c r="BJ35" s="78">
        <f t="shared" si="48"/>
        <v>0</v>
      </c>
      <c r="BK35" s="78">
        <f t="shared" si="48"/>
        <v>0</v>
      </c>
      <c r="BL35" s="77">
        <f>IF(AND(BL17&lt;&gt;"",BL17&gt;0),(VLOOKUP(BL$6,$CC$6:$CE$12,3,0)*BL17)/SUM($BL17:$BP17),0)</f>
        <v>0</v>
      </c>
      <c r="BM35" s="77">
        <f t="shared" ref="BM35:BQ35" si="49">IF(AND(BM17&lt;&gt;"",BM17&gt;0),(VLOOKUP(BM$6,$CC$6:$CE$12,3,0)*BM17)/SUM($BL17:$BP17),0)</f>
        <v>0</v>
      </c>
      <c r="BN35" s="77">
        <f t="shared" si="49"/>
        <v>0</v>
      </c>
      <c r="BO35" s="77">
        <f t="shared" si="49"/>
        <v>0</v>
      </c>
      <c r="BP35" s="77">
        <f t="shared" si="49"/>
        <v>0</v>
      </c>
      <c r="BQ35" s="77">
        <f t="shared" si="49"/>
        <v>0</v>
      </c>
      <c r="BR35" s="77">
        <f t="shared" ref="BR35:BV35" si="50">IF(AND(BR17&lt;&gt;"",BR17&gt;0),(VLOOKUP(BR$6,$CC$6:$CE$12,3,0)*BR17)/SUM($BR17:$BV17),0)</f>
        <v>0</v>
      </c>
      <c r="BS35" s="77">
        <f t="shared" si="50"/>
        <v>0</v>
      </c>
      <c r="BT35" s="77">
        <f t="shared" si="50"/>
        <v>0</v>
      </c>
      <c r="BU35" s="77">
        <f>IF(AND(BU17&lt;&gt;"",BU17&gt;0),(VLOOKUP(BU$6,$CC$6:$CE$12,3,0)*BU17)/SUM($BR17:$BV17),0)</f>
        <v>0</v>
      </c>
      <c r="BV35" s="77">
        <f t="shared" si="50"/>
        <v>0</v>
      </c>
      <c r="BW35" s="77">
        <f>IF(AND(BW17&lt;&gt;"",BW17&gt;0),(VLOOKUP(BW$6,$CC$6:$CE$12,3,0)*BW17)/SUM($BR17:$BV17),0)</f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502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64" t="s">
        <v>474</v>
      </c>
      <c r="F43" s="166" t="s">
        <v>5</v>
      </c>
      <c r="G43" s="167"/>
      <c r="H43" s="167"/>
      <c r="I43" s="168"/>
      <c r="J43" s="162" t="s">
        <v>503</v>
      </c>
      <c r="K43" s="160"/>
      <c r="L43" s="160"/>
      <c r="M43" s="160"/>
      <c r="N43" s="160"/>
      <c r="O43" s="160"/>
      <c r="P43" s="160"/>
      <c r="Q43" s="160"/>
      <c r="R43" s="160"/>
      <c r="S43" s="160"/>
      <c r="T43" s="160"/>
    </row>
    <row r="44" spans="2:75" x14ac:dyDescent="0.3">
      <c r="E44" s="165"/>
      <c r="F44" s="169"/>
      <c r="G44" s="170"/>
      <c r="H44" s="170"/>
      <c r="I44" s="171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504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51">SUM(J25:O25)</f>
        <v>0</v>
      </c>
      <c r="K45" s="91">
        <f t="shared" ref="K45:K55" si="52">SUM(P25:U25)</f>
        <v>0</v>
      </c>
      <c r="L45" s="91">
        <f t="shared" ref="L45:L55" si="53">SUM(V25:AA25)</f>
        <v>0</v>
      </c>
      <c r="M45" s="91">
        <f t="shared" ref="M45:M55" si="54">SUM(AB25:AG25)</f>
        <v>0</v>
      </c>
      <c r="N45" s="91">
        <f t="shared" ref="N45:N55" si="55">SUM(AH25:AM25)</f>
        <v>0</v>
      </c>
      <c r="O45" s="91">
        <f t="shared" ref="O45:O55" si="56">SUM(AN25:AS25)</f>
        <v>0</v>
      </c>
      <c r="P45" s="91">
        <f t="shared" ref="P45:P55" si="57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8">IFERROR(AVERAGEIF(J45:Q45,"&gt;0",J45:Q45),0)</f>
        <v>0</v>
      </c>
      <c r="V45" s="93"/>
      <c r="W45" s="92">
        <v>4.4600389863547756</v>
      </c>
    </row>
    <row r="46" spans="2:75" x14ac:dyDescent="0.3">
      <c r="E46" s="60">
        <v>2</v>
      </c>
      <c r="F46" s="94" t="s">
        <v>500</v>
      </c>
      <c r="I46" s="95"/>
      <c r="J46" s="96">
        <f t="shared" si="51"/>
        <v>0</v>
      </c>
      <c r="K46" s="96">
        <f t="shared" si="52"/>
        <v>0</v>
      </c>
      <c r="L46" s="96">
        <f t="shared" si="53"/>
        <v>0</v>
      </c>
      <c r="M46" s="96">
        <f t="shared" si="54"/>
        <v>0</v>
      </c>
      <c r="N46" s="96">
        <f t="shared" si="55"/>
        <v>0</v>
      </c>
      <c r="O46" s="96">
        <f t="shared" si="56"/>
        <v>0</v>
      </c>
      <c r="P46" s="96">
        <f t="shared" si="57"/>
        <v>0</v>
      </c>
      <c r="Q46" s="96">
        <f t="shared" ref="Q46:Q55" si="59">SUM(AZ26:BE26)</f>
        <v>0</v>
      </c>
      <c r="R46" s="141">
        <f t="shared" ref="R46:R55" si="60">SUM(BF26:BK26)</f>
        <v>0</v>
      </c>
      <c r="S46" s="141">
        <f t="shared" ref="S46:S55" si="61">SUM(BL26:BQ26)</f>
        <v>0</v>
      </c>
      <c r="T46" s="141">
        <f t="shared" ref="T46:T55" si="62">SUM(BR26:BW26)</f>
        <v>0</v>
      </c>
      <c r="U46" s="97">
        <f t="shared" si="58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67</v>
      </c>
      <c r="I47" s="95"/>
      <c r="J47" s="96">
        <f t="shared" si="51"/>
        <v>0</v>
      </c>
      <c r="K47" s="96">
        <f t="shared" si="52"/>
        <v>0</v>
      </c>
      <c r="L47" s="96">
        <f t="shared" si="53"/>
        <v>0</v>
      </c>
      <c r="M47" s="96">
        <f t="shared" si="54"/>
        <v>0</v>
      </c>
      <c r="N47" s="96">
        <f t="shared" si="55"/>
        <v>0</v>
      </c>
      <c r="O47" s="96">
        <f t="shared" si="56"/>
        <v>0</v>
      </c>
      <c r="P47" s="96">
        <f t="shared" si="57"/>
        <v>0</v>
      </c>
      <c r="Q47" s="96">
        <f t="shared" si="59"/>
        <v>0</v>
      </c>
      <c r="R47" s="141">
        <f t="shared" si="60"/>
        <v>0</v>
      </c>
      <c r="S47" s="141">
        <f t="shared" si="61"/>
        <v>0</v>
      </c>
      <c r="T47" s="141">
        <f t="shared" si="62"/>
        <v>0</v>
      </c>
      <c r="U47" s="97">
        <f t="shared" si="58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51"/>
        <v>0</v>
      </c>
      <c r="K48" s="96">
        <f t="shared" si="52"/>
        <v>0</v>
      </c>
      <c r="L48" s="96">
        <f t="shared" si="53"/>
        <v>0</v>
      </c>
      <c r="M48" s="96">
        <f t="shared" si="54"/>
        <v>0</v>
      </c>
      <c r="N48" s="96">
        <f t="shared" si="55"/>
        <v>0</v>
      </c>
      <c r="O48" s="96">
        <f t="shared" si="56"/>
        <v>0</v>
      </c>
      <c r="P48" s="96">
        <f t="shared" si="57"/>
        <v>0</v>
      </c>
      <c r="Q48" s="96">
        <f t="shared" si="59"/>
        <v>0</v>
      </c>
      <c r="R48" s="141">
        <f t="shared" si="60"/>
        <v>0</v>
      </c>
      <c r="S48" s="141">
        <f t="shared" si="61"/>
        <v>0</v>
      </c>
      <c r="T48" s="141">
        <f t="shared" si="62"/>
        <v>0</v>
      </c>
      <c r="U48" s="97">
        <f t="shared" si="58"/>
        <v>0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51"/>
        <v>0</v>
      </c>
      <c r="K49" s="96">
        <f t="shared" si="52"/>
        <v>0</v>
      </c>
      <c r="L49" s="96">
        <f t="shared" si="53"/>
        <v>0</v>
      </c>
      <c r="M49" s="96">
        <f t="shared" si="54"/>
        <v>0</v>
      </c>
      <c r="N49" s="96">
        <f t="shared" si="55"/>
        <v>0</v>
      </c>
      <c r="O49" s="96">
        <f t="shared" si="56"/>
        <v>0</v>
      </c>
      <c r="P49" s="96">
        <f t="shared" si="57"/>
        <v>0</v>
      </c>
      <c r="Q49" s="96">
        <f t="shared" si="59"/>
        <v>0</v>
      </c>
      <c r="R49" s="141">
        <f>SUM(BF29:BK29)</f>
        <v>0</v>
      </c>
      <c r="S49" s="141">
        <f t="shared" si="61"/>
        <v>0</v>
      </c>
      <c r="T49" s="141">
        <f t="shared" si="62"/>
        <v>0</v>
      </c>
      <c r="U49" s="99">
        <f t="shared" si="58"/>
        <v>0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51"/>
        <v>0</v>
      </c>
      <c r="K50" s="96">
        <f t="shared" si="52"/>
        <v>0</v>
      </c>
      <c r="L50" s="96">
        <f t="shared" si="53"/>
        <v>0</v>
      </c>
      <c r="M50" s="96">
        <f t="shared" si="54"/>
        <v>0</v>
      </c>
      <c r="N50" s="96">
        <f t="shared" si="55"/>
        <v>0</v>
      </c>
      <c r="O50" s="96">
        <f t="shared" si="56"/>
        <v>0</v>
      </c>
      <c r="P50" s="96">
        <f t="shared" si="57"/>
        <v>0</v>
      </c>
      <c r="Q50" s="96">
        <f t="shared" si="59"/>
        <v>0</v>
      </c>
      <c r="R50" s="141">
        <f t="shared" si="60"/>
        <v>0</v>
      </c>
      <c r="S50" s="141">
        <f>SUM(BL30:BQ30)</f>
        <v>0</v>
      </c>
      <c r="T50" s="141">
        <f t="shared" si="62"/>
        <v>0</v>
      </c>
      <c r="U50" s="97">
        <f t="shared" si="58"/>
        <v>0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51"/>
        <v>0</v>
      </c>
      <c r="K51" s="96">
        <f t="shared" si="52"/>
        <v>0</v>
      </c>
      <c r="L51" s="96">
        <f t="shared" si="53"/>
        <v>0</v>
      </c>
      <c r="M51" s="96">
        <f t="shared" si="54"/>
        <v>0</v>
      </c>
      <c r="N51" s="96">
        <f t="shared" si="55"/>
        <v>0</v>
      </c>
      <c r="O51" s="96">
        <f t="shared" si="56"/>
        <v>0</v>
      </c>
      <c r="P51" s="96">
        <f t="shared" si="57"/>
        <v>0</v>
      </c>
      <c r="Q51" s="96">
        <f t="shared" si="59"/>
        <v>0</v>
      </c>
      <c r="R51" s="141">
        <f t="shared" si="60"/>
        <v>0</v>
      </c>
      <c r="S51" s="141">
        <f t="shared" si="61"/>
        <v>0</v>
      </c>
      <c r="T51" s="141">
        <f t="shared" si="62"/>
        <v>0</v>
      </c>
      <c r="U51" s="97">
        <f t="shared" si="58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51"/>
        <v>0</v>
      </c>
      <c r="K52" s="100">
        <f t="shared" si="52"/>
        <v>0</v>
      </c>
      <c r="L52" s="100">
        <f t="shared" si="53"/>
        <v>0</v>
      </c>
      <c r="M52" s="100">
        <f t="shared" si="54"/>
        <v>0</v>
      </c>
      <c r="N52" s="100">
        <f t="shared" si="55"/>
        <v>0</v>
      </c>
      <c r="O52" s="100">
        <f t="shared" si="56"/>
        <v>0</v>
      </c>
      <c r="P52" s="100">
        <f t="shared" si="57"/>
        <v>0</v>
      </c>
      <c r="Q52" s="100">
        <f t="shared" si="59"/>
        <v>0</v>
      </c>
      <c r="R52" s="141">
        <f t="shared" si="60"/>
        <v>0</v>
      </c>
      <c r="S52" s="141">
        <f t="shared" si="61"/>
        <v>0</v>
      </c>
      <c r="T52" s="141">
        <f t="shared" si="62"/>
        <v>0</v>
      </c>
      <c r="U52" s="97">
        <f t="shared" si="58"/>
        <v>0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93</v>
      </c>
      <c r="I53" s="95"/>
      <c r="J53" s="96">
        <f t="shared" si="51"/>
        <v>0</v>
      </c>
      <c r="K53" s="96">
        <f t="shared" si="52"/>
        <v>0</v>
      </c>
      <c r="L53" s="96">
        <f t="shared" si="53"/>
        <v>0</v>
      </c>
      <c r="M53" s="96">
        <f t="shared" si="54"/>
        <v>0</v>
      </c>
      <c r="N53" s="96">
        <f t="shared" si="55"/>
        <v>0</v>
      </c>
      <c r="O53" s="96">
        <f t="shared" si="56"/>
        <v>0</v>
      </c>
      <c r="P53" s="96">
        <f t="shared" si="57"/>
        <v>0</v>
      </c>
      <c r="Q53" s="96">
        <f t="shared" si="59"/>
        <v>0</v>
      </c>
      <c r="R53" s="141">
        <f>SUM(BF33:BK33)</f>
        <v>0</v>
      </c>
      <c r="S53" s="141">
        <f t="shared" si="61"/>
        <v>0</v>
      </c>
      <c r="T53" s="141">
        <f t="shared" si="62"/>
        <v>0</v>
      </c>
      <c r="U53" s="99">
        <f t="shared" si="58"/>
        <v>0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51"/>
        <v>0</v>
      </c>
      <c r="K54" s="96">
        <f t="shared" si="52"/>
        <v>0</v>
      </c>
      <c r="L54" s="96">
        <f t="shared" si="53"/>
        <v>0</v>
      </c>
      <c r="M54" s="96">
        <f t="shared" si="54"/>
        <v>0</v>
      </c>
      <c r="N54" s="96">
        <f t="shared" si="55"/>
        <v>0</v>
      </c>
      <c r="O54" s="96">
        <f t="shared" si="56"/>
        <v>0</v>
      </c>
      <c r="P54" s="96">
        <f t="shared" si="57"/>
        <v>0</v>
      </c>
      <c r="Q54" s="96">
        <f t="shared" si="59"/>
        <v>0</v>
      </c>
      <c r="R54" s="141">
        <f t="shared" si="60"/>
        <v>0</v>
      </c>
      <c r="S54" s="141">
        <f t="shared" si="61"/>
        <v>0</v>
      </c>
      <c r="T54" s="141">
        <f t="shared" si="62"/>
        <v>0</v>
      </c>
      <c r="U54" s="97">
        <f t="shared" si="58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51"/>
        <v>0</v>
      </c>
      <c r="K55" s="104">
        <f t="shared" si="52"/>
        <v>0</v>
      </c>
      <c r="L55" s="104">
        <f t="shared" si="53"/>
        <v>0</v>
      </c>
      <c r="M55" s="104">
        <f t="shared" si="54"/>
        <v>0</v>
      </c>
      <c r="N55" s="104">
        <f t="shared" si="55"/>
        <v>0</v>
      </c>
      <c r="O55" s="104">
        <f t="shared" si="56"/>
        <v>0</v>
      </c>
      <c r="P55" s="104">
        <f t="shared" si="57"/>
        <v>0</v>
      </c>
      <c r="Q55" s="104">
        <f t="shared" si="59"/>
        <v>0</v>
      </c>
      <c r="R55" s="141">
        <f t="shared" si="60"/>
        <v>0</v>
      </c>
      <c r="S55" s="141">
        <f t="shared" si="61"/>
        <v>0</v>
      </c>
      <c r="T55" s="141">
        <f t="shared" si="62"/>
        <v>0</v>
      </c>
      <c r="U55" s="105">
        <f t="shared" si="58"/>
        <v>0</v>
      </c>
      <c r="V55" s="93"/>
      <c r="W55" s="106">
        <v>4.2439999999999998</v>
      </c>
    </row>
    <row r="57" spans="5:25" ht="15.6" x14ac:dyDescent="0.3">
      <c r="J57" s="161" t="s">
        <v>489</v>
      </c>
      <c r="K57" s="161"/>
      <c r="L57" s="161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505</v>
      </c>
    </row>
  </sheetData>
  <mergeCells count="41"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  <mergeCell ref="E43:E44"/>
    <mergeCell ref="F43:I44"/>
    <mergeCell ref="B22:B24"/>
    <mergeCell ref="C22:C24"/>
    <mergeCell ref="D22:D24"/>
    <mergeCell ref="E22:H22"/>
    <mergeCell ref="E23:F23"/>
    <mergeCell ref="I23:I24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BL5:BQ5"/>
    <mergeCell ref="BR5:BW5"/>
    <mergeCell ref="I4:BW4"/>
    <mergeCell ref="BF23:BK23"/>
    <mergeCell ref="BL23:BQ23"/>
    <mergeCell ref="BR23:BW23"/>
    <mergeCell ref="I22:BW22"/>
    <mergeCell ref="AZ23:BE23"/>
  </mergeCells>
  <conditionalFormatting sqref="J7:BE17">
    <cfRule type="expression" dxfId="16" priority="9">
      <formula>J7=""</formula>
    </cfRule>
  </conditionalFormatting>
  <conditionalFormatting sqref="J25:BE35">
    <cfRule type="expression" dxfId="15" priority="8">
      <formula>J25=0</formula>
    </cfRule>
  </conditionalFormatting>
  <conditionalFormatting sqref="BF7:BK17">
    <cfRule type="expression" dxfId="14" priority="7">
      <formula>BF7=""</formula>
    </cfRule>
  </conditionalFormatting>
  <conditionalFormatting sqref="BL7:BQ17">
    <cfRule type="expression" dxfId="13" priority="6">
      <formula>BL7=""</formula>
    </cfRule>
  </conditionalFormatting>
  <conditionalFormatting sqref="BR7:BW17">
    <cfRule type="expression" dxfId="12" priority="5">
      <formula>BR7=""</formula>
    </cfRule>
  </conditionalFormatting>
  <conditionalFormatting sqref="BL25:BQ35">
    <cfRule type="expression" dxfId="11" priority="3">
      <formula>BL25=0</formula>
    </cfRule>
  </conditionalFormatting>
  <conditionalFormatting sqref="BR25:BW35">
    <cfRule type="expression" dxfId="10" priority="2">
      <formula>BR25=0</formula>
    </cfRule>
  </conditionalFormatting>
  <conditionalFormatting sqref="BF25:BK35">
    <cfRule type="expression" dxfId="9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J7" sqref="J7:BL11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2" t="s">
        <v>474</v>
      </c>
      <c r="C4" s="172" t="s">
        <v>5</v>
      </c>
      <c r="D4" s="172" t="s">
        <v>475</v>
      </c>
      <c r="E4" s="161" t="s">
        <v>476</v>
      </c>
      <c r="F4" s="161"/>
      <c r="G4" s="161"/>
      <c r="H4" s="161"/>
      <c r="I4" s="159" t="s">
        <v>477</v>
      </c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</row>
    <row r="5" spans="2:83" x14ac:dyDescent="0.3">
      <c r="B5" s="172"/>
      <c r="C5" s="172"/>
      <c r="D5" s="172"/>
      <c r="E5" s="161" t="s">
        <v>478</v>
      </c>
      <c r="F5" s="161"/>
      <c r="G5" s="45" t="s">
        <v>479</v>
      </c>
      <c r="H5" s="45"/>
      <c r="I5" s="174" t="s">
        <v>480</v>
      </c>
      <c r="J5" s="163" t="s">
        <v>481</v>
      </c>
      <c r="K5" s="157"/>
      <c r="L5" s="157"/>
      <c r="M5" s="157"/>
      <c r="N5" s="157"/>
      <c r="O5" s="157"/>
      <c r="P5" s="157" t="s">
        <v>482</v>
      </c>
      <c r="Q5" s="157"/>
      <c r="R5" s="157"/>
      <c r="S5" s="157"/>
      <c r="T5" s="157"/>
      <c r="U5" s="157"/>
      <c r="V5" s="157" t="s">
        <v>483</v>
      </c>
      <c r="W5" s="157"/>
      <c r="X5" s="157"/>
      <c r="Y5" s="157"/>
      <c r="Z5" s="157"/>
      <c r="AA5" s="157"/>
      <c r="AB5" s="157" t="s">
        <v>484</v>
      </c>
      <c r="AC5" s="157"/>
      <c r="AD5" s="157"/>
      <c r="AE5" s="157"/>
      <c r="AF5" s="157"/>
      <c r="AG5" s="157"/>
      <c r="AH5" s="157" t="s">
        <v>485</v>
      </c>
      <c r="AI5" s="157"/>
      <c r="AJ5" s="157"/>
      <c r="AK5" s="157"/>
      <c r="AL5" s="157"/>
      <c r="AM5" s="157"/>
      <c r="AN5" s="157" t="s">
        <v>486</v>
      </c>
      <c r="AO5" s="157"/>
      <c r="AP5" s="157"/>
      <c r="AQ5" s="157"/>
      <c r="AR5" s="157"/>
      <c r="AS5" s="157"/>
      <c r="AT5" s="157" t="s">
        <v>487</v>
      </c>
      <c r="AU5" s="157"/>
      <c r="AV5" s="157"/>
      <c r="AW5" s="157"/>
      <c r="AX5" s="157"/>
      <c r="AY5" s="157"/>
      <c r="AZ5" s="157" t="s">
        <v>488</v>
      </c>
      <c r="BA5" s="157"/>
      <c r="BB5" s="157"/>
      <c r="BC5" s="157"/>
      <c r="BD5" s="157"/>
      <c r="BE5" s="158"/>
      <c r="BF5" s="157" t="s">
        <v>517</v>
      </c>
      <c r="BG5" s="157"/>
      <c r="BH5" s="157"/>
      <c r="BI5" s="157"/>
      <c r="BJ5" s="157"/>
      <c r="BK5" s="158"/>
      <c r="BL5" s="157" t="s">
        <v>518</v>
      </c>
      <c r="BM5" s="157"/>
      <c r="BN5" s="157"/>
      <c r="BO5" s="157"/>
      <c r="BP5" s="157"/>
      <c r="BQ5" s="158"/>
      <c r="BR5" s="157" t="s">
        <v>519</v>
      </c>
      <c r="BS5" s="157"/>
      <c r="BT5" s="157"/>
      <c r="BU5" s="157"/>
      <c r="BV5" s="157"/>
      <c r="BW5" s="158"/>
      <c r="CC5" s="161" t="s">
        <v>489</v>
      </c>
      <c r="CD5" s="161"/>
      <c r="CE5" s="161"/>
    </row>
    <row r="6" spans="2:83" x14ac:dyDescent="0.3">
      <c r="B6" s="173"/>
      <c r="C6" s="173"/>
      <c r="D6" s="173"/>
      <c r="E6" s="46" t="s">
        <v>480</v>
      </c>
      <c r="F6" s="46" t="s">
        <v>490</v>
      </c>
      <c r="G6" s="46" t="s">
        <v>480</v>
      </c>
      <c r="H6" s="46" t="s">
        <v>490</v>
      </c>
      <c r="I6" s="174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580</v>
      </c>
      <c r="C14" s="74"/>
      <c r="E14" s="72"/>
      <c r="F14" s="72"/>
      <c r="G14" s="72"/>
      <c r="H14" s="72"/>
    </row>
    <row r="16" spans="2:83" x14ac:dyDescent="0.3">
      <c r="B16" s="172" t="s">
        <v>474</v>
      </c>
      <c r="C16" s="172" t="s">
        <v>5</v>
      </c>
      <c r="D16" s="172" t="s">
        <v>475</v>
      </c>
      <c r="E16" s="161" t="s">
        <v>476</v>
      </c>
      <c r="F16" s="161"/>
      <c r="G16" s="161"/>
      <c r="H16" s="161"/>
      <c r="I16" s="159" t="s">
        <v>477</v>
      </c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160"/>
      <c r="AL16" s="160"/>
      <c r="AM16" s="16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160"/>
      <c r="BL16" s="160"/>
      <c r="BM16" s="160"/>
      <c r="BN16" s="160"/>
      <c r="BO16" s="160"/>
      <c r="BP16" s="160"/>
      <c r="BQ16" s="160"/>
      <c r="BR16" s="160"/>
      <c r="BS16" s="160"/>
      <c r="BT16" s="160"/>
      <c r="BU16" s="160"/>
      <c r="BV16" s="160"/>
      <c r="BW16" s="160"/>
    </row>
    <row r="17" spans="2:75" x14ac:dyDescent="0.3">
      <c r="B17" s="172"/>
      <c r="C17" s="172"/>
      <c r="D17" s="172"/>
      <c r="E17" s="161" t="s">
        <v>478</v>
      </c>
      <c r="F17" s="161"/>
      <c r="G17" s="45" t="s">
        <v>479</v>
      </c>
      <c r="H17" s="45"/>
      <c r="I17" s="174" t="s">
        <v>480</v>
      </c>
      <c r="J17" s="163" t="s">
        <v>481</v>
      </c>
      <c r="K17" s="157"/>
      <c r="L17" s="157"/>
      <c r="M17" s="157"/>
      <c r="N17" s="157"/>
      <c r="O17" s="157"/>
      <c r="P17" s="157" t="s">
        <v>482</v>
      </c>
      <c r="Q17" s="157"/>
      <c r="R17" s="157"/>
      <c r="S17" s="157"/>
      <c r="T17" s="157"/>
      <c r="U17" s="157"/>
      <c r="V17" s="157" t="s">
        <v>483</v>
      </c>
      <c r="W17" s="157"/>
      <c r="X17" s="157"/>
      <c r="Y17" s="157"/>
      <c r="Z17" s="157"/>
      <c r="AA17" s="157"/>
      <c r="AB17" s="157" t="s">
        <v>484</v>
      </c>
      <c r="AC17" s="157"/>
      <c r="AD17" s="157"/>
      <c r="AE17" s="157"/>
      <c r="AF17" s="157"/>
      <c r="AG17" s="157"/>
      <c r="AH17" s="157" t="s">
        <v>485</v>
      </c>
      <c r="AI17" s="157"/>
      <c r="AJ17" s="157"/>
      <c r="AK17" s="157"/>
      <c r="AL17" s="157"/>
      <c r="AM17" s="157"/>
      <c r="AN17" s="157" t="s">
        <v>486</v>
      </c>
      <c r="AO17" s="157"/>
      <c r="AP17" s="157"/>
      <c r="AQ17" s="157"/>
      <c r="AR17" s="157"/>
      <c r="AS17" s="157"/>
      <c r="AT17" s="157" t="s">
        <v>487</v>
      </c>
      <c r="AU17" s="157"/>
      <c r="AV17" s="157"/>
      <c r="AW17" s="157"/>
      <c r="AX17" s="157"/>
      <c r="AY17" s="157"/>
      <c r="AZ17" s="157" t="s">
        <v>488</v>
      </c>
      <c r="BA17" s="157"/>
      <c r="BB17" s="157"/>
      <c r="BC17" s="157"/>
      <c r="BD17" s="157"/>
      <c r="BE17" s="158"/>
      <c r="BF17" s="157" t="s">
        <v>517</v>
      </c>
      <c r="BG17" s="157"/>
      <c r="BH17" s="157"/>
      <c r="BI17" s="157"/>
      <c r="BJ17" s="157"/>
      <c r="BK17" s="158"/>
      <c r="BL17" s="157" t="s">
        <v>518</v>
      </c>
      <c r="BM17" s="157"/>
      <c r="BN17" s="157"/>
      <c r="BO17" s="157"/>
      <c r="BP17" s="157"/>
      <c r="BQ17" s="158"/>
      <c r="BR17" s="157" t="s">
        <v>519</v>
      </c>
      <c r="BS17" s="157"/>
      <c r="BT17" s="157"/>
      <c r="BU17" s="157"/>
      <c r="BV17" s="157"/>
      <c r="BW17" s="158"/>
    </row>
    <row r="18" spans="2:75" x14ac:dyDescent="0.3">
      <c r="B18" s="173"/>
      <c r="C18" s="173"/>
      <c r="D18" s="173"/>
      <c r="E18" s="46" t="s">
        <v>480</v>
      </c>
      <c r="F18" s="46" t="s">
        <v>490</v>
      </c>
      <c r="G18" s="46" t="s">
        <v>480</v>
      </c>
      <c r="H18" s="46" t="s">
        <v>490</v>
      </c>
      <c r="I18" s="174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0</v>
      </c>
      <c r="L19" s="78">
        <f t="shared" si="1"/>
        <v>0</v>
      </c>
      <c r="M19" s="78">
        <f>IF(AND(M7&lt;&gt;"",M7&gt;0),(VLOOKUP(M$6,$CC$6:$CE$12,3,0)*M7)/SUM($J7:$N7),0)</f>
        <v>0</v>
      </c>
      <c r="N19" s="78">
        <f>IF(AND(N7&lt;&gt;"",N7&gt;0),(VLOOKUP(N$6,$CC$6:$CE$12,3,0)*N7)/SUM($J7:$N7),0)</f>
        <v>0</v>
      </c>
      <c r="O19" s="78">
        <f>IF(AND(O7&lt;&gt;"",O7&gt;0),(VLOOKUP(O$6,$CC$6:$CE$12,3,0)*O7)/SUM($J7:$N7),0)</f>
        <v>0</v>
      </c>
      <c r="P19" s="77">
        <f t="shared" ref="P19:T23" si="2">IF(AND(P7&lt;&gt;"",P7&gt;0),(VLOOKUP(P$6,$CC$6:$CE$11,3,0)*P7)/SUM($P7:$T7),0)</f>
        <v>0</v>
      </c>
      <c r="Q19" s="78">
        <f t="shared" si="2"/>
        <v>0</v>
      </c>
      <c r="R19" s="78">
        <f t="shared" si="2"/>
        <v>0</v>
      </c>
      <c r="S19" s="78">
        <f t="shared" si="2"/>
        <v>0</v>
      </c>
      <c r="T19" s="78">
        <f t="shared" si="2"/>
        <v>0</v>
      </c>
      <c r="U19" s="78">
        <f t="shared" ref="U19:U23" si="3"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</v>
      </c>
      <c r="X19" s="78">
        <f t="shared" si="4"/>
        <v>0</v>
      </c>
      <c r="Y19" s="78">
        <f t="shared" si="4"/>
        <v>0</v>
      </c>
      <c r="Z19" s="78">
        <f t="shared" si="4"/>
        <v>0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</v>
      </c>
      <c r="AD19" s="78">
        <f t="shared" si="5"/>
        <v>0</v>
      </c>
      <c r="AE19" s="78">
        <f t="shared" si="5"/>
        <v>0</v>
      </c>
      <c r="AF19" s="78">
        <f t="shared" si="5"/>
        <v>0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0</v>
      </c>
      <c r="AJ19" s="78">
        <f t="shared" si="6"/>
        <v>0</v>
      </c>
      <c r="AK19" s="78">
        <f t="shared" si="6"/>
        <v>0</v>
      </c>
      <c r="AL19" s="78">
        <f t="shared" si="6"/>
        <v>0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</v>
      </c>
      <c r="AP19" s="78">
        <f t="shared" si="7"/>
        <v>0</v>
      </c>
      <c r="AQ19" s="78">
        <f t="shared" si="7"/>
        <v>0</v>
      </c>
      <c r="AR19" s="78">
        <f t="shared" si="7"/>
        <v>0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</v>
      </c>
      <c r="AW19" s="78">
        <f t="shared" si="8"/>
        <v>0</v>
      </c>
      <c r="AX19" s="78">
        <f t="shared" si="8"/>
        <v>0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</v>
      </c>
      <c r="BC19" s="78">
        <f t="shared" si="9"/>
        <v>0</v>
      </c>
      <c r="BD19" s="78">
        <f t="shared" si="9"/>
        <v>0</v>
      </c>
      <c r="BE19" s="78">
        <f>IF(AND(BE7&lt;&gt;"",BE7&gt;0),(VLOOKUP(BE$6,$CC$6:$CE$12,3,0)*BE7)/SUM($AZ7:$BD7),0)</f>
        <v>0</v>
      </c>
      <c r="BF19" s="78">
        <f>IF(AND(BF7&lt;&gt;"",BF7&gt;0),(VLOOKUP(BF$6,$CC$6:$CE$12,3,0)*BF7)/SUM($BF7:$BJ7),0)</f>
        <v>0</v>
      </c>
      <c r="BG19" s="78">
        <f t="shared" ref="BG19:BJ19" si="10">IF(AND(BG7&lt;&gt;"",BG7&gt;0),(VLOOKUP(BG$6,$CC$6:$CE$12,3,0)*BG7)/SUM($BF7:$BJ7),0)</f>
        <v>0</v>
      </c>
      <c r="BH19" s="78">
        <f t="shared" si="10"/>
        <v>0</v>
      </c>
      <c r="BI19" s="78">
        <f t="shared" si="10"/>
        <v>0</v>
      </c>
      <c r="BJ19" s="78">
        <f t="shared" si="10"/>
        <v>0</v>
      </c>
      <c r="BK19" s="78">
        <f>IF(AND(BK7&lt;&gt;"",BK7&gt;0),(VLOOKUP(BK$6,$CC$6:$CE$12,3,0)*BK7)/SUM($BF7:$BJ7),0)</f>
        <v>0</v>
      </c>
      <c r="BL19" s="78">
        <f>IF(AND(BL7&lt;&gt;"",BL7&gt;0),(VLOOKUP(BL$6,$CC$6:$CE$12,3,0)*BL7)/SUM($BL7:$BP7),0)</f>
        <v>0</v>
      </c>
      <c r="BM19" s="78">
        <f t="shared" ref="BM19:BQ19" si="11">IF(AND(BM7&lt;&gt;"",BM7&gt;0),(VLOOKUP(BM$6,$CC$6:$CE$12,3,0)*BM7)/SUM($BL7:$BP7),0)</f>
        <v>0</v>
      </c>
      <c r="BN19" s="78">
        <f t="shared" si="11"/>
        <v>0</v>
      </c>
      <c r="BO19" s="78">
        <f t="shared" si="11"/>
        <v>0</v>
      </c>
      <c r="BP19" s="78">
        <f t="shared" si="11"/>
        <v>0</v>
      </c>
      <c r="BQ19" s="78">
        <f t="shared" si="11"/>
        <v>0</v>
      </c>
      <c r="BR19" s="78">
        <f>IF(AND(BR7&lt;&gt;"",BR7&gt;0),(VLOOKUP(BR$6,$CC$6:$CE$12,3,0)*BR7)/SUM($BR7:$BV7),0)</f>
        <v>0</v>
      </c>
      <c r="BS19" s="78">
        <f t="shared" ref="BS19:BW19" si="12">IF(AND(BS7&lt;&gt;"",BS7&gt;0),(VLOOKUP(BS$6,$CC$6:$CE$12,3,0)*BS7)/SUM($BR7:$BV7),0)</f>
        <v>0</v>
      </c>
      <c r="BT19" s="78">
        <f t="shared" si="12"/>
        <v>0</v>
      </c>
      <c r="BU19" s="78">
        <f t="shared" si="12"/>
        <v>0</v>
      </c>
      <c r="BV19" s="78">
        <f t="shared" si="12"/>
        <v>0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</v>
      </c>
      <c r="M20" s="78">
        <f>IF(AND(M8&lt;&gt;"",M8&gt;0),(VLOOKUP(M$6,$CC$6:$CE$12,3,0)*M8)/SUM($J8:$N8),0)</f>
        <v>0</v>
      </c>
      <c r="N20" s="78">
        <f t="shared" ref="N20" si="13">IF(AND(N8&lt;&gt;"",N8&gt;0),(VLOOKUP(N$6,$CC$6:$CE$12,3,0)*N8)/SUM($J8:$N8),0)</f>
        <v>0</v>
      </c>
      <c r="O20" s="78">
        <f t="shared" ref="O20:O23" si="14">IF(AND(O8&lt;&gt;"",O8&gt;0),(VLOOKUP(O$6,$CC$6:$CE$12,3,0)*O8)/SUM($J8:$N8),0)</f>
        <v>0</v>
      </c>
      <c r="P20" s="77">
        <f t="shared" si="2"/>
        <v>0</v>
      </c>
      <c r="Q20" s="78">
        <f t="shared" si="2"/>
        <v>0</v>
      </c>
      <c r="R20" s="78">
        <f t="shared" si="2"/>
        <v>0</v>
      </c>
      <c r="S20" s="78">
        <f t="shared" si="2"/>
        <v>0</v>
      </c>
      <c r="T20" s="78">
        <f t="shared" si="2"/>
        <v>0</v>
      </c>
      <c r="U20" s="78">
        <f t="shared" si="3"/>
        <v>0</v>
      </c>
      <c r="V20" s="77">
        <f t="shared" si="4"/>
        <v>0</v>
      </c>
      <c r="W20" s="78">
        <f t="shared" si="4"/>
        <v>0</v>
      </c>
      <c r="X20" s="78">
        <f t="shared" si="4"/>
        <v>0</v>
      </c>
      <c r="Y20" s="78">
        <f t="shared" si="4"/>
        <v>0</v>
      </c>
      <c r="Z20" s="78">
        <f t="shared" si="4"/>
        <v>0</v>
      </c>
      <c r="AA20" s="78">
        <f t="shared" ref="AA20:AA23" si="15"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</v>
      </c>
      <c r="AE20" s="78">
        <f t="shared" si="5"/>
        <v>0</v>
      </c>
      <c r="AF20" s="78">
        <f t="shared" si="5"/>
        <v>0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</v>
      </c>
      <c r="AJ20" s="78">
        <f t="shared" si="6"/>
        <v>0</v>
      </c>
      <c r="AK20" s="78">
        <f t="shared" si="6"/>
        <v>0</v>
      </c>
      <c r="AL20" s="78">
        <f t="shared" si="6"/>
        <v>0</v>
      </c>
      <c r="AM20" s="78">
        <f t="shared" ref="AM20:AM23" si="16"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</v>
      </c>
      <c r="AQ20" s="78">
        <f t="shared" si="7"/>
        <v>0</v>
      </c>
      <c r="AR20" s="78">
        <f t="shared" si="7"/>
        <v>0</v>
      </c>
      <c r="AS20" s="78">
        <f t="shared" ref="AS20:AS23" si="17"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</v>
      </c>
      <c r="AW20" s="78">
        <f t="shared" si="8"/>
        <v>0</v>
      </c>
      <c r="AX20" s="78">
        <f>IF(AND(AX8&lt;&gt;"",AX8&gt;0),(VLOOKUP(AX$6,$CC$6:$CE$11,3,0)*AX8)/SUM($AT8:$AX8),0)</f>
        <v>0</v>
      </c>
      <c r="AY20" s="78">
        <f t="shared" ref="AY20:AY22" si="18"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</v>
      </c>
      <c r="BC20" s="78">
        <f t="shared" si="9"/>
        <v>0</v>
      </c>
      <c r="BD20" s="78">
        <f t="shared" si="9"/>
        <v>0</v>
      </c>
      <c r="BE20" s="78">
        <f t="shared" ref="BE20:BE23" si="19">IF(AND(BE8&lt;&gt;"",BE8&gt;0),(VLOOKUP(BE$6,$CC$6:$CE$12,3,0)*BE8)/SUM($AZ8:$BD8),0)</f>
        <v>0</v>
      </c>
      <c r="BF20" s="78">
        <f t="shared" ref="BF20:BK23" si="20">IF(AND(BF8&lt;&gt;"",BF8&gt;0),(VLOOKUP(BF$6,$CC$6:$CE$12,3,0)*BF8)/SUM($BF8:$BJ8),0)</f>
        <v>0</v>
      </c>
      <c r="BG20" s="78">
        <f t="shared" si="20"/>
        <v>0</v>
      </c>
      <c r="BH20" s="78">
        <f t="shared" si="20"/>
        <v>0</v>
      </c>
      <c r="BI20" s="78">
        <f t="shared" si="20"/>
        <v>0</v>
      </c>
      <c r="BJ20" s="78">
        <f>IF(AND(BJ8&lt;&gt;"",BJ8&gt;0),(VLOOKUP(BJ$6,$CC$6:$CE$12,3,0)*BJ8)/SUM($BF8:$BJ8),0)</f>
        <v>0</v>
      </c>
      <c r="BK20" s="78">
        <f t="shared" si="20"/>
        <v>0</v>
      </c>
      <c r="BL20" s="78">
        <f t="shared" ref="BL20:BQ20" si="21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21"/>
        <v>0</v>
      </c>
      <c r="BO20" s="78">
        <f t="shared" si="21"/>
        <v>0</v>
      </c>
      <c r="BP20" s="78">
        <f>IF(AND(BP8&lt;&gt;"",BP8&gt;0),(VLOOKUP(BP$6,$CC$6:$CE$12,3,0)*BP8)/SUM($BL8:$BP8),0)</f>
        <v>0</v>
      </c>
      <c r="BQ20" s="78">
        <f t="shared" si="21"/>
        <v>0</v>
      </c>
      <c r="BR20" s="78">
        <f t="shared" ref="BR20:BW20" si="22">IF(AND(BR8&lt;&gt;"",BR8&gt;0),(VLOOKUP(BR$6,$CC$6:$CE$12,3,0)*BR8)/SUM($BR8:$BV8),0)</f>
        <v>0</v>
      </c>
      <c r="BS20" s="78">
        <f t="shared" si="22"/>
        <v>0</v>
      </c>
      <c r="BT20" s="78">
        <f t="shared" si="22"/>
        <v>0</v>
      </c>
      <c r="BU20" s="78">
        <f t="shared" si="22"/>
        <v>0</v>
      </c>
      <c r="BV20" s="78">
        <f t="shared" si="22"/>
        <v>0</v>
      </c>
      <c r="BW20" s="78">
        <f t="shared" si="22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</v>
      </c>
      <c r="M21" s="78">
        <f t="shared" ref="M21:N21" si="23">IF(AND(M9&lt;&gt;"",M9&gt;0),(VLOOKUP(M$6,$CC$6:$CE$12,3,0)*M9)/SUM($J9:$N9),0)</f>
        <v>0</v>
      </c>
      <c r="N21" s="78">
        <f t="shared" si="23"/>
        <v>0</v>
      </c>
      <c r="O21" s="78">
        <f>IF(AND(O9&lt;&gt;"",O9&gt;0),(VLOOKUP(O$6,$CC$6:$CE$12,3,0)*O9)/SUM($J9:$N9),0)</f>
        <v>0</v>
      </c>
      <c r="P21" s="77">
        <f t="shared" si="2"/>
        <v>0</v>
      </c>
      <c r="Q21" s="78">
        <f t="shared" si="2"/>
        <v>0</v>
      </c>
      <c r="R21" s="78">
        <f t="shared" si="2"/>
        <v>0</v>
      </c>
      <c r="S21" s="78">
        <f t="shared" si="2"/>
        <v>0</v>
      </c>
      <c r="T21" s="78">
        <f t="shared" si="2"/>
        <v>0</v>
      </c>
      <c r="U21" s="78">
        <f t="shared" si="3"/>
        <v>0</v>
      </c>
      <c r="V21" s="77">
        <f t="shared" si="4"/>
        <v>0</v>
      </c>
      <c r="W21" s="78">
        <f t="shared" si="4"/>
        <v>0</v>
      </c>
      <c r="X21" s="78">
        <f t="shared" si="4"/>
        <v>0</v>
      </c>
      <c r="Y21" s="78">
        <f t="shared" si="4"/>
        <v>0</v>
      </c>
      <c r="Z21" s="78">
        <f t="shared" si="4"/>
        <v>0</v>
      </c>
      <c r="AA21" s="78">
        <f t="shared" si="15"/>
        <v>0</v>
      </c>
      <c r="AB21" s="77">
        <f t="shared" si="5"/>
        <v>0</v>
      </c>
      <c r="AC21" s="78">
        <f t="shared" si="5"/>
        <v>0</v>
      </c>
      <c r="AD21" s="78">
        <f t="shared" si="5"/>
        <v>0</v>
      </c>
      <c r="AE21" s="78">
        <f t="shared" si="5"/>
        <v>0</v>
      </c>
      <c r="AF21" s="78">
        <f t="shared" si="5"/>
        <v>0</v>
      </c>
      <c r="AG21" s="78">
        <f t="shared" ref="AG21:AG23" si="24">IF(AND(AG9&lt;&gt;"",AG9&gt;0),(VLOOKUP(AG$6,$CC$6:$CE$12,3,0)*AG9)/SUM($AB9:$AF9),0)</f>
        <v>0</v>
      </c>
      <c r="AH21" s="77">
        <f t="shared" si="6"/>
        <v>0</v>
      </c>
      <c r="AI21" s="78">
        <f t="shared" si="6"/>
        <v>0</v>
      </c>
      <c r="AJ21" s="78">
        <f t="shared" si="6"/>
        <v>0</v>
      </c>
      <c r="AK21" s="78">
        <f t="shared" si="6"/>
        <v>0</v>
      </c>
      <c r="AL21" s="78">
        <f t="shared" si="6"/>
        <v>0</v>
      </c>
      <c r="AM21" s="78">
        <f t="shared" si="16"/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0</v>
      </c>
      <c r="AR21" s="78">
        <f t="shared" si="7"/>
        <v>0</v>
      </c>
      <c r="AS21" s="78">
        <f t="shared" si="17"/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0</v>
      </c>
      <c r="AX21" s="78">
        <f t="shared" si="8"/>
        <v>0</v>
      </c>
      <c r="AY21" s="78">
        <f t="shared" si="18"/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0</v>
      </c>
      <c r="BD21" s="78">
        <f t="shared" si="9"/>
        <v>0</v>
      </c>
      <c r="BE21" s="78">
        <f t="shared" si="19"/>
        <v>0</v>
      </c>
      <c r="BF21" s="78">
        <f t="shared" si="20"/>
        <v>0</v>
      </c>
      <c r="BG21" s="78">
        <f t="shared" si="20"/>
        <v>0</v>
      </c>
      <c r="BH21" s="78">
        <f t="shared" si="20"/>
        <v>0</v>
      </c>
      <c r="BI21" s="78">
        <f t="shared" si="20"/>
        <v>0</v>
      </c>
      <c r="BJ21" s="78">
        <f>IF(AND(BJ9&lt;&gt;"",BJ9&gt;0),(VLOOKUP(BJ$6,$CC$6:$CE$12,3,0)*BJ9)/SUM($BF9:$BJ9),0)</f>
        <v>0</v>
      </c>
      <c r="BK21" s="78">
        <f t="shared" si="20"/>
        <v>0</v>
      </c>
      <c r="BL21" s="78">
        <f t="shared" ref="BL21:BO21" si="25">IF(AND(BL9&lt;&gt;"",BL9&gt;0),(VLOOKUP(BL$6,$CC$6:$CE$12,3,0)*BL9)/SUM($BL9:$BP9),0)</f>
        <v>0</v>
      </c>
      <c r="BM21" s="78">
        <f t="shared" si="25"/>
        <v>0</v>
      </c>
      <c r="BN21" s="78">
        <f t="shared" si="25"/>
        <v>0</v>
      </c>
      <c r="BO21" s="78">
        <f t="shared" si="25"/>
        <v>0</v>
      </c>
      <c r="BP21" s="78">
        <f>IF(AND(BP9&lt;&gt;"",BP9&gt;0),(VLOOKUP(BP$6,$CC$6:$CE$12,3,0)*BP9)/SUM($BL9:$BP9),0)</f>
        <v>0</v>
      </c>
      <c r="BQ21" s="78">
        <f>IF(AND(BQ9&lt;&gt;"",BQ9&gt;0),(VLOOKUP(BQ$6,$CC$6:$CE$12,3,0)*BQ9)/SUM($BL9:$BP9),0)</f>
        <v>0</v>
      </c>
      <c r="BR21" s="78">
        <f t="shared" ref="BR21:BW21" si="26">IF(AND(BR9&lt;&gt;"",BR9&gt;0),(VLOOKUP(BR$6,$CC$6:$CE$12,3,0)*BR9)/SUM($BR9:$BV9),0)</f>
        <v>0</v>
      </c>
      <c r="BS21" s="78">
        <f t="shared" si="26"/>
        <v>0</v>
      </c>
      <c r="BT21" s="78">
        <f t="shared" si="26"/>
        <v>0</v>
      </c>
      <c r="BU21" s="78">
        <f t="shared" si="26"/>
        <v>0</v>
      </c>
      <c r="BV21" s="78">
        <f t="shared" si="26"/>
        <v>0</v>
      </c>
      <c r="BW21" s="78">
        <f t="shared" si="2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</v>
      </c>
      <c r="L22" s="78">
        <f t="shared" si="1"/>
        <v>0</v>
      </c>
      <c r="M22" s="78">
        <f t="shared" ref="M22:N22" si="27">IF(AND(M10&lt;&gt;"",M10&gt;0),(VLOOKUP(M$6,$CC$6:$CE$12,3,0)*M10)/SUM($J10:$N10),0)</f>
        <v>0</v>
      </c>
      <c r="N22" s="78">
        <f t="shared" si="27"/>
        <v>0</v>
      </c>
      <c r="O22" s="78">
        <f>IF(AND(O10&lt;&gt;"",O10&gt;0),(VLOOKUP(O$6,$CC$6:$CE$12,3,0)*O10)/SUM($J10:$N10),0)</f>
        <v>0</v>
      </c>
      <c r="P22" s="77">
        <f t="shared" si="2"/>
        <v>0</v>
      </c>
      <c r="Q22" s="78">
        <f t="shared" si="2"/>
        <v>0</v>
      </c>
      <c r="R22" s="78">
        <f t="shared" si="2"/>
        <v>0</v>
      </c>
      <c r="S22" s="78">
        <f t="shared" si="2"/>
        <v>0</v>
      </c>
      <c r="T22" s="78">
        <f t="shared" si="2"/>
        <v>0</v>
      </c>
      <c r="U22" s="78">
        <f t="shared" si="3"/>
        <v>0</v>
      </c>
      <c r="V22" s="77">
        <f t="shared" si="4"/>
        <v>0</v>
      </c>
      <c r="W22" s="78">
        <f t="shared" si="4"/>
        <v>0</v>
      </c>
      <c r="X22" s="78">
        <f t="shared" si="4"/>
        <v>0</v>
      </c>
      <c r="Y22" s="78">
        <f t="shared" si="4"/>
        <v>0</v>
      </c>
      <c r="Z22" s="78">
        <f t="shared" si="4"/>
        <v>0</v>
      </c>
      <c r="AA22" s="78">
        <f t="shared" si="15"/>
        <v>0</v>
      </c>
      <c r="AB22" s="77">
        <f t="shared" si="5"/>
        <v>0</v>
      </c>
      <c r="AC22" s="78">
        <f t="shared" si="5"/>
        <v>0</v>
      </c>
      <c r="AD22" s="78">
        <f t="shared" si="5"/>
        <v>0</v>
      </c>
      <c r="AE22" s="78">
        <f t="shared" si="5"/>
        <v>0</v>
      </c>
      <c r="AF22" s="78">
        <f t="shared" si="5"/>
        <v>0</v>
      </c>
      <c r="AG22" s="78">
        <f t="shared" si="24"/>
        <v>0</v>
      </c>
      <c r="AH22" s="77">
        <f t="shared" si="6"/>
        <v>0</v>
      </c>
      <c r="AI22" s="78">
        <f t="shared" si="6"/>
        <v>0</v>
      </c>
      <c r="AJ22" s="78">
        <f t="shared" si="6"/>
        <v>0</v>
      </c>
      <c r="AK22" s="78">
        <f t="shared" si="6"/>
        <v>0</v>
      </c>
      <c r="AL22" s="78">
        <f t="shared" si="6"/>
        <v>0</v>
      </c>
      <c r="AM22" s="78">
        <f t="shared" si="16"/>
        <v>0</v>
      </c>
      <c r="AN22" s="77">
        <f t="shared" si="7"/>
        <v>0</v>
      </c>
      <c r="AO22" s="78">
        <f t="shared" si="7"/>
        <v>0</v>
      </c>
      <c r="AP22" s="78">
        <f t="shared" si="7"/>
        <v>0</v>
      </c>
      <c r="AQ22" s="78">
        <f t="shared" si="7"/>
        <v>0</v>
      </c>
      <c r="AR22" s="78">
        <f t="shared" si="7"/>
        <v>0</v>
      </c>
      <c r="AS22" s="78">
        <f t="shared" si="17"/>
        <v>0</v>
      </c>
      <c r="AT22" s="77">
        <f t="shared" si="8"/>
        <v>0</v>
      </c>
      <c r="AU22" s="78">
        <f t="shared" si="8"/>
        <v>0</v>
      </c>
      <c r="AV22" s="78">
        <f t="shared" si="8"/>
        <v>0</v>
      </c>
      <c r="AW22" s="78">
        <f t="shared" si="8"/>
        <v>0</v>
      </c>
      <c r="AX22" s="78">
        <f t="shared" si="8"/>
        <v>0</v>
      </c>
      <c r="AY22" s="78">
        <f t="shared" si="18"/>
        <v>0</v>
      </c>
      <c r="AZ22" s="77">
        <f t="shared" si="9"/>
        <v>0</v>
      </c>
      <c r="BA22" s="78">
        <f t="shared" si="9"/>
        <v>0</v>
      </c>
      <c r="BB22" s="78">
        <f t="shared" si="9"/>
        <v>0</v>
      </c>
      <c r="BC22" s="78">
        <f t="shared" si="9"/>
        <v>0</v>
      </c>
      <c r="BD22" s="78">
        <f t="shared" si="9"/>
        <v>0</v>
      </c>
      <c r="BE22" s="78">
        <f t="shared" si="19"/>
        <v>0</v>
      </c>
      <c r="BF22" s="78">
        <f t="shared" si="20"/>
        <v>0</v>
      </c>
      <c r="BG22" s="78">
        <f t="shared" si="20"/>
        <v>0</v>
      </c>
      <c r="BH22" s="78">
        <f t="shared" si="20"/>
        <v>0</v>
      </c>
      <c r="BI22" s="78">
        <f t="shared" si="20"/>
        <v>0</v>
      </c>
      <c r="BJ22" s="78">
        <f>IF(AND(BJ10&lt;&gt;"",BJ10&gt;0),(VLOOKUP(BJ$6,$CC$6:$CE$12,3,0)*BJ10)/SUM($BF10:$BJ10),0)</f>
        <v>0</v>
      </c>
      <c r="BK22" s="78">
        <f>IF(AND(BK10&lt;&gt;"",BK10&gt;0),(VLOOKUP(BK$6,$CC$6:$CE$12,3,0)*BK10)/SUM($BF10:$BJ10),0)</f>
        <v>0</v>
      </c>
      <c r="BL22" s="78">
        <f t="shared" ref="BL22:BQ22" si="28">IF(AND(BL10&lt;&gt;"",BL10&gt;0),(VLOOKUP(BL$6,$CC$6:$CE$12,3,0)*BL10)/SUM($BL10:$BP10),0)</f>
        <v>0</v>
      </c>
      <c r="BM22" s="78">
        <f t="shared" si="28"/>
        <v>0</v>
      </c>
      <c r="BN22" s="78">
        <f t="shared" si="28"/>
        <v>0</v>
      </c>
      <c r="BO22" s="78">
        <f t="shared" si="28"/>
        <v>0</v>
      </c>
      <c r="BP22" s="78">
        <f t="shared" si="28"/>
        <v>0</v>
      </c>
      <c r="BQ22" s="78">
        <f t="shared" si="28"/>
        <v>0</v>
      </c>
      <c r="BR22" s="78">
        <f t="shared" ref="BR22:BW22" si="29">IF(AND(BR10&lt;&gt;"",BR10&gt;0),(VLOOKUP(BR$6,$CC$6:$CE$12,3,0)*BR10)/SUM($BR10:$BV10),0)</f>
        <v>0</v>
      </c>
      <c r="BS22" s="78">
        <f t="shared" si="29"/>
        <v>0</v>
      </c>
      <c r="BT22" s="78">
        <f t="shared" si="29"/>
        <v>0</v>
      </c>
      <c r="BU22" s="78">
        <f t="shared" si="29"/>
        <v>0</v>
      </c>
      <c r="BV22" s="78">
        <f t="shared" si="29"/>
        <v>0</v>
      </c>
      <c r="BW22" s="78">
        <f t="shared" si="29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</v>
      </c>
      <c r="L23" s="78">
        <f t="shared" si="1"/>
        <v>0</v>
      </c>
      <c r="M23" s="78">
        <f t="shared" ref="M23:N23" si="30">IF(AND(M11&lt;&gt;"",M11&gt;0),(VLOOKUP(M$6,$CC$6:$CE$12,3,0)*M11)/SUM($J11:$N11),0)</f>
        <v>0</v>
      </c>
      <c r="N23" s="78">
        <f t="shared" si="30"/>
        <v>0</v>
      </c>
      <c r="O23" s="78">
        <f t="shared" si="14"/>
        <v>0</v>
      </c>
      <c r="P23" s="77">
        <f t="shared" si="2"/>
        <v>0</v>
      </c>
      <c r="Q23" s="78">
        <f t="shared" si="2"/>
        <v>0</v>
      </c>
      <c r="R23" s="78">
        <f t="shared" si="2"/>
        <v>0</v>
      </c>
      <c r="S23" s="78">
        <f t="shared" si="2"/>
        <v>0</v>
      </c>
      <c r="T23" s="78">
        <f t="shared" si="2"/>
        <v>0</v>
      </c>
      <c r="U23" s="78">
        <f t="shared" si="3"/>
        <v>0</v>
      </c>
      <c r="V23" s="77">
        <f t="shared" si="4"/>
        <v>0</v>
      </c>
      <c r="W23" s="78">
        <f t="shared" si="4"/>
        <v>0</v>
      </c>
      <c r="X23" s="78">
        <f t="shared" si="4"/>
        <v>0</v>
      </c>
      <c r="Y23" s="78">
        <f t="shared" si="4"/>
        <v>0</v>
      </c>
      <c r="Z23" s="78">
        <f t="shared" si="4"/>
        <v>0</v>
      </c>
      <c r="AA23" s="78">
        <f t="shared" si="15"/>
        <v>0</v>
      </c>
      <c r="AB23" s="77">
        <f t="shared" si="5"/>
        <v>0</v>
      </c>
      <c r="AC23" s="78">
        <f t="shared" si="5"/>
        <v>0</v>
      </c>
      <c r="AD23" s="78">
        <f t="shared" si="5"/>
        <v>0</v>
      </c>
      <c r="AE23" s="78">
        <f t="shared" si="5"/>
        <v>0</v>
      </c>
      <c r="AF23" s="78">
        <f t="shared" si="5"/>
        <v>0</v>
      </c>
      <c r="AG23" s="78">
        <f t="shared" si="24"/>
        <v>0</v>
      </c>
      <c r="AH23" s="77">
        <f t="shared" si="6"/>
        <v>0</v>
      </c>
      <c r="AI23" s="78">
        <f t="shared" si="6"/>
        <v>0</v>
      </c>
      <c r="AJ23" s="78">
        <f t="shared" si="6"/>
        <v>0</v>
      </c>
      <c r="AK23" s="78">
        <f t="shared" si="6"/>
        <v>0</v>
      </c>
      <c r="AL23" s="78">
        <f t="shared" si="6"/>
        <v>0</v>
      </c>
      <c r="AM23" s="78">
        <f t="shared" si="16"/>
        <v>0</v>
      </c>
      <c r="AN23" s="77">
        <f t="shared" si="7"/>
        <v>0</v>
      </c>
      <c r="AO23" s="78">
        <f t="shared" si="7"/>
        <v>0</v>
      </c>
      <c r="AP23" s="78">
        <f t="shared" si="7"/>
        <v>0</v>
      </c>
      <c r="AQ23" s="78">
        <f t="shared" si="7"/>
        <v>0</v>
      </c>
      <c r="AR23" s="78">
        <f t="shared" si="7"/>
        <v>0</v>
      </c>
      <c r="AS23" s="78">
        <f t="shared" si="17"/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0</v>
      </c>
      <c r="AX23" s="78">
        <f t="shared" si="8"/>
        <v>0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0</v>
      </c>
      <c r="BC23" s="78">
        <f t="shared" si="9"/>
        <v>0</v>
      </c>
      <c r="BD23" s="78">
        <f>IF(AND(BD11&lt;&gt;"",BD11&gt;0),(VLOOKUP(BD$6,$CC$6:$CE$11,3,0)*BD11)/SUM($AZ11:$BD11),0)</f>
        <v>0</v>
      </c>
      <c r="BE23" s="78">
        <f t="shared" si="19"/>
        <v>0</v>
      </c>
      <c r="BF23" s="78">
        <f t="shared" si="20"/>
        <v>0</v>
      </c>
      <c r="BG23" s="78">
        <f t="shared" si="20"/>
        <v>0</v>
      </c>
      <c r="BH23" s="78">
        <f t="shared" si="20"/>
        <v>0</v>
      </c>
      <c r="BI23" s="78">
        <f t="shared" si="20"/>
        <v>0</v>
      </c>
      <c r="BJ23" s="78">
        <f t="shared" si="20"/>
        <v>0</v>
      </c>
      <c r="BK23" s="78">
        <f>IF(AND(BK11&lt;&gt;"",BK11&gt;0),(VLOOKUP(BK$6,$CC$6:$CE$12,3,0)*BK11)/SUM($BF11:$BJ11),0)</f>
        <v>0</v>
      </c>
      <c r="BL23" s="78">
        <f t="shared" ref="BL23:BQ23" si="31">IF(AND(BL11&lt;&gt;"",BL11&gt;0),(VLOOKUP(BL$6,$CC$6:$CE$12,3,0)*BL11)/SUM($BL11:$BP11),0)</f>
        <v>0</v>
      </c>
      <c r="BM23" s="78">
        <f t="shared" si="31"/>
        <v>0</v>
      </c>
      <c r="BN23" s="78">
        <f t="shared" si="31"/>
        <v>0</v>
      </c>
      <c r="BO23" s="78">
        <f t="shared" si="31"/>
        <v>0</v>
      </c>
      <c r="BP23" s="78">
        <f t="shared" si="31"/>
        <v>0</v>
      </c>
      <c r="BQ23" s="78">
        <f t="shared" si="31"/>
        <v>0</v>
      </c>
      <c r="BR23" s="78">
        <f t="shared" ref="BR23:BW23" si="32">IF(AND(BR11&lt;&gt;"",BR11&gt;0),(VLOOKUP(BR$6,$CC$6:$CE$12,3,0)*BR11)/SUM($BR11:$BV11),0)</f>
        <v>0</v>
      </c>
      <c r="BS23" s="78">
        <f t="shared" si="32"/>
        <v>0</v>
      </c>
      <c r="BT23" s="78">
        <f t="shared" si="32"/>
        <v>0</v>
      </c>
      <c r="BU23" s="78">
        <f t="shared" si="32"/>
        <v>0</v>
      </c>
      <c r="BV23" s="78">
        <f t="shared" si="32"/>
        <v>0</v>
      </c>
      <c r="BW23" s="78">
        <f t="shared" si="32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502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64" t="s">
        <v>474</v>
      </c>
      <c r="F31" s="166" t="s">
        <v>5</v>
      </c>
      <c r="G31" s="167"/>
      <c r="H31" s="167"/>
      <c r="I31" s="168"/>
      <c r="J31" s="162" t="s">
        <v>503</v>
      </c>
      <c r="K31" s="160"/>
      <c r="L31" s="160"/>
      <c r="M31" s="160"/>
      <c r="N31" s="160"/>
      <c r="O31" s="160"/>
      <c r="P31" s="160"/>
      <c r="Q31" s="160"/>
      <c r="R31" s="160"/>
      <c r="S31" s="160"/>
      <c r="T31" s="160"/>
    </row>
    <row r="32" spans="2:75" x14ac:dyDescent="0.3">
      <c r="E32" s="165"/>
      <c r="F32" s="169"/>
      <c r="G32" s="170"/>
      <c r="H32" s="170"/>
      <c r="I32" s="171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504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0</v>
      </c>
      <c r="K33" s="91">
        <f>SUM(P19:U19)</f>
        <v>0</v>
      </c>
      <c r="L33" s="91">
        <f>SUM(V19:AA19)</f>
        <v>0</v>
      </c>
      <c r="M33" s="91">
        <f>SUM(AB19:AG19)</f>
        <v>0</v>
      </c>
      <c r="N33" s="91">
        <f>SUM(AH19:AM19)</f>
        <v>0</v>
      </c>
      <c r="O33" s="91">
        <f>SUM(AN19:AS19)</f>
        <v>0</v>
      </c>
      <c r="P33" s="91">
        <f>SUM(AT19:AY19)</f>
        <v>0</v>
      </c>
      <c r="Q33" s="91">
        <f>SUM(AZ19:BE19)</f>
        <v>0</v>
      </c>
      <c r="R33" s="91">
        <f>SUM(BF19:BK19)</f>
        <v>0</v>
      </c>
      <c r="S33" s="141">
        <f>SUM(BL19:BQ19)</f>
        <v>0</v>
      </c>
      <c r="T33" s="141">
        <f>SUM(BR19:BW19)</f>
        <v>0</v>
      </c>
      <c r="U33" s="92">
        <f>IFERROR(AVERAGEIF(J33:Q33,"&gt;0",J33:Q33),0)</f>
        <v>0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0</v>
      </c>
      <c r="K34" s="96">
        <f>SUM(P20:U20)</f>
        <v>0</v>
      </c>
      <c r="L34" s="96">
        <f>SUM(V20:AA20)</f>
        <v>0</v>
      </c>
      <c r="M34" s="96">
        <f>SUM(AB20:AG20)</f>
        <v>0</v>
      </c>
      <c r="N34" s="96">
        <f>SUM(AH20:AM20)</f>
        <v>0</v>
      </c>
      <c r="O34" s="96">
        <f>SUM(AN20:AS20)</f>
        <v>0</v>
      </c>
      <c r="P34" s="96">
        <f>SUM(AT20:AY20)</f>
        <v>0</v>
      </c>
      <c r="Q34" s="96">
        <f>SUM(AZ20:BE20)</f>
        <v>0</v>
      </c>
      <c r="R34" s="91">
        <f t="shared" ref="R34:R37" si="33">SUM(BF20:BK20)</f>
        <v>0</v>
      </c>
      <c r="S34" s="141">
        <f t="shared" ref="S34:S37" si="34">SUM(BL20:BQ20)</f>
        <v>0</v>
      </c>
      <c r="T34" s="141">
        <f t="shared" ref="T34:T37" si="35">SUM(BR20:BW20)</f>
        <v>0</v>
      </c>
      <c r="U34" s="97">
        <f>IFERROR(AVERAGEIF(J34:Q34,"&gt;0",J34:Q34),0)</f>
        <v>0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0</v>
      </c>
      <c r="K35" s="96">
        <f>SUM(P21:U21)</f>
        <v>0</v>
      </c>
      <c r="L35" s="96">
        <f>SUM(V21:AA21)</f>
        <v>0</v>
      </c>
      <c r="M35" s="96">
        <f>SUM(AB21:AG21)</f>
        <v>0</v>
      </c>
      <c r="N35" s="96">
        <f>SUM(AH21:AM21)</f>
        <v>0</v>
      </c>
      <c r="O35" s="96">
        <f>SUM(AN21:AS21)</f>
        <v>0</v>
      </c>
      <c r="P35" s="96">
        <f>SUM(AT21:AY21)</f>
        <v>0</v>
      </c>
      <c r="Q35" s="96">
        <f>SUM(AZ21:BE21)</f>
        <v>0</v>
      </c>
      <c r="R35" s="91">
        <f t="shared" si="33"/>
        <v>0</v>
      </c>
      <c r="S35" s="141">
        <f t="shared" si="34"/>
        <v>0</v>
      </c>
      <c r="T35" s="141">
        <f>SUM(BR21:BW21)</f>
        <v>0</v>
      </c>
      <c r="U35" s="97">
        <f>IFERROR(AVERAGEIF(J35:Q35,"&gt;0",J35:Q35),0)</f>
        <v>0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0</v>
      </c>
      <c r="K36" s="96">
        <f>SUM(P22:U22)</f>
        <v>0</v>
      </c>
      <c r="L36" s="96">
        <f>SUM(V22:AA22)</f>
        <v>0</v>
      </c>
      <c r="M36" s="96">
        <f>SUM(AB22:AG22)</f>
        <v>0</v>
      </c>
      <c r="N36" s="96">
        <f>SUM(AH22:AM22)</f>
        <v>0</v>
      </c>
      <c r="O36" s="96">
        <f>SUM(AN22:AS22)</f>
        <v>0</v>
      </c>
      <c r="P36" s="96">
        <f>SUM(AT22:AY22)</f>
        <v>0</v>
      </c>
      <c r="Q36" s="96">
        <f>SUM(AZ22:BE22)</f>
        <v>0</v>
      </c>
      <c r="R36" s="91">
        <f>SUM(BF22:BK22)</f>
        <v>0</v>
      </c>
      <c r="S36" s="141">
        <f t="shared" si="34"/>
        <v>0</v>
      </c>
      <c r="T36" s="141">
        <f t="shared" si="35"/>
        <v>0</v>
      </c>
      <c r="U36" s="97">
        <f>IFERROR(AVERAGEIF(J36:Q36,"&gt;0",J36:Q36),0)</f>
        <v>0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0</v>
      </c>
      <c r="K37" s="96">
        <f>SUM(P23:U23)</f>
        <v>0</v>
      </c>
      <c r="L37" s="96">
        <f>SUM(V23:AA23)</f>
        <v>0</v>
      </c>
      <c r="M37" s="96">
        <f>SUM(AB23:AG23)</f>
        <v>0</v>
      </c>
      <c r="N37" s="96">
        <f>SUM(AH23:AM23)</f>
        <v>0</v>
      </c>
      <c r="O37" s="96">
        <f>SUM(AN23:AS23)</f>
        <v>0</v>
      </c>
      <c r="P37" s="96">
        <f>SUM(AT23:AY23)</f>
        <v>0</v>
      </c>
      <c r="Q37" s="96">
        <f>SUM(AZ23:BE23)</f>
        <v>0</v>
      </c>
      <c r="R37" s="91">
        <f t="shared" si="33"/>
        <v>0</v>
      </c>
      <c r="S37" s="141">
        <f t="shared" si="34"/>
        <v>0</v>
      </c>
      <c r="T37" s="141">
        <f t="shared" si="35"/>
        <v>0</v>
      </c>
      <c r="U37" s="99">
        <f>IFERROR(AVERAGEIF(J37:Q37,"&gt;0",J37:Q37),0)</f>
        <v>0</v>
      </c>
      <c r="V37" s="93"/>
      <c r="X37" s="99">
        <v>4.5289999999999999</v>
      </c>
    </row>
    <row r="39" spans="5:24" ht="15.6" x14ac:dyDescent="0.3">
      <c r="J39" s="161" t="s">
        <v>489</v>
      </c>
      <c r="K39" s="161"/>
      <c r="L39" s="161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505</v>
      </c>
    </row>
  </sheetData>
  <mergeCells count="41"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J39:L39"/>
    <mergeCell ref="AT17:AY17"/>
    <mergeCell ref="E31:E32"/>
    <mergeCell ref="F31:I32"/>
    <mergeCell ref="J17:O17"/>
    <mergeCell ref="P17:U17"/>
    <mergeCell ref="J31:T31"/>
    <mergeCell ref="AZ17:BE17"/>
    <mergeCell ref="BF17:BK17"/>
    <mergeCell ref="BL17:BQ17"/>
    <mergeCell ref="AB17:AG17"/>
    <mergeCell ref="AH17:AM17"/>
    <mergeCell ref="AN17:AS17"/>
  </mergeCells>
  <conditionalFormatting sqref="J7:BE11">
    <cfRule type="expression" dxfId="8" priority="14">
      <formula>J7=""</formula>
    </cfRule>
  </conditionalFormatting>
  <conditionalFormatting sqref="P19:AF23 AH19:BK23 J19:N23">
    <cfRule type="expression" dxfId="7" priority="13">
      <formula>J19=0</formula>
    </cfRule>
  </conditionalFormatting>
  <conditionalFormatting sqref="BF7:BK11">
    <cfRule type="expression" dxfId="6" priority="12">
      <formula>BF7=""</formula>
    </cfRule>
  </conditionalFormatting>
  <conditionalFormatting sqref="BL7:BQ11">
    <cfRule type="expression" dxfId="5" priority="11">
      <formula>BL7=""</formula>
    </cfRule>
  </conditionalFormatting>
  <conditionalFormatting sqref="BR7:BW11">
    <cfRule type="expression" dxfId="4" priority="10">
      <formula>BR7=""</formula>
    </cfRule>
  </conditionalFormatting>
  <conditionalFormatting sqref="O19:O23">
    <cfRule type="expression" dxfId="3" priority="4">
      <formula>O19=0</formula>
    </cfRule>
  </conditionalFormatting>
  <conditionalFormatting sqref="AG19:AG23">
    <cfRule type="expression" dxfId="2" priority="3">
      <formula>AG19=0</formula>
    </cfRule>
  </conditionalFormatting>
  <conditionalFormatting sqref="BL19:BQ23">
    <cfRule type="expression" dxfId="1" priority="2">
      <formula>BL19=0</formula>
    </cfRule>
  </conditionalFormatting>
  <conditionalFormatting sqref="BR19:BW23">
    <cfRule type="expression" dxfId="0" priority="1">
      <formula>BR19=0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2024-12-26T20:36:19Z</dcterms:modified>
</cp:coreProperties>
</file>