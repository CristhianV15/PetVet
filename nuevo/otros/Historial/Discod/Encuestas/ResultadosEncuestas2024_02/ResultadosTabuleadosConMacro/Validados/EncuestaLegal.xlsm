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Validados\"/>
    </mc:Choice>
  </mc:AlternateContent>
  <xr:revisionPtr revIDLastSave="0" documentId="13_ncr:1_{12CEEE9E-39AB-4F30-B94F-D5FFC72333EE}" xr6:coauthVersionLast="47" xr6:coauthVersionMax="47" xr10:uidLastSave="{00000000-0000-0000-0000-000000000000}"/>
  <bookViews>
    <workbookView xWindow="-108" yWindow="-108" windowWidth="23256" windowHeight="13896" firstSheet="5" activeTab="10" xr2:uid="{33B226CF-D489-4D0F-8D70-DC6CBAFC18C2}"/>
  </bookViews>
  <sheets>
    <sheet name="DataUsuario" sheetId="19" r:id="rId1"/>
    <sheet name="EncuestaAreas" sheetId="18" r:id="rId2"/>
    <sheet name="UniversoAreas" sheetId="121" r:id="rId3"/>
    <sheet name="HistoricoAreas" sheetId="162" r:id="rId4"/>
    <sheet name="Paso1_RespuestasMicrosoftForms" sheetId="192" r:id="rId5"/>
    <sheet name="Estadística" sheetId="193" r:id="rId6"/>
    <sheet name="Estadística_Gerencias" sheetId="200" r:id="rId7"/>
    <sheet name="Paso2_Comentarios" sheetId="201" r:id="rId8"/>
    <sheet name="Paso3_Tabuleado" sheetId="203" r:id="rId9"/>
    <sheet name="DataResumen" sheetId="204" r:id="rId10"/>
    <sheet name="Graficos" sheetId="205" r:id="rId11"/>
  </sheets>
  <functionGroups builtInGroupCount="19"/>
  <definedNames>
    <definedName name="_xlnm._FilterDatabase" localSheetId="9" hidden="1">DataResumen!$A$36:$E$41</definedName>
  </definedNames>
  <calcPr calcId="191029"/>
  <pivotCaches>
    <pivotCache cacheId="66" r:id="rId12"/>
    <pivotCache cacheId="67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03" l="1"/>
  <c r="E3" i="203"/>
  <c r="E4" i="203"/>
  <c r="E5" i="203"/>
  <c r="E6" i="203"/>
  <c r="E7" i="203"/>
  <c r="E8" i="203"/>
  <c r="E9" i="203"/>
  <c r="E10" i="203"/>
  <c r="E11" i="203"/>
  <c r="E12" i="203"/>
  <c r="E13" i="203"/>
  <c r="E14" i="203"/>
  <c r="E15" i="203"/>
  <c r="E16" i="203"/>
  <c r="E17" i="203"/>
  <c r="E18" i="203"/>
  <c r="E19" i="203"/>
  <c r="E20" i="203"/>
  <c r="E21" i="203"/>
  <c r="E22" i="203"/>
  <c r="E23" i="203"/>
  <c r="E24" i="203"/>
  <c r="E25" i="203"/>
  <c r="E26" i="203"/>
  <c r="E27" i="203"/>
  <c r="E28" i="203"/>
  <c r="E29" i="203"/>
  <c r="E30" i="203"/>
  <c r="E31" i="203"/>
  <c r="E32" i="203"/>
  <c r="E33" i="203"/>
  <c r="E34" i="203"/>
  <c r="E35" i="203"/>
  <c r="E36" i="203"/>
  <c r="E37" i="203"/>
  <c r="E38" i="203"/>
  <c r="E39" i="203"/>
  <c r="E40" i="203"/>
  <c r="E41" i="203"/>
  <c r="E42" i="203"/>
  <c r="E43" i="203"/>
  <c r="E44" i="203"/>
  <c r="E45" i="203"/>
  <c r="E46" i="203"/>
  <c r="E47" i="203"/>
  <c r="E48" i="203"/>
  <c r="E49" i="203"/>
  <c r="E50" i="203"/>
  <c r="E51" i="203"/>
  <c r="E52" i="203"/>
  <c r="E53" i="203"/>
  <c r="E54" i="203"/>
  <c r="E55" i="203"/>
  <c r="E56" i="203"/>
  <c r="E57" i="203"/>
  <c r="E58" i="203"/>
  <c r="E59" i="203"/>
  <c r="E60" i="203"/>
  <c r="E61" i="203"/>
  <c r="E62" i="203"/>
  <c r="E63" i="203"/>
  <c r="E64" i="203"/>
  <c r="E65" i="203"/>
  <c r="E66" i="203"/>
  <c r="E67" i="203"/>
  <c r="E68" i="203"/>
  <c r="E69" i="203"/>
  <c r="E70" i="203"/>
  <c r="E71" i="203"/>
  <c r="E72" i="203"/>
  <c r="E73" i="203"/>
  <c r="E74" i="203"/>
  <c r="E75" i="203"/>
  <c r="E76" i="203"/>
  <c r="E77" i="203"/>
  <c r="E78" i="203"/>
  <c r="E79" i="203"/>
  <c r="E80" i="203"/>
  <c r="E81" i="203"/>
  <c r="E82" i="203"/>
  <c r="E83" i="203"/>
  <c r="E84" i="203"/>
  <c r="E85" i="203"/>
  <c r="E86" i="203"/>
  <c r="E87" i="203"/>
  <c r="E88" i="203"/>
  <c r="E89" i="203"/>
  <c r="E90" i="203"/>
  <c r="E91" i="203"/>
  <c r="E92" i="203"/>
  <c r="E93" i="203"/>
  <c r="E94" i="203"/>
  <c r="E95" i="203"/>
  <c r="E96" i="203"/>
  <c r="E97" i="203"/>
  <c r="E98" i="203"/>
  <c r="E99" i="203"/>
  <c r="E100" i="203"/>
  <c r="E101" i="203"/>
  <c r="E102" i="203"/>
  <c r="E103" i="203"/>
  <c r="E104" i="203"/>
  <c r="E105" i="203"/>
  <c r="E106" i="203"/>
  <c r="E107" i="203"/>
  <c r="E108" i="203"/>
  <c r="E109" i="203"/>
  <c r="E110" i="203"/>
  <c r="E111" i="203"/>
  <c r="E112" i="203"/>
  <c r="E113" i="203"/>
  <c r="E114" i="203"/>
  <c r="E115" i="203"/>
  <c r="E116" i="203"/>
  <c r="E117" i="203"/>
  <c r="E118" i="203"/>
  <c r="E119" i="203"/>
  <c r="E120" i="203"/>
  <c r="E121" i="203"/>
  <c r="E122" i="203"/>
  <c r="E123" i="203"/>
  <c r="E124" i="203"/>
  <c r="E125" i="203"/>
  <c r="E126" i="203"/>
  <c r="E127" i="203"/>
  <c r="E128" i="203"/>
  <c r="E129" i="203"/>
  <c r="E130" i="203"/>
  <c r="E131" i="203"/>
  <c r="E132" i="203"/>
  <c r="E133" i="203"/>
  <c r="E134" i="203"/>
  <c r="E135" i="203"/>
  <c r="E136" i="203"/>
  <c r="E137" i="203"/>
  <c r="E138" i="203"/>
  <c r="E139" i="203"/>
  <c r="E140" i="203"/>
  <c r="E141" i="203"/>
  <c r="E142" i="203"/>
  <c r="E143" i="203"/>
  <c r="E144" i="203"/>
  <c r="E145" i="203"/>
  <c r="E146" i="203"/>
  <c r="E147" i="203"/>
  <c r="E148" i="203"/>
  <c r="E149" i="203"/>
  <c r="E150" i="203"/>
  <c r="E151" i="203"/>
  <c r="E152" i="203"/>
  <c r="E153" i="203"/>
  <c r="E154" i="203"/>
  <c r="E155" i="203"/>
  <c r="E156" i="203"/>
  <c r="E157" i="203"/>
  <c r="E158" i="203"/>
  <c r="E159" i="203"/>
  <c r="E160" i="203"/>
  <c r="E161" i="203"/>
  <c r="E162" i="203"/>
  <c r="E163" i="203"/>
  <c r="E164" i="203"/>
  <c r="E165" i="203"/>
  <c r="E166" i="203"/>
  <c r="E167" i="203"/>
  <c r="E168" i="203"/>
  <c r="E169" i="203"/>
  <c r="E170" i="203"/>
  <c r="E171" i="203"/>
  <c r="E172" i="203"/>
  <c r="E173" i="203"/>
  <c r="E174" i="203"/>
  <c r="E175" i="203"/>
  <c r="E176" i="203"/>
  <c r="E177" i="203"/>
  <c r="E178" i="203"/>
  <c r="E179" i="203"/>
  <c r="E180" i="203"/>
  <c r="E181" i="203"/>
  <c r="E182" i="203"/>
  <c r="E183" i="203"/>
  <c r="E184" i="203"/>
  <c r="E185" i="203"/>
  <c r="E186" i="203"/>
  <c r="E187" i="203"/>
  <c r="E188" i="203"/>
  <c r="E189" i="203"/>
  <c r="E190" i="203"/>
  <c r="E191" i="203"/>
  <c r="E192" i="203"/>
  <c r="E193" i="203"/>
  <c r="E194" i="203"/>
  <c r="E195" i="203"/>
  <c r="E196" i="203"/>
  <c r="E197" i="203"/>
  <c r="E198" i="203"/>
  <c r="E199" i="203"/>
  <c r="E200" i="203"/>
  <c r="E201" i="203"/>
  <c r="E202" i="203"/>
  <c r="E203" i="203"/>
  <c r="E204" i="203"/>
  <c r="E205" i="203"/>
  <c r="E206" i="203"/>
  <c r="E207" i="203"/>
  <c r="E208" i="203"/>
  <c r="E209" i="203"/>
  <c r="E210" i="203"/>
  <c r="E211" i="203"/>
  <c r="E212" i="203"/>
  <c r="E213" i="203"/>
  <c r="E214" i="203"/>
  <c r="E215" i="203"/>
  <c r="E216" i="203"/>
  <c r="E217" i="203"/>
  <c r="E218" i="203"/>
  <c r="E219" i="203"/>
  <c r="E220" i="203"/>
  <c r="E221" i="203"/>
  <c r="D2" i="203"/>
  <c r="D3" i="203"/>
  <c r="D4" i="203"/>
  <c r="D5" i="203"/>
  <c r="D6" i="203"/>
  <c r="D7" i="203"/>
  <c r="D8" i="203"/>
  <c r="D9" i="203"/>
  <c r="D10" i="203"/>
  <c r="D11" i="203"/>
  <c r="D12" i="203"/>
  <c r="D13" i="203"/>
  <c r="D14" i="203"/>
  <c r="D15" i="203"/>
  <c r="D16" i="203"/>
  <c r="D17" i="203"/>
  <c r="D18" i="203"/>
  <c r="D19" i="203"/>
  <c r="D20" i="203"/>
  <c r="D21" i="203"/>
  <c r="D22" i="203"/>
  <c r="D23" i="203"/>
  <c r="D24" i="203"/>
  <c r="D25" i="203"/>
  <c r="D26" i="203"/>
  <c r="D27" i="203"/>
  <c r="D28" i="203"/>
  <c r="D29" i="203"/>
  <c r="D30" i="203"/>
  <c r="D31" i="203"/>
  <c r="D32" i="203"/>
  <c r="D33" i="203"/>
  <c r="D34" i="203"/>
  <c r="D35" i="203"/>
  <c r="D36" i="203"/>
  <c r="D37" i="203"/>
  <c r="D38" i="203"/>
  <c r="D39" i="203"/>
  <c r="D40" i="203"/>
  <c r="D41" i="203"/>
  <c r="D42" i="203"/>
  <c r="D43" i="203"/>
  <c r="D44" i="203"/>
  <c r="D45" i="203"/>
  <c r="D46" i="203"/>
  <c r="D47" i="203"/>
  <c r="D48" i="203"/>
  <c r="D49" i="203"/>
  <c r="D50" i="203"/>
  <c r="D51" i="203"/>
  <c r="D52" i="203"/>
  <c r="D53" i="203"/>
  <c r="D54" i="203"/>
  <c r="D55" i="203"/>
  <c r="D56" i="203"/>
  <c r="D57" i="203"/>
  <c r="D58" i="203"/>
  <c r="D59" i="203"/>
  <c r="D60" i="203"/>
  <c r="D61" i="203"/>
  <c r="D62" i="203"/>
  <c r="D63" i="203"/>
  <c r="D64" i="203"/>
  <c r="D65" i="203"/>
  <c r="D66" i="203"/>
  <c r="D67" i="203"/>
  <c r="D68" i="203"/>
  <c r="D69" i="203"/>
  <c r="D70" i="203"/>
  <c r="D71" i="203"/>
  <c r="D72" i="203"/>
  <c r="D73" i="203"/>
  <c r="D74" i="203"/>
  <c r="D75" i="203"/>
  <c r="D76" i="203"/>
  <c r="D77" i="203"/>
  <c r="D78" i="203"/>
  <c r="D79" i="203"/>
  <c r="D80" i="203"/>
  <c r="D81" i="203"/>
  <c r="D82" i="203"/>
  <c r="D83" i="203"/>
  <c r="D84" i="203"/>
  <c r="D85" i="203"/>
  <c r="D86" i="203"/>
  <c r="D87" i="203"/>
  <c r="D88" i="203"/>
  <c r="D89" i="203"/>
  <c r="D90" i="203"/>
  <c r="D91" i="203"/>
  <c r="D92" i="203"/>
  <c r="D93" i="203"/>
  <c r="D94" i="203"/>
  <c r="D95" i="203"/>
  <c r="D96" i="203"/>
  <c r="D97" i="203"/>
  <c r="D98" i="203"/>
  <c r="D99" i="203"/>
  <c r="D100" i="203"/>
  <c r="D101" i="203"/>
  <c r="D102" i="203"/>
  <c r="D103" i="203"/>
  <c r="D104" i="203"/>
  <c r="D105" i="203"/>
  <c r="D106" i="203"/>
  <c r="D107" i="203"/>
  <c r="D108" i="203"/>
  <c r="D109" i="203"/>
  <c r="D110" i="203"/>
  <c r="D111" i="203"/>
  <c r="D112" i="203"/>
  <c r="D113" i="203"/>
  <c r="D114" i="203"/>
  <c r="D115" i="203"/>
  <c r="D116" i="203"/>
  <c r="D117" i="203"/>
  <c r="D118" i="203"/>
  <c r="D119" i="203"/>
  <c r="D120" i="203"/>
  <c r="D121" i="203"/>
  <c r="D122" i="203"/>
  <c r="D123" i="203"/>
  <c r="D124" i="203"/>
  <c r="D125" i="203"/>
  <c r="D126" i="203"/>
  <c r="D127" i="203"/>
  <c r="D128" i="203"/>
  <c r="D129" i="203"/>
  <c r="D130" i="203"/>
  <c r="D131" i="203"/>
  <c r="D132" i="203"/>
  <c r="D133" i="203"/>
  <c r="D134" i="203"/>
  <c r="D135" i="203"/>
  <c r="D136" i="203"/>
  <c r="D137" i="203"/>
  <c r="D138" i="203"/>
  <c r="D139" i="203"/>
  <c r="D140" i="203"/>
  <c r="D141" i="203"/>
  <c r="D142" i="203"/>
  <c r="D143" i="203"/>
  <c r="D144" i="203"/>
  <c r="D145" i="203"/>
  <c r="D146" i="203"/>
  <c r="D147" i="203"/>
  <c r="D148" i="203"/>
  <c r="D149" i="203"/>
  <c r="D150" i="203"/>
  <c r="D151" i="203"/>
  <c r="D152" i="203"/>
  <c r="D153" i="203"/>
  <c r="D154" i="203"/>
  <c r="D155" i="203"/>
  <c r="D156" i="203"/>
  <c r="D157" i="203"/>
  <c r="D158" i="203"/>
  <c r="D159" i="203"/>
  <c r="D160" i="203"/>
  <c r="D161" i="203"/>
  <c r="D162" i="203"/>
  <c r="D163" i="203"/>
  <c r="D164" i="203"/>
  <c r="D165" i="203"/>
  <c r="D166" i="203"/>
  <c r="D167" i="203"/>
  <c r="D168" i="203"/>
  <c r="D169" i="203"/>
  <c r="D170" i="203"/>
  <c r="D171" i="203"/>
  <c r="D172" i="203"/>
  <c r="D173" i="203"/>
  <c r="D174" i="203"/>
  <c r="D175" i="203"/>
  <c r="D176" i="203"/>
  <c r="D177" i="203"/>
  <c r="D178" i="203"/>
  <c r="D179" i="203"/>
  <c r="D180" i="203"/>
  <c r="D181" i="203"/>
  <c r="D182" i="203"/>
  <c r="D183" i="203"/>
  <c r="D184" i="203"/>
  <c r="D185" i="203"/>
  <c r="D186" i="203"/>
  <c r="D187" i="203"/>
  <c r="D188" i="203"/>
  <c r="D189" i="203"/>
  <c r="D190" i="203"/>
  <c r="D191" i="203"/>
  <c r="D192" i="203"/>
  <c r="D193" i="203"/>
  <c r="D194" i="203"/>
  <c r="D195" i="203"/>
  <c r="D196" i="203"/>
  <c r="D197" i="203"/>
  <c r="D198" i="203"/>
  <c r="D199" i="203"/>
  <c r="D200" i="203"/>
  <c r="D201" i="203"/>
  <c r="D202" i="203"/>
  <c r="D203" i="203"/>
  <c r="D204" i="203"/>
  <c r="D205" i="203"/>
  <c r="D206" i="203"/>
  <c r="D207" i="203"/>
  <c r="D208" i="203"/>
  <c r="D209" i="203"/>
  <c r="D210" i="203"/>
  <c r="D211" i="203"/>
  <c r="D212" i="203"/>
  <c r="D213" i="203"/>
  <c r="D214" i="203"/>
  <c r="D215" i="203"/>
  <c r="D216" i="203"/>
  <c r="D217" i="203"/>
  <c r="D218" i="203"/>
  <c r="D219" i="203"/>
  <c r="D220" i="203"/>
  <c r="D221" i="203"/>
  <c r="K7" i="162"/>
  <c r="U31" i="193" l="1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7" i="193"/>
  <c r="D33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T46" i="193" s="1"/>
  <c r="BS26" i="193"/>
  <c r="BT26" i="193"/>
  <c r="BU26" i="193"/>
  <c r="BW26" i="193"/>
  <c r="BR27" i="193"/>
  <c r="T47" i="193" s="1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T49" i="193" s="1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S55" i="193" s="1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S48" i="193" s="1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S45" i="193" s="1"/>
  <c r="BF25" i="193"/>
  <c r="R45" i="193" s="1"/>
  <c r="BH34" i="193"/>
  <c r="BI34" i="193"/>
  <c r="BJ33" i="193"/>
  <c r="BK32" i="193"/>
  <c r="AS32" i="193"/>
  <c r="AR31" i="193"/>
  <c r="AQ30" i="193"/>
  <c r="AX31" i="193"/>
  <c r="BJ30" i="193"/>
  <c r="BF26" i="193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T37" i="200" s="1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BF22" i="200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R46" i="193" l="1"/>
  <c r="S35" i="200"/>
  <c r="R35" i="200"/>
  <c r="R36" i="200"/>
  <c r="R50" i="193"/>
  <c r="S47" i="193"/>
  <c r="T48" i="193"/>
  <c r="R49" i="193"/>
  <c r="T45" i="193"/>
  <c r="T52" i="193"/>
  <c r="T53" i="193"/>
  <c r="R54" i="193"/>
  <c r="S46" i="193"/>
  <c r="R53" i="193"/>
  <c r="R47" i="193"/>
  <c r="S53" i="193"/>
  <c r="S51" i="193"/>
  <c r="S49" i="193"/>
  <c r="T54" i="193"/>
  <c r="R55" i="193"/>
  <c r="R48" i="193"/>
  <c r="T55" i="193"/>
  <c r="T50" i="193"/>
  <c r="R51" i="193"/>
  <c r="S52" i="193"/>
  <c r="T51" i="193"/>
  <c r="S50" i="193"/>
  <c r="S54" i="193"/>
  <c r="R52" i="193"/>
  <c r="J33" i="200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F7" i="193"/>
  <c r="F25" i="193" s="1"/>
  <c r="D8" i="193"/>
  <c r="F8" i="193" s="1"/>
  <c r="F9" i="193"/>
  <c r="F27" i="193" s="1"/>
  <c r="G9" i="193"/>
  <c r="H9" i="193" s="1"/>
  <c r="H27" i="193" s="1"/>
  <c r="D10" i="193"/>
  <c r="D11" i="193"/>
  <c r="D29" i="193" s="1"/>
  <c r="F12" i="193"/>
  <c r="F30" i="193" s="1"/>
  <c r="G12" i="193"/>
  <c r="G30" i="193" s="1"/>
  <c r="D13" i="193"/>
  <c r="D14" i="193"/>
  <c r="D32" i="193" s="1"/>
  <c r="F15" i="193"/>
  <c r="G15" i="193"/>
  <c r="H15" i="193" s="1"/>
  <c r="D16" i="193"/>
  <c r="F17" i="193"/>
  <c r="G17" i="193"/>
  <c r="H17" i="193" s="1"/>
  <c r="BB25" i="193"/>
  <c r="AY25" i="193"/>
  <c r="I2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AY30" i="193"/>
  <c r="AX30" i="193"/>
  <c r="AW30" i="193"/>
  <c r="AV30" i="193"/>
  <c r="AU30" i="193"/>
  <c r="AT30" i="193"/>
  <c r="AS30" i="193"/>
  <c r="AR30" i="193"/>
  <c r="AP30" i="193"/>
  <c r="AO30" i="193"/>
  <c r="AN30" i="193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O50" i="193" l="1"/>
  <c r="F10" i="193"/>
  <c r="D28" i="193"/>
  <c r="G14" i="193"/>
  <c r="H14" i="193" s="1"/>
  <c r="F14" i="193"/>
  <c r="G13" i="193"/>
  <c r="H13" i="193" s="1"/>
  <c r="D31" i="193"/>
  <c r="G8" i="193"/>
  <c r="H8" i="193" s="1"/>
  <c r="D26" i="193"/>
  <c r="D36" i="193" s="1"/>
  <c r="G11" i="193"/>
  <c r="H11" i="193" s="1"/>
  <c r="H29" i="193" s="1"/>
  <c r="F11" i="193"/>
  <c r="Q50" i="193"/>
  <c r="G16" i="193"/>
  <c r="H16" i="193" s="1"/>
  <c r="D34" i="193"/>
  <c r="Q45" i="193"/>
  <c r="P52" i="193"/>
  <c r="F13" i="193"/>
  <c r="F31" i="193" s="1"/>
  <c r="L52" i="193"/>
  <c r="N52" i="193"/>
  <c r="F16" i="193"/>
  <c r="F34" i="193" s="1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H28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F32" i="193"/>
  <c r="F35" i="193"/>
  <c r="G27" i="193"/>
  <c r="F28" i="193"/>
  <c r="F26" i="193"/>
  <c r="D18" i="193"/>
  <c r="E36" i="193"/>
  <c r="G29" i="193" l="1"/>
  <c r="G28" i="193"/>
  <c r="U45" i="193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<sst xmlns="http://schemas.openxmlformats.org/spreadsheetml/2006/main" count="2778" uniqueCount="631">
  <si>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</si>
  <si>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</si>
  <si>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</si>
  <si>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</si>
  <si>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</si>
  <si>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</si>
  <si>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</si>
  <si>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</si>
  <si>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</si>
  <si>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</si>
  <si>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</si>
  <si>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</si>
  <si>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</si>
  <si>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</si>
  <si>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</si>
  <si>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</si>
  <si>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</si>
  <si>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</si>
  <si>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</si>
  <si>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</si>
  <si>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</si>
  <si>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</si>
  <si>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</si>
  <si>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</si>
  <si>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</si>
  <si>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</si>
  <si>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</si>
  <si>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</si>
  <si>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</si>
  <si>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</si>
  <si>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</si>
  <si>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</si>
  <si>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</si>
  <si>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</si>
  <si>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</si>
  <si>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</si>
  <si>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</si>
  <si>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</si>
  <si>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</si>
  <si>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</si>
  <si>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</si>
  <si>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</si>
  <si>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</si>
  <si>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</si>
  <si>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</si>
  <si>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</si>
  <si>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</si>
  <si>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</si>
  <si>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</si>
  <si>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</si>
  <si>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</si>
  <si>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</si>
  <si>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</si>
  <si>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</si>
  <si>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</si>
  <si>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</si>
  <si>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</si>
  <si>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</si>
  <si>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</si>
  <si>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</si>
  <si>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</si>
  <si>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</si>
  <si>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</si>
  <si>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</si>
  <si>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</si>
  <si>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</si>
  <si>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</si>
  <si>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</si>
  <si>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</si>
  <si>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</si>
  <si>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</si>
  <si>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</si>
  <si>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</si>
  <si>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</si>
  <si>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</si>
  <si>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</si>
  <si>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</si>
  <si>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</si>
  <si>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</si>
  <si>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</si>
  <si>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</si>
  <si>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</si>
  <si>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</si>
  <si>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</si>
  <si>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</si>
  <si>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</si>
  <si>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</si>
  <si>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</si>
  <si>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</si>
  <si>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</si>
  <si>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</si>
  <si>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</si>
  <si>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</si>
  <si>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</si>
  <si>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</si>
  <si>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</si>
  <si>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</si>
  <si>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</si>
  <si>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</si>
  <si>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</si>
  <si>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</si>
  <si>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</si>
  <si>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</si>
  <si>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</si>
  <si>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</si>
  <si>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</si>
  <si>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</si>
  <si>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</si>
  <si>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</si>
  <si>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</si>
  <si>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</si>
  <si>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</si>
  <si>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</si>
  <si>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</si>
  <si>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</si>
  <si>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</si>
  <si>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</si>
  <si>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</si>
  <si>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</si>
  <si>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</si>
  <si>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</si>
  <si>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</si>
  <si>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</si>
  <si>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</si>
  <si>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</si>
  <si>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</si>
  <si>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</si>
  <si>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</si>
  <si>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</si>
  <si>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</si>
  <si>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</si>
  <si>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</si>
  <si>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</si>
  <si>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</si>
  <si>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</si>
  <si>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</si>
  <si>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</si>
  <si>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</si>
  <si>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</si>
  <si>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</si>
  <si>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</si>
  <si>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</si>
  <si>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</si>
  <si>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</si>
  <si>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</si>
  <si>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</si>
  <si>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</si>
  <si>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</si>
  <si>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</si>
  <si>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</si>
  <si>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</si>
  <si>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</si>
  <si>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</si>
  <si>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</si>
  <si>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</si>
  <si>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</si>
  <si>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</si>
  <si>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</si>
  <si>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</si>
  <si>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</si>
  <si>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</si>
  <si>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</si>
  <si>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</si>
  <si>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</si>
  <si>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</si>
  <si>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</si>
  <si>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</si>
  <si>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</si>
  <si>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</si>
  <si>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</si>
  <si>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</si>
  <si>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</si>
  <si>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</si>
  <si>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</si>
  <si>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</si>
  <si>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</si>
  <si>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</si>
  <si>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</si>
  <si>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</si>
  <si>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</si>
  <si>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</si>
  <si>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</si>
  <si>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</si>
  <si>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</si>
  <si>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</si>
  <si>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</si>
  <si>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</si>
  <si>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</si>
  <si>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</si>
  <si>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</si>
  <si>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</si>
  <si>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</si>
  <si>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</si>
  <si>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</si>
  <si>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</si>
  <si>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</si>
  <si>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</si>
  <si>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</si>
  <si>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</si>
  <si>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</si>
  <si>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</si>
  <si>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</si>
  <si>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</si>
  <si>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</si>
  <si>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</si>
  <si>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</si>
  <si>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</si>
  <si>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</si>
  <si>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</si>
  <si>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</si>
  <si>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</si>
  <si>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</si>
  <si>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</si>
  <si>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</si>
  <si>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</si>
  <si>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</si>
  <si>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</si>
  <si>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</si>
  <si>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</si>
  <si>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</si>
  <si>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</si>
  <si>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</si>
  <si>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</si>
  <si>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</si>
  <si>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</si>
  <si>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</si>
  <si>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</si>
  <si>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</si>
  <si>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</si>
  <si>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</si>
  <si>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</si>
  <si>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</si>
  <si>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</si>
  <si>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</si>
  <si>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</si>
  <si>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</si>
  <si>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</si>
  <si>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</si>
  <si>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</si>
  <si>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</si>
  <si>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</si>
  <si>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</si>
  <si>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</si>
  <si>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</si>
  <si>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</si>
  <si>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</si>
  <si>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</si>
  <si>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</si>
  <si>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</si>
  <si>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</si>
  <si>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</si>
  <si>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</si>
  <si>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</si>
  <si>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</si>
  <si>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</si>
  <si>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</si>
  <si>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</si>
  <si>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</si>
  <si>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</si>
  <si>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</si>
  <si>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</si>
  <si>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</si>
  <si>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</si>
  <si>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</si>
  <si>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</si>
  <si>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</si>
  <si>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</si>
  <si>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</si>
  <si>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</si>
  <si>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</si>
  <si>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</si>
  <si>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</si>
  <si>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</si>
  <si>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</si>
  <si>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</si>
  <si>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</si>
  <si>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</si>
  <si>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</si>
  <si>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</si>
  <si>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</si>
  <si>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</si>
  <si>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</si>
  <si>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</si>
  <si>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</si>
  <si>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</si>
  <si>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</si>
  <si>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</si>
  <si>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</si>
  <si>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</si>
  <si>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</si>
  <si>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</si>
  <si>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</si>
  <si>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</si>
  <si>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</si>
  <si>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</si>
  <si>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</si>
  <si>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</si>
  <si>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</si>
  <si>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</si>
  <si>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</si>
  <si>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</si>
  <si>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</si>
  <si>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</si>
  <si>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</si>
  <si>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</si>
  <si>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</si>
  <si>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</si>
  <si>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</si>
  <si>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</si>
  <si>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</si>
  <si>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</si>
  <si>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</si>
  <si>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</si>
  <si>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</si>
  <si>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</si>
  <si>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</si>
  <si>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</si>
  <si>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</si>
  <si>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</si>
  <si>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</si>
  <si>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</si>
  <si>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</si>
  <si>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</si>
  <si>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</si>
  <si>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</si>
  <si>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</si>
  <si>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</si>
  <si>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</si>
  <si>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</si>
  <si>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</si>
  <si>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</si>
  <si>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</si>
  <si>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</si>
  <si>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</si>
  <si>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</si>
  <si>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</si>
  <si>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</si>
  <si>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</si>
  <si>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</si>
  <si>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</si>
  <si>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</si>
  <si>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</si>
  <si>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</si>
  <si>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</si>
  <si>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</si>
  <si>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</si>
  <si>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</si>
  <si>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</si>
  <si>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</si>
  <si>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</si>
  <si>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</si>
  <si>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</si>
  <si>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</si>
  <si>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</si>
  <si>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</si>
  <si>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</si>
  <si>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</si>
  <si>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</si>
  <si>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</si>
  <si>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</si>
  <si>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</si>
  <si>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</si>
  <si>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</si>
  <si>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</si>
  <si>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</si>
  <si>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</si>
  <si>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</si>
  <si>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</si>
  <si>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</si>
  <si>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</si>
  <si>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</si>
  <si>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</si>
  <si>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</si>
  <si>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</si>
  <si>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</si>
  <si>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</si>
  <si>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</si>
  <si>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</si>
  <si>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</si>
  <si>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</si>
  <si>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</si>
  <si>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</si>
  <si>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</si>
  <si>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</si>
  <si>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</si>
  <si>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</si>
  <si>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</si>
  <si>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</si>
  <si>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</si>
  <si>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</si>
  <si>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</si>
  <si>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</si>
  <si>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</si>
  <si>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</si>
  <si>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</si>
  <si>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</si>
  <si>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</si>
  <si>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</si>
  <si>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</si>
  <si>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</si>
  <si>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</si>
  <si>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</si>
  <si>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</si>
  <si>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</si>
  <si>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</si>
  <si>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</si>
  <si>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</si>
  <si>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</si>
  <si>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</si>
  <si>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</si>
  <si>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</si>
  <si>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</si>
  <si>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</si>
  <si>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</si>
  <si>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</si>
  <si>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</si>
  <si>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</si>
  <si>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</si>
  <si>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</si>
  <si>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</si>
  <si>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</si>
  <si>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</si>
  <si>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</si>
  <si>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</si>
  <si>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</si>
  <si>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</si>
  <si>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</si>
  <si>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</si>
  <si>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</si>
  <si>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</si>
  <si>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</si>
  <si>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</si>
  <si>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</si>
  <si>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</si>
  <si>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</si>
  <si>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</si>
  <si>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</si>
  <si>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</si>
  <si>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</si>
  <si>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</si>
  <si>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</si>
  <si>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</si>
  <si>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</si>
  <si>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</si>
  <si>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</si>
  <si>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</si>
  <si>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</si>
  <si>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</si>
  <si>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</si>
  <si>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</si>
  <si>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</si>
  <si>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</si>
  <si>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</si>
  <si>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</si>
  <si>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</si>
  <si>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</si>
  <si>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</si>
  <si>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</si>
  <si>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</si>
  <si>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</si>
  <si>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</si>
  <si>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</si>
  <si>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</si>
  <si>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</si>
  <si>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</si>
  <si>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</si>
  <si>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</si>
  <si>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</si>
  <si>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</si>
  <si>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</si>
  <si>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</si>
  <si>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</si>
  <si>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</si>
  <si>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</si>
  <si>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</si>
  <si>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</si>
  <si>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</si>
  <si>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</si>
  <si>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</si>
  <si>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</si>
  <si>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</si>
  <si>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</si>
  <si>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</si>
  <si>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</si>
  <si>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</si>
  <si>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</si>
  <si>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</si>
  <si>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</si>
  <si>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</si>
  <si>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</si>
  <si>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</si>
  <si>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</si>
  <si>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</si>
  <si>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</si>
  <si>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</si>
  <si>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</si>
  <si>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</si>
  <si>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</si>
  <si>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</si>
  <si>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</si>
  <si>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</si>
  <si>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</si>
  <si>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</si>
  <si>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</si>
  <si>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</si>
  <si>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</si>
  <si>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</si>
  <si>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</si>
  <si>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</si>
  <si>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</si>
  <si>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</si>
  <si>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</si>
  <si>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</si>
  <si>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</si>
  <si>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</si>
  <si>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</si>
  <si>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</si>
  <si>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</si>
  <si>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</si>
  <si>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</si>
  <si>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</si>
  <si>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</si>
  <si>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</si>
  <si>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</si>
  <si>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</si>
  <si>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</si>
  <si>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</si>
  <si>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</si>
  <si>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</si>
  <si>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</si>
  <si>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</si>
  <si>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</si>
  <si>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</si>
  <si>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</si>
  <si>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</si>
  <si>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</si>
  <si>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</si>
  <si>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</si>
  <si>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</si>
  <si>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</si>
  <si>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</si>
  <si>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</si>
  <si>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</si>
  <si>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</si>
  <si>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</si>
  <si>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</si>
  <si>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</si>
  <si>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</si>
  <si>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</si>
  <si>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</si>
  <si>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</si>
  <si>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</si>
  <si>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</si>
  <si>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</si>
  <si>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</si>
  <si>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</si>
  <si>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</si>
  <si>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</si>
  <si>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</si>
  <si>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</si>
  <si>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</si>
  <si>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</si>
  <si>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</si>
  <si>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</si>
  <si>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</si>
  <si>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</si>
  <si>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</si>
  <si>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</si>
  <si>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</si>
  <si>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</si>
  <si>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</si>
  <si>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</si>
  <si>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</si>
  <si>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</si>
  <si>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</si>
  <si>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</si>
  <si>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</si>
  <si>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</si>
  <si>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Fresia Antonella Rodriguez Villena</t>
  </si>
  <si>
    <t>frodriguezv@agricolachira.com.pe</t>
  </si>
  <si>
    <t xml:space="preserve">          </t>
  </si>
  <si>
    <t xml:space="preserve">      </t>
  </si>
  <si>
    <t>Roy James Romero Collantes</t>
  </si>
  <si>
    <t>RRomeroC@agricolachira.com.pe</t>
  </si>
  <si>
    <t>Industrial y de Mantenimiento</t>
  </si>
  <si>
    <t>OMontenegroC@agricolachira.com.pe</t>
  </si>
  <si>
    <t>ID</t>
  </si>
  <si>
    <t>Hora de inicio</t>
  </si>
  <si>
    <t>Hora de finalización</t>
  </si>
  <si>
    <t>Correo electrónico</t>
  </si>
  <si>
    <t>1</t>
  </si>
  <si>
    <t>2</t>
  </si>
  <si>
    <t>3</t>
  </si>
  <si>
    <t>4</t>
  </si>
  <si>
    <t>5</t>
  </si>
  <si>
    <t>Agradecemos su participación en esta encuesta, si tuviera alguna sugerencia para mejorar el servicio, por favor escríbalo en el siguiente espacio.</t>
  </si>
  <si>
    <t>No aplica</t>
  </si>
  <si>
    <t>He calificado de forma regular el tiempo de redacción de reclamos ya que suelen demorar más de 1 semana. En todo caso, explicar el tiempo máximo según procedimiento, para tenerlo en cuenta</t>
  </si>
  <si>
    <t>Ricardo Mera Chu</t>
  </si>
  <si>
    <t>Mejoraría el seguimiento a las coordinaciones realizadas con área de bienes y servicios para que se materialicen los reclamos a proveedores.</t>
  </si>
  <si>
    <t xml:space="preserve">Buen equipo </t>
  </si>
  <si>
    <t>ok</t>
  </si>
  <si>
    <t>Excelente servicio!</t>
  </si>
  <si>
    <t>EAmesM@agricolachira.com.pe</t>
  </si>
  <si>
    <t>JArevaloga@agricolachira.com.pe</t>
  </si>
  <si>
    <t xml:space="preserve">Excelente equipo! </t>
  </si>
  <si>
    <t>Jene Fransheska Gómez Aparicio</t>
  </si>
  <si>
    <t>Excelente equipo, las quiero mucho!!!</t>
  </si>
  <si>
    <t>Realizar capacitaciones en temas de multas por incumplimiento en normativas legales y de seguridad para jefaturas y supervisores.</t>
  </si>
  <si>
    <t>Todo ok.</t>
  </si>
  <si>
    <t>Seguir reforzando al equipo de área legal para lograr los objetivos.</t>
  </si>
  <si>
    <t>FFloresP@agricolachira.com.pe</t>
  </si>
  <si>
    <t>Raul Javier Torres Silva</t>
  </si>
  <si>
    <t>JCheroPa@agricolachira.com.pe</t>
  </si>
  <si>
    <t>Paso 2: Extraer los comentarios de la hoja Respuestas Microsoft Office</t>
  </si>
  <si>
    <t>X</t>
  </si>
  <si>
    <t>Paso 1: Convertir los resultados del forms a tabla para poder manejar mejor las columnas.</t>
  </si>
  <si>
    <t>Nro</t>
  </si>
  <si>
    <t>Promedio</t>
  </si>
  <si>
    <t>Gerencias</t>
  </si>
  <si>
    <t>Promedios</t>
  </si>
  <si>
    <t>Total Universo</t>
  </si>
  <si>
    <t>Etiquetas de fila</t>
  </si>
  <si>
    <t>Total general</t>
  </si>
  <si>
    <t>Promedio de Nro</t>
  </si>
  <si>
    <t>Manual</t>
  </si>
  <si>
    <t>Gerencia2</t>
  </si>
  <si>
    <t>Cuenta de Nro</t>
  </si>
  <si>
    <t>(Varios elementos)</t>
  </si>
  <si>
    <t>Completaron 44 personas (81.48%)</t>
  </si>
  <si>
    <t>No completaron 10 personas (18.52%)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</si>
</sst>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  <numFmt numFmtId="168" formatCode="m/d/yy\ h:mm:ss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0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0" fillId="0" borderId="5" xfId="0" applyBorder="1"/>
    <xf numFmtId="0" fontId="0" fillId="0" borderId="5" xfId="0" applyBorder="1" applyAlignment="1">
      <alignment horizontal="center"/>
    </xf>
    <xf numFmtId="15" fontId="0" fillId="0" borderId="1" xfId="0" applyNumberForma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3" fillId="0" borderId="0" xfId="2"/>
    <xf numFmtId="0" fontId="0" fillId="0" borderId="0" xfId="0" applyAlignment="1">
      <alignment horizontal="left"/>
    </xf>
    <xf numFmtId="15" fontId="5" fillId="7" borderId="1" xfId="0" applyNumberFormat="1" applyFont="1" applyFill="1" applyBorder="1"/>
    <xf numFmtId="15" fontId="0" fillId="2" borderId="7" xfId="0" applyNumberFormat="1" applyFill="1" applyBorder="1"/>
    <xf numFmtId="15" fontId="0" fillId="2" borderId="6" xfId="0" applyNumberFormat="1" applyFill="1" applyBorder="1"/>
    <xf numFmtId="15" fontId="4" fillId="2" borderId="0" xfId="0" applyNumberFormat="1" applyFont="1" applyFill="1" applyAlignment="1">
      <alignment horizontal="center"/>
    </xf>
    <xf numFmtId="15" fontId="0" fillId="2" borderId="61" xfId="0" applyNumberFormat="1" applyFill="1" applyBorder="1"/>
    <xf numFmtId="15" fontId="0" fillId="2" borderId="62" xfId="0" applyNumberFormat="1" applyFill="1" applyBorder="1"/>
    <xf numFmtId="15" fontId="0" fillId="2" borderId="5" xfId="0" applyNumberFormat="1" applyFill="1" applyBorder="1"/>
    <xf numFmtId="0" fontId="3" fillId="0" borderId="0" xfId="2" applyFill="1" applyBorder="1"/>
    <xf numFmtId="0" fontId="4" fillId="0" borderId="0" xfId="0" applyFont="1" applyAlignment="1">
      <alignment horizontal="center"/>
    </xf>
    <xf numFmtId="168" fontId="0" fillId="0" borderId="0" xfId="0" applyNumberFormat="1"/>
    <xf numFmtId="0" fontId="0" fillId="8" borderId="63" xfId="0" applyFill="1" applyBorder="1"/>
    <xf numFmtId="0" fontId="0" fillId="9" borderId="63" xfId="0" applyFill="1" applyBorder="1"/>
    <xf numFmtId="0" fontId="0" fillId="9" borderId="44" xfId="0" applyFill="1" applyBorder="1"/>
    <xf numFmtId="0" fontId="0" fillId="8" borderId="64" xfId="0" applyFill="1" applyBorder="1"/>
    <xf numFmtId="0" fontId="0" fillId="9" borderId="64" xfId="0" applyFill="1" applyBorder="1"/>
    <xf numFmtId="0" fontId="0" fillId="9" borderId="41" xfId="0" applyFill="1" applyBorder="1"/>
    <xf numFmtId="0" fontId="0" fillId="8" borderId="65" xfId="0" applyFill="1" applyBorder="1"/>
    <xf numFmtId="0" fontId="0" fillId="9" borderId="65" xfId="0" applyFill="1" applyBorder="1"/>
    <xf numFmtId="0" fontId="0" fillId="9" borderId="42" xfId="0" applyFill="1" applyBorder="1"/>
    <xf numFmtId="0" fontId="0" fillId="0" borderId="0" xfId="0" pivotButton="1"/>
    <xf numFmtId="165" fontId="0" fillId="0" borderId="0" xfId="0" applyNumberFormat="1"/>
    <xf numFmtId="0" fontId="0" fillId="0" borderId="66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" xfId="0" applyBorder="1"/>
    <xf numFmtId="0" fontId="0" fillId="0" borderId="70" xfId="0" applyBorder="1"/>
    <xf numFmtId="0" fontId="0" fillId="0" borderId="71" xfId="0" applyBorder="1"/>
    <xf numFmtId="0" fontId="0" fillId="0" borderId="4" xfId="0" applyBorder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22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4" borderId="47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8" formatCode="m/d/yy\ h:mm:ss"/>
    </dxf>
    <dxf>
      <numFmt numFmtId="168" formatCode="m/d/yy\ 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DataResumen!$B$15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DataResumen!$A$16:$A$20</c:f>
              <c:strCache>
                <c:ptCount val="5"/>
                <c:pt idx="0">
                  <c:v>Redacción de Cartas para entidades públicas</c:v>
                </c:pt>
                <c:pt idx="1">
                  <c:v>Absolución de Consultas</c:v>
                </c:pt>
                <c:pt idx="2">
                  <c:v>Soporte Legal</c:v>
                </c:pt>
                <c:pt idx="3">
                  <c:v>Redacción de Contratos con proveedores y clientes</c:v>
                </c:pt>
                <c:pt idx="4">
                  <c:v>Redacción de reclamos a proveedores</c:v>
                </c:pt>
              </c:strCache>
            </c:strRef>
          </c:cat>
          <c:val>
            <c:numRef>
              <c:f>DataResumen!$B$16:$B$20</c:f>
              <c:numCache>
                <c:formatCode>General</c:formatCode>
                <c:ptCount val="5"/>
                <c:pt idx="0" formatCode="0.000">
                  <c:v>4.4000000000000004</c:v>
                </c:pt>
                <c:pt idx="1">
                  <c:v>4.3849999999999998</c:v>
                </c:pt>
                <c:pt idx="2">
                  <c:v>4.375</c:v>
                </c:pt>
                <c:pt idx="3">
                  <c:v>4.3419999999999996</c:v>
                </c:pt>
                <c:pt idx="4">
                  <c:v>4.1790000000000003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949-8A15-D91332E3D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6936607"/>
        <c:axId val="826927007"/>
      </c:barChart>
      <c:catAx>
        <c:axId val="8269366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26927007"/>
        <c:crosses val="autoZero"/>
        <c:auto val="1"/>
        <c:lblAlgn val="ctr"/>
        <c:lblOffset val="100"/>
        <c:noMultiLvlLbl val="0"/>
      </c:catAx>
      <c:valAx>
        <c:axId val="826927007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crossAx val="826936607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Gerencia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DataResumen!$M$15</c:f>
              <c:strCache>
                <c:ptCount val="1"/>
                <c:pt idx="0">
                  <c:v>Promedios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DataResumen!$L$16:$L$20</c:f>
              <c:strCache>
                <c:ptCount val="5"/>
                <c:pt idx="0">
                  <c:v>Operaciones</c:v>
                </c:pt>
                <c:pt idx="1">
                  <c:v>Gestión Humana y Sostenibilidad</c:v>
                </c:pt>
                <c:pt idx="2">
                  <c:v>Administración y Finanzas</c:v>
                </c:pt>
                <c:pt idx="3">
                  <c:v>Agrícola</c:v>
                </c:pt>
                <c:pt idx="4">
                  <c:v>Industrial y de Mantenimiento</c:v>
                </c:pt>
              </c:strCache>
            </c:strRef>
          </c:cat>
          <c:val>
            <c:numRef>
              <c:f>DataResumen!$M$16:$M$20</c:f>
              <c:numCache>
                <c:formatCode>General</c:formatCode>
                <c:ptCount val="5"/>
                <c:pt idx="0">
                  <c:v>4.5880000000000001</c:v>
                </c:pt>
                <c:pt idx="1">
                  <c:v>4.5529999999999999</c:v>
                </c:pt>
                <c:pt idx="2">
                  <c:v>4.3310000000000004</c:v>
                </c:pt>
                <c:pt idx="3">
                  <c:v>4.0309999999999997</c:v>
                </c:pt>
                <c:pt idx="4" formatCode="0.000">
                  <c:v>3.85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40-49E3-86C6-305CAA2D6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6940447"/>
        <c:axId val="826940927"/>
      </c:barChart>
      <c:catAx>
        <c:axId val="8269404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26940927"/>
        <c:crosses val="autoZero"/>
        <c:auto val="1"/>
        <c:lblAlgn val="ctr"/>
        <c:lblOffset val="100"/>
        <c:noMultiLvlLbl val="0"/>
      </c:catAx>
      <c:valAx>
        <c:axId val="826940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26940447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Histórica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9DD86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HistoricoAreas!$B$1:$F$1</c:f>
              <c:strCach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2024-01</c:v>
                </c:pt>
                <c:pt idx="4">
                  <c:v>2024-02</c:v>
                </c:pt>
              </c:strCache>
            </c:strRef>
          </c:cat>
          <c:val>
            <c:numRef>
              <c:f>HistoricoAreas!$B$9:$F$9</c:f>
              <c:numCache>
                <c:formatCode>_-* #,##0.000_-;\-* #,##0.000_-;_-* "-"??_-;_-@_-</c:formatCode>
                <c:ptCount val="5"/>
                <c:pt idx="0">
                  <c:v>4.05</c:v>
                </c:pt>
                <c:pt idx="1">
                  <c:v>4.0069999999999997</c:v>
                </c:pt>
                <c:pt idx="2">
                  <c:v>4.2982698234860868</c:v>
                </c:pt>
                <c:pt idx="3">
                  <c:v>4.5289999999999999</c:v>
                </c:pt>
                <c:pt idx="4" formatCode="General">
                  <c:v>4.3360000000000003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87-4399-9F6A-66A0BF6DF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6921247"/>
        <c:axId val="826923167"/>
      </c:barChart>
      <c:catAx>
        <c:axId val="8269212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26923167"/>
        <c:crosses val="autoZero"/>
        <c:auto val="1"/>
        <c:lblAlgn val="ctr"/>
        <c:lblOffset val="100"/>
        <c:noMultiLvlLbl val="0"/>
      </c:catAx>
      <c:valAx>
        <c:axId val="826923167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826921247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[EncuestaLegal2.xlsm]DataResumen!PivotTablaAutoevaluacion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PE"/>
              <a:t>Autoevaluación por servicios ( 2 usuarios)</a:t>
            </a:r>
          </a:p>
        </c:rich>
      </c:tx>
      <c:overlay val="0"/>
    </c:title>
    <c:autoTitleDeleted val="0"/>
    <c:pivotFmts>
      <c:pivotFmt>
        <c:idx val="0"/>
        <c:spPr>
          <a:solidFill>
            <a:srgbClr val="0B84A5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DataResumen!$M$36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DataResumen!$L$37:$L$42</c:f>
              <c:strCache>
                <c:ptCount val="5"/>
                <c:pt idx="0">
                  <c:v>Absolución de Consultas</c:v>
                </c:pt>
                <c:pt idx="1">
                  <c:v>Redacción de Cartas para entidades públicas</c:v>
                </c:pt>
                <c:pt idx="2">
                  <c:v>Redacción de Contratos con proveedores y clientes</c:v>
                </c:pt>
                <c:pt idx="3">
                  <c:v>Redacción de reclamos a proveedores</c:v>
                </c:pt>
                <c:pt idx="4">
                  <c:v>Soporte Legal</c:v>
                </c:pt>
              </c:strCache>
            </c:strRef>
          </c:cat>
          <c:val>
            <c:numRef>
              <c:f>DataResumen!$M$37:$M$42</c:f>
              <c:numCache>
                <c:formatCode>0.000</c:formatCode>
                <c:ptCount val="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66-4EB6-81E5-431D796EF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6947647"/>
        <c:axId val="826949087"/>
      </c:barChart>
      <c:catAx>
        <c:axId val="826947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26949087"/>
        <c:crosses val="autoZero"/>
        <c:auto val="1"/>
        <c:lblAlgn val="ctr"/>
        <c:lblOffset val="100"/>
        <c:noMultiLvlLbl val="0"/>
      </c:catAx>
      <c:valAx>
        <c:axId val="826949087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crossAx val="826947647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Universo de 54 colaboradores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0"/>
              <c:layout>
                <c:manualLayout>
                  <c:x val="-7.7684278688922234E-2"/>
                  <c:y val="-1.3606530563267593E-2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marL="0" marR="0" lvl="0" indent="0" algn="ctr" defTabSz="914400" rtl="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 sz="10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EF2755A-137D-470B-BD88-1A5E58D0EE71}" type="CATEGORYNAME">
                      <a:rPr lang="en-US" sz="1000" b="0" i="0" u="none" strike="noStrike" kern="1200" baseline="0">
                        <a:solidFill>
                          <a:sysClr val="windowText" lastClr="000000"/>
                        </a:solidFill>
                      </a:rPr>
                      <a:pPr marL="0" marR="0" lvl="0" indent="0" algn="ctr" defTabSz="914400" rtl="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 sz="10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3BBF-4A67-B2AD-BD96F94B4E85}"/>
                </c:ext>
              </c:extLst>
            </c:dLbl>
            <c:dLbl>
              <c:idx val="1"/>
              <c:layout>
                <c:manualLayout>
                  <c:x val="7.5005510458269753E-2"/>
                  <c:y val="-2.2677550938779267E-2"/>
                </c:manualLayout>
              </c:layout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8DD4D88C-8C33-4168-822F-BDCF7403572F}" type="CATEGORYNAME">
                      <a:rPr lang="en-US" sz="1000" b="0" i="0" u="none" strike="noStrike" kern="1200" baseline="0">
                        <a:solidFill>
                          <a:sysClr val="windowText" lastClr="000000"/>
                        </a:solidFill>
                      </a:rPr>
                      <a:pPr>
                        <a:defRPr/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>
                  <a:softEdge rad="0"/>
                </a:effectLst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BBF-4A67-B2AD-BD96F94B4E8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DataResumen!$A$3:$A$4</c:f>
              <c:strCache>
                <c:ptCount val="2"/>
                <c:pt idx="0">
                  <c:v>Completaron 44 personas (81.48%)</c:v>
                </c:pt>
                <c:pt idx="1">
                  <c:v>No completaron 10 personas (18.52%)</c:v>
                </c:pt>
              </c:strCache>
            </c:strRef>
          </c:cat>
          <c:val>
            <c:numRef>
              <c:f>DataResumen!$B$3:$B$4</c:f>
              <c:numCache>
                <c:formatCode>General</c:formatCode>
                <c:ptCount val="2"/>
                <c:pt idx="0">
                  <c:v>44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BF-4A67-B2AD-BD96F94B4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7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400" b="1" i="0" u="none" strike="noStrike" kern="1200" cap="none" spc="0" normalizeH="0" baseline="0">
                <a:solidFill>
                  <a:schemeClr val="tx1"/>
                </a:solidFill>
              </a:rPr>
              <a:t>Satisfacción Histórica Legal (Acumulado)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Graficos!$C$72:$F$72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9765800315052781E-2"/>
                  <c:y val="7.2649578761152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30B-41DA-BF07-591CDF619525}"/>
                </c:ext>
              </c:extLst>
            </c:dLbl>
            <c:dLbl>
              <c:idx val="1"/>
              <c:layout>
                <c:manualLayout>
                  <c:x val="-6.9119167104239973E-2"/>
                  <c:y val="-7.26495787611531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0B-41DA-BF07-591CDF619525}"/>
                </c:ext>
              </c:extLst>
            </c:dLbl>
            <c:dLbl>
              <c:idx val="2"/>
              <c:layout>
                <c:manualLayout>
                  <c:x val="-4.4236266946713683E-2"/>
                  <c:y val="5.9027782743436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30B-41DA-BF07-591CDF619525}"/>
                </c:ext>
              </c:extLst>
            </c:dLbl>
            <c:dLbl>
              <c:idx val="3"/>
              <c:layout>
                <c:manualLayout>
                  <c:x val="-2.4882900157526595E-2"/>
                  <c:y val="7.7190177433725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30B-41DA-BF07-591CDF6195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Graficos!$C$72:$F$72</c:f>
              <c:numCache>
                <c:formatCode>General</c:formatCod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numCache>
            </c:numRef>
          </c:cat>
          <c:val>
            <c:numRef>
              <c:f>Graficos!$C$73:$F$73</c:f>
              <c:numCache>
                <c:formatCode>_-* #,##0.000_-;\-* #,##0.000_-;_-* "-"??_-;_-@_-</c:formatCode>
                <c:ptCount val="4"/>
                <c:pt idx="0">
                  <c:v>4.05</c:v>
                </c:pt>
                <c:pt idx="1">
                  <c:v>4.0069999999999997</c:v>
                </c:pt>
                <c:pt idx="2">
                  <c:v>4.2982698234860868</c:v>
                </c:pt>
                <c:pt idx="3">
                  <c:v>4.4325000000000001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0B-41DA-BF07-591CDF619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874864"/>
        <c:axId val="1461838543"/>
      </c:lineChart>
      <c:catAx>
        <c:axId val="19687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61838543"/>
        <c:crosses val="autoZero"/>
        <c:auto val="1"/>
        <c:lblAlgn val="ctr"/>
        <c:lblOffset val="100"/>
        <c:noMultiLvlLbl val="0"/>
      </c:catAx>
      <c:valAx>
        <c:axId val="1461838543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96874864"/>
        <c:crosses val="autoZero"/>
        <c:crossBetween val="between"/>
      </c:valAx>
      <c:spPr>
        <a:pattFill prst="pct5">
          <a:fgClr>
            <a:schemeClr val="tx1">
              <a:lumMod val="65000"/>
              <a:lumOff val="3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DataResumen!$B$36</c:f>
              <c:strCache>
                <c:ptCount val="1"/>
                <c:pt idx="0">
                  <c:v>2022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DataResumen!$A$37:$A$41</c:f>
              <c:strCache>
                <c:ptCount val="5"/>
                <c:pt idx="0">
                  <c:v>Redacción de Cartas para entidades públicas</c:v>
                </c:pt>
                <c:pt idx="1">
                  <c:v>Absolución de Consultas</c:v>
                </c:pt>
                <c:pt idx="2">
                  <c:v>Soporte Legal</c:v>
                </c:pt>
                <c:pt idx="3">
                  <c:v>Redacción de Contratos con proveedores y clientes</c:v>
                </c:pt>
                <c:pt idx="4">
                  <c:v>Redacción de reclamos a proveedores</c:v>
                </c:pt>
              </c:strCache>
            </c:strRef>
          </c:cat>
          <c:val>
            <c:numRef>
              <c:f>DataResumen!$B$37:$B$41</c:f>
              <c:numCache>
                <c:formatCode>_-* #,##0.000_-;\-* #,##0.000_-;_-* "-"??_-;_-@_-</c:formatCode>
                <c:ptCount val="5"/>
                <c:pt idx="0">
                  <c:v>4.0238095238095202</c:v>
                </c:pt>
                <c:pt idx="1">
                  <c:v>4.0548885077186965</c:v>
                </c:pt>
                <c:pt idx="2">
                  <c:v>4.0400962309542905</c:v>
                </c:pt>
                <c:pt idx="3">
                  <c:v>3.9591836734693877</c:v>
                </c:pt>
                <c:pt idx="4">
                  <c:v>3.9565217391304346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BF-451C-AF80-880C8764ACE4}"/>
            </c:ext>
          </c:extLst>
        </c:ser>
        <c:ser>
          <c:idx val="1"/>
          <c:order val="1"/>
          <c:tx>
            <c:strRef>
              <c:f>DataResumen!$C$36</c:f>
              <c:strCache>
                <c:ptCount val="1"/>
                <c:pt idx="0">
                  <c:v>2023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DataResumen!$A$37:$A$41</c:f>
              <c:strCache>
                <c:ptCount val="5"/>
                <c:pt idx="0">
                  <c:v>Redacción de Cartas para entidades públicas</c:v>
                </c:pt>
                <c:pt idx="1">
                  <c:v>Absolución de Consultas</c:v>
                </c:pt>
                <c:pt idx="2">
                  <c:v>Soporte Legal</c:v>
                </c:pt>
                <c:pt idx="3">
                  <c:v>Redacción de Contratos con proveedores y clientes</c:v>
                </c:pt>
                <c:pt idx="4">
                  <c:v>Redacción de reclamos a proveedores</c:v>
                </c:pt>
              </c:strCache>
            </c:strRef>
          </c:cat>
          <c:val>
            <c:numRef>
              <c:f>DataResumen!$C$37:$C$41</c:f>
              <c:numCache>
                <c:formatCode>0.000</c:formatCode>
                <c:ptCount val="5"/>
                <c:pt idx="0">
                  <c:v>4.2397558849171748</c:v>
                </c:pt>
                <c:pt idx="1">
                  <c:v>4.3040816326530607</c:v>
                </c:pt>
                <c:pt idx="2">
                  <c:v>4.3516057585825028</c:v>
                </c:pt>
                <c:pt idx="3">
                  <c:v>4.3045609548167096</c:v>
                </c:pt>
                <c:pt idx="4">
                  <c:v>4.2905263157894744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BF-451C-AF80-880C8764ACE4}"/>
            </c:ext>
          </c:extLst>
        </c:ser>
        <c:ser>
          <c:idx val="2"/>
          <c:order val="2"/>
          <c:tx>
            <c:strRef>
              <c:f>DataResumen!$D$36</c:f>
              <c:strCache>
                <c:ptCount val="1"/>
                <c:pt idx="0">
                  <c:v>2024-01</c:v>
                </c:pt>
              </c:strCache>
            </c:strRef>
          </c:tx>
          <c:spPr>
            <a:solidFill>
              <a:schemeClr val="accent6">
                <a:lumMod val="75000"/>
                <a:alpha val="93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DataResumen!$A$37:$A$41</c:f>
              <c:strCache>
                <c:ptCount val="5"/>
                <c:pt idx="0">
                  <c:v>Redacción de Cartas para entidades públicas</c:v>
                </c:pt>
                <c:pt idx="1">
                  <c:v>Absolución de Consultas</c:v>
                </c:pt>
                <c:pt idx="2">
                  <c:v>Soporte Legal</c:v>
                </c:pt>
                <c:pt idx="3">
                  <c:v>Redacción de Contratos con proveedores y clientes</c:v>
                </c:pt>
                <c:pt idx="4">
                  <c:v>Redacción de reclamos a proveedores</c:v>
                </c:pt>
              </c:strCache>
            </c:strRef>
          </c:cat>
          <c:val>
            <c:numRef>
              <c:f>DataResumen!$D$37:$D$41</c:f>
              <c:numCache>
                <c:formatCode>0.000</c:formatCode>
                <c:ptCount val="5"/>
                <c:pt idx="0">
                  <c:v>4.3570000000000002</c:v>
                </c:pt>
                <c:pt idx="1">
                  <c:v>4.218</c:v>
                </c:pt>
                <c:pt idx="2" formatCode="General">
                  <c:v>4.1829999999999998</c:v>
                </c:pt>
                <c:pt idx="3">
                  <c:v>4.218</c:v>
                </c:pt>
                <c:pt idx="4">
                  <c:v>4.2910000000000004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BF-451C-AF80-880C8764ACE4}"/>
            </c:ext>
          </c:extLst>
        </c:ser>
        <c:ser>
          <c:idx val="3"/>
          <c:order val="3"/>
          <c:tx>
            <c:strRef>
              <c:f>DataResumen!$E$36</c:f>
              <c:strCache>
                <c:ptCount val="1"/>
                <c:pt idx="0">
                  <c:v>2024-02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DataResumen!$A$37:$A$41</c:f>
              <c:strCache>
                <c:ptCount val="5"/>
                <c:pt idx="0">
                  <c:v>Redacción de Cartas para entidades públicas</c:v>
                </c:pt>
                <c:pt idx="1">
                  <c:v>Absolución de Consultas</c:v>
                </c:pt>
                <c:pt idx="2">
                  <c:v>Soporte Legal</c:v>
                </c:pt>
                <c:pt idx="3">
                  <c:v>Redacción de Contratos con proveedores y clientes</c:v>
                </c:pt>
                <c:pt idx="4">
                  <c:v>Redacción de reclamos a proveedores</c:v>
                </c:pt>
              </c:strCache>
            </c:strRef>
          </c:cat>
          <c:val>
            <c:numRef>
              <c:f>DataResumen!$E$37:$E$41</c:f>
              <c:numCache>
                <c:formatCode>General</c:formatCode>
                <c:ptCount val="5"/>
                <c:pt idx="0" formatCode="0.000">
                  <c:v>4.4000000000000004</c:v>
                </c:pt>
                <c:pt idx="1">
                  <c:v>4.3849999999999998</c:v>
                </c:pt>
                <c:pt idx="2">
                  <c:v>4.375</c:v>
                </c:pt>
                <c:pt idx="3">
                  <c:v>4.3419999999999996</c:v>
                </c:pt>
                <c:pt idx="4">
                  <c:v>4.1790000000000003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BF-451C-AF80-880C8764A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7"/>
        <c:overlap val="-47"/>
        <c:axId val="278431680"/>
        <c:axId val="278427840"/>
      </c:barChart>
      <c:catAx>
        <c:axId val="27843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s-PE"/>
          </a:p>
        </c:txPr>
        <c:crossAx val="278427840"/>
        <c:crosses val="autoZero"/>
        <c:auto val="1"/>
        <c:lblAlgn val="ctr"/>
        <c:lblOffset val="100"/>
        <c:noMultiLvlLbl val="0"/>
      </c:catAx>
      <c:valAx>
        <c:axId val="278427840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278431680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9</xdr:row>
          <xdr:rowOff>83820</xdr:rowOff>
        </xdr:from>
        <xdr:to>
          <xdr:col>17</xdr:col>
          <xdr:colOff>327660</xdr:colOff>
          <xdr:row>12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Tabulear información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9</xdr:col>
      <xdr:colOff>282605</xdr:colOff>
      <xdr:row>13</xdr:row>
      <xdr:rowOff>25960</xdr:rowOff>
    </xdr:from>
    <xdr:to>
      <xdr:col>14</xdr:col>
      <xdr:colOff>371184</xdr:colOff>
      <xdr:row>16</xdr:row>
      <xdr:rowOff>20600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9FE903-3EDE-F11D-8C73-26F693EC08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40194" b="39484"/>
        <a:stretch/>
      </xdr:blipFill>
      <xdr:spPr>
        <a:xfrm>
          <a:off x="5189088" y="2396134"/>
          <a:ext cx="2637867" cy="522458"/>
        </a:xfrm>
        <a:prstGeom prst="rect">
          <a:avLst/>
        </a:prstGeom>
      </xdr:spPr>
    </xdr:pic>
    <xdr:clientData/>
  </xdr:twoCellAnchor>
  <xdr:twoCellAnchor editAs="oneCell">
    <xdr:from>
      <xdr:col>15</xdr:col>
      <xdr:colOff>168039</xdr:colOff>
      <xdr:row>13</xdr:row>
      <xdr:rowOff>61406</xdr:rowOff>
    </xdr:from>
    <xdr:to>
      <xdr:col>20</xdr:col>
      <xdr:colOff>374665</xdr:colOff>
      <xdr:row>16</xdr:row>
      <xdr:rowOff>59188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3A051B3-C8E6-4295-A138-E3C2D055C8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0396" b="60395"/>
        <a:stretch/>
      </xdr:blipFill>
      <xdr:spPr>
        <a:xfrm>
          <a:off x="8131382" y="2431580"/>
          <a:ext cx="2800217" cy="5256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155058</xdr:colOff>
      <xdr:row>13</xdr:row>
      <xdr:rowOff>51160</xdr:rowOff>
    </xdr:from>
    <xdr:to>
      <xdr:col>27</xdr:col>
      <xdr:colOff>46207</xdr:colOff>
      <xdr:row>16</xdr:row>
      <xdr:rowOff>96225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B51477B-FA8D-468C-859F-C6157F9680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59983" r="-4563" b="19453"/>
        <a:stretch/>
      </xdr:blipFill>
      <xdr:spPr>
        <a:xfrm>
          <a:off x="11263866" y="2421334"/>
          <a:ext cx="2946105" cy="572883"/>
        </a:xfrm>
        <a:prstGeom prst="rect">
          <a:avLst/>
        </a:prstGeom>
      </xdr:spPr>
    </xdr:pic>
    <xdr:clientData/>
  </xdr:twoCellAnchor>
  <xdr:twoCellAnchor editAs="oneCell">
    <xdr:from>
      <xdr:col>27</xdr:col>
      <xdr:colOff>95870</xdr:colOff>
      <xdr:row>13</xdr:row>
      <xdr:rowOff>90783</xdr:rowOff>
    </xdr:from>
    <xdr:to>
      <xdr:col>32</xdr:col>
      <xdr:colOff>247473</xdr:colOff>
      <xdr:row>16</xdr:row>
      <xdr:rowOff>96226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D725F150-A8D5-41D3-8BD3-4FEAA0D159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79924"/>
        <a:stretch/>
      </xdr:blipFill>
      <xdr:spPr>
        <a:xfrm>
          <a:off x="14261539" y="2460957"/>
          <a:ext cx="2695176" cy="533261"/>
        </a:xfrm>
        <a:prstGeom prst="rect">
          <a:avLst/>
        </a:prstGeom>
      </xdr:spPr>
    </xdr:pic>
    <xdr:clientData/>
  </xdr:twoCellAnchor>
  <xdr:twoCellAnchor editAs="oneCell">
    <xdr:from>
      <xdr:col>33</xdr:col>
      <xdr:colOff>64548</xdr:colOff>
      <xdr:row>13</xdr:row>
      <xdr:rowOff>127970</xdr:rowOff>
    </xdr:from>
    <xdr:to>
      <xdr:col>38</xdr:col>
      <xdr:colOff>312021</xdr:colOff>
      <xdr:row>16</xdr:row>
      <xdr:rowOff>117634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E54490AF-5234-4696-8F52-4560B062FC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79814"/>
        <a:stretch/>
      </xdr:blipFill>
      <xdr:spPr>
        <a:xfrm>
          <a:off x="17143095" y="2498144"/>
          <a:ext cx="2648969" cy="5212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8</xdr:col>
      <xdr:colOff>175304</xdr:colOff>
      <xdr:row>50</xdr:row>
      <xdr:rowOff>166134</xdr:rowOff>
    </xdr:from>
    <xdr:to>
      <xdr:col>13</xdr:col>
      <xdr:colOff>399769</xdr:colOff>
      <xdr:row>54</xdr:row>
      <xdr:rowOff>110491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8D88CE9-F9C1-E586-45AC-F081973D8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8444" y="9159506"/>
          <a:ext cx="2605715" cy="708572"/>
        </a:xfrm>
        <a:prstGeom prst="rect">
          <a:avLst/>
        </a:prstGeom>
      </xdr:spPr>
    </xdr:pic>
    <xdr:clientData/>
  </xdr:twoCellAnchor>
  <xdr:twoCellAnchor editAs="oneCell">
    <xdr:from>
      <xdr:col>13</xdr:col>
      <xdr:colOff>310115</xdr:colOff>
      <xdr:row>50</xdr:row>
      <xdr:rowOff>121832</xdr:rowOff>
    </xdr:from>
    <xdr:to>
      <xdr:col>18</xdr:col>
      <xdr:colOff>77797</xdr:colOff>
      <xdr:row>55</xdr:row>
      <xdr:rowOff>94693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69B84F0-3908-3174-9B18-19BBE1BA2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54505" y="9115204"/>
          <a:ext cx="2459048" cy="914286"/>
        </a:xfrm>
        <a:prstGeom prst="rect">
          <a:avLst/>
        </a:prstGeom>
      </xdr:spPr>
    </xdr:pic>
    <xdr:clientData/>
  </xdr:twoCellAnchor>
  <xdr:twoCellAnchor editAs="oneCell">
    <xdr:from>
      <xdr:col>9</xdr:col>
      <xdr:colOff>33228</xdr:colOff>
      <xdr:row>7</xdr:row>
      <xdr:rowOff>48459</xdr:rowOff>
    </xdr:from>
    <xdr:to>
      <xdr:col>14</xdr:col>
      <xdr:colOff>546515</xdr:colOff>
      <xdr:row>10</xdr:row>
      <xdr:rowOff>88959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1C7B8389-FF9A-951F-96A7-AFA09D3896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39612" b="39144"/>
        <a:stretch/>
      </xdr:blipFill>
      <xdr:spPr>
        <a:xfrm>
          <a:off x="4939711" y="1355378"/>
          <a:ext cx="3060670" cy="572128"/>
        </a:xfrm>
        <a:prstGeom prst="rect">
          <a:avLst/>
        </a:prstGeom>
      </xdr:spPr>
    </xdr:pic>
    <xdr:clientData/>
  </xdr:twoCellAnchor>
  <xdr:twoCellAnchor editAs="oneCell">
    <xdr:from>
      <xdr:col>15</xdr:col>
      <xdr:colOff>138622</xdr:colOff>
      <xdr:row>7</xdr:row>
      <xdr:rowOff>64124</xdr:rowOff>
    </xdr:from>
    <xdr:to>
      <xdr:col>20</xdr:col>
      <xdr:colOff>452194</xdr:colOff>
      <xdr:row>10</xdr:row>
      <xdr:rowOff>64550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50ED87B5-686F-4875-A19A-EAB8D52E6D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20051" b="58881"/>
        <a:stretch/>
      </xdr:blipFill>
      <xdr:spPr>
        <a:xfrm>
          <a:off x="8201645" y="1371043"/>
          <a:ext cx="2905258" cy="532054"/>
        </a:xfrm>
        <a:prstGeom prst="rect">
          <a:avLst/>
        </a:prstGeom>
      </xdr:spPr>
    </xdr:pic>
    <xdr:clientData/>
  </xdr:twoCellAnchor>
  <xdr:twoCellAnchor editAs="oneCell">
    <xdr:from>
      <xdr:col>21</xdr:col>
      <xdr:colOff>165780</xdr:colOff>
      <xdr:row>7</xdr:row>
      <xdr:rowOff>103490</xdr:rowOff>
    </xdr:from>
    <xdr:to>
      <xdr:col>26</xdr:col>
      <xdr:colOff>505668</xdr:colOff>
      <xdr:row>10</xdr:row>
      <xdr:rowOff>125523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4009A79-FF4B-4C52-8A3E-006599592C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536" t="60396" b="18659"/>
        <a:stretch/>
      </xdr:blipFill>
      <xdr:spPr>
        <a:xfrm>
          <a:off x="11329966" y="1410409"/>
          <a:ext cx="2887272" cy="553661"/>
        </a:xfrm>
        <a:prstGeom prst="rect">
          <a:avLst/>
        </a:prstGeom>
      </xdr:spPr>
    </xdr:pic>
    <xdr:clientData/>
  </xdr:twoCellAnchor>
  <xdr:twoCellAnchor editAs="oneCell">
    <xdr:from>
      <xdr:col>27</xdr:col>
      <xdr:colOff>22151</xdr:colOff>
      <xdr:row>7</xdr:row>
      <xdr:rowOff>92414</xdr:rowOff>
    </xdr:from>
    <xdr:to>
      <xdr:col>32</xdr:col>
      <xdr:colOff>310117</xdr:colOff>
      <xdr:row>10</xdr:row>
      <xdr:rowOff>40492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19CC82E4-8826-4165-8D00-0D5EADC05BC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6188" t="4174" b="79460"/>
        <a:stretch/>
      </xdr:blipFill>
      <xdr:spPr>
        <a:xfrm>
          <a:off x="14243198" y="1399333"/>
          <a:ext cx="2835349" cy="479706"/>
        </a:xfrm>
        <a:prstGeom prst="rect">
          <a:avLst/>
        </a:prstGeom>
      </xdr:spPr>
    </xdr:pic>
    <xdr:clientData/>
  </xdr:twoCellAnchor>
  <xdr:twoCellAnchor editAs="oneCell">
    <xdr:from>
      <xdr:col>32</xdr:col>
      <xdr:colOff>343343</xdr:colOff>
      <xdr:row>7</xdr:row>
      <xdr:rowOff>113661</xdr:rowOff>
    </xdr:from>
    <xdr:to>
      <xdr:col>39</xdr:col>
      <xdr:colOff>181019</xdr:colOff>
      <xdr:row>10</xdr:row>
      <xdr:rowOff>140137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CA5424ED-CCE1-4B8F-9A71-75E92C59C4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744" t="79714"/>
        <a:stretch/>
      </xdr:blipFill>
      <xdr:spPr>
        <a:xfrm>
          <a:off x="17111773" y="1420580"/>
          <a:ext cx="2972066" cy="55810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</xdr:colOff>
      <xdr:row>21</xdr:row>
      <xdr:rowOff>40005</xdr:rowOff>
    </xdr:from>
    <xdr:to>
      <xdr:col>9</xdr:col>
      <xdr:colOff>525780</xdr:colOff>
      <xdr:row>36</xdr:row>
      <xdr:rowOff>55880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5A88E88-71DE-ED49-95CD-2403B9CE27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19050</xdr:colOff>
      <xdr:row>21</xdr:row>
      <xdr:rowOff>40005</xdr:rowOff>
    </xdr:from>
    <xdr:to>
      <xdr:col>19</xdr:col>
      <xdr:colOff>550545</xdr:colOff>
      <xdr:row>36</xdr:row>
      <xdr:rowOff>55880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69C0741-EF67-3A2B-C001-723B1057D3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529590</xdr:colOff>
      <xdr:row>41</xdr:row>
      <xdr:rowOff>100965</xdr:rowOff>
    </xdr:from>
    <xdr:to>
      <xdr:col>9</xdr:col>
      <xdr:colOff>69850</xdr:colOff>
      <xdr:row>62</xdr:row>
      <xdr:rowOff>106680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0B66F25-474B-981C-A7DF-872F378C74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40005</xdr:colOff>
      <xdr:row>22</xdr:row>
      <xdr:rowOff>41910</xdr:rowOff>
    </xdr:from>
    <xdr:to>
      <xdr:col>29</xdr:col>
      <xdr:colOff>53975</xdr:colOff>
      <xdr:row>43</xdr:row>
      <xdr:rowOff>47625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455EAB4-0006-3ECA-4963-B1C190E22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579120</xdr:colOff>
      <xdr:row>2</xdr:row>
      <xdr:rowOff>175260</xdr:rowOff>
    </xdr:from>
    <xdr:to>
      <xdr:col>8</xdr:col>
      <xdr:colOff>553795</xdr:colOff>
      <xdr:row>18</xdr:row>
      <xdr:rowOff>32161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69911AF-8B78-4829-84CA-1158F2C6C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790127</xdr:colOff>
      <xdr:row>69</xdr:row>
      <xdr:rowOff>116990</xdr:rowOff>
    </xdr:from>
    <xdr:to>
      <xdr:col>12</xdr:col>
      <xdr:colOff>626858</xdr:colOff>
      <xdr:row>84</xdr:row>
      <xdr:rowOff>174588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310283D4-787B-4D65-86DC-19E52DFA25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693420</xdr:colOff>
      <xdr:row>41</xdr:row>
      <xdr:rowOff>68580</xdr:rowOff>
    </xdr:from>
    <xdr:to>
      <xdr:col>17</xdr:col>
      <xdr:colOff>781050</xdr:colOff>
      <xdr:row>61</xdr:row>
      <xdr:rowOff>116877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6FC4330-5F6B-47D6-89F9-C9218E030F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hian Martin Valladolid Chero" refreshedDate="45659.340255671297" createdVersion="3" refreshedVersion="8" minRefreshableVersion="3" recordCount="220" xr:uid="{84BDAD39-0328-4C1E-9C11-C3D23A3DFEDE}">
  <cacheSource type="worksheet">
    <worksheetSource ref="A1:E221" sheet="Paso3_Tabuleado"/>
  </cacheSource>
  <cacheFields count="5">
    <cacheField name="Correo electrónico" numFmtId="0">
      <sharedItems/>
    </cacheField>
    <cacheField name="Servicios" numFmtId="0">
      <sharedItems count="5">
        <s v="Redacción de Contratos con proveedores y clientes"/>
        <s v="Redacción de Cartas para entidades públicas"/>
        <s v="Redacción de reclamos a proveedores"/>
        <s v="Absolución de Consultas"/>
        <s v="Soporte Legal"/>
      </sharedItems>
    </cacheField>
    <cacheField name="Nro" numFmtId="0">
      <sharedItems containsMixedTypes="1" containsNumber="1" containsInteger="1" minValue="3" maxValue="5"/>
    </cacheField>
    <cacheField name="Gerencia" numFmtId="0">
      <sharedItems/>
    </cacheField>
    <cacheField name="Area" numFmtId="0">
      <sharedItems count="28">
        <s v="Riesgos y Cumplimiento"/>
        <s v="Electricidad"/>
        <s v="Fundo San Vicente"/>
        <s v="Gerencia Administración y Finanzas"/>
        <s v="Mantenimiento de Riego y Bombas"/>
        <s v="Legal"/>
        <s v="Producción"/>
        <s v="Gerencia industrial y de Mantenimiento"/>
        <s v="Comercial No Giro"/>
        <s v="Finanzas y Tesorería"/>
        <s v="Seguridad"/>
        <s v="Calidad"/>
        <s v="Compras"/>
        <s v="Cosecha"/>
        <s v="Cadenas Productivas"/>
        <s v="Contabilidad Tributaria"/>
        <s v="Mantenimiento Industrial"/>
        <s v="Sistemas y TI"/>
        <s v="Comercial"/>
        <s v="Almacenes y Distribución PT"/>
        <s v="Bienestar - Medico Ocupacional"/>
        <s v="Fundo Montelima"/>
        <s v="Comunicaciones y Responsabilidad Social"/>
        <s v="Control de Gestión"/>
        <s v="Compensación y Nóminas"/>
        <s v="Administración"/>
        <s v="Laboratorio e Investigación Agricola"/>
        <s v="Gestión Human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hian Martin Valladolid Chero" refreshedDate="45659.385186226849" createdVersion="8" refreshedVersion="8" minRefreshableVersion="3" recordCount="220" xr:uid="{C08B66D3-95F7-484B-A644-D39B142BC89B}">
  <cacheSource type="worksheet">
    <worksheetSource name="Resumen2"/>
  </cacheSource>
  <cacheFields count="6">
    <cacheField name="Correo electrónico" numFmtId="0">
      <sharedItems/>
    </cacheField>
    <cacheField name="Servicios" numFmtId="0">
      <sharedItems count="5">
        <s v="Redacción de Contratos con proveedores y clientes"/>
        <s v="Redacción de Cartas para entidades públicas"/>
        <s v="Redacción de reclamos a proveedores"/>
        <s v="Absolución de Consultas"/>
        <s v="Soporte Legal"/>
      </sharedItems>
    </cacheField>
    <cacheField name="Nro" numFmtId="0">
      <sharedItems containsMixedTypes="1" containsNumber="1" containsInteger="1" minValue="3" maxValue="5" count="4">
        <n v="5"/>
        <n v="3"/>
        <s v="X"/>
        <n v="4"/>
      </sharedItems>
    </cacheField>
    <cacheField name="Gerencia" numFmtId="0">
      <sharedItems count="5">
        <s v="Administración y Finanzas"/>
        <s v="Industrial y de Mantenimiento"/>
        <s v="Agrícola"/>
        <s v="Operaciones"/>
        <s v="Gestión Humana y Sostenibilidad"/>
      </sharedItems>
    </cacheField>
    <cacheField name="Area" numFmtId="0">
      <sharedItems count="28">
        <s v="Riesgos y Cumplimiento"/>
        <s v="Electricidad"/>
        <s v="Fundo San Vicente"/>
        <s v="Gerencia Administración y Finanzas"/>
        <s v="Mantenimiento de Riego y Bombas"/>
        <s v="Legal"/>
        <s v="Producción"/>
        <s v="Gerencia industrial y de Mantenimiento"/>
        <s v="Comercial No Giro"/>
        <s v="Finanzas y Tesorería"/>
        <s v="Seguridad"/>
        <s v="Calidad"/>
        <s v="Compras"/>
        <s v="Cosecha"/>
        <s v="Cadenas Productivas"/>
        <s v="Contabilidad Tributaria"/>
        <s v="Mantenimiento Industrial"/>
        <s v="Sistemas y TI"/>
        <s v="Comercial"/>
        <s v="Almacenes y Distribución PT"/>
        <s v="Bienestar - Medico Ocupacional"/>
        <s v="Fundo Montelima"/>
        <s v="Comunicaciones y Responsabilidad Social"/>
        <s v="Control de Gestión"/>
        <s v="Compensación y Nóminas"/>
        <s v="Administración"/>
        <s v="Laboratorio e Investigación Agricola"/>
        <s v="Gestión Humana"/>
      </sharedItems>
    </cacheField>
    <cacheField name="Gerencia2" numFmtId="0">
      <sharedItems count="5">
        <s v="Administración y Finanzas"/>
        <s v="Industrial y de Mantenimiento"/>
        <s v="Agrícola"/>
        <s v="Operaciones"/>
        <s v="Gestión Humana y Sostenibilid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0">
  <r>
    <s v="HMocarroC@agricolachira.com.pe"/>
    <x v="0"/>
    <n v="5"/>
    <s v="Administración y Finanzas"/>
    <x v="0"/>
  </r>
  <r>
    <s v="CCarrilloR@agricolachira.com.pe"/>
    <x v="0"/>
    <n v="3"/>
    <s v="Industrial y de Mantenimiento"/>
    <x v="1"/>
  </r>
  <r>
    <s v="WChavezS@agricolachira.com.pe"/>
    <x v="0"/>
    <s v="X"/>
    <s v="Agrícola"/>
    <x v="2"/>
  </r>
  <r>
    <s v="CVivancoM@agricolachira.com.pe"/>
    <x v="0"/>
    <n v="4"/>
    <s v="Administración y Finanzas"/>
    <x v="3"/>
  </r>
  <r>
    <s v="JMioA@agricolachira.com.pe"/>
    <x v="0"/>
    <n v="4"/>
    <s v="Agrícola"/>
    <x v="4"/>
  </r>
  <r>
    <s v="KOtinianoP@agricolachira.com.pe"/>
    <x v="0"/>
    <n v="5"/>
    <s v="Administración y Finanzas"/>
    <x v="5"/>
  </r>
  <r>
    <s v="AFloresD@agricolachira.com.pe"/>
    <x v="0"/>
    <n v="4"/>
    <s v="Industrial y de Mantenimiento"/>
    <x v="6"/>
  </r>
  <r>
    <s v="rmerach@agricolachira.com.pe"/>
    <x v="0"/>
    <n v="4"/>
    <s v="Industrial y de Mantenimiento"/>
    <x v="7"/>
  </r>
  <r>
    <s v="ABlancoE@agricolachira.com.pe"/>
    <x v="0"/>
    <n v="5"/>
    <s v="Operaciones"/>
    <x v="8"/>
  </r>
  <r>
    <s v="LOlayaLe@agricolachira.com.pe"/>
    <x v="0"/>
    <n v="3"/>
    <s v="Administración y Finanzas"/>
    <x v="9"/>
  </r>
  <r>
    <s v="JMendozaG@agricolachira.com.pe"/>
    <x v="0"/>
    <n v="5"/>
    <s v="Gestión Humana y Sostenibilidad"/>
    <x v="10"/>
  </r>
  <r>
    <s v="JCobenasS@agricolachira.com.pe"/>
    <x v="0"/>
    <n v="4"/>
    <s v="Operaciones"/>
    <x v="11"/>
  </r>
  <r>
    <s v="LTimanaT@agricolachira.com.pe"/>
    <x v="0"/>
    <n v="5"/>
    <s v="Administración y Finanzas"/>
    <x v="12"/>
  </r>
  <r>
    <s v="JBayonaG@agricolachira.com.pe"/>
    <x v="0"/>
    <n v="4"/>
    <s v="Administración y Finanzas"/>
    <x v="12"/>
  </r>
  <r>
    <s v="LGarciaC@agricolachira.com.pe"/>
    <x v="0"/>
    <n v="5"/>
    <s v="Operaciones"/>
    <x v="13"/>
  </r>
  <r>
    <s v="EArevaloJ@agricolachira.com.pe"/>
    <x v="0"/>
    <n v="5"/>
    <s v="Administración y Finanzas"/>
    <x v="14"/>
  </r>
  <r>
    <s v="MMartinezP@agricolachira.com.pe"/>
    <x v="0"/>
    <s v="X"/>
    <s v="Administración y Finanzas"/>
    <x v="15"/>
  </r>
  <r>
    <s v="LVillarF@agricolachira.com.pe"/>
    <x v="0"/>
    <n v="4"/>
    <s v="Industrial y de Mantenimiento"/>
    <x v="16"/>
  </r>
  <r>
    <s v="VLopezS@agricolachira.com.pe"/>
    <x v="0"/>
    <n v="4"/>
    <s v="Operaciones"/>
    <x v="13"/>
  </r>
  <r>
    <s v="jvasquezc@agricolachira.com.pe"/>
    <x v="0"/>
    <n v="4"/>
    <s v="Administración y Finanzas"/>
    <x v="17"/>
  </r>
  <r>
    <s v="DZuritaF@agricolachira.com.pe"/>
    <x v="0"/>
    <n v="5"/>
    <s v="Administración y Finanzas"/>
    <x v="5"/>
  </r>
  <r>
    <s v="YMoscolC@agricolachira.com.pe"/>
    <x v="0"/>
    <n v="5"/>
    <s v="Operaciones"/>
    <x v="18"/>
  </r>
  <r>
    <s v="YGarridoS@agricolachira.com.pe"/>
    <x v="0"/>
    <n v="5"/>
    <s v="Operaciones"/>
    <x v="19"/>
  </r>
  <r>
    <s v="EAmesM@agricolachira.com.pe"/>
    <x v="0"/>
    <n v="4"/>
    <s v="Gestión Humana y Sostenibilidad"/>
    <x v="20"/>
  </r>
  <r>
    <s v="JArevaloga@agricolachira.com.pe"/>
    <x v="0"/>
    <n v="5"/>
    <s v="Gestión Humana y Sostenibilidad"/>
    <x v="10"/>
  </r>
  <r>
    <s v="AGutierrezR@agricolachira.com.pe"/>
    <x v="0"/>
    <n v="5"/>
    <s v="Operaciones"/>
    <x v="18"/>
  </r>
  <r>
    <s v="JChaparroB@agricolachira.com.pe"/>
    <x v="0"/>
    <n v="4"/>
    <s v="Administración y Finanzas"/>
    <x v="12"/>
  </r>
  <r>
    <s v="JGomezAp@agricolachira.com.pe"/>
    <x v="0"/>
    <n v="5"/>
    <s v="Administración y Finanzas"/>
    <x v="17"/>
  </r>
  <r>
    <s v="JEstelaF@agricolachira.com.pe"/>
    <x v="0"/>
    <n v="4"/>
    <s v="Operaciones"/>
    <x v="11"/>
  </r>
  <r>
    <s v="RGarciaFe@agricolachira.com.pe"/>
    <x v="0"/>
    <n v="4"/>
    <s v="Administración y Finanzas"/>
    <x v="15"/>
  </r>
  <r>
    <s v="JAquijeD@agricolachira.com.pe"/>
    <x v="0"/>
    <s v="X"/>
    <s v="Agrícola"/>
    <x v="21"/>
  </r>
  <r>
    <s v="OMontenegroC@agricolachira.com.pe"/>
    <x v="0"/>
    <n v="5"/>
    <s v="Operaciones"/>
    <x v="18"/>
  </r>
  <r>
    <s v="LRodriguezC@agricolachira.com.pe"/>
    <x v="0"/>
    <n v="4"/>
    <s v="Gestión Humana y Sostenibilidad"/>
    <x v="22"/>
  </r>
  <r>
    <s v="ABurneoL@agricolachira.com.pe"/>
    <x v="0"/>
    <n v="4"/>
    <s v="Administración y Finanzas"/>
    <x v="23"/>
  </r>
  <r>
    <s v="AColomaL@agricolachira.com.pe"/>
    <x v="0"/>
    <n v="4"/>
    <s v="Gestión Humana y Sostenibilidad"/>
    <x v="24"/>
  </r>
  <r>
    <s v="jquevedoa@agricolachira.com.pe"/>
    <x v="0"/>
    <n v="4"/>
    <s v="Administración y Finanzas"/>
    <x v="25"/>
  </r>
  <r>
    <s v="jbacilioh@agricolachira.com.pe"/>
    <x v="0"/>
    <n v="4"/>
    <s v="Agrícola"/>
    <x v="26"/>
  </r>
  <r>
    <s v="MVegaY@agricolachira.com.pe"/>
    <x v="0"/>
    <n v="3"/>
    <s v="Operaciones"/>
    <x v="11"/>
  </r>
  <r>
    <s v="NHansenG@agricolachira.com.pe"/>
    <x v="0"/>
    <s v="X"/>
    <s v="Agrícola"/>
    <x v="4"/>
  </r>
  <r>
    <s v="MCulqueC@agricolachira.com.pe"/>
    <x v="0"/>
    <n v="5"/>
    <s v="Agrícola"/>
    <x v="2"/>
  </r>
  <r>
    <s v="FFloresP@agricolachira.com.pe"/>
    <x v="0"/>
    <n v="5"/>
    <s v="Gestión Humana y Sostenibilidad"/>
    <x v="27"/>
  </r>
  <r>
    <s v="RTorresS@agricolachira.com.pe"/>
    <x v="0"/>
    <n v="4"/>
    <s v="Agrícola"/>
    <x v="4"/>
  </r>
  <r>
    <s v="JCheroPa@agricolachira.com.pe"/>
    <x v="0"/>
    <n v="5"/>
    <s v="Administración y Finanzas"/>
    <x v="12"/>
  </r>
  <r>
    <s v="cfreym@agricolachira.com.pe"/>
    <x v="0"/>
    <n v="5"/>
    <s v="Operaciones"/>
    <x v="18"/>
  </r>
  <r>
    <s v="HMocarroC@agricolachira.com.pe"/>
    <x v="1"/>
    <n v="5"/>
    <s v="Administración y Finanzas"/>
    <x v="0"/>
  </r>
  <r>
    <s v="CCarrilloR@agricolachira.com.pe"/>
    <x v="1"/>
    <n v="4"/>
    <s v="Industrial y de Mantenimiento"/>
    <x v="1"/>
  </r>
  <r>
    <s v="WChavezS@agricolachira.com.pe"/>
    <x v="1"/>
    <s v="X"/>
    <s v="Agrícola"/>
    <x v="2"/>
  </r>
  <r>
    <s v="CVivancoM@agricolachira.com.pe"/>
    <x v="1"/>
    <n v="4"/>
    <s v="Administración y Finanzas"/>
    <x v="3"/>
  </r>
  <r>
    <s v="JMioA@agricolachira.com.pe"/>
    <x v="1"/>
    <n v="4"/>
    <s v="Agrícola"/>
    <x v="4"/>
  </r>
  <r>
    <s v="KOtinianoP@agricolachira.com.pe"/>
    <x v="1"/>
    <n v="5"/>
    <s v="Administración y Finanzas"/>
    <x v="5"/>
  </r>
  <r>
    <s v="AFloresD@agricolachira.com.pe"/>
    <x v="1"/>
    <s v="X"/>
    <s v="Industrial y de Mantenimiento"/>
    <x v="6"/>
  </r>
  <r>
    <s v="rmerach@agricolachira.com.pe"/>
    <x v="1"/>
    <n v="4"/>
    <s v="Industrial y de Mantenimiento"/>
    <x v="7"/>
  </r>
  <r>
    <s v="ABlancoE@agricolachira.com.pe"/>
    <x v="1"/>
    <n v="5"/>
    <s v="Operaciones"/>
    <x v="8"/>
  </r>
  <r>
    <s v="LOlayaLe@agricolachira.com.pe"/>
    <x v="1"/>
    <n v="3"/>
    <s v="Administración y Finanzas"/>
    <x v="9"/>
  </r>
  <r>
    <s v="JMendozaG@agricolachira.com.pe"/>
    <x v="1"/>
    <n v="5"/>
    <s v="Gestión Humana y Sostenibilidad"/>
    <x v="10"/>
  </r>
  <r>
    <s v="JCobenasS@agricolachira.com.pe"/>
    <x v="1"/>
    <s v="X"/>
    <s v="Operaciones"/>
    <x v="11"/>
  </r>
  <r>
    <s v="LTimanaT@agricolachira.com.pe"/>
    <x v="1"/>
    <s v="X"/>
    <s v="Administración y Finanzas"/>
    <x v="12"/>
  </r>
  <r>
    <s v="JBayonaG@agricolachira.com.pe"/>
    <x v="1"/>
    <s v="X"/>
    <s v="Administración y Finanzas"/>
    <x v="12"/>
  </r>
  <r>
    <s v="LGarciaC@agricolachira.com.pe"/>
    <x v="1"/>
    <s v="X"/>
    <s v="Operaciones"/>
    <x v="13"/>
  </r>
  <r>
    <s v="EArevaloJ@agricolachira.com.pe"/>
    <x v="1"/>
    <n v="5"/>
    <s v="Administración y Finanzas"/>
    <x v="14"/>
  </r>
  <r>
    <s v="MMartinezP@agricolachira.com.pe"/>
    <x v="1"/>
    <n v="5"/>
    <s v="Administración y Finanzas"/>
    <x v="15"/>
  </r>
  <r>
    <s v="LVillarF@agricolachira.com.pe"/>
    <x v="1"/>
    <s v="X"/>
    <s v="Industrial y de Mantenimiento"/>
    <x v="16"/>
  </r>
  <r>
    <s v="VLopezS@agricolachira.com.pe"/>
    <x v="1"/>
    <n v="4"/>
    <s v="Operaciones"/>
    <x v="13"/>
  </r>
  <r>
    <s v="jvasquezc@agricolachira.com.pe"/>
    <x v="1"/>
    <n v="4"/>
    <s v="Administración y Finanzas"/>
    <x v="17"/>
  </r>
  <r>
    <s v="DZuritaF@agricolachira.com.pe"/>
    <x v="1"/>
    <n v="5"/>
    <s v="Administración y Finanzas"/>
    <x v="5"/>
  </r>
  <r>
    <s v="YMoscolC@agricolachira.com.pe"/>
    <x v="1"/>
    <s v="X"/>
    <s v="Operaciones"/>
    <x v="18"/>
  </r>
  <r>
    <s v="YGarridoS@agricolachira.com.pe"/>
    <x v="1"/>
    <n v="5"/>
    <s v="Operaciones"/>
    <x v="19"/>
  </r>
  <r>
    <s v="EAmesM@agricolachira.com.pe"/>
    <x v="1"/>
    <n v="4"/>
    <s v="Gestión Humana y Sostenibilidad"/>
    <x v="20"/>
  </r>
  <r>
    <s v="JArevaloga@agricolachira.com.pe"/>
    <x v="1"/>
    <n v="5"/>
    <s v="Gestión Humana y Sostenibilidad"/>
    <x v="10"/>
  </r>
  <r>
    <s v="AGutierrezR@agricolachira.com.pe"/>
    <x v="1"/>
    <n v="5"/>
    <s v="Operaciones"/>
    <x v="18"/>
  </r>
  <r>
    <s v="JChaparroB@agricolachira.com.pe"/>
    <x v="1"/>
    <n v="4"/>
    <s v="Administración y Finanzas"/>
    <x v="12"/>
  </r>
  <r>
    <s v="JGomezAp@agricolachira.com.pe"/>
    <x v="1"/>
    <n v="5"/>
    <s v="Administración y Finanzas"/>
    <x v="17"/>
  </r>
  <r>
    <s v="JEstelaF@agricolachira.com.pe"/>
    <x v="1"/>
    <n v="4"/>
    <s v="Operaciones"/>
    <x v="11"/>
  </r>
  <r>
    <s v="RGarciaFe@agricolachira.com.pe"/>
    <x v="1"/>
    <n v="4"/>
    <s v="Administración y Finanzas"/>
    <x v="15"/>
  </r>
  <r>
    <s v="JAquijeD@agricolachira.com.pe"/>
    <x v="1"/>
    <n v="4"/>
    <s v="Agrícola"/>
    <x v="21"/>
  </r>
  <r>
    <s v="OMontenegroC@agricolachira.com.pe"/>
    <x v="1"/>
    <n v="5"/>
    <s v="Operaciones"/>
    <x v="18"/>
  </r>
  <r>
    <s v="LRodriguezC@agricolachira.com.pe"/>
    <x v="1"/>
    <n v="4"/>
    <s v="Gestión Humana y Sostenibilidad"/>
    <x v="22"/>
  </r>
  <r>
    <s v="ABurneoL@agricolachira.com.pe"/>
    <x v="1"/>
    <n v="4"/>
    <s v="Administración y Finanzas"/>
    <x v="23"/>
  </r>
  <r>
    <s v="AColomaL@agricolachira.com.pe"/>
    <x v="1"/>
    <n v="4"/>
    <s v="Gestión Humana y Sostenibilidad"/>
    <x v="24"/>
  </r>
  <r>
    <s v="jquevedoa@agricolachira.com.pe"/>
    <x v="1"/>
    <n v="4"/>
    <s v="Administración y Finanzas"/>
    <x v="25"/>
  </r>
  <r>
    <s v="jbacilioh@agricolachira.com.pe"/>
    <x v="1"/>
    <s v="X"/>
    <s v="Agrícola"/>
    <x v="26"/>
  </r>
  <r>
    <s v="MVegaY@agricolachira.com.pe"/>
    <x v="1"/>
    <s v="X"/>
    <s v="Operaciones"/>
    <x v="11"/>
  </r>
  <r>
    <s v="NHansenG@agricolachira.com.pe"/>
    <x v="1"/>
    <s v="X"/>
    <s v="Agrícola"/>
    <x v="4"/>
  </r>
  <r>
    <s v="MCulqueC@agricolachira.com.pe"/>
    <x v="1"/>
    <n v="5"/>
    <s v="Agrícola"/>
    <x v="2"/>
  </r>
  <r>
    <s v="FFloresP@agricolachira.com.pe"/>
    <x v="1"/>
    <n v="5"/>
    <s v="Gestión Humana y Sostenibilidad"/>
    <x v="27"/>
  </r>
  <r>
    <s v="RTorresS@agricolachira.com.pe"/>
    <x v="1"/>
    <n v="4"/>
    <s v="Agrícola"/>
    <x v="4"/>
  </r>
  <r>
    <s v="JCheroPa@agricolachira.com.pe"/>
    <x v="1"/>
    <s v="X"/>
    <s v="Administración y Finanzas"/>
    <x v="12"/>
  </r>
  <r>
    <s v="cfreym@agricolachira.com.pe"/>
    <x v="1"/>
    <n v="5"/>
    <s v="Operaciones"/>
    <x v="18"/>
  </r>
  <r>
    <s v="HMocarroC@agricolachira.com.pe"/>
    <x v="2"/>
    <n v="5"/>
    <s v="Administración y Finanzas"/>
    <x v="0"/>
  </r>
  <r>
    <s v="CCarrilloR@agricolachira.com.pe"/>
    <x v="2"/>
    <n v="3"/>
    <s v="Industrial y de Mantenimiento"/>
    <x v="1"/>
  </r>
  <r>
    <s v="WChavezS@agricolachira.com.pe"/>
    <x v="2"/>
    <n v="4"/>
    <s v="Agrícola"/>
    <x v="2"/>
  </r>
  <r>
    <s v="CVivancoM@agricolachira.com.pe"/>
    <x v="2"/>
    <n v="4"/>
    <s v="Administración y Finanzas"/>
    <x v="3"/>
  </r>
  <r>
    <s v="JMioA@agricolachira.com.pe"/>
    <x v="2"/>
    <n v="3"/>
    <s v="Agrícola"/>
    <x v="4"/>
  </r>
  <r>
    <s v="KOtinianoP@agricolachira.com.pe"/>
    <x v="2"/>
    <n v="5"/>
    <s v="Administración y Finanzas"/>
    <x v="5"/>
  </r>
  <r>
    <s v="AFloresD@agricolachira.com.pe"/>
    <x v="2"/>
    <n v="3"/>
    <s v="Industrial y de Mantenimiento"/>
    <x v="6"/>
  </r>
  <r>
    <s v="rmerach@agricolachira.com.pe"/>
    <x v="2"/>
    <n v="3"/>
    <s v="Industrial y de Mantenimiento"/>
    <x v="7"/>
  </r>
  <r>
    <s v="ABlancoE@agricolachira.com.pe"/>
    <x v="2"/>
    <s v="X"/>
    <s v="Operaciones"/>
    <x v="8"/>
  </r>
  <r>
    <s v="LOlayaLe@agricolachira.com.pe"/>
    <x v="2"/>
    <n v="3"/>
    <s v="Administración y Finanzas"/>
    <x v="9"/>
  </r>
  <r>
    <s v="JMendozaG@agricolachira.com.pe"/>
    <x v="2"/>
    <n v="5"/>
    <s v="Gestión Humana y Sostenibilidad"/>
    <x v="10"/>
  </r>
  <r>
    <s v="JCobenasS@agricolachira.com.pe"/>
    <x v="2"/>
    <n v="4"/>
    <s v="Operaciones"/>
    <x v="11"/>
  </r>
  <r>
    <s v="LTimanaT@agricolachira.com.pe"/>
    <x v="2"/>
    <n v="4"/>
    <s v="Administración y Finanzas"/>
    <x v="12"/>
  </r>
  <r>
    <s v="JBayonaG@agricolachira.com.pe"/>
    <x v="2"/>
    <n v="4"/>
    <s v="Administración y Finanzas"/>
    <x v="12"/>
  </r>
  <r>
    <s v="LGarciaC@agricolachira.com.pe"/>
    <x v="2"/>
    <n v="4"/>
    <s v="Operaciones"/>
    <x v="13"/>
  </r>
  <r>
    <s v="EArevaloJ@agricolachira.com.pe"/>
    <x v="2"/>
    <n v="5"/>
    <s v="Administración y Finanzas"/>
    <x v="14"/>
  </r>
  <r>
    <s v="MMartinezP@agricolachira.com.pe"/>
    <x v="2"/>
    <s v="X"/>
    <s v="Administración y Finanzas"/>
    <x v="15"/>
  </r>
  <r>
    <s v="LVillarF@agricolachira.com.pe"/>
    <x v="2"/>
    <n v="5"/>
    <s v="Industrial y de Mantenimiento"/>
    <x v="16"/>
  </r>
  <r>
    <s v="VLopezS@agricolachira.com.pe"/>
    <x v="2"/>
    <n v="4"/>
    <s v="Operaciones"/>
    <x v="13"/>
  </r>
  <r>
    <s v="jvasquezc@agricolachira.com.pe"/>
    <x v="2"/>
    <n v="5"/>
    <s v="Administración y Finanzas"/>
    <x v="17"/>
  </r>
  <r>
    <s v="DZuritaF@agricolachira.com.pe"/>
    <x v="2"/>
    <n v="5"/>
    <s v="Administración y Finanzas"/>
    <x v="5"/>
  </r>
  <r>
    <s v="YMoscolC@agricolachira.com.pe"/>
    <x v="2"/>
    <n v="5"/>
    <s v="Operaciones"/>
    <x v="18"/>
  </r>
  <r>
    <s v="YGarridoS@agricolachira.com.pe"/>
    <x v="2"/>
    <n v="4"/>
    <s v="Operaciones"/>
    <x v="19"/>
  </r>
  <r>
    <s v="EAmesM@agricolachira.com.pe"/>
    <x v="2"/>
    <n v="4"/>
    <s v="Gestión Humana y Sostenibilidad"/>
    <x v="20"/>
  </r>
  <r>
    <s v="JArevaloga@agricolachira.com.pe"/>
    <x v="2"/>
    <n v="5"/>
    <s v="Gestión Humana y Sostenibilidad"/>
    <x v="10"/>
  </r>
  <r>
    <s v="AGutierrezR@agricolachira.com.pe"/>
    <x v="2"/>
    <n v="5"/>
    <s v="Operaciones"/>
    <x v="18"/>
  </r>
  <r>
    <s v="JChaparroB@agricolachira.com.pe"/>
    <x v="2"/>
    <n v="4"/>
    <s v="Administración y Finanzas"/>
    <x v="12"/>
  </r>
  <r>
    <s v="JGomezAp@agricolachira.com.pe"/>
    <x v="2"/>
    <n v="5"/>
    <s v="Administración y Finanzas"/>
    <x v="17"/>
  </r>
  <r>
    <s v="JEstelaF@agricolachira.com.pe"/>
    <x v="2"/>
    <n v="4"/>
    <s v="Operaciones"/>
    <x v="11"/>
  </r>
  <r>
    <s v="RGarciaFe@agricolachira.com.pe"/>
    <x v="2"/>
    <s v="X"/>
    <s v="Administración y Finanzas"/>
    <x v="15"/>
  </r>
  <r>
    <s v="JAquijeD@agricolachira.com.pe"/>
    <x v="2"/>
    <n v="3"/>
    <s v="Agrícola"/>
    <x v="21"/>
  </r>
  <r>
    <s v="OMontenegroC@agricolachira.com.pe"/>
    <x v="2"/>
    <n v="5"/>
    <s v="Operaciones"/>
    <x v="18"/>
  </r>
  <r>
    <s v="LRodriguezC@agricolachira.com.pe"/>
    <x v="2"/>
    <n v="4"/>
    <s v="Gestión Humana y Sostenibilidad"/>
    <x v="22"/>
  </r>
  <r>
    <s v="ABurneoL@agricolachira.com.pe"/>
    <x v="2"/>
    <n v="4"/>
    <s v="Administración y Finanzas"/>
    <x v="23"/>
  </r>
  <r>
    <s v="AColomaL@agricolachira.com.pe"/>
    <x v="2"/>
    <n v="4"/>
    <s v="Gestión Humana y Sostenibilidad"/>
    <x v="24"/>
  </r>
  <r>
    <s v="jquevedoa@agricolachira.com.pe"/>
    <x v="2"/>
    <n v="4"/>
    <s v="Administración y Finanzas"/>
    <x v="25"/>
  </r>
  <r>
    <s v="jbacilioh@agricolachira.com.pe"/>
    <x v="2"/>
    <n v="4"/>
    <s v="Agrícola"/>
    <x v="26"/>
  </r>
  <r>
    <s v="MVegaY@agricolachira.com.pe"/>
    <x v="2"/>
    <n v="3"/>
    <s v="Operaciones"/>
    <x v="11"/>
  </r>
  <r>
    <s v="NHansenG@agricolachira.com.pe"/>
    <x v="2"/>
    <n v="4"/>
    <s v="Agrícola"/>
    <x v="4"/>
  </r>
  <r>
    <s v="MCulqueC@agricolachira.com.pe"/>
    <x v="2"/>
    <n v="5"/>
    <s v="Agrícola"/>
    <x v="2"/>
  </r>
  <r>
    <s v="FFloresP@agricolachira.com.pe"/>
    <x v="2"/>
    <n v="5"/>
    <s v="Gestión Humana y Sostenibilidad"/>
    <x v="27"/>
  </r>
  <r>
    <s v="RTorresS@agricolachira.com.pe"/>
    <x v="2"/>
    <n v="4"/>
    <s v="Agrícola"/>
    <x v="4"/>
  </r>
  <r>
    <s v="JCheroPa@agricolachira.com.pe"/>
    <x v="2"/>
    <n v="5"/>
    <s v="Administración y Finanzas"/>
    <x v="12"/>
  </r>
  <r>
    <s v="cfreym@agricolachira.com.pe"/>
    <x v="2"/>
    <n v="5"/>
    <s v="Operaciones"/>
    <x v="18"/>
  </r>
  <r>
    <s v="HMocarroC@agricolachira.com.pe"/>
    <x v="3"/>
    <n v="5"/>
    <s v="Administración y Finanzas"/>
    <x v="0"/>
  </r>
  <r>
    <s v="CCarrilloR@agricolachira.com.pe"/>
    <x v="3"/>
    <n v="4"/>
    <s v="Industrial y de Mantenimiento"/>
    <x v="1"/>
  </r>
  <r>
    <s v="WChavezS@agricolachira.com.pe"/>
    <x v="3"/>
    <n v="4"/>
    <s v="Agrícola"/>
    <x v="2"/>
  </r>
  <r>
    <s v="CVivancoM@agricolachira.com.pe"/>
    <x v="3"/>
    <n v="4"/>
    <s v="Administración y Finanzas"/>
    <x v="3"/>
  </r>
  <r>
    <s v="JMioA@agricolachira.com.pe"/>
    <x v="3"/>
    <n v="3"/>
    <s v="Agrícola"/>
    <x v="4"/>
  </r>
  <r>
    <s v="KOtinianoP@agricolachira.com.pe"/>
    <x v="3"/>
    <n v="5"/>
    <s v="Administración y Finanzas"/>
    <x v="5"/>
  </r>
  <r>
    <s v="AFloresD@agricolachira.com.pe"/>
    <x v="3"/>
    <n v="4"/>
    <s v="Industrial y de Mantenimiento"/>
    <x v="6"/>
  </r>
  <r>
    <s v="rmerach@agricolachira.com.pe"/>
    <x v="3"/>
    <n v="4"/>
    <s v="Industrial y de Mantenimiento"/>
    <x v="7"/>
  </r>
  <r>
    <s v="ABlancoE@agricolachira.com.pe"/>
    <x v="3"/>
    <n v="5"/>
    <s v="Operaciones"/>
    <x v="8"/>
  </r>
  <r>
    <s v="LOlayaLe@agricolachira.com.pe"/>
    <x v="3"/>
    <n v="3"/>
    <s v="Administración y Finanzas"/>
    <x v="9"/>
  </r>
  <r>
    <s v="JMendozaG@agricolachira.com.pe"/>
    <x v="3"/>
    <n v="5"/>
    <s v="Gestión Humana y Sostenibilidad"/>
    <x v="10"/>
  </r>
  <r>
    <s v="JCobenasS@agricolachira.com.pe"/>
    <x v="3"/>
    <n v="4"/>
    <s v="Operaciones"/>
    <x v="11"/>
  </r>
  <r>
    <s v="LTimanaT@agricolachira.com.pe"/>
    <x v="3"/>
    <n v="3"/>
    <s v="Administración y Finanzas"/>
    <x v="12"/>
  </r>
  <r>
    <s v="JBayonaG@agricolachira.com.pe"/>
    <x v="3"/>
    <n v="4"/>
    <s v="Administración y Finanzas"/>
    <x v="12"/>
  </r>
  <r>
    <s v="LGarciaC@agricolachira.com.pe"/>
    <x v="3"/>
    <s v="X"/>
    <s v="Operaciones"/>
    <x v="13"/>
  </r>
  <r>
    <s v="EArevaloJ@agricolachira.com.pe"/>
    <x v="3"/>
    <n v="5"/>
    <s v="Administración y Finanzas"/>
    <x v="14"/>
  </r>
  <r>
    <s v="MMartinezP@agricolachira.com.pe"/>
    <x v="3"/>
    <n v="5"/>
    <s v="Administración y Finanzas"/>
    <x v="15"/>
  </r>
  <r>
    <s v="LVillarF@agricolachira.com.pe"/>
    <x v="3"/>
    <n v="4"/>
    <s v="Industrial y de Mantenimiento"/>
    <x v="16"/>
  </r>
  <r>
    <s v="VLopezS@agricolachira.com.pe"/>
    <x v="3"/>
    <n v="4"/>
    <s v="Operaciones"/>
    <x v="13"/>
  </r>
  <r>
    <s v="jvasquezc@agricolachira.com.pe"/>
    <x v="3"/>
    <n v="5"/>
    <s v="Administración y Finanzas"/>
    <x v="17"/>
  </r>
  <r>
    <s v="DZuritaF@agricolachira.com.pe"/>
    <x v="3"/>
    <n v="5"/>
    <s v="Administración y Finanzas"/>
    <x v="5"/>
  </r>
  <r>
    <s v="YMoscolC@agricolachira.com.pe"/>
    <x v="3"/>
    <n v="5"/>
    <s v="Operaciones"/>
    <x v="18"/>
  </r>
  <r>
    <s v="YGarridoS@agricolachira.com.pe"/>
    <x v="3"/>
    <n v="5"/>
    <s v="Operaciones"/>
    <x v="19"/>
  </r>
  <r>
    <s v="EAmesM@agricolachira.com.pe"/>
    <x v="3"/>
    <n v="5"/>
    <s v="Gestión Humana y Sostenibilidad"/>
    <x v="20"/>
  </r>
  <r>
    <s v="JArevaloga@agricolachira.com.pe"/>
    <x v="3"/>
    <n v="5"/>
    <s v="Gestión Humana y Sostenibilidad"/>
    <x v="10"/>
  </r>
  <r>
    <s v="AGutierrezR@agricolachira.com.pe"/>
    <x v="3"/>
    <n v="5"/>
    <s v="Operaciones"/>
    <x v="18"/>
  </r>
  <r>
    <s v="JChaparroB@agricolachira.com.pe"/>
    <x v="3"/>
    <n v="4"/>
    <s v="Administración y Finanzas"/>
    <x v="12"/>
  </r>
  <r>
    <s v="JGomezAp@agricolachira.com.pe"/>
    <x v="3"/>
    <n v="5"/>
    <s v="Administración y Finanzas"/>
    <x v="17"/>
  </r>
  <r>
    <s v="JEstelaF@agricolachira.com.pe"/>
    <x v="3"/>
    <n v="4"/>
    <s v="Operaciones"/>
    <x v="11"/>
  </r>
  <r>
    <s v="RGarciaFe@agricolachira.com.pe"/>
    <x v="3"/>
    <n v="4"/>
    <s v="Administración y Finanzas"/>
    <x v="15"/>
  </r>
  <r>
    <s v="JAquijeD@agricolachira.com.pe"/>
    <x v="3"/>
    <n v="4"/>
    <s v="Agrícola"/>
    <x v="21"/>
  </r>
  <r>
    <s v="OMontenegroC@agricolachira.com.pe"/>
    <x v="3"/>
    <n v="5"/>
    <s v="Operaciones"/>
    <x v="18"/>
  </r>
  <r>
    <s v="LRodriguezC@agricolachira.com.pe"/>
    <x v="3"/>
    <n v="4"/>
    <s v="Gestión Humana y Sostenibilidad"/>
    <x v="22"/>
  </r>
  <r>
    <s v="ABurneoL@agricolachira.com.pe"/>
    <x v="3"/>
    <n v="5"/>
    <s v="Administración y Finanzas"/>
    <x v="23"/>
  </r>
  <r>
    <s v="AColomaL@agricolachira.com.pe"/>
    <x v="3"/>
    <n v="4"/>
    <s v="Gestión Humana y Sostenibilidad"/>
    <x v="24"/>
  </r>
  <r>
    <s v="jquevedoa@agricolachira.com.pe"/>
    <x v="3"/>
    <n v="4"/>
    <s v="Administración y Finanzas"/>
    <x v="25"/>
  </r>
  <r>
    <s v="jbacilioh@agricolachira.com.pe"/>
    <x v="3"/>
    <n v="4"/>
    <s v="Agrícola"/>
    <x v="26"/>
  </r>
  <r>
    <s v="MVegaY@agricolachira.com.pe"/>
    <x v="3"/>
    <s v="X"/>
    <s v="Operaciones"/>
    <x v="11"/>
  </r>
  <r>
    <s v="NHansenG@agricolachira.com.pe"/>
    <x v="3"/>
    <s v="X"/>
    <s v="Agrícola"/>
    <x v="4"/>
  </r>
  <r>
    <s v="MCulqueC@agricolachira.com.pe"/>
    <x v="3"/>
    <n v="5"/>
    <s v="Agrícola"/>
    <x v="2"/>
  </r>
  <r>
    <s v="FFloresP@agricolachira.com.pe"/>
    <x v="3"/>
    <n v="5"/>
    <s v="Gestión Humana y Sostenibilidad"/>
    <x v="27"/>
  </r>
  <r>
    <s v="RTorresS@agricolachira.com.pe"/>
    <x v="3"/>
    <n v="4"/>
    <s v="Agrícola"/>
    <x v="4"/>
  </r>
  <r>
    <s v="JCheroPa@agricolachira.com.pe"/>
    <x v="3"/>
    <n v="5"/>
    <s v="Administración y Finanzas"/>
    <x v="12"/>
  </r>
  <r>
    <s v="cfreym@agricolachira.com.pe"/>
    <x v="3"/>
    <n v="5"/>
    <s v="Operaciones"/>
    <x v="18"/>
  </r>
  <r>
    <s v="HMocarroC@agricolachira.com.pe"/>
    <x v="4"/>
    <n v="5"/>
    <s v="Administración y Finanzas"/>
    <x v="0"/>
  </r>
  <r>
    <s v="CCarrilloR@agricolachira.com.pe"/>
    <x v="4"/>
    <n v="4"/>
    <s v="Industrial y de Mantenimiento"/>
    <x v="1"/>
  </r>
  <r>
    <s v="WChavezS@agricolachira.com.pe"/>
    <x v="4"/>
    <n v="3"/>
    <s v="Agrícola"/>
    <x v="2"/>
  </r>
  <r>
    <s v="CVivancoM@agricolachira.com.pe"/>
    <x v="4"/>
    <n v="4"/>
    <s v="Administración y Finanzas"/>
    <x v="3"/>
  </r>
  <r>
    <s v="JMioA@agricolachira.com.pe"/>
    <x v="4"/>
    <n v="3"/>
    <s v="Agrícola"/>
    <x v="4"/>
  </r>
  <r>
    <s v="KOtinianoP@agricolachira.com.pe"/>
    <x v="4"/>
    <n v="5"/>
    <s v="Administración y Finanzas"/>
    <x v="5"/>
  </r>
  <r>
    <s v="AFloresD@agricolachira.com.pe"/>
    <x v="4"/>
    <s v="X"/>
    <s v="Industrial y de Mantenimiento"/>
    <x v="6"/>
  </r>
  <r>
    <s v="rmerach@agricolachira.com.pe"/>
    <x v="4"/>
    <n v="4"/>
    <s v="Industrial y de Mantenimiento"/>
    <x v="7"/>
  </r>
  <r>
    <s v="ABlancoE@agricolachira.com.pe"/>
    <x v="4"/>
    <n v="5"/>
    <s v="Operaciones"/>
    <x v="8"/>
  </r>
  <r>
    <s v="LOlayaLe@agricolachira.com.pe"/>
    <x v="4"/>
    <n v="3"/>
    <s v="Administración y Finanzas"/>
    <x v="9"/>
  </r>
  <r>
    <s v="JMendozaG@agricolachira.com.pe"/>
    <x v="4"/>
    <n v="5"/>
    <s v="Gestión Humana y Sostenibilidad"/>
    <x v="10"/>
  </r>
  <r>
    <s v="JCobenasS@agricolachira.com.pe"/>
    <x v="4"/>
    <s v="X"/>
    <s v="Operaciones"/>
    <x v="11"/>
  </r>
  <r>
    <s v="LTimanaT@agricolachira.com.pe"/>
    <x v="4"/>
    <n v="5"/>
    <s v="Administración y Finanzas"/>
    <x v="12"/>
  </r>
  <r>
    <s v="JBayonaG@agricolachira.com.pe"/>
    <x v="4"/>
    <n v="4"/>
    <s v="Administración y Finanzas"/>
    <x v="12"/>
  </r>
  <r>
    <s v="LGarciaC@agricolachira.com.pe"/>
    <x v="4"/>
    <s v="X"/>
    <s v="Operaciones"/>
    <x v="13"/>
  </r>
  <r>
    <s v="EArevaloJ@agricolachira.com.pe"/>
    <x v="4"/>
    <s v="X"/>
    <s v="Administración y Finanzas"/>
    <x v="14"/>
  </r>
  <r>
    <s v="MMartinezP@agricolachira.com.pe"/>
    <x v="4"/>
    <n v="5"/>
    <s v="Administración y Finanzas"/>
    <x v="15"/>
  </r>
  <r>
    <s v="LVillarF@agricolachira.com.pe"/>
    <x v="4"/>
    <s v="X"/>
    <s v="Industrial y de Mantenimiento"/>
    <x v="16"/>
  </r>
  <r>
    <s v="VLopezS@agricolachira.com.pe"/>
    <x v="4"/>
    <n v="4"/>
    <s v="Operaciones"/>
    <x v="13"/>
  </r>
  <r>
    <s v="jvasquezc@agricolachira.com.pe"/>
    <x v="4"/>
    <n v="4"/>
    <s v="Administración y Finanzas"/>
    <x v="17"/>
  </r>
  <r>
    <s v="DZuritaF@agricolachira.com.pe"/>
    <x v="4"/>
    <n v="5"/>
    <s v="Administración y Finanzas"/>
    <x v="5"/>
  </r>
  <r>
    <s v="YMoscolC@agricolachira.com.pe"/>
    <x v="4"/>
    <s v="X"/>
    <s v="Operaciones"/>
    <x v="18"/>
  </r>
  <r>
    <s v="YGarridoS@agricolachira.com.pe"/>
    <x v="4"/>
    <n v="5"/>
    <s v="Operaciones"/>
    <x v="19"/>
  </r>
  <r>
    <s v="EAmesM@agricolachira.com.pe"/>
    <x v="4"/>
    <s v="X"/>
    <s v="Gestión Humana y Sostenibilidad"/>
    <x v="20"/>
  </r>
  <r>
    <s v="JArevaloga@agricolachira.com.pe"/>
    <x v="4"/>
    <n v="5"/>
    <s v="Gestión Humana y Sostenibilidad"/>
    <x v="10"/>
  </r>
  <r>
    <s v="AGutierrezR@agricolachira.com.pe"/>
    <x v="4"/>
    <n v="5"/>
    <s v="Operaciones"/>
    <x v="18"/>
  </r>
  <r>
    <s v="JChaparroB@agricolachira.com.pe"/>
    <x v="4"/>
    <n v="4"/>
    <s v="Administración y Finanzas"/>
    <x v="12"/>
  </r>
  <r>
    <s v="JGomezAp@agricolachira.com.pe"/>
    <x v="4"/>
    <n v="5"/>
    <s v="Administración y Finanzas"/>
    <x v="17"/>
  </r>
  <r>
    <s v="JEstelaF@agricolachira.com.pe"/>
    <x v="4"/>
    <n v="4"/>
    <s v="Operaciones"/>
    <x v="11"/>
  </r>
  <r>
    <s v="RGarciaFe@agricolachira.com.pe"/>
    <x v="4"/>
    <n v="4"/>
    <s v="Administración y Finanzas"/>
    <x v="15"/>
  </r>
  <r>
    <s v="JAquijeD@agricolachira.com.pe"/>
    <x v="4"/>
    <n v="4"/>
    <s v="Agrícola"/>
    <x v="21"/>
  </r>
  <r>
    <s v="OMontenegroC@agricolachira.com.pe"/>
    <x v="4"/>
    <n v="5"/>
    <s v="Operaciones"/>
    <x v="18"/>
  </r>
  <r>
    <s v="LRodriguezC@agricolachira.com.pe"/>
    <x v="4"/>
    <n v="4"/>
    <s v="Gestión Humana y Sostenibilidad"/>
    <x v="22"/>
  </r>
  <r>
    <s v="ABurneoL@agricolachira.com.pe"/>
    <x v="4"/>
    <n v="4"/>
    <s v="Administración y Finanzas"/>
    <x v="23"/>
  </r>
  <r>
    <s v="AColomaL@agricolachira.com.pe"/>
    <x v="4"/>
    <n v="4"/>
    <s v="Gestión Humana y Sostenibilidad"/>
    <x v="24"/>
  </r>
  <r>
    <s v="jquevedoa@agricolachira.com.pe"/>
    <x v="4"/>
    <n v="5"/>
    <s v="Administración y Finanzas"/>
    <x v="25"/>
  </r>
  <r>
    <s v="jbacilioh@agricolachira.com.pe"/>
    <x v="4"/>
    <s v="X"/>
    <s v="Agrícola"/>
    <x v="26"/>
  </r>
  <r>
    <s v="MVegaY@agricolachira.com.pe"/>
    <x v="4"/>
    <s v="X"/>
    <s v="Operaciones"/>
    <x v="11"/>
  </r>
  <r>
    <s v="NHansenG@agricolachira.com.pe"/>
    <x v="4"/>
    <s v="X"/>
    <s v="Agrícola"/>
    <x v="4"/>
  </r>
  <r>
    <s v="MCulqueC@agricolachira.com.pe"/>
    <x v="4"/>
    <n v="5"/>
    <s v="Agrícola"/>
    <x v="2"/>
  </r>
  <r>
    <s v="FFloresP@agricolachira.com.pe"/>
    <x v="4"/>
    <n v="5"/>
    <s v="Gestión Humana y Sostenibilidad"/>
    <x v="27"/>
  </r>
  <r>
    <s v="RTorresS@agricolachira.com.pe"/>
    <x v="4"/>
    <n v="4"/>
    <s v="Agrícola"/>
    <x v="4"/>
  </r>
  <r>
    <s v="JCheroPa@agricolachira.com.pe"/>
    <x v="4"/>
    <n v="5"/>
    <s v="Administración y Finanzas"/>
    <x v="12"/>
  </r>
  <r>
    <s v="cfreym@agricolachira.com.pe"/>
    <x v="4"/>
    <n v="5"/>
    <s v="Operaciones"/>
    <x v="1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0">
  <r>
    <s v="HMocarroC@agricolachira.com.pe"/>
    <x v="0"/>
    <x v="0"/>
    <x v="0"/>
    <x v="0"/>
    <x v="0"/>
  </r>
  <r>
    <s v="CCarrilloR@agricolachira.com.pe"/>
    <x v="0"/>
    <x v="1"/>
    <x v="1"/>
    <x v="1"/>
    <x v="1"/>
  </r>
  <r>
    <s v="WChavezS@agricolachira.com.pe"/>
    <x v="0"/>
    <x v="2"/>
    <x v="2"/>
    <x v="2"/>
    <x v="2"/>
  </r>
  <r>
    <s v="CVivancoM@agricolachira.com.pe"/>
    <x v="0"/>
    <x v="3"/>
    <x v="0"/>
    <x v="3"/>
    <x v="0"/>
  </r>
  <r>
    <s v="JMioA@agricolachira.com.pe"/>
    <x v="0"/>
    <x v="3"/>
    <x v="2"/>
    <x v="4"/>
    <x v="2"/>
  </r>
  <r>
    <s v="KOtinianoP@agricolachira.com.pe"/>
    <x v="0"/>
    <x v="0"/>
    <x v="0"/>
    <x v="5"/>
    <x v="0"/>
  </r>
  <r>
    <s v="AFloresD@agricolachira.com.pe"/>
    <x v="0"/>
    <x v="3"/>
    <x v="1"/>
    <x v="6"/>
    <x v="1"/>
  </r>
  <r>
    <s v="rmerach@agricolachira.com.pe"/>
    <x v="0"/>
    <x v="3"/>
    <x v="1"/>
    <x v="7"/>
    <x v="1"/>
  </r>
  <r>
    <s v="ABlancoE@agricolachira.com.pe"/>
    <x v="0"/>
    <x v="0"/>
    <x v="3"/>
    <x v="8"/>
    <x v="3"/>
  </r>
  <r>
    <s v="LOlayaLe@agricolachira.com.pe"/>
    <x v="0"/>
    <x v="1"/>
    <x v="0"/>
    <x v="9"/>
    <x v="0"/>
  </r>
  <r>
    <s v="JMendozaG@agricolachira.com.pe"/>
    <x v="0"/>
    <x v="0"/>
    <x v="4"/>
    <x v="10"/>
    <x v="4"/>
  </r>
  <r>
    <s v="JCobenasS@agricolachira.com.pe"/>
    <x v="0"/>
    <x v="3"/>
    <x v="3"/>
    <x v="11"/>
    <x v="3"/>
  </r>
  <r>
    <s v="LTimanaT@agricolachira.com.pe"/>
    <x v="0"/>
    <x v="0"/>
    <x v="0"/>
    <x v="12"/>
    <x v="0"/>
  </r>
  <r>
    <s v="JBayonaG@agricolachira.com.pe"/>
    <x v="0"/>
    <x v="3"/>
    <x v="0"/>
    <x v="12"/>
    <x v="0"/>
  </r>
  <r>
    <s v="LGarciaC@agricolachira.com.pe"/>
    <x v="0"/>
    <x v="0"/>
    <x v="3"/>
    <x v="13"/>
    <x v="3"/>
  </r>
  <r>
    <s v="EArevaloJ@agricolachira.com.pe"/>
    <x v="0"/>
    <x v="0"/>
    <x v="0"/>
    <x v="14"/>
    <x v="0"/>
  </r>
  <r>
    <s v="MMartinezP@agricolachira.com.pe"/>
    <x v="0"/>
    <x v="2"/>
    <x v="0"/>
    <x v="15"/>
    <x v="0"/>
  </r>
  <r>
    <s v="LVillarF@agricolachira.com.pe"/>
    <x v="0"/>
    <x v="3"/>
    <x v="1"/>
    <x v="16"/>
    <x v="1"/>
  </r>
  <r>
    <s v="VLopezS@agricolachira.com.pe"/>
    <x v="0"/>
    <x v="3"/>
    <x v="3"/>
    <x v="13"/>
    <x v="3"/>
  </r>
  <r>
    <s v="jvasquezc@agricolachira.com.pe"/>
    <x v="0"/>
    <x v="3"/>
    <x v="0"/>
    <x v="17"/>
    <x v="0"/>
  </r>
  <r>
    <s v="DZuritaF@agricolachira.com.pe"/>
    <x v="0"/>
    <x v="0"/>
    <x v="0"/>
    <x v="5"/>
    <x v="0"/>
  </r>
  <r>
    <s v="YMoscolC@agricolachira.com.pe"/>
    <x v="0"/>
    <x v="0"/>
    <x v="3"/>
    <x v="18"/>
    <x v="3"/>
  </r>
  <r>
    <s v="YGarridoS@agricolachira.com.pe"/>
    <x v="0"/>
    <x v="0"/>
    <x v="3"/>
    <x v="19"/>
    <x v="3"/>
  </r>
  <r>
    <s v="EAmesM@agricolachira.com.pe"/>
    <x v="0"/>
    <x v="3"/>
    <x v="4"/>
    <x v="20"/>
    <x v="4"/>
  </r>
  <r>
    <s v="JArevaloga@agricolachira.com.pe"/>
    <x v="0"/>
    <x v="0"/>
    <x v="4"/>
    <x v="10"/>
    <x v="4"/>
  </r>
  <r>
    <s v="AGutierrezR@agricolachira.com.pe"/>
    <x v="0"/>
    <x v="0"/>
    <x v="3"/>
    <x v="18"/>
    <x v="3"/>
  </r>
  <r>
    <s v="JChaparroB@agricolachira.com.pe"/>
    <x v="0"/>
    <x v="3"/>
    <x v="0"/>
    <x v="12"/>
    <x v="0"/>
  </r>
  <r>
    <s v="JGomezAp@agricolachira.com.pe"/>
    <x v="0"/>
    <x v="0"/>
    <x v="0"/>
    <x v="17"/>
    <x v="0"/>
  </r>
  <r>
    <s v="JEstelaF@agricolachira.com.pe"/>
    <x v="0"/>
    <x v="3"/>
    <x v="3"/>
    <x v="11"/>
    <x v="3"/>
  </r>
  <r>
    <s v="RGarciaFe@agricolachira.com.pe"/>
    <x v="0"/>
    <x v="3"/>
    <x v="0"/>
    <x v="15"/>
    <x v="0"/>
  </r>
  <r>
    <s v="JAquijeD@agricolachira.com.pe"/>
    <x v="0"/>
    <x v="2"/>
    <x v="2"/>
    <x v="21"/>
    <x v="2"/>
  </r>
  <r>
    <s v="OMontenegroC@agricolachira.com.pe"/>
    <x v="0"/>
    <x v="0"/>
    <x v="3"/>
    <x v="18"/>
    <x v="3"/>
  </r>
  <r>
    <s v="LRodriguezC@agricolachira.com.pe"/>
    <x v="0"/>
    <x v="3"/>
    <x v="4"/>
    <x v="22"/>
    <x v="4"/>
  </r>
  <r>
    <s v="ABurneoL@agricolachira.com.pe"/>
    <x v="0"/>
    <x v="3"/>
    <x v="0"/>
    <x v="23"/>
    <x v="0"/>
  </r>
  <r>
    <s v="AColomaL@agricolachira.com.pe"/>
    <x v="0"/>
    <x v="3"/>
    <x v="4"/>
    <x v="24"/>
    <x v="4"/>
  </r>
  <r>
    <s v="jquevedoa@agricolachira.com.pe"/>
    <x v="0"/>
    <x v="3"/>
    <x v="0"/>
    <x v="25"/>
    <x v="0"/>
  </r>
  <r>
    <s v="jbacilioh@agricolachira.com.pe"/>
    <x v="0"/>
    <x v="3"/>
    <x v="2"/>
    <x v="26"/>
    <x v="2"/>
  </r>
  <r>
    <s v="MVegaY@agricolachira.com.pe"/>
    <x v="0"/>
    <x v="1"/>
    <x v="3"/>
    <x v="11"/>
    <x v="3"/>
  </r>
  <r>
    <s v="NHansenG@agricolachira.com.pe"/>
    <x v="0"/>
    <x v="2"/>
    <x v="2"/>
    <x v="4"/>
    <x v="2"/>
  </r>
  <r>
    <s v="MCulqueC@agricolachira.com.pe"/>
    <x v="0"/>
    <x v="0"/>
    <x v="2"/>
    <x v="2"/>
    <x v="2"/>
  </r>
  <r>
    <s v="FFloresP@agricolachira.com.pe"/>
    <x v="0"/>
    <x v="0"/>
    <x v="4"/>
    <x v="27"/>
    <x v="4"/>
  </r>
  <r>
    <s v="RTorresS@agricolachira.com.pe"/>
    <x v="0"/>
    <x v="3"/>
    <x v="2"/>
    <x v="4"/>
    <x v="2"/>
  </r>
  <r>
    <s v="JCheroPa@agricolachira.com.pe"/>
    <x v="0"/>
    <x v="0"/>
    <x v="0"/>
    <x v="12"/>
    <x v="0"/>
  </r>
  <r>
    <s v="cfreym@agricolachira.com.pe"/>
    <x v="0"/>
    <x v="0"/>
    <x v="3"/>
    <x v="18"/>
    <x v="3"/>
  </r>
  <r>
    <s v="HMocarroC@agricolachira.com.pe"/>
    <x v="1"/>
    <x v="0"/>
    <x v="0"/>
    <x v="0"/>
    <x v="0"/>
  </r>
  <r>
    <s v="CCarrilloR@agricolachira.com.pe"/>
    <x v="1"/>
    <x v="3"/>
    <x v="1"/>
    <x v="1"/>
    <x v="1"/>
  </r>
  <r>
    <s v="WChavezS@agricolachira.com.pe"/>
    <x v="1"/>
    <x v="2"/>
    <x v="2"/>
    <x v="2"/>
    <x v="2"/>
  </r>
  <r>
    <s v="CVivancoM@agricolachira.com.pe"/>
    <x v="1"/>
    <x v="3"/>
    <x v="0"/>
    <x v="3"/>
    <x v="0"/>
  </r>
  <r>
    <s v="JMioA@agricolachira.com.pe"/>
    <x v="1"/>
    <x v="3"/>
    <x v="2"/>
    <x v="4"/>
    <x v="2"/>
  </r>
  <r>
    <s v="KOtinianoP@agricolachira.com.pe"/>
    <x v="1"/>
    <x v="0"/>
    <x v="0"/>
    <x v="5"/>
    <x v="0"/>
  </r>
  <r>
    <s v="AFloresD@agricolachira.com.pe"/>
    <x v="1"/>
    <x v="2"/>
    <x v="1"/>
    <x v="6"/>
    <x v="1"/>
  </r>
  <r>
    <s v="rmerach@agricolachira.com.pe"/>
    <x v="1"/>
    <x v="3"/>
    <x v="1"/>
    <x v="7"/>
    <x v="1"/>
  </r>
  <r>
    <s v="ABlancoE@agricolachira.com.pe"/>
    <x v="1"/>
    <x v="0"/>
    <x v="3"/>
    <x v="8"/>
    <x v="3"/>
  </r>
  <r>
    <s v="LOlayaLe@agricolachira.com.pe"/>
    <x v="1"/>
    <x v="1"/>
    <x v="0"/>
    <x v="9"/>
    <x v="0"/>
  </r>
  <r>
    <s v="JMendozaG@agricolachira.com.pe"/>
    <x v="1"/>
    <x v="0"/>
    <x v="4"/>
    <x v="10"/>
    <x v="4"/>
  </r>
  <r>
    <s v="JCobenasS@agricolachira.com.pe"/>
    <x v="1"/>
    <x v="2"/>
    <x v="3"/>
    <x v="11"/>
    <x v="3"/>
  </r>
  <r>
    <s v="LTimanaT@agricolachira.com.pe"/>
    <x v="1"/>
    <x v="2"/>
    <x v="0"/>
    <x v="12"/>
    <x v="0"/>
  </r>
  <r>
    <s v="JBayonaG@agricolachira.com.pe"/>
    <x v="1"/>
    <x v="2"/>
    <x v="0"/>
    <x v="12"/>
    <x v="0"/>
  </r>
  <r>
    <s v="LGarciaC@agricolachira.com.pe"/>
    <x v="1"/>
    <x v="2"/>
    <x v="3"/>
    <x v="13"/>
    <x v="3"/>
  </r>
  <r>
    <s v="EArevaloJ@agricolachira.com.pe"/>
    <x v="1"/>
    <x v="0"/>
    <x v="0"/>
    <x v="14"/>
    <x v="0"/>
  </r>
  <r>
    <s v="MMartinezP@agricolachira.com.pe"/>
    <x v="1"/>
    <x v="0"/>
    <x v="0"/>
    <x v="15"/>
    <x v="0"/>
  </r>
  <r>
    <s v="LVillarF@agricolachira.com.pe"/>
    <x v="1"/>
    <x v="2"/>
    <x v="1"/>
    <x v="16"/>
    <x v="1"/>
  </r>
  <r>
    <s v="VLopezS@agricolachira.com.pe"/>
    <x v="1"/>
    <x v="3"/>
    <x v="3"/>
    <x v="13"/>
    <x v="3"/>
  </r>
  <r>
    <s v="jvasquezc@agricolachira.com.pe"/>
    <x v="1"/>
    <x v="3"/>
    <x v="0"/>
    <x v="17"/>
    <x v="0"/>
  </r>
  <r>
    <s v="DZuritaF@agricolachira.com.pe"/>
    <x v="1"/>
    <x v="0"/>
    <x v="0"/>
    <x v="5"/>
    <x v="0"/>
  </r>
  <r>
    <s v="YMoscolC@agricolachira.com.pe"/>
    <x v="1"/>
    <x v="2"/>
    <x v="3"/>
    <x v="18"/>
    <x v="3"/>
  </r>
  <r>
    <s v="YGarridoS@agricolachira.com.pe"/>
    <x v="1"/>
    <x v="0"/>
    <x v="3"/>
    <x v="19"/>
    <x v="3"/>
  </r>
  <r>
    <s v="EAmesM@agricolachira.com.pe"/>
    <x v="1"/>
    <x v="3"/>
    <x v="4"/>
    <x v="20"/>
    <x v="4"/>
  </r>
  <r>
    <s v="JArevaloga@agricolachira.com.pe"/>
    <x v="1"/>
    <x v="0"/>
    <x v="4"/>
    <x v="10"/>
    <x v="4"/>
  </r>
  <r>
    <s v="AGutierrezR@agricolachira.com.pe"/>
    <x v="1"/>
    <x v="0"/>
    <x v="3"/>
    <x v="18"/>
    <x v="3"/>
  </r>
  <r>
    <s v="JChaparroB@agricolachira.com.pe"/>
    <x v="1"/>
    <x v="3"/>
    <x v="0"/>
    <x v="12"/>
    <x v="0"/>
  </r>
  <r>
    <s v="JGomezAp@agricolachira.com.pe"/>
    <x v="1"/>
    <x v="0"/>
    <x v="0"/>
    <x v="17"/>
    <x v="0"/>
  </r>
  <r>
    <s v="JEstelaF@agricolachira.com.pe"/>
    <x v="1"/>
    <x v="3"/>
    <x v="3"/>
    <x v="11"/>
    <x v="3"/>
  </r>
  <r>
    <s v="RGarciaFe@agricolachira.com.pe"/>
    <x v="1"/>
    <x v="3"/>
    <x v="0"/>
    <x v="15"/>
    <x v="0"/>
  </r>
  <r>
    <s v="JAquijeD@agricolachira.com.pe"/>
    <x v="1"/>
    <x v="3"/>
    <x v="2"/>
    <x v="21"/>
    <x v="2"/>
  </r>
  <r>
    <s v="OMontenegroC@agricolachira.com.pe"/>
    <x v="1"/>
    <x v="0"/>
    <x v="3"/>
    <x v="18"/>
    <x v="3"/>
  </r>
  <r>
    <s v="LRodriguezC@agricolachira.com.pe"/>
    <x v="1"/>
    <x v="3"/>
    <x v="4"/>
    <x v="22"/>
    <x v="4"/>
  </r>
  <r>
    <s v="ABurneoL@agricolachira.com.pe"/>
    <x v="1"/>
    <x v="3"/>
    <x v="0"/>
    <x v="23"/>
    <x v="0"/>
  </r>
  <r>
    <s v="AColomaL@agricolachira.com.pe"/>
    <x v="1"/>
    <x v="3"/>
    <x v="4"/>
    <x v="24"/>
    <x v="4"/>
  </r>
  <r>
    <s v="jquevedoa@agricolachira.com.pe"/>
    <x v="1"/>
    <x v="3"/>
    <x v="0"/>
    <x v="25"/>
    <x v="0"/>
  </r>
  <r>
    <s v="jbacilioh@agricolachira.com.pe"/>
    <x v="1"/>
    <x v="2"/>
    <x v="2"/>
    <x v="26"/>
    <x v="2"/>
  </r>
  <r>
    <s v="MVegaY@agricolachira.com.pe"/>
    <x v="1"/>
    <x v="2"/>
    <x v="3"/>
    <x v="11"/>
    <x v="3"/>
  </r>
  <r>
    <s v="NHansenG@agricolachira.com.pe"/>
    <x v="1"/>
    <x v="2"/>
    <x v="2"/>
    <x v="4"/>
    <x v="2"/>
  </r>
  <r>
    <s v="MCulqueC@agricolachira.com.pe"/>
    <x v="1"/>
    <x v="0"/>
    <x v="2"/>
    <x v="2"/>
    <x v="2"/>
  </r>
  <r>
    <s v="FFloresP@agricolachira.com.pe"/>
    <x v="1"/>
    <x v="0"/>
    <x v="4"/>
    <x v="27"/>
    <x v="4"/>
  </r>
  <r>
    <s v="RTorresS@agricolachira.com.pe"/>
    <x v="1"/>
    <x v="3"/>
    <x v="2"/>
    <x v="4"/>
    <x v="2"/>
  </r>
  <r>
    <s v="JCheroPa@agricolachira.com.pe"/>
    <x v="1"/>
    <x v="2"/>
    <x v="0"/>
    <x v="12"/>
    <x v="0"/>
  </r>
  <r>
    <s v="cfreym@agricolachira.com.pe"/>
    <x v="1"/>
    <x v="0"/>
    <x v="3"/>
    <x v="18"/>
    <x v="3"/>
  </r>
  <r>
    <s v="HMocarroC@agricolachira.com.pe"/>
    <x v="2"/>
    <x v="0"/>
    <x v="0"/>
    <x v="0"/>
    <x v="0"/>
  </r>
  <r>
    <s v="CCarrilloR@agricolachira.com.pe"/>
    <x v="2"/>
    <x v="1"/>
    <x v="1"/>
    <x v="1"/>
    <x v="1"/>
  </r>
  <r>
    <s v="WChavezS@agricolachira.com.pe"/>
    <x v="2"/>
    <x v="3"/>
    <x v="2"/>
    <x v="2"/>
    <x v="2"/>
  </r>
  <r>
    <s v="CVivancoM@agricolachira.com.pe"/>
    <x v="2"/>
    <x v="3"/>
    <x v="0"/>
    <x v="3"/>
    <x v="0"/>
  </r>
  <r>
    <s v="JMioA@agricolachira.com.pe"/>
    <x v="2"/>
    <x v="1"/>
    <x v="2"/>
    <x v="4"/>
    <x v="2"/>
  </r>
  <r>
    <s v="KOtinianoP@agricolachira.com.pe"/>
    <x v="2"/>
    <x v="0"/>
    <x v="0"/>
    <x v="5"/>
    <x v="0"/>
  </r>
  <r>
    <s v="AFloresD@agricolachira.com.pe"/>
    <x v="2"/>
    <x v="1"/>
    <x v="1"/>
    <x v="6"/>
    <x v="1"/>
  </r>
  <r>
    <s v="rmerach@agricolachira.com.pe"/>
    <x v="2"/>
    <x v="1"/>
    <x v="1"/>
    <x v="7"/>
    <x v="1"/>
  </r>
  <r>
    <s v="ABlancoE@agricolachira.com.pe"/>
    <x v="2"/>
    <x v="2"/>
    <x v="3"/>
    <x v="8"/>
    <x v="3"/>
  </r>
  <r>
    <s v="LOlayaLe@agricolachira.com.pe"/>
    <x v="2"/>
    <x v="1"/>
    <x v="0"/>
    <x v="9"/>
    <x v="0"/>
  </r>
  <r>
    <s v="JMendozaG@agricolachira.com.pe"/>
    <x v="2"/>
    <x v="0"/>
    <x v="4"/>
    <x v="10"/>
    <x v="4"/>
  </r>
  <r>
    <s v="JCobenasS@agricolachira.com.pe"/>
    <x v="2"/>
    <x v="3"/>
    <x v="3"/>
    <x v="11"/>
    <x v="3"/>
  </r>
  <r>
    <s v="LTimanaT@agricolachira.com.pe"/>
    <x v="2"/>
    <x v="3"/>
    <x v="0"/>
    <x v="12"/>
    <x v="0"/>
  </r>
  <r>
    <s v="JBayonaG@agricolachira.com.pe"/>
    <x v="2"/>
    <x v="3"/>
    <x v="0"/>
    <x v="12"/>
    <x v="0"/>
  </r>
  <r>
    <s v="LGarciaC@agricolachira.com.pe"/>
    <x v="2"/>
    <x v="3"/>
    <x v="3"/>
    <x v="13"/>
    <x v="3"/>
  </r>
  <r>
    <s v="EArevaloJ@agricolachira.com.pe"/>
    <x v="2"/>
    <x v="0"/>
    <x v="0"/>
    <x v="14"/>
    <x v="0"/>
  </r>
  <r>
    <s v="MMartinezP@agricolachira.com.pe"/>
    <x v="2"/>
    <x v="2"/>
    <x v="0"/>
    <x v="15"/>
    <x v="0"/>
  </r>
  <r>
    <s v="LVillarF@agricolachira.com.pe"/>
    <x v="2"/>
    <x v="0"/>
    <x v="1"/>
    <x v="16"/>
    <x v="1"/>
  </r>
  <r>
    <s v="VLopezS@agricolachira.com.pe"/>
    <x v="2"/>
    <x v="3"/>
    <x v="3"/>
    <x v="13"/>
    <x v="3"/>
  </r>
  <r>
    <s v="jvasquezc@agricolachira.com.pe"/>
    <x v="2"/>
    <x v="0"/>
    <x v="0"/>
    <x v="17"/>
    <x v="0"/>
  </r>
  <r>
    <s v="DZuritaF@agricolachira.com.pe"/>
    <x v="2"/>
    <x v="0"/>
    <x v="0"/>
    <x v="5"/>
    <x v="0"/>
  </r>
  <r>
    <s v="YMoscolC@agricolachira.com.pe"/>
    <x v="2"/>
    <x v="0"/>
    <x v="3"/>
    <x v="18"/>
    <x v="3"/>
  </r>
  <r>
    <s v="YGarridoS@agricolachira.com.pe"/>
    <x v="2"/>
    <x v="3"/>
    <x v="3"/>
    <x v="19"/>
    <x v="3"/>
  </r>
  <r>
    <s v="EAmesM@agricolachira.com.pe"/>
    <x v="2"/>
    <x v="3"/>
    <x v="4"/>
    <x v="20"/>
    <x v="4"/>
  </r>
  <r>
    <s v="JArevaloga@agricolachira.com.pe"/>
    <x v="2"/>
    <x v="0"/>
    <x v="4"/>
    <x v="10"/>
    <x v="4"/>
  </r>
  <r>
    <s v="AGutierrezR@agricolachira.com.pe"/>
    <x v="2"/>
    <x v="0"/>
    <x v="3"/>
    <x v="18"/>
    <x v="3"/>
  </r>
  <r>
    <s v="JChaparroB@agricolachira.com.pe"/>
    <x v="2"/>
    <x v="3"/>
    <x v="0"/>
    <x v="12"/>
    <x v="0"/>
  </r>
  <r>
    <s v="JGomezAp@agricolachira.com.pe"/>
    <x v="2"/>
    <x v="0"/>
    <x v="0"/>
    <x v="17"/>
    <x v="0"/>
  </r>
  <r>
    <s v="JEstelaF@agricolachira.com.pe"/>
    <x v="2"/>
    <x v="3"/>
    <x v="3"/>
    <x v="11"/>
    <x v="3"/>
  </r>
  <r>
    <s v="RGarciaFe@agricolachira.com.pe"/>
    <x v="2"/>
    <x v="2"/>
    <x v="0"/>
    <x v="15"/>
    <x v="0"/>
  </r>
  <r>
    <s v="JAquijeD@agricolachira.com.pe"/>
    <x v="2"/>
    <x v="1"/>
    <x v="2"/>
    <x v="21"/>
    <x v="2"/>
  </r>
  <r>
    <s v="OMontenegroC@agricolachira.com.pe"/>
    <x v="2"/>
    <x v="0"/>
    <x v="3"/>
    <x v="18"/>
    <x v="3"/>
  </r>
  <r>
    <s v="LRodriguezC@agricolachira.com.pe"/>
    <x v="2"/>
    <x v="3"/>
    <x v="4"/>
    <x v="22"/>
    <x v="4"/>
  </r>
  <r>
    <s v="ABurneoL@agricolachira.com.pe"/>
    <x v="2"/>
    <x v="3"/>
    <x v="0"/>
    <x v="23"/>
    <x v="0"/>
  </r>
  <r>
    <s v="AColomaL@agricolachira.com.pe"/>
    <x v="2"/>
    <x v="3"/>
    <x v="4"/>
    <x v="24"/>
    <x v="4"/>
  </r>
  <r>
    <s v="jquevedoa@agricolachira.com.pe"/>
    <x v="2"/>
    <x v="3"/>
    <x v="0"/>
    <x v="25"/>
    <x v="0"/>
  </r>
  <r>
    <s v="jbacilioh@agricolachira.com.pe"/>
    <x v="2"/>
    <x v="3"/>
    <x v="2"/>
    <x v="26"/>
    <x v="2"/>
  </r>
  <r>
    <s v="MVegaY@agricolachira.com.pe"/>
    <x v="2"/>
    <x v="1"/>
    <x v="3"/>
    <x v="11"/>
    <x v="3"/>
  </r>
  <r>
    <s v="NHansenG@agricolachira.com.pe"/>
    <x v="2"/>
    <x v="3"/>
    <x v="2"/>
    <x v="4"/>
    <x v="2"/>
  </r>
  <r>
    <s v="MCulqueC@agricolachira.com.pe"/>
    <x v="2"/>
    <x v="0"/>
    <x v="2"/>
    <x v="2"/>
    <x v="2"/>
  </r>
  <r>
    <s v="FFloresP@agricolachira.com.pe"/>
    <x v="2"/>
    <x v="0"/>
    <x v="4"/>
    <x v="27"/>
    <x v="4"/>
  </r>
  <r>
    <s v="RTorresS@agricolachira.com.pe"/>
    <x v="2"/>
    <x v="3"/>
    <x v="2"/>
    <x v="4"/>
    <x v="2"/>
  </r>
  <r>
    <s v="JCheroPa@agricolachira.com.pe"/>
    <x v="2"/>
    <x v="0"/>
    <x v="0"/>
    <x v="12"/>
    <x v="0"/>
  </r>
  <r>
    <s v="cfreym@agricolachira.com.pe"/>
    <x v="2"/>
    <x v="0"/>
    <x v="3"/>
    <x v="18"/>
    <x v="3"/>
  </r>
  <r>
    <s v="HMocarroC@agricolachira.com.pe"/>
    <x v="3"/>
    <x v="0"/>
    <x v="0"/>
    <x v="0"/>
    <x v="0"/>
  </r>
  <r>
    <s v="CCarrilloR@agricolachira.com.pe"/>
    <x v="3"/>
    <x v="3"/>
    <x v="1"/>
    <x v="1"/>
    <x v="1"/>
  </r>
  <r>
    <s v="WChavezS@agricolachira.com.pe"/>
    <x v="3"/>
    <x v="3"/>
    <x v="2"/>
    <x v="2"/>
    <x v="2"/>
  </r>
  <r>
    <s v="CVivancoM@agricolachira.com.pe"/>
    <x v="3"/>
    <x v="3"/>
    <x v="0"/>
    <x v="3"/>
    <x v="0"/>
  </r>
  <r>
    <s v="JMioA@agricolachira.com.pe"/>
    <x v="3"/>
    <x v="1"/>
    <x v="2"/>
    <x v="4"/>
    <x v="2"/>
  </r>
  <r>
    <s v="KOtinianoP@agricolachira.com.pe"/>
    <x v="3"/>
    <x v="0"/>
    <x v="0"/>
    <x v="5"/>
    <x v="0"/>
  </r>
  <r>
    <s v="AFloresD@agricolachira.com.pe"/>
    <x v="3"/>
    <x v="3"/>
    <x v="1"/>
    <x v="6"/>
    <x v="1"/>
  </r>
  <r>
    <s v="rmerach@agricolachira.com.pe"/>
    <x v="3"/>
    <x v="3"/>
    <x v="1"/>
    <x v="7"/>
    <x v="1"/>
  </r>
  <r>
    <s v="ABlancoE@agricolachira.com.pe"/>
    <x v="3"/>
    <x v="0"/>
    <x v="3"/>
    <x v="8"/>
    <x v="3"/>
  </r>
  <r>
    <s v="LOlayaLe@agricolachira.com.pe"/>
    <x v="3"/>
    <x v="1"/>
    <x v="0"/>
    <x v="9"/>
    <x v="0"/>
  </r>
  <r>
    <s v="JMendozaG@agricolachira.com.pe"/>
    <x v="3"/>
    <x v="0"/>
    <x v="4"/>
    <x v="10"/>
    <x v="4"/>
  </r>
  <r>
    <s v="JCobenasS@agricolachira.com.pe"/>
    <x v="3"/>
    <x v="3"/>
    <x v="3"/>
    <x v="11"/>
    <x v="3"/>
  </r>
  <r>
    <s v="LTimanaT@agricolachira.com.pe"/>
    <x v="3"/>
    <x v="1"/>
    <x v="0"/>
    <x v="12"/>
    <x v="0"/>
  </r>
  <r>
    <s v="JBayonaG@agricolachira.com.pe"/>
    <x v="3"/>
    <x v="3"/>
    <x v="0"/>
    <x v="12"/>
    <x v="0"/>
  </r>
  <r>
    <s v="LGarciaC@agricolachira.com.pe"/>
    <x v="3"/>
    <x v="2"/>
    <x v="3"/>
    <x v="13"/>
    <x v="3"/>
  </r>
  <r>
    <s v="EArevaloJ@agricolachira.com.pe"/>
    <x v="3"/>
    <x v="0"/>
    <x v="0"/>
    <x v="14"/>
    <x v="0"/>
  </r>
  <r>
    <s v="MMartinezP@agricolachira.com.pe"/>
    <x v="3"/>
    <x v="0"/>
    <x v="0"/>
    <x v="15"/>
    <x v="0"/>
  </r>
  <r>
    <s v="LVillarF@agricolachira.com.pe"/>
    <x v="3"/>
    <x v="3"/>
    <x v="1"/>
    <x v="16"/>
    <x v="1"/>
  </r>
  <r>
    <s v="VLopezS@agricolachira.com.pe"/>
    <x v="3"/>
    <x v="3"/>
    <x v="3"/>
    <x v="13"/>
    <x v="3"/>
  </r>
  <r>
    <s v="jvasquezc@agricolachira.com.pe"/>
    <x v="3"/>
    <x v="0"/>
    <x v="0"/>
    <x v="17"/>
    <x v="0"/>
  </r>
  <r>
    <s v="DZuritaF@agricolachira.com.pe"/>
    <x v="3"/>
    <x v="0"/>
    <x v="0"/>
    <x v="5"/>
    <x v="0"/>
  </r>
  <r>
    <s v="YMoscolC@agricolachira.com.pe"/>
    <x v="3"/>
    <x v="0"/>
    <x v="3"/>
    <x v="18"/>
    <x v="3"/>
  </r>
  <r>
    <s v="YGarridoS@agricolachira.com.pe"/>
    <x v="3"/>
    <x v="0"/>
    <x v="3"/>
    <x v="19"/>
    <x v="3"/>
  </r>
  <r>
    <s v="EAmesM@agricolachira.com.pe"/>
    <x v="3"/>
    <x v="0"/>
    <x v="4"/>
    <x v="20"/>
    <x v="4"/>
  </r>
  <r>
    <s v="JArevaloga@agricolachira.com.pe"/>
    <x v="3"/>
    <x v="0"/>
    <x v="4"/>
    <x v="10"/>
    <x v="4"/>
  </r>
  <r>
    <s v="AGutierrezR@agricolachira.com.pe"/>
    <x v="3"/>
    <x v="0"/>
    <x v="3"/>
    <x v="18"/>
    <x v="3"/>
  </r>
  <r>
    <s v="JChaparroB@agricolachira.com.pe"/>
    <x v="3"/>
    <x v="3"/>
    <x v="0"/>
    <x v="12"/>
    <x v="0"/>
  </r>
  <r>
    <s v="JGomezAp@agricolachira.com.pe"/>
    <x v="3"/>
    <x v="0"/>
    <x v="0"/>
    <x v="17"/>
    <x v="0"/>
  </r>
  <r>
    <s v="JEstelaF@agricolachira.com.pe"/>
    <x v="3"/>
    <x v="3"/>
    <x v="3"/>
    <x v="11"/>
    <x v="3"/>
  </r>
  <r>
    <s v="RGarciaFe@agricolachira.com.pe"/>
    <x v="3"/>
    <x v="3"/>
    <x v="0"/>
    <x v="15"/>
    <x v="0"/>
  </r>
  <r>
    <s v="JAquijeD@agricolachira.com.pe"/>
    <x v="3"/>
    <x v="3"/>
    <x v="2"/>
    <x v="21"/>
    <x v="2"/>
  </r>
  <r>
    <s v="OMontenegroC@agricolachira.com.pe"/>
    <x v="3"/>
    <x v="0"/>
    <x v="3"/>
    <x v="18"/>
    <x v="3"/>
  </r>
  <r>
    <s v="LRodriguezC@agricolachira.com.pe"/>
    <x v="3"/>
    <x v="3"/>
    <x v="4"/>
    <x v="22"/>
    <x v="4"/>
  </r>
  <r>
    <s v="ABurneoL@agricolachira.com.pe"/>
    <x v="3"/>
    <x v="0"/>
    <x v="0"/>
    <x v="23"/>
    <x v="0"/>
  </r>
  <r>
    <s v="AColomaL@agricolachira.com.pe"/>
    <x v="3"/>
    <x v="3"/>
    <x v="4"/>
    <x v="24"/>
    <x v="4"/>
  </r>
  <r>
    <s v="jquevedoa@agricolachira.com.pe"/>
    <x v="3"/>
    <x v="3"/>
    <x v="0"/>
    <x v="25"/>
    <x v="0"/>
  </r>
  <r>
    <s v="jbacilioh@agricolachira.com.pe"/>
    <x v="3"/>
    <x v="3"/>
    <x v="2"/>
    <x v="26"/>
    <x v="2"/>
  </r>
  <r>
    <s v="MVegaY@agricolachira.com.pe"/>
    <x v="3"/>
    <x v="2"/>
    <x v="3"/>
    <x v="11"/>
    <x v="3"/>
  </r>
  <r>
    <s v="NHansenG@agricolachira.com.pe"/>
    <x v="3"/>
    <x v="2"/>
    <x v="2"/>
    <x v="4"/>
    <x v="2"/>
  </r>
  <r>
    <s v="MCulqueC@agricolachira.com.pe"/>
    <x v="3"/>
    <x v="0"/>
    <x v="2"/>
    <x v="2"/>
    <x v="2"/>
  </r>
  <r>
    <s v="FFloresP@agricolachira.com.pe"/>
    <x v="3"/>
    <x v="0"/>
    <x v="4"/>
    <x v="27"/>
    <x v="4"/>
  </r>
  <r>
    <s v="RTorresS@agricolachira.com.pe"/>
    <x v="3"/>
    <x v="3"/>
    <x v="2"/>
    <x v="4"/>
    <x v="2"/>
  </r>
  <r>
    <s v="JCheroPa@agricolachira.com.pe"/>
    <x v="3"/>
    <x v="0"/>
    <x v="0"/>
    <x v="12"/>
    <x v="0"/>
  </r>
  <r>
    <s v="cfreym@agricolachira.com.pe"/>
    <x v="3"/>
    <x v="0"/>
    <x v="3"/>
    <x v="18"/>
    <x v="3"/>
  </r>
  <r>
    <s v="HMocarroC@agricolachira.com.pe"/>
    <x v="4"/>
    <x v="0"/>
    <x v="0"/>
    <x v="0"/>
    <x v="0"/>
  </r>
  <r>
    <s v="CCarrilloR@agricolachira.com.pe"/>
    <x v="4"/>
    <x v="3"/>
    <x v="1"/>
    <x v="1"/>
    <x v="1"/>
  </r>
  <r>
    <s v="WChavezS@agricolachira.com.pe"/>
    <x v="4"/>
    <x v="1"/>
    <x v="2"/>
    <x v="2"/>
    <x v="2"/>
  </r>
  <r>
    <s v="CVivancoM@agricolachira.com.pe"/>
    <x v="4"/>
    <x v="3"/>
    <x v="0"/>
    <x v="3"/>
    <x v="0"/>
  </r>
  <r>
    <s v="JMioA@agricolachira.com.pe"/>
    <x v="4"/>
    <x v="1"/>
    <x v="2"/>
    <x v="4"/>
    <x v="2"/>
  </r>
  <r>
    <s v="KOtinianoP@agricolachira.com.pe"/>
    <x v="4"/>
    <x v="0"/>
    <x v="0"/>
    <x v="5"/>
    <x v="0"/>
  </r>
  <r>
    <s v="AFloresD@agricolachira.com.pe"/>
    <x v="4"/>
    <x v="2"/>
    <x v="1"/>
    <x v="6"/>
    <x v="1"/>
  </r>
  <r>
    <s v="rmerach@agricolachira.com.pe"/>
    <x v="4"/>
    <x v="3"/>
    <x v="1"/>
    <x v="7"/>
    <x v="1"/>
  </r>
  <r>
    <s v="ABlancoE@agricolachira.com.pe"/>
    <x v="4"/>
    <x v="0"/>
    <x v="3"/>
    <x v="8"/>
    <x v="3"/>
  </r>
  <r>
    <s v="LOlayaLe@agricolachira.com.pe"/>
    <x v="4"/>
    <x v="1"/>
    <x v="0"/>
    <x v="9"/>
    <x v="0"/>
  </r>
  <r>
    <s v="JMendozaG@agricolachira.com.pe"/>
    <x v="4"/>
    <x v="0"/>
    <x v="4"/>
    <x v="10"/>
    <x v="4"/>
  </r>
  <r>
    <s v="JCobenasS@agricolachira.com.pe"/>
    <x v="4"/>
    <x v="2"/>
    <x v="3"/>
    <x v="11"/>
    <x v="3"/>
  </r>
  <r>
    <s v="LTimanaT@agricolachira.com.pe"/>
    <x v="4"/>
    <x v="0"/>
    <x v="0"/>
    <x v="12"/>
    <x v="0"/>
  </r>
  <r>
    <s v="JBayonaG@agricolachira.com.pe"/>
    <x v="4"/>
    <x v="3"/>
    <x v="0"/>
    <x v="12"/>
    <x v="0"/>
  </r>
  <r>
    <s v="LGarciaC@agricolachira.com.pe"/>
    <x v="4"/>
    <x v="2"/>
    <x v="3"/>
    <x v="13"/>
    <x v="3"/>
  </r>
  <r>
    <s v="EArevaloJ@agricolachira.com.pe"/>
    <x v="4"/>
    <x v="2"/>
    <x v="0"/>
    <x v="14"/>
    <x v="0"/>
  </r>
  <r>
    <s v="MMartinezP@agricolachira.com.pe"/>
    <x v="4"/>
    <x v="0"/>
    <x v="0"/>
    <x v="15"/>
    <x v="0"/>
  </r>
  <r>
    <s v="LVillarF@agricolachira.com.pe"/>
    <x v="4"/>
    <x v="2"/>
    <x v="1"/>
    <x v="16"/>
    <x v="1"/>
  </r>
  <r>
    <s v="VLopezS@agricolachira.com.pe"/>
    <x v="4"/>
    <x v="3"/>
    <x v="3"/>
    <x v="13"/>
    <x v="3"/>
  </r>
  <r>
    <s v="jvasquezc@agricolachira.com.pe"/>
    <x v="4"/>
    <x v="3"/>
    <x v="0"/>
    <x v="17"/>
    <x v="0"/>
  </r>
  <r>
    <s v="DZuritaF@agricolachira.com.pe"/>
    <x v="4"/>
    <x v="0"/>
    <x v="0"/>
    <x v="5"/>
    <x v="0"/>
  </r>
  <r>
    <s v="YMoscolC@agricolachira.com.pe"/>
    <x v="4"/>
    <x v="2"/>
    <x v="3"/>
    <x v="18"/>
    <x v="3"/>
  </r>
  <r>
    <s v="YGarridoS@agricolachira.com.pe"/>
    <x v="4"/>
    <x v="0"/>
    <x v="3"/>
    <x v="19"/>
    <x v="3"/>
  </r>
  <r>
    <s v="EAmesM@agricolachira.com.pe"/>
    <x v="4"/>
    <x v="2"/>
    <x v="4"/>
    <x v="20"/>
    <x v="4"/>
  </r>
  <r>
    <s v="JArevaloga@agricolachira.com.pe"/>
    <x v="4"/>
    <x v="0"/>
    <x v="4"/>
    <x v="10"/>
    <x v="4"/>
  </r>
  <r>
    <s v="AGutierrezR@agricolachira.com.pe"/>
    <x v="4"/>
    <x v="0"/>
    <x v="3"/>
    <x v="18"/>
    <x v="3"/>
  </r>
  <r>
    <s v="JChaparroB@agricolachira.com.pe"/>
    <x v="4"/>
    <x v="3"/>
    <x v="0"/>
    <x v="12"/>
    <x v="0"/>
  </r>
  <r>
    <s v="JGomezAp@agricolachira.com.pe"/>
    <x v="4"/>
    <x v="0"/>
    <x v="0"/>
    <x v="17"/>
    <x v="0"/>
  </r>
  <r>
    <s v="JEstelaF@agricolachira.com.pe"/>
    <x v="4"/>
    <x v="3"/>
    <x v="3"/>
    <x v="11"/>
    <x v="3"/>
  </r>
  <r>
    <s v="RGarciaFe@agricolachira.com.pe"/>
    <x v="4"/>
    <x v="3"/>
    <x v="0"/>
    <x v="15"/>
    <x v="0"/>
  </r>
  <r>
    <s v="JAquijeD@agricolachira.com.pe"/>
    <x v="4"/>
    <x v="3"/>
    <x v="2"/>
    <x v="21"/>
    <x v="2"/>
  </r>
  <r>
    <s v="OMontenegroC@agricolachira.com.pe"/>
    <x v="4"/>
    <x v="0"/>
    <x v="3"/>
    <x v="18"/>
    <x v="3"/>
  </r>
  <r>
    <s v="LRodriguezC@agricolachira.com.pe"/>
    <x v="4"/>
    <x v="3"/>
    <x v="4"/>
    <x v="22"/>
    <x v="4"/>
  </r>
  <r>
    <s v="ABurneoL@agricolachira.com.pe"/>
    <x v="4"/>
    <x v="3"/>
    <x v="0"/>
    <x v="23"/>
    <x v="0"/>
  </r>
  <r>
    <s v="AColomaL@agricolachira.com.pe"/>
    <x v="4"/>
    <x v="3"/>
    <x v="4"/>
    <x v="24"/>
    <x v="4"/>
  </r>
  <r>
    <s v="jquevedoa@agricolachira.com.pe"/>
    <x v="4"/>
    <x v="0"/>
    <x v="0"/>
    <x v="25"/>
    <x v="0"/>
  </r>
  <r>
    <s v="jbacilioh@agricolachira.com.pe"/>
    <x v="4"/>
    <x v="2"/>
    <x v="2"/>
    <x v="26"/>
    <x v="2"/>
  </r>
  <r>
    <s v="MVegaY@agricolachira.com.pe"/>
    <x v="4"/>
    <x v="2"/>
    <x v="3"/>
    <x v="11"/>
    <x v="3"/>
  </r>
  <r>
    <s v="NHansenG@agricolachira.com.pe"/>
    <x v="4"/>
    <x v="2"/>
    <x v="2"/>
    <x v="4"/>
    <x v="2"/>
  </r>
  <r>
    <s v="MCulqueC@agricolachira.com.pe"/>
    <x v="4"/>
    <x v="0"/>
    <x v="2"/>
    <x v="2"/>
    <x v="2"/>
  </r>
  <r>
    <s v="FFloresP@agricolachira.com.pe"/>
    <x v="4"/>
    <x v="0"/>
    <x v="4"/>
    <x v="27"/>
    <x v="4"/>
  </r>
  <r>
    <s v="RTorresS@agricolachira.com.pe"/>
    <x v="4"/>
    <x v="3"/>
    <x v="2"/>
    <x v="4"/>
    <x v="2"/>
  </r>
  <r>
    <s v="JCheroPa@agricolachira.com.pe"/>
    <x v="4"/>
    <x v="0"/>
    <x v="0"/>
    <x v="12"/>
    <x v="0"/>
  </r>
  <r>
    <s v="cfreym@agricolachira.com.pe"/>
    <x v="4"/>
    <x v="0"/>
    <x v="3"/>
    <x v="18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7BB6D2-C12C-483B-9B93-93A089D9F53A}" name="TablaDinámica1" cacheId="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12:I38" firstHeaderRow="1" firstDataRow="1" firstDataCol="1" rowPageCount="2" colPageCount="1"/>
  <pivotFields count="6">
    <pivotField showAll="0"/>
    <pivotField axis="axisRow" showAll="0">
      <items count="6">
        <item x="3"/>
        <item x="1"/>
        <item x="0"/>
        <item x="2"/>
        <item x="4"/>
        <item t="default"/>
      </items>
    </pivotField>
    <pivotField axis="axisRow" dataField="1" showAll="0">
      <items count="5">
        <item x="1"/>
        <item x="3"/>
        <item x="0"/>
        <item x="2"/>
        <item t="default"/>
      </items>
    </pivotField>
    <pivotField axis="axisRow" showAll="0">
      <items count="6">
        <item x="0"/>
        <item x="2"/>
        <item x="4"/>
        <item x="1"/>
        <item x="3"/>
        <item t="default"/>
      </items>
    </pivotField>
    <pivotField axis="axisPage" multipleItemSelectionAllowed="1" showAll="0">
      <items count="29">
        <item x="25"/>
        <item x="19"/>
        <item x="20"/>
        <item x="14"/>
        <item x="11"/>
        <item x="18"/>
        <item x="8"/>
        <item x="24"/>
        <item x="12"/>
        <item x="22"/>
        <item x="15"/>
        <item x="23"/>
        <item x="13"/>
        <item x="1"/>
        <item x="9"/>
        <item x="21"/>
        <item x="2"/>
        <item x="3"/>
        <item x="7"/>
        <item x="27"/>
        <item x="26"/>
        <item h="1" x="5"/>
        <item x="4"/>
        <item x="16"/>
        <item x="6"/>
        <item x="0"/>
        <item x="10"/>
        <item x="17"/>
        <item t="default"/>
      </items>
    </pivotField>
    <pivotField axis="axisPage" showAll="0">
      <items count="6">
        <item x="0"/>
        <item x="2"/>
        <item x="4"/>
        <item x="1"/>
        <item x="3"/>
        <item t="default"/>
      </items>
    </pivotField>
  </pivotFields>
  <rowFields count="3">
    <field x="3"/>
    <field x="1"/>
    <field x="2"/>
  </rowFields>
  <rowItems count="26">
    <i>
      <x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 r="2">
      <x v="3"/>
    </i>
    <i r="1">
      <x v="2"/>
    </i>
    <i r="2">
      <x/>
    </i>
    <i r="2">
      <x v="1"/>
    </i>
    <i r="2">
      <x v="2"/>
    </i>
    <i r="2">
      <x v="3"/>
    </i>
    <i r="1">
      <x v="3"/>
    </i>
    <i r="2">
      <x/>
    </i>
    <i r="2">
      <x v="1"/>
    </i>
    <i r="2">
      <x v="2"/>
    </i>
    <i r="2">
      <x v="3"/>
    </i>
    <i r="1">
      <x v="4"/>
    </i>
    <i r="2">
      <x/>
    </i>
    <i r="2">
      <x v="1"/>
    </i>
    <i r="2">
      <x v="2"/>
    </i>
    <i r="2">
      <x v="3"/>
    </i>
    <i t="grand">
      <x/>
    </i>
  </rowItems>
  <colItems count="1">
    <i/>
  </colItems>
  <pageFields count="2">
    <pageField fld="4" hier="-1"/>
    <pageField fld="5" item="0" hier="-1"/>
  </pageFields>
  <dataFields count="1">
    <dataField name="Cuenta de Nr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7A41C6-A9D0-497B-BC6A-6CCE10134F32}" name="PivotTablaAutoevaluacion" cacheId="66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4">
  <location ref="L36:M42" firstHeaderRow="1" firstDataRow="1" firstDataCol="1" rowPageCount="1" colPageCount="1"/>
  <pivotFields count="5">
    <pivotField showAll="0"/>
    <pivotField axis="axisRow" showAll="0">
      <items count="6">
        <item x="3"/>
        <item x="1"/>
        <item x="0"/>
        <item x="2"/>
        <item x="4"/>
        <item t="default"/>
      </items>
    </pivotField>
    <pivotField dataField="1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showAll="0">
      <items count="29">
        <item x="25"/>
        <item x="19"/>
        <item x="20"/>
        <item x="14"/>
        <item x="11"/>
        <item x="18"/>
        <item x="8"/>
        <item x="24"/>
        <item x="12"/>
        <item x="22"/>
        <item x="15"/>
        <item x="23"/>
        <item x="13"/>
        <item x="1"/>
        <item x="9"/>
        <item x="21"/>
        <item x="2"/>
        <item x="3"/>
        <item x="7"/>
        <item x="27"/>
        <item x="26"/>
        <item x="5"/>
        <item x="4"/>
        <item x="16"/>
        <item x="6"/>
        <item x="0"/>
        <item x="10"/>
        <item x="17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4" item="21" hier="-1"/>
  </pageFields>
  <dataFields count="1">
    <dataField name="Promedio de Nro" fld="2" subtotal="average" baseField="0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2" totalsRowShown="0">
  <autoFilter ref="A1:D202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EDBDE2-739B-4109-80FB-5EF55CBDCD58}" name="TBL_ResulEncuestas" displayName="TBL_ResulEncuestas" ref="A3:K47" totalsRowShown="0">
  <autoFilter ref="A3:K47" xr:uid="{65EDBDE2-739B-4109-80FB-5EF55CBDCD58}"/>
  <tableColumns count="11">
    <tableColumn id="1" xr3:uid="{70858ABF-4A06-4BD9-881F-5D4433E18011}" name="ID"/>
    <tableColumn id="2" xr3:uid="{5A76621C-1FF6-4E48-B9DB-BA0DFA9CC744}" name="Hora de inicio" dataDxfId="20"/>
    <tableColumn id="3" xr3:uid="{652C51CC-1F10-4C9F-8A5A-40ACFFC3B9C8}" name="Hora de finalización" dataDxfId="19"/>
    <tableColumn id="4" xr3:uid="{DEE3EC15-5A2C-42E4-9275-30C3A6DEE7AD}" name="Correo electrónico"/>
    <tableColumn id="5" xr3:uid="{F500980C-1979-4716-AFAE-42F93DFAD3B8}" name="Nombre"/>
    <tableColumn id="6" xr3:uid="{11D52DD6-55B5-4312-8424-354893AD9186}" name="1"/>
    <tableColumn id="7" xr3:uid="{5306FA23-D0D7-4BAC-A74B-FB5173C7BFD5}" name="2"/>
    <tableColumn id="8" xr3:uid="{12EDFB36-A11F-4B5A-84B5-AA748352D8D8}" name="3"/>
    <tableColumn id="9" xr3:uid="{8CC18590-245B-47B2-96D1-20A198CAC71D}" name="4"/>
    <tableColumn id="10" xr3:uid="{899E3628-BDF2-4908-8258-880F67F9049D}" name="5"/>
    <tableColumn id="11" xr3:uid="{B5AE1DA6-F2AD-417B-9CA1-0D45A5EA805F}" name="Agradecemos su participación en esta encuesta, si tuviera alguna sugerencia para mejorar el servicio, por favor escríbalo en el siguiente espacio.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526A6AF-29B7-4D2B-B441-9FB37D609B1B}" name="Resumen2" displayName="Resumen2" ref="A1:F221" totalsRowShown="0">
  <autoFilter ref="A1:F221" xr:uid="{5526A6AF-29B7-4D2B-B441-9FB37D609B1B}"/>
  <tableColumns count="6">
    <tableColumn id="1" xr3:uid="{D1AEC1D5-D9C4-49FB-BD8E-1B2A07B7F07F}" name="Correo electrónico" dataDxfId="1"/>
    <tableColumn id="2" xr3:uid="{272CE2B1-82CF-4D6F-8B1C-6107EBD12DA1}" name="Servicios"/>
    <tableColumn id="3" xr3:uid="{0462F13F-6E6E-4F22-894A-5BC027FA3469}" name="Nro" dataDxfId="0"/>
    <tableColumn id="4" xr3:uid="{61F20D6A-FD2D-4B24-BDB6-D216595F82A9}" name="Gerencia">
      <calculatedColumnFormula>VLOOKUP(A2,DataUsuario!B:D,2,FALSE)</calculatedColumnFormula>
    </tableColumn>
    <tableColumn id="5" xr3:uid="{7F65001C-6F9F-4AC6-9EB2-EEFD772946F0}" name="Area">
      <calculatedColumnFormula>VLOOKUP(A2,DataUsuario!B:D,3,FALSE)</calculatedColumnFormula>
    </tableColumn>
    <tableColumn id="6" xr3:uid="{48472C48-5339-4CE9-8536-BD592F10C34B}" name="Gerencia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7DBC0C5-EF8D-40FC-9965-500D06AB1F71}" name="PivoteServicios" displayName="PivoteServicios" ref="A15:B20" totalsRowShown="0">
  <autoFilter ref="A15:B20" xr:uid="{87DBC0C5-EF8D-40FC-9965-500D06AB1F71}"/>
  <sortState xmlns:xlrd2="http://schemas.microsoft.com/office/spreadsheetml/2017/richdata2" ref="A16:B20">
    <sortCondition descending="1" ref="B15:B20"/>
  </sortState>
  <tableColumns count="2">
    <tableColumn id="1" xr3:uid="{A4AEB4A9-B186-40D8-9E85-2732143B0982}" name="Servicios"/>
    <tableColumn id="2" xr3:uid="{73A6A6C2-3E63-4F5E-893D-24D83F9E582E}" name="Promedi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D03E60A-6927-4615-B820-5A0CF676F680}" name="PivoteGerencias" displayName="PivoteGerencias" ref="L15:M20" totalsRowShown="0">
  <autoFilter ref="L15:M20" xr:uid="{AD03E60A-6927-4615-B820-5A0CF676F680}"/>
  <sortState xmlns:xlrd2="http://schemas.microsoft.com/office/spreadsheetml/2017/richdata2" ref="L16:M20">
    <sortCondition descending="1" ref="M15:M20"/>
  </sortState>
  <tableColumns count="2">
    <tableColumn id="1" xr3:uid="{A9B891E7-23FE-4623-AC8F-87F072537AA9}" name="Gerencias"/>
    <tableColumn id="2" xr3:uid="{595366D6-25A9-4EC1-829D-20FD6A043065}" name="Promed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RomeroC@agricolachira.com.pe" TargetMode="External"/><Relationship Id="rId2" Type="http://schemas.openxmlformats.org/officeDocument/2006/relationships/hyperlink" Target="mailto:jcastillor@agricolachira.com.pe" TargetMode="External"/><Relationship Id="rId1" Type="http://schemas.openxmlformats.org/officeDocument/2006/relationships/hyperlink" Target="mailto:frodriguezv@agricolachira.com.pe" TargetMode="External"/><Relationship Id="rId5" Type="http://schemas.openxmlformats.org/officeDocument/2006/relationships/table" Target="../tables/table1.xml"/><Relationship Id="rId4" Type="http://schemas.openxmlformats.org/officeDocument/2006/relationships/hyperlink" Target="mailto:OMontenegroC@agricolachira.com.p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2"/>
  <sheetViews>
    <sheetView workbookViewId="0">
      <pane ySplit="1" topLeftCell="A38" activePane="bottomLeft" state="frozen"/>
      <selection pane="bottomLeft" activeCell="C50" sqref="C50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546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547</v>
      </c>
      <c r="C11" s="4" t="s">
        <v>70</v>
      </c>
      <c r="D11" s="4" t="s">
        <v>111</v>
      </c>
    </row>
    <row r="12" spans="1:4" x14ac:dyDescent="0.3">
      <c r="A12" s="2" t="s">
        <v>548</v>
      </c>
      <c r="B12" s="4" t="s">
        <v>549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523</v>
      </c>
      <c r="B16" s="4" t="s">
        <v>539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34" t="s">
        <v>89</v>
      </c>
      <c r="D89" s="134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550</v>
      </c>
      <c r="C102" s="5" t="s">
        <v>70</v>
      </c>
      <c r="D102" s="5" t="s">
        <v>105</v>
      </c>
    </row>
    <row r="103" spans="1:4" x14ac:dyDescent="0.3">
      <c r="A103" s="4" t="s">
        <v>551</v>
      </c>
      <c r="B103" s="4" t="s">
        <v>552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553</v>
      </c>
      <c r="C105" s="5" t="s">
        <v>62</v>
      </c>
      <c r="D105" s="5" t="s">
        <v>43</v>
      </c>
    </row>
    <row r="106" spans="1:4" x14ac:dyDescent="0.3">
      <c r="A106" s="4" t="s">
        <v>525</v>
      </c>
      <c r="B106" s="4" t="s">
        <v>541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554</v>
      </c>
      <c r="B116" s="4" t="s">
        <v>555</v>
      </c>
      <c r="C116" s="3" t="s">
        <v>70</v>
      </c>
      <c r="D116" s="3" t="s">
        <v>556</v>
      </c>
    </row>
    <row r="117" spans="1:4" x14ac:dyDescent="0.3">
      <c r="A117" s="4" t="s">
        <v>557</v>
      </c>
      <c r="B117" s="4" t="s">
        <v>558</v>
      </c>
      <c r="C117" s="3" t="s">
        <v>70</v>
      </c>
      <c r="D117" s="3" t="s">
        <v>556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559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560</v>
      </c>
      <c r="C120" s="3" t="s">
        <v>66</v>
      </c>
      <c r="D120" s="3" t="s">
        <v>44</v>
      </c>
    </row>
    <row r="121" spans="1:4" x14ac:dyDescent="0.3">
      <c r="A121" s="4" t="s">
        <v>561</v>
      </c>
      <c r="B121" s="4" t="s">
        <v>562</v>
      </c>
      <c r="C121" s="3" t="s">
        <v>74</v>
      </c>
      <c r="D121" s="3" t="s">
        <v>211</v>
      </c>
    </row>
    <row r="122" spans="1:4" x14ac:dyDescent="0.3">
      <c r="A122" s="4" t="s">
        <v>522</v>
      </c>
      <c r="B122" s="4" t="s">
        <v>227</v>
      </c>
      <c r="C122" s="3" t="s">
        <v>62</v>
      </c>
      <c r="D122" s="3" t="s">
        <v>563</v>
      </c>
    </row>
    <row r="123" spans="1:4" x14ac:dyDescent="0.3">
      <c r="A123" s="4" t="s">
        <v>189</v>
      </c>
      <c r="B123" s="4" t="s">
        <v>534</v>
      </c>
      <c r="C123" s="3" t="s">
        <v>62</v>
      </c>
      <c r="D123" s="3" t="s">
        <v>563</v>
      </c>
    </row>
    <row r="124" spans="1:4" x14ac:dyDescent="0.3">
      <c r="A124" s="4" t="s">
        <v>564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565</v>
      </c>
      <c r="B125" s="3" t="s">
        <v>533</v>
      </c>
      <c r="C125" s="3" t="s">
        <v>66</v>
      </c>
      <c r="D125" s="3" t="s">
        <v>37</v>
      </c>
    </row>
    <row r="126" spans="1:4" x14ac:dyDescent="0.3">
      <c r="A126" s="4" t="s">
        <v>566</v>
      </c>
      <c r="B126" s="4" t="s">
        <v>567</v>
      </c>
      <c r="C126" s="3" t="s">
        <v>66</v>
      </c>
      <c r="D126" s="3" t="s">
        <v>37</v>
      </c>
    </row>
    <row r="127" spans="1:4" x14ac:dyDescent="0.3">
      <c r="A127" s="4" t="s">
        <v>568</v>
      </c>
      <c r="B127" s="3" t="s">
        <v>569</v>
      </c>
      <c r="C127" s="3" t="s">
        <v>74</v>
      </c>
      <c r="D127" s="3" t="s">
        <v>252</v>
      </c>
    </row>
    <row r="128" spans="1:4" x14ac:dyDescent="0.3">
      <c r="A128" s="4" t="s">
        <v>570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145" t="s">
        <v>585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571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524</v>
      </c>
      <c r="B185" s="4" t="s">
        <v>535</v>
      </c>
      <c r="C185" s="4" t="s">
        <v>62</v>
      </c>
      <c r="D185" s="4" t="s">
        <v>100</v>
      </c>
    </row>
    <row r="186" spans="1:4" x14ac:dyDescent="0.3">
      <c r="A186" s="2" t="s">
        <v>531</v>
      </c>
      <c r="B186" s="3" t="s">
        <v>536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529</v>
      </c>
      <c r="B188" s="4" t="s">
        <v>537</v>
      </c>
      <c r="C188" s="4" t="s">
        <v>70</v>
      </c>
      <c r="D188" s="4" t="s">
        <v>71</v>
      </c>
    </row>
    <row r="189" spans="1:4" x14ac:dyDescent="0.3">
      <c r="A189" s="4" t="s">
        <v>528</v>
      </c>
      <c r="B189" s="3" t="s">
        <v>538</v>
      </c>
      <c r="C189" s="3" t="s">
        <v>70</v>
      </c>
      <c r="D189" s="3" t="s">
        <v>71</v>
      </c>
    </row>
    <row r="190" spans="1:4" x14ac:dyDescent="0.3">
      <c r="A190" s="2" t="s">
        <v>520</v>
      </c>
      <c r="B190" s="4" t="s">
        <v>572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154" t="s">
        <v>232</v>
      </c>
      <c r="C192" s="3" t="s">
        <v>89</v>
      </c>
      <c r="D192" s="3" t="s">
        <v>131</v>
      </c>
    </row>
    <row r="193" spans="1:4" x14ac:dyDescent="0.3">
      <c r="A193" s="4" t="s">
        <v>530</v>
      </c>
      <c r="B193" s="3" t="s">
        <v>540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526</v>
      </c>
      <c r="B195" s="3" t="s">
        <v>542</v>
      </c>
      <c r="C195" s="3" t="s">
        <v>74</v>
      </c>
      <c r="D195" s="3" t="s">
        <v>83</v>
      </c>
    </row>
    <row r="196" spans="1:4" x14ac:dyDescent="0.3">
      <c r="A196" s="4" t="s">
        <v>527</v>
      </c>
      <c r="B196" s="3" t="s">
        <v>543</v>
      </c>
      <c r="C196" s="3" t="s">
        <v>62</v>
      </c>
      <c r="D196" s="3" t="s">
        <v>573</v>
      </c>
    </row>
    <row r="197" spans="1:4" x14ac:dyDescent="0.3">
      <c r="A197" s="2" t="s">
        <v>521</v>
      </c>
      <c r="B197" s="3" t="s">
        <v>544</v>
      </c>
      <c r="C197" s="3" t="s">
        <v>70</v>
      </c>
      <c r="D197" s="3" t="s">
        <v>111</v>
      </c>
    </row>
    <row r="198" spans="1:4" x14ac:dyDescent="0.3">
      <c r="A198" t="s">
        <v>574</v>
      </c>
      <c r="B198" t="s">
        <v>575</v>
      </c>
      <c r="C198" t="s">
        <v>74</v>
      </c>
      <c r="D198" t="s">
        <v>75</v>
      </c>
    </row>
    <row r="199" spans="1:4" x14ac:dyDescent="0.3">
      <c r="A199" t="s">
        <v>576</v>
      </c>
      <c r="B199" t="s">
        <v>577</v>
      </c>
      <c r="C199" t="s">
        <v>66</v>
      </c>
      <c r="D199" t="s">
        <v>67</v>
      </c>
    </row>
    <row r="200" spans="1:4" x14ac:dyDescent="0.3">
      <c r="A200" t="s">
        <v>545</v>
      </c>
      <c r="B200" t="s">
        <v>519</v>
      </c>
      <c r="C200" t="s">
        <v>66</v>
      </c>
      <c r="D200" t="s">
        <v>15</v>
      </c>
    </row>
    <row r="201" spans="1:4" x14ac:dyDescent="0.3">
      <c r="A201" t="s">
        <v>578</v>
      </c>
      <c r="B201" s="145" t="s">
        <v>579</v>
      </c>
      <c r="C201" t="s">
        <v>62</v>
      </c>
      <c r="D201" t="s">
        <v>190</v>
      </c>
    </row>
    <row r="202" spans="1:4" x14ac:dyDescent="0.3">
      <c r="A202" t="s">
        <v>582</v>
      </c>
      <c r="B202" s="145" t="s">
        <v>583</v>
      </c>
      <c r="C202" t="s">
        <v>584</v>
      </c>
      <c r="D202" t="s">
        <v>75</v>
      </c>
    </row>
  </sheetData>
  <hyperlinks>
    <hyperlink ref="B201" r:id="rId1" xr:uid="{4639259E-7F68-4588-B695-4C7A249AEA4C}"/>
    <hyperlink ref="B192" r:id="rId2" xr:uid="{3F4510AB-8C8F-4C61-ABC4-D333C2D5C547}"/>
    <hyperlink ref="B202" r:id="rId3" xr:uid="{2C1266E7-1AFE-4AB9-AF72-479D193F72D3}"/>
    <hyperlink ref="B145" r:id="rId4" xr:uid="{1723AC38-8B7B-4CEC-A67E-4004DFB5FBC2}"/>
  </hyperlinks>
  <pageMargins left="0.7" right="0.7" top="0.75" bottom="0.75" header="0.3" footer="0.3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E65"/>
  <sheetViews>
    <sheetView workbookViewId="0">
      <selection activeCell="B30" sqref="B30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1" t="s">
        <v>5</v>
      </c>
      <c r="B1" s="40" t="s">
        <v>6</v>
      </c>
    </row>
    <row r="2" spans="1:2" x14ac:dyDescent="0.3">
      <c r="A2" s="126" t="s">
        <v>442</v>
      </c>
      <c r="B2" s="123" t="s">
        <v>0</v>
      </c>
    </row>
    <row r="3" spans="1:2" x14ac:dyDescent="0.3">
      <c r="A3" s="127" t="s">
        <v>442</v>
      </c>
      <c r="B3" s="123" t="s">
        <v>1</v>
      </c>
    </row>
    <row r="4" spans="1:2" x14ac:dyDescent="0.3">
      <c r="A4" s="127" t="s">
        <v>442</v>
      </c>
      <c r="B4" s="123" t="s">
        <v>2</v>
      </c>
    </row>
    <row r="5" spans="1:2" x14ac:dyDescent="0.3">
      <c r="A5" s="127" t="s">
        <v>442</v>
      </c>
      <c r="B5" s="123" t="s">
        <v>3</v>
      </c>
    </row>
    <row r="6" spans="1:2" ht="15" thickBot="1" x14ac:dyDescent="0.35">
      <c r="A6" s="128" t="s">
        <v>442</v>
      </c>
      <c r="B6" s="129" t="s">
        <v>4</v>
      </c>
    </row>
    <row r="7" spans="1:2" x14ac:dyDescent="0.3">
      <c r="A7" s="127" t="s">
        <v>7</v>
      </c>
      <c r="B7" s="123" t="s">
        <v>8</v>
      </c>
    </row>
    <row r="8" spans="1:2" x14ac:dyDescent="0.3">
      <c r="A8" s="127" t="s">
        <v>7</v>
      </c>
      <c r="B8" s="123" t="s">
        <v>9</v>
      </c>
    </row>
    <row r="9" spans="1:2" x14ac:dyDescent="0.3">
      <c r="A9" s="127" t="s">
        <v>7</v>
      </c>
      <c r="B9" s="123" t="s">
        <v>10</v>
      </c>
    </row>
    <row r="10" spans="1:2" ht="15" thickBot="1" x14ac:dyDescent="0.35">
      <c r="A10" s="143" t="s">
        <v>7</v>
      </c>
      <c r="B10" s="129" t="s">
        <v>11</v>
      </c>
    </row>
    <row r="11" spans="1:2" x14ac:dyDescent="0.3">
      <c r="A11" s="126" t="s">
        <v>12</v>
      </c>
      <c r="B11" s="121" t="s">
        <v>13</v>
      </c>
    </row>
    <row r="12" spans="1:2" x14ac:dyDescent="0.3">
      <c r="A12" s="127" t="s">
        <v>12</v>
      </c>
      <c r="B12" s="123" t="s">
        <v>14</v>
      </c>
    </row>
    <row r="13" spans="1:2" x14ac:dyDescent="0.3">
      <c r="A13" s="127" t="s">
        <v>12</v>
      </c>
      <c r="B13" s="123" t="s">
        <v>15</v>
      </c>
    </row>
    <row r="14" spans="1:2" x14ac:dyDescent="0.3">
      <c r="A14" s="127" t="s">
        <v>12</v>
      </c>
      <c r="B14" s="123" t="s">
        <v>16</v>
      </c>
    </row>
    <row r="15" spans="1:2" ht="15" thickBot="1" x14ac:dyDescent="0.35">
      <c r="A15" s="143" t="s">
        <v>12</v>
      </c>
      <c r="B15" s="129" t="s">
        <v>17</v>
      </c>
    </row>
    <row r="16" spans="1:2" x14ac:dyDescent="0.3">
      <c r="A16" s="126" t="s">
        <v>18</v>
      </c>
      <c r="B16" s="25" t="s">
        <v>19</v>
      </c>
    </row>
    <row r="17" spans="1:2" x14ac:dyDescent="0.3">
      <c r="A17" s="127" t="s">
        <v>18</v>
      </c>
      <c r="B17" s="12" t="s">
        <v>20</v>
      </c>
    </row>
    <row r="18" spans="1:2" x14ac:dyDescent="0.3">
      <c r="A18" s="127" t="s">
        <v>18</v>
      </c>
      <c r="B18" s="12" t="s">
        <v>21</v>
      </c>
    </row>
    <row r="19" spans="1:2" x14ac:dyDescent="0.3">
      <c r="A19" s="127" t="s">
        <v>18</v>
      </c>
      <c r="B19" s="12" t="s">
        <v>22</v>
      </c>
    </row>
    <row r="20" spans="1:2" x14ac:dyDescent="0.3">
      <c r="A20" s="127" t="s">
        <v>18</v>
      </c>
      <c r="B20" s="12" t="s">
        <v>23</v>
      </c>
    </row>
    <row r="21" spans="1:2" x14ac:dyDescent="0.3">
      <c r="A21" s="127" t="s">
        <v>18</v>
      </c>
      <c r="B21" s="12" t="s">
        <v>463</v>
      </c>
    </row>
    <row r="22" spans="1:2" x14ac:dyDescent="0.3">
      <c r="A22" s="127" t="s">
        <v>18</v>
      </c>
      <c r="B22" s="12" t="s">
        <v>464</v>
      </c>
    </row>
    <row r="23" spans="1:2" x14ac:dyDescent="0.3">
      <c r="A23" s="127" t="s">
        <v>18</v>
      </c>
      <c r="B23" s="12" t="s">
        <v>465</v>
      </c>
    </row>
    <row r="24" spans="1:2" ht="15" thickBot="1" x14ac:dyDescent="0.35">
      <c r="A24" s="127" t="s">
        <v>18</v>
      </c>
      <c r="B24" s="32" t="s">
        <v>466</v>
      </c>
    </row>
    <row r="25" spans="1:2" x14ac:dyDescent="0.3">
      <c r="A25" s="126" t="s">
        <v>24</v>
      </c>
      <c r="B25" s="121" t="s">
        <v>25</v>
      </c>
    </row>
    <row r="26" spans="1:2" x14ac:dyDescent="0.3">
      <c r="A26" s="127" t="s">
        <v>24</v>
      </c>
      <c r="B26" s="123" t="s">
        <v>26</v>
      </c>
    </row>
    <row r="27" spans="1:2" x14ac:dyDescent="0.3">
      <c r="A27" s="127" t="s">
        <v>24</v>
      </c>
      <c r="B27" s="123" t="s">
        <v>27</v>
      </c>
    </row>
    <row r="28" spans="1:2" x14ac:dyDescent="0.3">
      <c r="A28" s="127" t="s">
        <v>24</v>
      </c>
      <c r="B28" s="123" t="s">
        <v>28</v>
      </c>
    </row>
    <row r="29" spans="1:2" ht="15" thickBot="1" x14ac:dyDescent="0.35">
      <c r="A29" s="143" t="s">
        <v>24</v>
      </c>
      <c r="B29" s="123" t="s">
        <v>458</v>
      </c>
    </row>
    <row r="30" spans="1:2" x14ac:dyDescent="0.3">
      <c r="A30" s="120" t="s">
        <v>29</v>
      </c>
      <c r="B30" s="121" t="s">
        <v>30</v>
      </c>
    </row>
    <row r="31" spans="1:2" x14ac:dyDescent="0.3">
      <c r="A31" s="122" t="s">
        <v>29</v>
      </c>
      <c r="B31" s="123" t="s">
        <v>31</v>
      </c>
    </row>
    <row r="32" spans="1:2" ht="15" thickBot="1" x14ac:dyDescent="0.35">
      <c r="A32" s="122" t="s">
        <v>29</v>
      </c>
      <c r="B32" s="123" t="s">
        <v>532</v>
      </c>
    </row>
    <row r="33" spans="1:5" x14ac:dyDescent="0.3">
      <c r="A33" s="120" t="s">
        <v>32</v>
      </c>
      <c r="B33" s="121" t="s">
        <v>33</v>
      </c>
    </row>
    <row r="34" spans="1:5" x14ac:dyDescent="0.3">
      <c r="A34" s="122" t="s">
        <v>32</v>
      </c>
      <c r="B34" s="123" t="s">
        <v>34</v>
      </c>
    </row>
    <row r="35" spans="1:5" x14ac:dyDescent="0.3">
      <c r="A35" s="122" t="s">
        <v>32</v>
      </c>
      <c r="B35" s="123" t="s">
        <v>35</v>
      </c>
    </row>
    <row r="36" spans="1:5" ht="15" thickBot="1" x14ac:dyDescent="0.35">
      <c r="A36" s="144" t="s">
        <v>32</v>
      </c>
      <c r="B36" s="129" t="s">
        <v>36</v>
      </c>
    </row>
    <row r="37" spans="1:5" x14ac:dyDescent="0.3">
      <c r="A37" s="122" t="s">
        <v>37</v>
      </c>
      <c r="B37" s="121" t="s">
        <v>38</v>
      </c>
    </row>
    <row r="38" spans="1:5" x14ac:dyDescent="0.3">
      <c r="A38" s="122" t="s">
        <v>37</v>
      </c>
      <c r="B38" s="123" t="s">
        <v>39</v>
      </c>
    </row>
    <row r="39" spans="1:5" x14ac:dyDescent="0.3">
      <c r="A39" s="122" t="s">
        <v>37</v>
      </c>
      <c r="B39" s="123" t="s">
        <v>40</v>
      </c>
    </row>
    <row r="40" spans="1:5" x14ac:dyDescent="0.3">
      <c r="A40" s="122" t="s">
        <v>37</v>
      </c>
      <c r="B40" s="123" t="s">
        <v>41</v>
      </c>
    </row>
    <row r="41" spans="1:5" ht="15" thickBot="1" x14ac:dyDescent="0.35">
      <c r="A41" s="144" t="s">
        <v>37</v>
      </c>
      <c r="B41" s="129" t="s">
        <v>42</v>
      </c>
    </row>
    <row r="42" spans="1:5" x14ac:dyDescent="0.3">
      <c r="A42" s="120" t="s">
        <v>43</v>
      </c>
      <c r="B42" s="148" t="s">
        <v>47</v>
      </c>
    </row>
    <row r="43" spans="1:5" x14ac:dyDescent="0.3">
      <c r="A43" s="122" t="s">
        <v>43</v>
      </c>
      <c r="B43" s="149" t="s">
        <v>46</v>
      </c>
    </row>
    <row r="44" spans="1:5" x14ac:dyDescent="0.3">
      <c r="A44" s="122" t="s">
        <v>43</v>
      </c>
      <c r="B44" s="149" t="s">
        <v>48</v>
      </c>
    </row>
    <row r="45" spans="1:5" x14ac:dyDescent="0.3">
      <c r="A45" s="122" t="s">
        <v>43</v>
      </c>
      <c r="B45" s="149" t="s">
        <v>455</v>
      </c>
      <c r="E45" s="1"/>
    </row>
    <row r="46" spans="1:5" x14ac:dyDescent="0.3">
      <c r="A46" s="122" t="s">
        <v>43</v>
      </c>
      <c r="B46" s="149" t="s">
        <v>49</v>
      </c>
      <c r="E46" s="1"/>
    </row>
    <row r="47" spans="1:5" x14ac:dyDescent="0.3">
      <c r="A47" s="122" t="s">
        <v>43</v>
      </c>
      <c r="B47" s="149" t="s">
        <v>50</v>
      </c>
      <c r="E47" s="1"/>
    </row>
    <row r="48" spans="1:5" x14ac:dyDescent="0.3">
      <c r="A48" s="122" t="s">
        <v>43</v>
      </c>
      <c r="B48" s="149" t="s">
        <v>51</v>
      </c>
      <c r="E48" s="1"/>
    </row>
    <row r="49" spans="1:5" x14ac:dyDescent="0.3">
      <c r="A49" s="150" t="s">
        <v>43</v>
      </c>
      <c r="B49" s="151" t="s">
        <v>52</v>
      </c>
      <c r="E49" s="1"/>
    </row>
    <row r="50" spans="1:5" x14ac:dyDescent="0.3">
      <c r="A50" s="150" t="s">
        <v>43</v>
      </c>
      <c r="B50" s="151" t="s">
        <v>460</v>
      </c>
      <c r="E50" s="1"/>
    </row>
    <row r="51" spans="1:5" x14ac:dyDescent="0.3">
      <c r="A51" s="150" t="s">
        <v>43</v>
      </c>
      <c r="B51" s="151" t="s">
        <v>461</v>
      </c>
      <c r="E51" s="1"/>
    </row>
    <row r="52" spans="1:5" ht="15" thickBot="1" x14ac:dyDescent="0.35">
      <c r="A52" s="150" t="s">
        <v>43</v>
      </c>
      <c r="B52" s="152" t="s">
        <v>462</v>
      </c>
      <c r="E52" s="1"/>
    </row>
    <row r="53" spans="1:5" x14ac:dyDescent="0.3">
      <c r="A53" s="120" t="s">
        <v>44</v>
      </c>
      <c r="B53" s="148" t="s">
        <v>443</v>
      </c>
      <c r="E53" s="1"/>
    </row>
    <row r="54" spans="1:5" x14ac:dyDescent="0.3">
      <c r="A54" s="122" t="s">
        <v>44</v>
      </c>
      <c r="B54" s="149" t="s">
        <v>444</v>
      </c>
      <c r="E54" s="1"/>
    </row>
    <row r="55" spans="1:5" x14ac:dyDescent="0.3">
      <c r="A55" s="122" t="s">
        <v>44</v>
      </c>
      <c r="B55" s="149" t="s">
        <v>445</v>
      </c>
      <c r="E55" s="1"/>
    </row>
    <row r="56" spans="1:5" x14ac:dyDescent="0.3">
      <c r="A56" s="122" t="s">
        <v>44</v>
      </c>
      <c r="B56" s="149" t="s">
        <v>446</v>
      </c>
      <c r="E56" s="1"/>
    </row>
    <row r="57" spans="1:5" x14ac:dyDescent="0.3">
      <c r="A57" s="122" t="s">
        <v>44</v>
      </c>
      <c r="B57" s="149" t="s">
        <v>447</v>
      </c>
      <c r="E57" s="1"/>
    </row>
    <row r="58" spans="1:5" x14ac:dyDescent="0.3">
      <c r="A58" s="122" t="s">
        <v>44</v>
      </c>
      <c r="B58" s="149" t="s">
        <v>448</v>
      </c>
      <c r="E58" s="1"/>
    </row>
    <row r="59" spans="1:5" ht="15" thickBot="1" x14ac:dyDescent="0.35">
      <c r="A59" s="144" t="s">
        <v>44</v>
      </c>
      <c r="B59" s="153" t="s">
        <v>449</v>
      </c>
    </row>
    <row r="60" spans="1:5" x14ac:dyDescent="0.3">
      <c r="A60" s="120" t="s">
        <v>45</v>
      </c>
      <c r="B60" s="148" t="s">
        <v>450</v>
      </c>
    </row>
    <row r="61" spans="1:5" x14ac:dyDescent="0.3">
      <c r="A61" s="122" t="s">
        <v>45</v>
      </c>
      <c r="B61" s="149" t="s">
        <v>53</v>
      </c>
    </row>
    <row r="62" spans="1:5" x14ac:dyDescent="0.3">
      <c r="A62" s="122" t="s">
        <v>45</v>
      </c>
      <c r="B62" s="149" t="s">
        <v>54</v>
      </c>
    </row>
    <row r="63" spans="1:5" x14ac:dyDescent="0.3">
      <c r="A63" s="122" t="s">
        <v>45</v>
      </c>
      <c r="B63" s="149" t="s">
        <v>55</v>
      </c>
    </row>
    <row r="64" spans="1:5" ht="15" thickBot="1" x14ac:dyDescent="0.35">
      <c r="A64" s="144" t="s">
        <v>45</v>
      </c>
      <c r="B64" s="153" t="s">
        <v>56</v>
      </c>
    </row>
    <row r="65" spans="1:1" x14ac:dyDescent="0.3">
      <c r="A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F12"/>
  <sheetViews>
    <sheetView workbookViewId="0">
      <selection activeCell="A8" sqref="A8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12" t="s">
        <v>442</v>
      </c>
      <c r="B2" s="112">
        <v>128</v>
      </c>
      <c r="C2" s="113" t="s">
        <v>222</v>
      </c>
    </row>
    <row r="3" spans="1:6" x14ac:dyDescent="0.3">
      <c r="A3" s="142" t="s">
        <v>7</v>
      </c>
      <c r="B3" s="112">
        <v>105</v>
      </c>
      <c r="C3" s="142" t="s">
        <v>124</v>
      </c>
    </row>
    <row r="4" spans="1:6" x14ac:dyDescent="0.3">
      <c r="A4" s="112" t="s">
        <v>12</v>
      </c>
      <c r="B4" s="112">
        <v>93</v>
      </c>
      <c r="C4" s="115" t="s">
        <v>15</v>
      </c>
    </row>
    <row r="5" spans="1:6" x14ac:dyDescent="0.3">
      <c r="A5" s="112" t="s">
        <v>18</v>
      </c>
      <c r="B5" s="112">
        <v>70</v>
      </c>
      <c r="C5" s="115" t="s">
        <v>18</v>
      </c>
      <c r="F5" s="12" t="s">
        <v>457</v>
      </c>
    </row>
    <row r="6" spans="1:6" x14ac:dyDescent="0.3">
      <c r="A6" s="112" t="s">
        <v>24</v>
      </c>
      <c r="B6" s="112">
        <v>66</v>
      </c>
      <c r="C6" s="113" t="s">
        <v>67</v>
      </c>
    </row>
    <row r="7" spans="1:6" x14ac:dyDescent="0.3">
      <c r="A7" s="114" t="s">
        <v>29</v>
      </c>
      <c r="B7" s="112">
        <v>78</v>
      </c>
      <c r="C7" s="115" t="s">
        <v>208</v>
      </c>
    </row>
    <row r="8" spans="1:6" x14ac:dyDescent="0.3">
      <c r="A8" s="114" t="s">
        <v>32</v>
      </c>
      <c r="B8" s="112">
        <v>105</v>
      </c>
      <c r="C8" s="115" t="s">
        <v>93</v>
      </c>
    </row>
    <row r="9" spans="1:6" x14ac:dyDescent="0.3">
      <c r="A9" s="115" t="s">
        <v>37</v>
      </c>
      <c r="B9" s="112">
        <v>56</v>
      </c>
      <c r="C9" s="115" t="s">
        <v>37</v>
      </c>
    </row>
    <row r="10" spans="1:6" x14ac:dyDescent="0.3">
      <c r="A10" s="115" t="s">
        <v>43</v>
      </c>
      <c r="B10" s="112">
        <v>73</v>
      </c>
      <c r="C10" s="115" t="s">
        <v>43</v>
      </c>
    </row>
    <row r="11" spans="1:6" x14ac:dyDescent="0.3">
      <c r="A11" s="115" t="s">
        <v>44</v>
      </c>
      <c r="B11" s="112">
        <v>77</v>
      </c>
      <c r="C11" s="115" t="s">
        <v>44</v>
      </c>
    </row>
    <row r="12" spans="1:6" x14ac:dyDescent="0.3">
      <c r="A12" s="147" t="s">
        <v>45</v>
      </c>
      <c r="B12" s="112">
        <v>97</v>
      </c>
      <c r="C12" s="115" t="s">
        <v>370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zoomScale="85" zoomScaleNormal="85" workbookViewId="0">
      <selection activeCell="B15" sqref="A15:B15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80"/>
      <c r="L1" s="180"/>
      <c r="M1" s="180"/>
      <c r="N1" s="180"/>
      <c r="O1" s="180"/>
      <c r="P1" s="180"/>
      <c r="Q1" s="43"/>
    </row>
    <row r="2" spans="1:17" x14ac:dyDescent="0.3">
      <c r="A2" t="s">
        <v>442</v>
      </c>
      <c r="B2" s="33">
        <v>4.08</v>
      </c>
      <c r="C2" s="16">
        <v>4.2089999999999996</v>
      </c>
      <c r="D2" s="16">
        <v>4.1479269326947801</v>
      </c>
      <c r="E2" s="17">
        <v>4.459961334961335</v>
      </c>
      <c r="F2" s="107" t="s">
        <v>505</v>
      </c>
      <c r="K2" s="180"/>
      <c r="L2" s="180"/>
      <c r="M2" s="180"/>
      <c r="N2" s="180"/>
      <c r="O2" s="180"/>
      <c r="P2" s="180"/>
    </row>
    <row r="3" spans="1:17" x14ac:dyDescent="0.3">
      <c r="A3" s="7" t="s">
        <v>7</v>
      </c>
      <c r="B3" s="35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505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 t="s">
        <v>505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 t="s">
        <v>505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505</v>
      </c>
      <c r="K6" t="s">
        <v>506</v>
      </c>
      <c r="M6" s="179" t="s">
        <v>509</v>
      </c>
      <c r="N6" s="179"/>
      <c r="O6" s="179"/>
      <c r="P6" s="179"/>
    </row>
    <row r="7" spans="1:17" x14ac:dyDescent="0.3">
      <c r="A7" s="42" t="s">
        <v>29</v>
      </c>
      <c r="B7" s="13"/>
      <c r="C7" s="9"/>
      <c r="D7" s="16">
        <v>4.1672365050659206</v>
      </c>
      <c r="E7" s="17">
        <v>4.2439999999999998</v>
      </c>
      <c r="F7" s="6" t="s">
        <v>505</v>
      </c>
      <c r="K7" s="110">
        <f>COUNT(B2:J2)+2</f>
        <v>6</v>
      </c>
      <c r="L7" s="108" t="s">
        <v>507</v>
      </c>
      <c r="M7" t="s">
        <v>508</v>
      </c>
    </row>
    <row r="8" spans="1:17" x14ac:dyDescent="0.3">
      <c r="A8" s="42" t="s">
        <v>32</v>
      </c>
      <c r="B8" s="13"/>
      <c r="C8" s="14"/>
      <c r="D8" s="16">
        <v>4.2511088144452396</v>
      </c>
      <c r="E8" s="17">
        <v>4.407</v>
      </c>
      <c r="F8" s="6" t="s">
        <v>505</v>
      </c>
      <c r="M8" t="s">
        <v>515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>
        <v>4.3360000000000003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 t="s">
        <v>505</v>
      </c>
    </row>
    <row r="11" spans="1:17" x14ac:dyDescent="0.3">
      <c r="A11" s="8" t="s">
        <v>44</v>
      </c>
      <c r="B11" s="15">
        <v>3.31</v>
      </c>
      <c r="C11" s="36">
        <v>2.956</v>
      </c>
      <c r="D11" s="37">
        <v>3.4390229852995589</v>
      </c>
      <c r="E11" s="17">
        <v>3.5390000000000001</v>
      </c>
      <c r="F11" s="6" t="s">
        <v>505</v>
      </c>
    </row>
    <row r="12" spans="1:17" x14ac:dyDescent="0.3">
      <c r="A12" s="42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505</v>
      </c>
      <c r="M12" s="43" t="s">
        <v>510</v>
      </c>
    </row>
    <row r="13" spans="1:17" x14ac:dyDescent="0.3">
      <c r="M13" s="43" t="s">
        <v>511</v>
      </c>
    </row>
    <row r="14" spans="1:17" x14ac:dyDescent="0.3">
      <c r="M14" s="43" t="s">
        <v>512</v>
      </c>
    </row>
    <row r="16" spans="1:17" x14ac:dyDescent="0.3">
      <c r="K16" s="109" t="s">
        <v>505</v>
      </c>
      <c r="L16" s="108" t="s">
        <v>514</v>
      </c>
      <c r="M16" t="s">
        <v>513</v>
      </c>
    </row>
    <row r="18" spans="1:16" x14ac:dyDescent="0.3">
      <c r="B18" s="178" t="s">
        <v>456</v>
      </c>
    </row>
    <row r="19" spans="1:16" x14ac:dyDescent="0.3">
      <c r="B19" s="178"/>
    </row>
    <row r="26" spans="1:16" x14ac:dyDescent="0.3">
      <c r="K26" t="s">
        <v>506</v>
      </c>
      <c r="M26" s="179" t="s">
        <v>509</v>
      </c>
      <c r="N26" s="179"/>
      <c r="O26" s="179"/>
      <c r="P26" s="179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10">
        <f>COUNT(C28:J28)+2</f>
        <v>4</v>
      </c>
      <c r="L27" s="108" t="s">
        <v>507</v>
      </c>
      <c r="M27" t="s">
        <v>508</v>
      </c>
    </row>
    <row r="28" spans="1:16" x14ac:dyDescent="0.3">
      <c r="A28" s="12" t="s">
        <v>12</v>
      </c>
      <c r="B28" s="12" t="s">
        <v>13</v>
      </c>
      <c r="C28" s="12"/>
      <c r="D28" s="27">
        <v>4.1764705882352944</v>
      </c>
      <c r="E28" s="25">
        <v>4.2169999999999996</v>
      </c>
      <c r="F28" s="19" t="s">
        <v>505</v>
      </c>
      <c r="M28" t="s">
        <v>515</v>
      </c>
    </row>
    <row r="29" spans="1:16" x14ac:dyDescent="0.3">
      <c r="A29" s="12" t="s">
        <v>12</v>
      </c>
      <c r="B29" s="12" t="s">
        <v>14</v>
      </c>
      <c r="C29" s="31">
        <v>4.0340909090909092</v>
      </c>
      <c r="D29" s="27">
        <v>4.1862170087976542</v>
      </c>
      <c r="E29" s="12">
        <v>4.2370000000000001</v>
      </c>
      <c r="F29" t="s">
        <v>505</v>
      </c>
    </row>
    <row r="30" spans="1:16" x14ac:dyDescent="0.3">
      <c r="A30" s="12" t="s">
        <v>12</v>
      </c>
      <c r="B30" s="12" t="s">
        <v>15</v>
      </c>
      <c r="C30" s="31">
        <v>4.2320945945945949</v>
      </c>
      <c r="D30" s="27">
        <v>4.3283208020050132</v>
      </c>
      <c r="E30" s="27">
        <v>4.32</v>
      </c>
      <c r="F30" t="s">
        <v>505</v>
      </c>
    </row>
    <row r="31" spans="1:16" x14ac:dyDescent="0.3">
      <c r="A31" s="12" t="s">
        <v>12</v>
      </c>
      <c r="B31" s="12" t="s">
        <v>16</v>
      </c>
      <c r="C31" s="31">
        <v>3.8463438735177862</v>
      </c>
      <c r="D31" s="27">
        <v>4.0620192307692307</v>
      </c>
      <c r="E31" s="12">
        <v>4.0940000000000003</v>
      </c>
      <c r="F31" t="s">
        <v>505</v>
      </c>
    </row>
    <row r="32" spans="1:16" ht="15" thickBot="1" x14ac:dyDescent="0.35">
      <c r="A32" s="32" t="s">
        <v>12</v>
      </c>
      <c r="B32" s="32" t="s">
        <v>17</v>
      </c>
      <c r="C32" s="34">
        <v>3.9649122807017543</v>
      </c>
      <c r="D32" s="29">
        <v>4.0443037974683538</v>
      </c>
      <c r="E32" s="32">
        <v>4.0949999999999998</v>
      </c>
      <c r="F32" s="18" t="s">
        <v>505</v>
      </c>
    </row>
    <row r="33" spans="1:6" x14ac:dyDescent="0.3">
      <c r="A33" s="25" t="s">
        <v>18</v>
      </c>
      <c r="B33" s="25" t="s">
        <v>19</v>
      </c>
      <c r="C33" s="30">
        <v>4.140625</v>
      </c>
      <c r="D33" s="24">
        <v>4.2910256410256409</v>
      </c>
      <c r="E33" s="25">
        <v>4.2220000000000004</v>
      </c>
      <c r="F33" s="19" t="s">
        <v>505</v>
      </c>
    </row>
    <row r="34" spans="1:6" x14ac:dyDescent="0.3">
      <c r="A34" s="12" t="s">
        <v>18</v>
      </c>
      <c r="B34" s="12" t="s">
        <v>20</v>
      </c>
      <c r="C34" s="31">
        <v>3.959090909090909</v>
      </c>
      <c r="D34" s="27">
        <v>4.0384068278805119</v>
      </c>
      <c r="E34" s="12">
        <v>3.9769999999999999</v>
      </c>
      <c r="F34" t="s">
        <v>505</v>
      </c>
    </row>
    <row r="35" spans="1:6" x14ac:dyDescent="0.3">
      <c r="A35" s="12" t="s">
        <v>18</v>
      </c>
      <c r="B35" s="12" t="s">
        <v>21</v>
      </c>
      <c r="C35" s="31">
        <v>4.0330086580086579</v>
      </c>
      <c r="D35" s="27">
        <v>4.125</v>
      </c>
      <c r="E35" s="27">
        <v>4.1500000000000004</v>
      </c>
      <c r="F35" t="s">
        <v>505</v>
      </c>
    </row>
    <row r="36" spans="1:6" x14ac:dyDescent="0.3">
      <c r="A36" s="12" t="s">
        <v>18</v>
      </c>
      <c r="B36" s="12" t="s">
        <v>22</v>
      </c>
      <c r="C36" s="108"/>
      <c r="D36" s="108"/>
      <c r="E36" s="12">
        <v>4.133</v>
      </c>
      <c r="F36" t="s">
        <v>505</v>
      </c>
    </row>
    <row r="37" spans="1:6" x14ac:dyDescent="0.3">
      <c r="A37" s="12" t="s">
        <v>18</v>
      </c>
      <c r="B37" s="12" t="s">
        <v>23</v>
      </c>
      <c r="C37" s="108"/>
      <c r="E37" s="12">
        <v>3.8969999999999998</v>
      </c>
      <c r="F37" t="s">
        <v>505</v>
      </c>
    </row>
    <row r="38" spans="1:6" x14ac:dyDescent="0.3">
      <c r="A38" s="12" t="s">
        <v>18</v>
      </c>
      <c r="B38" s="12" t="s">
        <v>463</v>
      </c>
      <c r="C38" s="108"/>
      <c r="D38" s="108"/>
      <c r="E38" s="12">
        <v>4.1609999999999996</v>
      </c>
      <c r="F38" t="s">
        <v>505</v>
      </c>
    </row>
    <row r="39" spans="1:6" x14ac:dyDescent="0.3">
      <c r="A39" s="12" t="s">
        <v>18</v>
      </c>
      <c r="B39" s="12" t="s">
        <v>464</v>
      </c>
      <c r="C39" s="108"/>
      <c r="D39" s="108"/>
      <c r="E39" s="108"/>
      <c r="F39" t="s">
        <v>505</v>
      </c>
    </row>
    <row r="40" spans="1:6" x14ac:dyDescent="0.3">
      <c r="A40" s="12" t="s">
        <v>18</v>
      </c>
      <c r="B40" s="12" t="s">
        <v>465</v>
      </c>
      <c r="C40" s="108"/>
      <c r="D40" s="108"/>
      <c r="E40" s="108"/>
      <c r="F40" t="s">
        <v>505</v>
      </c>
    </row>
    <row r="41" spans="1:6" ht="15" thickBot="1" x14ac:dyDescent="0.35">
      <c r="A41" s="32" t="s">
        <v>18</v>
      </c>
      <c r="B41" s="32" t="s">
        <v>466</v>
      </c>
      <c r="C41" s="111"/>
      <c r="D41" s="111"/>
      <c r="E41" s="111"/>
      <c r="F41" s="18" t="s">
        <v>505</v>
      </c>
    </row>
    <row r="42" spans="1:6" x14ac:dyDescent="0.3">
      <c r="A42" s="12" t="s">
        <v>442</v>
      </c>
      <c r="B42" s="12" t="s">
        <v>0</v>
      </c>
      <c r="C42" s="31">
        <v>4.2670668953687825</v>
      </c>
      <c r="D42" s="27">
        <v>4.1010101010101003</v>
      </c>
      <c r="E42" s="25">
        <v>4.4809999999999999</v>
      </c>
      <c r="F42" s="19" t="s">
        <v>505</v>
      </c>
    </row>
    <row r="43" spans="1:6" x14ac:dyDescent="0.3">
      <c r="A43" s="12" t="s">
        <v>442</v>
      </c>
      <c r="B43" s="12" t="s">
        <v>1</v>
      </c>
      <c r="C43" s="31">
        <v>3.9935141509433962</v>
      </c>
      <c r="D43" s="27">
        <v>4.2103174603174605</v>
      </c>
      <c r="E43" s="12">
        <v>4.4820000000000002</v>
      </c>
      <c r="F43" t="s">
        <v>505</v>
      </c>
    </row>
    <row r="44" spans="1:6" x14ac:dyDescent="0.3">
      <c r="A44" s="12" t="s">
        <v>442</v>
      </c>
      <c r="B44" s="12" t="s">
        <v>2</v>
      </c>
      <c r="C44" s="31">
        <v>3.9239926739926738</v>
      </c>
      <c r="D44" s="27">
        <v>4.1768632753084329</v>
      </c>
      <c r="E44" s="12">
        <v>4.4720000000000004</v>
      </c>
      <c r="F44" t="s">
        <v>505</v>
      </c>
    </row>
    <row r="45" spans="1:6" x14ac:dyDescent="0.3">
      <c r="A45" s="12" t="s">
        <v>442</v>
      </c>
      <c r="B45" s="12" t="s">
        <v>3</v>
      </c>
      <c r="C45" s="31">
        <v>3.7519181585677748</v>
      </c>
      <c r="D45" s="27">
        <v>4.0061094819159333</v>
      </c>
      <c r="E45" s="12">
        <v>4.327</v>
      </c>
      <c r="F45" t="s">
        <v>505</v>
      </c>
    </row>
    <row r="46" spans="1:6" ht="15" thickBot="1" x14ac:dyDescent="0.35">
      <c r="A46" s="32" t="s">
        <v>442</v>
      </c>
      <c r="B46" s="32" t="s">
        <v>4</v>
      </c>
      <c r="C46" s="34">
        <v>3.7218693284936482</v>
      </c>
      <c r="D46" s="29">
        <v>4.246031746031746</v>
      </c>
      <c r="E46" s="32">
        <v>4.5369999999999999</v>
      </c>
      <c r="F46" s="18" t="s">
        <v>505</v>
      </c>
    </row>
    <row r="47" spans="1:6" x14ac:dyDescent="0.3">
      <c r="A47" s="25" t="s">
        <v>24</v>
      </c>
      <c r="B47" s="25" t="s">
        <v>25</v>
      </c>
      <c r="C47" s="30">
        <v>3.7090077410274453</v>
      </c>
      <c r="D47" s="24">
        <v>3.5793749999999998</v>
      </c>
      <c r="E47" s="24">
        <v>4.3849999999999998</v>
      </c>
      <c r="F47" s="19" t="s">
        <v>505</v>
      </c>
    </row>
    <row r="48" spans="1:6" x14ac:dyDescent="0.3">
      <c r="A48" s="12" t="s">
        <v>24</v>
      </c>
      <c r="B48" s="12" t="s">
        <v>26</v>
      </c>
      <c r="C48" s="31">
        <v>3.8807977736549164</v>
      </c>
      <c r="D48" s="27">
        <v>3.8450226244343888</v>
      </c>
      <c r="E48" s="27">
        <v>4.2720000000000002</v>
      </c>
      <c r="F48" t="s">
        <v>505</v>
      </c>
    </row>
    <row r="49" spans="1:6" x14ac:dyDescent="0.3">
      <c r="A49" s="12" t="s">
        <v>24</v>
      </c>
      <c r="B49" s="12" t="s">
        <v>27</v>
      </c>
      <c r="C49" s="108"/>
      <c r="D49" s="27">
        <v>3.8673076923076923</v>
      </c>
      <c r="E49" s="27">
        <v>4.1879999999999997</v>
      </c>
      <c r="F49" t="s">
        <v>505</v>
      </c>
    </row>
    <row r="50" spans="1:6" x14ac:dyDescent="0.3">
      <c r="A50" s="12" t="s">
        <v>24</v>
      </c>
      <c r="B50" s="12" t="s">
        <v>28</v>
      </c>
      <c r="C50" s="108"/>
      <c r="D50" s="27">
        <v>3.875</v>
      </c>
      <c r="E50" s="27">
        <v>4.1589999999999998</v>
      </c>
      <c r="F50" t="s">
        <v>505</v>
      </c>
    </row>
    <row r="51" spans="1:6" ht="15" thickBot="1" x14ac:dyDescent="0.35">
      <c r="A51" s="32" t="s">
        <v>24</v>
      </c>
      <c r="B51" s="32" t="s">
        <v>458</v>
      </c>
      <c r="C51" s="111"/>
      <c r="D51" s="29"/>
      <c r="E51" s="29"/>
      <c r="F51" s="18"/>
    </row>
    <row r="52" spans="1:6" x14ac:dyDescent="0.3">
      <c r="A52" s="124" t="s">
        <v>29</v>
      </c>
      <c r="B52" s="12" t="s">
        <v>30</v>
      </c>
      <c r="C52" s="12"/>
      <c r="D52" s="27">
        <v>4.2166666666666668</v>
      </c>
      <c r="E52" s="27">
        <v>4.4042553191489358</v>
      </c>
      <c r="F52" t="s">
        <v>505</v>
      </c>
    </row>
    <row r="53" spans="1:6" x14ac:dyDescent="0.3">
      <c r="A53" s="124" t="s">
        <v>29</v>
      </c>
      <c r="B53" s="12" t="s">
        <v>31</v>
      </c>
      <c r="C53" s="12"/>
      <c r="D53" s="27">
        <v>4.2857142857142856</v>
      </c>
      <c r="E53" s="27">
        <v>4.3493975903614457</v>
      </c>
      <c r="F53" t="s">
        <v>505</v>
      </c>
    </row>
    <row r="54" spans="1:6" ht="15" thickBot="1" x14ac:dyDescent="0.35">
      <c r="A54" s="125" t="s">
        <v>29</v>
      </c>
      <c r="B54" s="32" t="s">
        <v>532</v>
      </c>
      <c r="C54" s="32"/>
      <c r="D54" s="29"/>
      <c r="E54" s="32"/>
      <c r="F54" s="18" t="s">
        <v>505</v>
      </c>
    </row>
    <row r="55" spans="1:6" x14ac:dyDescent="0.3">
      <c r="A55" s="139" t="s">
        <v>32</v>
      </c>
      <c r="B55" s="12" t="s">
        <v>33</v>
      </c>
      <c r="D55" s="27">
        <v>4.2350000000000003</v>
      </c>
      <c r="E55" s="12">
        <v>4.625</v>
      </c>
      <c r="F55" t="s">
        <v>505</v>
      </c>
    </row>
    <row r="56" spans="1:6" x14ac:dyDescent="0.3">
      <c r="A56" s="124" t="s">
        <v>32</v>
      </c>
      <c r="B56" s="12" t="s">
        <v>34</v>
      </c>
      <c r="D56" s="27">
        <v>4.2069999999999999</v>
      </c>
      <c r="E56" s="12">
        <v>4.4619999999999997</v>
      </c>
      <c r="F56" t="s">
        <v>505</v>
      </c>
    </row>
    <row r="57" spans="1:6" x14ac:dyDescent="0.3">
      <c r="A57" s="124" t="s">
        <v>32</v>
      </c>
      <c r="B57" s="12" t="s">
        <v>35</v>
      </c>
      <c r="D57" s="27">
        <v>4.173</v>
      </c>
      <c r="E57" s="12">
        <v>4.556</v>
      </c>
      <c r="F57" t="s">
        <v>505</v>
      </c>
    </row>
    <row r="58" spans="1:6" ht="15" thickBot="1" x14ac:dyDescent="0.35">
      <c r="A58" s="125" t="s">
        <v>32</v>
      </c>
      <c r="B58" s="32" t="s">
        <v>36</v>
      </c>
      <c r="D58" s="29">
        <v>4.3879999999999999</v>
      </c>
      <c r="E58" s="32">
        <v>4.5410000000000004</v>
      </c>
      <c r="F58" s="18" t="s">
        <v>505</v>
      </c>
    </row>
    <row r="59" spans="1:6" x14ac:dyDescent="0.3">
      <c r="A59" s="139" t="s">
        <v>37</v>
      </c>
      <c r="B59" s="25" t="s">
        <v>38</v>
      </c>
      <c r="C59" s="30">
        <v>3.9591836734693877</v>
      </c>
      <c r="D59" s="24">
        <v>4.3045609548167096</v>
      </c>
      <c r="E59" s="27">
        <v>4.218</v>
      </c>
      <c r="F59">
        <v>4.3419999999999996</v>
      </c>
    </row>
    <row r="60" spans="1:6" x14ac:dyDescent="0.3">
      <c r="A60" s="124" t="s">
        <v>37</v>
      </c>
      <c r="B60" s="12" t="s">
        <v>39</v>
      </c>
      <c r="C60" s="31">
        <v>4.0238095238095202</v>
      </c>
      <c r="D60" s="27">
        <v>4.2397558849171748</v>
      </c>
      <c r="E60" s="27">
        <v>4.3570000000000002</v>
      </c>
      <c r="F60">
        <v>4.4000000000000004</v>
      </c>
    </row>
    <row r="61" spans="1:6" x14ac:dyDescent="0.3">
      <c r="A61" s="124" t="s">
        <v>37</v>
      </c>
      <c r="B61" s="12" t="s">
        <v>40</v>
      </c>
      <c r="C61" s="31">
        <v>3.9565217391304346</v>
      </c>
      <c r="D61" s="27">
        <v>4.2905263157894744</v>
      </c>
      <c r="E61" s="27">
        <v>4.2910000000000004</v>
      </c>
      <c r="F61">
        <v>4.1790000000000003</v>
      </c>
    </row>
    <row r="62" spans="1:6" x14ac:dyDescent="0.3">
      <c r="A62" s="124" t="s">
        <v>37</v>
      </c>
      <c r="B62" s="12" t="s">
        <v>41</v>
      </c>
      <c r="C62" s="31">
        <v>4.0548885077186965</v>
      </c>
      <c r="D62" s="27">
        <v>4.3040816326530607</v>
      </c>
      <c r="E62" s="27">
        <v>4.218</v>
      </c>
      <c r="F62">
        <v>4.3849999999999998</v>
      </c>
    </row>
    <row r="63" spans="1:6" ht="15" thickBot="1" x14ac:dyDescent="0.35">
      <c r="A63" s="125" t="s">
        <v>37</v>
      </c>
      <c r="B63" s="32" t="s">
        <v>42</v>
      </c>
      <c r="C63" s="34">
        <v>4.0400962309542905</v>
      </c>
      <c r="D63" s="29">
        <v>4.3516057585825028</v>
      </c>
      <c r="E63" s="32">
        <v>4.1829999999999998</v>
      </c>
      <c r="F63" s="18">
        <v>4.375</v>
      </c>
    </row>
    <row r="64" spans="1:6" x14ac:dyDescent="0.3">
      <c r="A64" s="25" t="s">
        <v>7</v>
      </c>
      <c r="B64" s="25" t="s">
        <v>8</v>
      </c>
      <c r="C64" s="30">
        <v>3.888157894736842</v>
      </c>
      <c r="D64" s="27">
        <v>4.0772154906153482</v>
      </c>
      <c r="E64" s="12">
        <v>4.2249999999999996</v>
      </c>
      <c r="F64" t="s">
        <v>505</v>
      </c>
    </row>
    <row r="65" spans="1:6" x14ac:dyDescent="0.3">
      <c r="A65" s="12" t="s">
        <v>7</v>
      </c>
      <c r="B65" s="12" t="s">
        <v>9</v>
      </c>
      <c r="C65" s="31">
        <v>4.0453003875968996</v>
      </c>
      <c r="D65" s="27">
        <v>4.1752631578947366</v>
      </c>
      <c r="E65" s="28">
        <v>4.0380000000000003</v>
      </c>
      <c r="F65" t="s">
        <v>505</v>
      </c>
    </row>
    <row r="66" spans="1:6" x14ac:dyDescent="0.3">
      <c r="A66" s="12" t="s">
        <v>7</v>
      </c>
      <c r="B66" s="12" t="s">
        <v>10</v>
      </c>
      <c r="C66" s="31">
        <v>4.1660628019323669</v>
      </c>
      <c r="D66" s="27">
        <v>4.0894298996819183</v>
      </c>
      <c r="E66" s="12">
        <v>4.0380000000000003</v>
      </c>
      <c r="F66" t="s">
        <v>505</v>
      </c>
    </row>
    <row r="67" spans="1:6" ht="15" thickBot="1" x14ac:dyDescent="0.35">
      <c r="A67" s="32" t="s">
        <v>7</v>
      </c>
      <c r="B67" s="32" t="s">
        <v>11</v>
      </c>
      <c r="C67" s="34">
        <v>3.9073836961160904</v>
      </c>
      <c r="D67" s="29">
        <v>3.9592039800995025</v>
      </c>
      <c r="E67" s="32">
        <v>4.1959999999999997</v>
      </c>
      <c r="F67" s="18" t="s">
        <v>505</v>
      </c>
    </row>
    <row r="68" spans="1:6" x14ac:dyDescent="0.3">
      <c r="A68" s="139" t="s">
        <v>43</v>
      </c>
      <c r="B68" s="139" t="s">
        <v>47</v>
      </c>
      <c r="C68" s="23">
        <v>3.9333333333333336</v>
      </c>
      <c r="D68" s="24">
        <v>4.070832279281559</v>
      </c>
      <c r="E68" s="27">
        <v>4.2</v>
      </c>
      <c r="F68" t="s">
        <v>505</v>
      </c>
    </row>
    <row r="69" spans="1:6" x14ac:dyDescent="0.3">
      <c r="A69" s="124" t="s">
        <v>43</v>
      </c>
      <c r="B69" s="124" t="s">
        <v>46</v>
      </c>
      <c r="C69" s="26">
        <v>4.1205837173579107</v>
      </c>
      <c r="D69" s="27">
        <v>4.0563909774436091</v>
      </c>
      <c r="E69" s="12">
        <v>4.1189999999999998</v>
      </c>
      <c r="F69" t="s">
        <v>505</v>
      </c>
    </row>
    <row r="70" spans="1:6" x14ac:dyDescent="0.3">
      <c r="A70" s="124" t="s">
        <v>43</v>
      </c>
      <c r="B70" s="124" t="s">
        <v>48</v>
      </c>
      <c r="C70" s="26">
        <v>3.7540983606557377</v>
      </c>
      <c r="D70" s="27">
        <v>3.9581736909323118</v>
      </c>
      <c r="E70" s="27">
        <v>4.2</v>
      </c>
      <c r="F70" t="s">
        <v>505</v>
      </c>
    </row>
    <row r="71" spans="1:6" x14ac:dyDescent="0.3">
      <c r="A71" s="124" t="s">
        <v>43</v>
      </c>
      <c r="B71" s="124" t="s">
        <v>455</v>
      </c>
      <c r="C71" s="26">
        <v>3.9379310344827587</v>
      </c>
      <c r="D71" s="27">
        <v>3.9106263194933146</v>
      </c>
      <c r="E71" s="108"/>
      <c r="F71" t="s">
        <v>505</v>
      </c>
    </row>
    <row r="72" spans="1:6" x14ac:dyDescent="0.3">
      <c r="A72" s="124" t="s">
        <v>43</v>
      </c>
      <c r="B72" s="124" t="s">
        <v>49</v>
      </c>
      <c r="C72" s="26">
        <v>4.0824999999999996</v>
      </c>
      <c r="D72" s="27">
        <v>4.0674269707883157</v>
      </c>
      <c r="E72" s="108"/>
      <c r="F72" t="s">
        <v>505</v>
      </c>
    </row>
    <row r="73" spans="1:6" x14ac:dyDescent="0.3">
      <c r="A73" s="124" t="s">
        <v>43</v>
      </c>
      <c r="B73" s="124" t="s">
        <v>50</v>
      </c>
      <c r="C73" s="26">
        <v>4.0769230769230766</v>
      </c>
      <c r="D73" s="27">
        <v>4.1345029239766085</v>
      </c>
      <c r="E73" s="108"/>
      <c r="F73" t="s">
        <v>505</v>
      </c>
    </row>
    <row r="74" spans="1:6" x14ac:dyDescent="0.3">
      <c r="A74" s="124" t="s">
        <v>43</v>
      </c>
      <c r="B74" s="124" t="s">
        <v>51</v>
      </c>
      <c r="C74" s="26">
        <v>3.9017996870109548</v>
      </c>
      <c r="D74" s="27">
        <v>4.045528017241379</v>
      </c>
      <c r="E74" s="12">
        <v>3.4470000000000001</v>
      </c>
      <c r="F74" t="s">
        <v>505</v>
      </c>
    </row>
    <row r="75" spans="1:6" x14ac:dyDescent="0.3">
      <c r="A75" s="124" t="s">
        <v>43</v>
      </c>
      <c r="B75" s="124" t="s">
        <v>52</v>
      </c>
      <c r="C75" s="26">
        <v>3.83</v>
      </c>
      <c r="D75" s="27">
        <v>4.0379677182685256</v>
      </c>
      <c r="E75" s="12">
        <v>3.9220000000000002</v>
      </c>
      <c r="F75" t="s">
        <v>505</v>
      </c>
    </row>
    <row r="76" spans="1:6" x14ac:dyDescent="0.3">
      <c r="A76" s="124" t="s">
        <v>43</v>
      </c>
      <c r="B76" s="124" t="s">
        <v>460</v>
      </c>
      <c r="C76" s="108"/>
      <c r="D76" s="108"/>
      <c r="E76" s="12">
        <v>3.3140000000000001</v>
      </c>
      <c r="F76" t="s">
        <v>505</v>
      </c>
    </row>
    <row r="77" spans="1:6" x14ac:dyDescent="0.3">
      <c r="A77" s="124" t="s">
        <v>43</v>
      </c>
      <c r="B77" s="124" t="s">
        <v>461</v>
      </c>
      <c r="C77" s="108"/>
      <c r="D77" s="108"/>
      <c r="E77" s="12">
        <v>3.3140000000000001</v>
      </c>
      <c r="F77" t="s">
        <v>505</v>
      </c>
    </row>
    <row r="78" spans="1:6" ht="15" thickBot="1" x14ac:dyDescent="0.35">
      <c r="A78" s="124" t="s">
        <v>43</v>
      </c>
      <c r="B78" s="124" t="s">
        <v>462</v>
      </c>
      <c r="C78" s="108"/>
      <c r="D78" s="108"/>
      <c r="E78" s="32">
        <v>3.706</v>
      </c>
      <c r="F78" s="18" t="s">
        <v>505</v>
      </c>
    </row>
    <row r="79" spans="1:6" x14ac:dyDescent="0.3">
      <c r="A79" s="139" t="s">
        <v>44</v>
      </c>
      <c r="B79" s="139" t="s">
        <v>443</v>
      </c>
      <c r="C79" s="38">
        <v>2.8540000000000001</v>
      </c>
      <c r="D79" s="24">
        <v>3.407</v>
      </c>
      <c r="E79" s="12">
        <v>3.6459999999999999</v>
      </c>
      <c r="F79" t="s">
        <v>505</v>
      </c>
    </row>
    <row r="80" spans="1:6" x14ac:dyDescent="0.3">
      <c r="A80" s="124" t="s">
        <v>44</v>
      </c>
      <c r="B80" s="124" t="s">
        <v>444</v>
      </c>
      <c r="C80" s="108"/>
      <c r="D80" s="27">
        <v>3.7454507857733663</v>
      </c>
      <c r="E80" s="12">
        <v>3.4289999999999998</v>
      </c>
      <c r="F80" t="s">
        <v>505</v>
      </c>
    </row>
    <row r="81" spans="1:6" x14ac:dyDescent="0.3">
      <c r="A81" s="124" t="s">
        <v>44</v>
      </c>
      <c r="B81" s="124" t="s">
        <v>445</v>
      </c>
      <c r="C81" s="108"/>
      <c r="D81" s="108"/>
      <c r="E81" s="12">
        <v>4.157</v>
      </c>
      <c r="F81" t="s">
        <v>505</v>
      </c>
    </row>
    <row r="82" spans="1:6" x14ac:dyDescent="0.3">
      <c r="A82" s="124" t="s">
        <v>44</v>
      </c>
      <c r="B82" s="124" t="s">
        <v>446</v>
      </c>
      <c r="C82" s="39">
        <v>2.9533542976939202</v>
      </c>
      <c r="D82" s="27">
        <v>3.3125</v>
      </c>
      <c r="E82" s="12">
        <v>3.9860000000000002</v>
      </c>
      <c r="F82" t="s">
        <v>505</v>
      </c>
    </row>
    <row r="83" spans="1:6" x14ac:dyDescent="0.3">
      <c r="A83" s="124" t="s">
        <v>44</v>
      </c>
      <c r="B83" s="124" t="s">
        <v>447</v>
      </c>
      <c r="C83" s="108"/>
      <c r="D83" s="27">
        <v>3.4391771019677995</v>
      </c>
      <c r="E83" s="12">
        <v>4.3970000000000002</v>
      </c>
      <c r="F83" t="s">
        <v>505</v>
      </c>
    </row>
    <row r="84" spans="1:6" x14ac:dyDescent="0.3">
      <c r="A84" s="124" t="s">
        <v>44</v>
      </c>
      <c r="B84" s="124" t="s">
        <v>448</v>
      </c>
      <c r="C84" s="39">
        <v>3.108228511530398</v>
      </c>
      <c r="D84" s="27">
        <v>3.4620151939224311</v>
      </c>
      <c r="E84" s="12">
        <v>3.9830000000000001</v>
      </c>
      <c r="F84" t="s">
        <v>505</v>
      </c>
    </row>
    <row r="85" spans="1:6" ht="15" thickBot="1" x14ac:dyDescent="0.35">
      <c r="A85" s="125" t="s">
        <v>44</v>
      </c>
      <c r="B85" s="125" t="s">
        <v>449</v>
      </c>
      <c r="C85" s="108"/>
      <c r="D85" s="29">
        <v>3.6451612903225805</v>
      </c>
      <c r="E85" s="32">
        <v>4.1109999999999998</v>
      </c>
      <c r="F85" s="18" t="s">
        <v>505</v>
      </c>
    </row>
    <row r="86" spans="1:6" x14ac:dyDescent="0.3">
      <c r="A86" s="124" t="s">
        <v>45</v>
      </c>
      <c r="B86" s="139" t="s">
        <v>450</v>
      </c>
      <c r="C86" s="30">
        <v>3.9935141509433962</v>
      </c>
      <c r="D86" s="24">
        <v>3.8653846153846154</v>
      </c>
      <c r="E86" s="28">
        <v>4.157</v>
      </c>
      <c r="F86" t="s">
        <v>505</v>
      </c>
    </row>
    <row r="87" spans="1:6" x14ac:dyDescent="0.3">
      <c r="A87" s="124" t="s">
        <v>45</v>
      </c>
      <c r="B87" s="124" t="s">
        <v>53</v>
      </c>
      <c r="C87" s="108"/>
      <c r="D87" s="12">
        <v>3.7320000000000002</v>
      </c>
      <c r="E87" s="28">
        <v>3.9860000000000002</v>
      </c>
      <c r="F87" t="s">
        <v>505</v>
      </c>
    </row>
    <row r="88" spans="1:6" x14ac:dyDescent="0.3">
      <c r="A88" s="124" t="s">
        <v>45</v>
      </c>
      <c r="B88" s="124" t="s">
        <v>54</v>
      </c>
      <c r="C88" s="31">
        <v>4.0812082574377655</v>
      </c>
      <c r="D88" s="27">
        <v>3.9607843137254903</v>
      </c>
      <c r="E88" s="28">
        <v>4.3970000000000002</v>
      </c>
      <c r="F88" t="s">
        <v>505</v>
      </c>
    </row>
    <row r="89" spans="1:6" x14ac:dyDescent="0.3">
      <c r="A89" s="124" t="s">
        <v>45</v>
      </c>
      <c r="B89" s="124" t="s">
        <v>55</v>
      </c>
      <c r="E89" s="12">
        <v>3.9830000000000001</v>
      </c>
      <c r="F89" t="s">
        <v>505</v>
      </c>
    </row>
    <row r="90" spans="1:6" ht="15" thickBot="1" x14ac:dyDescent="0.35">
      <c r="A90" s="125" t="s">
        <v>45</v>
      </c>
      <c r="B90" s="125" t="s">
        <v>56</v>
      </c>
      <c r="C90" s="18"/>
      <c r="D90" s="18"/>
      <c r="E90" s="32">
        <v>4.1109999999999998</v>
      </c>
      <c r="F90" s="18" t="s">
        <v>505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:L47"/>
  <sheetViews>
    <sheetView workbookViewId="0">
      <pane ySplit="1" topLeftCell="A4" activePane="bottomLeft" state="frozenSplit"/>
      <selection pane="bottomLeft" activeCell="M15" sqref="M15"/>
    </sheetView>
  </sheetViews>
  <sheetFormatPr baseColWidth="10" defaultRowHeight="14.4" x14ac:dyDescent="0.3"/>
  <cols>
    <col min="2" max="2" width="14.77734375" customWidth="1"/>
    <col min="3" max="3" width="19.88671875" customWidth="1"/>
    <col min="4" max="4" width="18.88671875" customWidth="1"/>
    <col min="6" max="11" width="9.21875" customWidth="1"/>
  </cols>
  <sheetData>
    <row r="1" spans="1:12" ht="15.6" x14ac:dyDescent="0.3">
      <c r="A1" s="181" t="s">
        <v>616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</row>
    <row r="3" spans="1:12" x14ac:dyDescent="0.3">
      <c r="A3" t="s">
        <v>586</v>
      </c>
      <c r="B3" t="s">
        <v>587</v>
      </c>
      <c r="C3" t="s">
        <v>588</v>
      </c>
      <c r="D3" t="s">
        <v>589</v>
      </c>
      <c r="E3" t="s">
        <v>57</v>
      </c>
      <c r="F3" s="108" t="s">
        <v>590</v>
      </c>
      <c r="G3" s="108" t="s">
        <v>591</v>
      </c>
      <c r="H3" s="108" t="s">
        <v>592</v>
      </c>
      <c r="I3" s="108" t="s">
        <v>593</v>
      </c>
      <c r="J3" s="108" t="s">
        <v>594</v>
      </c>
      <c r="K3" t="s">
        <v>595</v>
      </c>
    </row>
    <row r="4" spans="1:12" x14ac:dyDescent="0.3">
      <c r="A4">
        <v>307</v>
      </c>
      <c r="B4" s="156">
        <v>45649.620682870402</v>
      </c>
      <c r="C4" s="156">
        <v>45649.621006944399</v>
      </c>
      <c r="D4" t="s">
        <v>207</v>
      </c>
      <c r="E4" t="s">
        <v>206</v>
      </c>
      <c r="F4" t="s">
        <v>468</v>
      </c>
      <c r="G4" t="s">
        <v>468</v>
      </c>
      <c r="H4" t="s">
        <v>468</v>
      </c>
      <c r="I4" t="s">
        <v>468</v>
      </c>
      <c r="J4" t="s">
        <v>468</v>
      </c>
    </row>
    <row r="5" spans="1:12" x14ac:dyDescent="0.3">
      <c r="A5">
        <v>308</v>
      </c>
      <c r="B5" s="156">
        <v>45649.621643518498</v>
      </c>
      <c r="C5" s="156">
        <v>45649.622013888897</v>
      </c>
      <c r="D5" t="s">
        <v>133</v>
      </c>
      <c r="E5" t="s">
        <v>132</v>
      </c>
      <c r="F5" t="s">
        <v>469</v>
      </c>
      <c r="G5" t="s">
        <v>467</v>
      </c>
      <c r="H5" t="s">
        <v>469</v>
      </c>
      <c r="I5" t="s">
        <v>467</v>
      </c>
      <c r="J5" t="s">
        <v>467</v>
      </c>
    </row>
    <row r="6" spans="1:12" x14ac:dyDescent="0.3">
      <c r="A6">
        <v>309</v>
      </c>
      <c r="B6" s="156">
        <v>45649.624039351896</v>
      </c>
      <c r="C6" s="156">
        <v>45649.6245949074</v>
      </c>
      <c r="D6" t="s">
        <v>431</v>
      </c>
      <c r="E6" t="s">
        <v>430</v>
      </c>
      <c r="F6" t="s">
        <v>596</v>
      </c>
      <c r="G6" t="s">
        <v>596</v>
      </c>
      <c r="H6" t="s">
        <v>467</v>
      </c>
      <c r="I6" t="s">
        <v>467</v>
      </c>
      <c r="J6" t="s">
        <v>469</v>
      </c>
    </row>
    <row r="7" spans="1:12" x14ac:dyDescent="0.3">
      <c r="A7">
        <v>310</v>
      </c>
      <c r="B7" s="156">
        <v>45649.625034722201</v>
      </c>
      <c r="C7" s="156">
        <v>45649.6252662037</v>
      </c>
      <c r="D7" t="s">
        <v>123</v>
      </c>
      <c r="E7" t="s">
        <v>122</v>
      </c>
      <c r="F7" t="s">
        <v>467</v>
      </c>
      <c r="G7" t="s">
        <v>467</v>
      </c>
      <c r="H7" t="s">
        <v>467</v>
      </c>
      <c r="I7" t="s">
        <v>467</v>
      </c>
      <c r="J7" t="s">
        <v>467</v>
      </c>
    </row>
    <row r="8" spans="1:12" x14ac:dyDescent="0.3">
      <c r="A8">
        <v>311</v>
      </c>
      <c r="B8" s="156">
        <v>45649.624120370398</v>
      </c>
      <c r="C8" s="156">
        <v>45649.625636574099</v>
      </c>
      <c r="D8" t="s">
        <v>289</v>
      </c>
      <c r="E8" t="s">
        <v>288</v>
      </c>
      <c r="F8" t="s">
        <v>467</v>
      </c>
      <c r="G8" t="s">
        <v>467</v>
      </c>
      <c r="H8" t="s">
        <v>469</v>
      </c>
      <c r="I8" t="s">
        <v>469</v>
      </c>
      <c r="J8" t="s">
        <v>469</v>
      </c>
    </row>
    <row r="9" spans="1:12" x14ac:dyDescent="0.3">
      <c r="A9">
        <v>312</v>
      </c>
      <c r="B9" s="156">
        <v>45649.627025463</v>
      </c>
      <c r="C9" s="156">
        <v>45649.627187500002</v>
      </c>
      <c r="D9" t="s">
        <v>299</v>
      </c>
      <c r="E9" t="s">
        <v>298</v>
      </c>
      <c r="F9" t="s">
        <v>468</v>
      </c>
      <c r="G9" t="s">
        <v>468</v>
      </c>
      <c r="H9" t="s">
        <v>468</v>
      </c>
      <c r="I9" t="s">
        <v>468</v>
      </c>
      <c r="J9" t="s">
        <v>468</v>
      </c>
    </row>
    <row r="10" spans="1:12" x14ac:dyDescent="0.3">
      <c r="A10">
        <v>313</v>
      </c>
      <c r="B10" s="156">
        <v>45649.631157407399</v>
      </c>
      <c r="C10" s="156">
        <v>45649.632928240702</v>
      </c>
      <c r="D10" t="s">
        <v>82</v>
      </c>
      <c r="E10" t="s">
        <v>81</v>
      </c>
      <c r="F10" t="s">
        <v>467</v>
      </c>
      <c r="G10" t="s">
        <v>596</v>
      </c>
      <c r="H10" t="s">
        <v>469</v>
      </c>
      <c r="I10" t="s">
        <v>467</v>
      </c>
      <c r="J10" t="s">
        <v>596</v>
      </c>
      <c r="K10" t="s">
        <v>597</v>
      </c>
    </row>
    <row r="11" spans="1:12" x14ac:dyDescent="0.3">
      <c r="A11">
        <v>314</v>
      </c>
      <c r="B11" s="156">
        <v>45649.632384259297</v>
      </c>
      <c r="C11" s="156">
        <v>45649.633275462998</v>
      </c>
      <c r="D11" t="s">
        <v>378</v>
      </c>
      <c r="E11" t="s">
        <v>598</v>
      </c>
      <c r="F11" t="s">
        <v>467</v>
      </c>
      <c r="G11" t="s">
        <v>467</v>
      </c>
      <c r="H11" t="s">
        <v>469</v>
      </c>
      <c r="I11" t="s">
        <v>467</v>
      </c>
      <c r="J11" t="s">
        <v>467</v>
      </c>
      <c r="K11" t="s">
        <v>599</v>
      </c>
    </row>
    <row r="12" spans="1:12" x14ac:dyDescent="0.3">
      <c r="A12">
        <v>315</v>
      </c>
      <c r="B12" s="156">
        <v>45649.624479166698</v>
      </c>
      <c r="C12" s="156">
        <v>45649.6352430556</v>
      </c>
      <c r="D12" t="s">
        <v>77</v>
      </c>
      <c r="E12" t="s">
        <v>76</v>
      </c>
      <c r="F12" t="s">
        <v>468</v>
      </c>
      <c r="G12" t="s">
        <v>468</v>
      </c>
      <c r="H12" t="s">
        <v>596</v>
      </c>
      <c r="I12" t="s">
        <v>468</v>
      </c>
      <c r="J12" t="s">
        <v>468</v>
      </c>
    </row>
    <row r="13" spans="1:12" x14ac:dyDescent="0.3">
      <c r="A13">
        <v>316</v>
      </c>
      <c r="B13" s="156">
        <v>45649.6480324074</v>
      </c>
      <c r="C13" s="156">
        <v>45649.648113425901</v>
      </c>
      <c r="D13" t="s">
        <v>322</v>
      </c>
      <c r="E13" t="s">
        <v>321</v>
      </c>
      <c r="F13" t="s">
        <v>469</v>
      </c>
      <c r="G13" t="s">
        <v>469</v>
      </c>
      <c r="H13" t="s">
        <v>469</v>
      </c>
      <c r="I13" t="s">
        <v>469</v>
      </c>
      <c r="J13" t="s">
        <v>469</v>
      </c>
    </row>
    <row r="14" spans="1:12" x14ac:dyDescent="0.3">
      <c r="A14">
        <v>317</v>
      </c>
      <c r="B14" s="156">
        <v>45649.651203703703</v>
      </c>
      <c r="C14" s="156">
        <v>45649.651759259301</v>
      </c>
      <c r="D14" t="s">
        <v>215</v>
      </c>
      <c r="E14" t="s">
        <v>214</v>
      </c>
      <c r="F14" t="s">
        <v>468</v>
      </c>
      <c r="G14" t="s">
        <v>468</v>
      </c>
      <c r="H14" t="s">
        <v>468</v>
      </c>
      <c r="I14" t="s">
        <v>468</v>
      </c>
      <c r="J14" t="s">
        <v>468</v>
      </c>
      <c r="K14" t="s">
        <v>600</v>
      </c>
    </row>
    <row r="15" spans="1:12" x14ac:dyDescent="0.3">
      <c r="A15">
        <v>318</v>
      </c>
      <c r="B15" s="156">
        <v>45649.652141203696</v>
      </c>
      <c r="C15" s="156">
        <v>45649.652499999997</v>
      </c>
      <c r="D15" t="s">
        <v>258</v>
      </c>
      <c r="E15" t="s">
        <v>257</v>
      </c>
      <c r="F15" t="s">
        <v>467</v>
      </c>
      <c r="G15" t="s">
        <v>596</v>
      </c>
      <c r="H15" t="s">
        <v>467</v>
      </c>
      <c r="I15" t="s">
        <v>467</v>
      </c>
      <c r="J15" t="s">
        <v>596</v>
      </c>
    </row>
    <row r="16" spans="1:12" x14ac:dyDescent="0.3">
      <c r="A16">
        <v>319</v>
      </c>
      <c r="B16" s="156">
        <v>45649.666597222204</v>
      </c>
      <c r="C16" s="156">
        <v>45649.667025463001</v>
      </c>
      <c r="D16" t="s">
        <v>316</v>
      </c>
      <c r="E16" t="s">
        <v>315</v>
      </c>
      <c r="F16" t="s">
        <v>468</v>
      </c>
      <c r="G16" t="s">
        <v>596</v>
      </c>
      <c r="H16" t="s">
        <v>467</v>
      </c>
      <c r="I16" t="s">
        <v>469</v>
      </c>
      <c r="J16" t="s">
        <v>468</v>
      </c>
    </row>
    <row r="17" spans="1:11" x14ac:dyDescent="0.3">
      <c r="A17">
        <v>320</v>
      </c>
      <c r="B17" s="156">
        <v>45649.723900463003</v>
      </c>
      <c r="C17" s="156">
        <v>45649.725370370397</v>
      </c>
      <c r="D17" t="s">
        <v>275</v>
      </c>
      <c r="E17" t="s">
        <v>274</v>
      </c>
      <c r="F17" t="s">
        <v>467</v>
      </c>
      <c r="G17" t="s">
        <v>596</v>
      </c>
      <c r="H17" t="s">
        <v>467</v>
      </c>
      <c r="I17" t="s">
        <v>467</v>
      </c>
      <c r="J17" t="s">
        <v>467</v>
      </c>
    </row>
    <row r="18" spans="1:11" x14ac:dyDescent="0.3">
      <c r="A18">
        <v>321</v>
      </c>
      <c r="B18" s="156">
        <v>45649.747175925899</v>
      </c>
      <c r="C18" s="156">
        <v>45649.747696759303</v>
      </c>
      <c r="D18" t="s">
        <v>318</v>
      </c>
      <c r="E18" t="s">
        <v>317</v>
      </c>
      <c r="F18" t="s">
        <v>468</v>
      </c>
      <c r="G18" t="s">
        <v>596</v>
      </c>
      <c r="H18" t="s">
        <v>467</v>
      </c>
      <c r="I18" t="s">
        <v>596</v>
      </c>
      <c r="J18" t="s">
        <v>596</v>
      </c>
    </row>
    <row r="19" spans="1:11" x14ac:dyDescent="0.3">
      <c r="A19">
        <v>322</v>
      </c>
      <c r="B19" s="156">
        <v>45649.826284722199</v>
      </c>
      <c r="C19" s="156">
        <v>45649.826886574097</v>
      </c>
      <c r="D19" t="s">
        <v>176</v>
      </c>
      <c r="E19" t="s">
        <v>175</v>
      </c>
      <c r="F19" t="s">
        <v>468</v>
      </c>
      <c r="G19" t="s">
        <v>468</v>
      </c>
      <c r="H19" t="s">
        <v>468</v>
      </c>
      <c r="I19" t="s">
        <v>468</v>
      </c>
      <c r="J19" t="s">
        <v>596</v>
      </c>
    </row>
    <row r="20" spans="1:11" x14ac:dyDescent="0.3">
      <c r="A20">
        <v>323</v>
      </c>
      <c r="B20" s="156">
        <v>45649.948553240698</v>
      </c>
      <c r="C20" s="156">
        <v>45649.9535300926</v>
      </c>
      <c r="D20" t="s">
        <v>341</v>
      </c>
      <c r="E20" t="s">
        <v>340</v>
      </c>
      <c r="F20" t="s">
        <v>596</v>
      </c>
      <c r="G20" t="s">
        <v>468</v>
      </c>
      <c r="H20" t="s">
        <v>596</v>
      </c>
      <c r="I20" t="s">
        <v>468</v>
      </c>
      <c r="J20" t="s">
        <v>468</v>
      </c>
    </row>
    <row r="21" spans="1:11" x14ac:dyDescent="0.3">
      <c r="A21">
        <v>324</v>
      </c>
      <c r="B21" s="156">
        <v>45650.305821759299</v>
      </c>
      <c r="C21" s="156">
        <v>45650.306562500002</v>
      </c>
      <c r="D21" t="s">
        <v>314</v>
      </c>
      <c r="E21" t="s">
        <v>313</v>
      </c>
      <c r="F21" t="s">
        <v>467</v>
      </c>
      <c r="G21" t="s">
        <v>596</v>
      </c>
      <c r="H21" t="s">
        <v>468</v>
      </c>
      <c r="I21" t="s">
        <v>467</v>
      </c>
      <c r="J21" t="s">
        <v>596</v>
      </c>
      <c r="K21" t="s">
        <v>601</v>
      </c>
    </row>
    <row r="22" spans="1:11" x14ac:dyDescent="0.3">
      <c r="A22">
        <v>325</v>
      </c>
      <c r="B22" s="156">
        <v>45650.331157407403</v>
      </c>
      <c r="C22" s="156">
        <v>45650.331250000003</v>
      </c>
      <c r="D22" t="s">
        <v>421</v>
      </c>
      <c r="E22" t="s">
        <v>420</v>
      </c>
      <c r="F22" t="s">
        <v>467</v>
      </c>
      <c r="G22" t="s">
        <v>467</v>
      </c>
      <c r="H22" t="s">
        <v>467</v>
      </c>
      <c r="I22" t="s">
        <v>467</v>
      </c>
      <c r="J22" t="s">
        <v>467</v>
      </c>
    </row>
    <row r="23" spans="1:11" x14ac:dyDescent="0.3">
      <c r="A23">
        <v>326</v>
      </c>
      <c r="B23" s="156">
        <v>45650.3909837963</v>
      </c>
      <c r="C23" s="156">
        <v>45650.391203703701</v>
      </c>
      <c r="D23" t="s">
        <v>236</v>
      </c>
      <c r="E23" t="s">
        <v>235</v>
      </c>
      <c r="F23" t="s">
        <v>467</v>
      </c>
      <c r="G23" t="s">
        <v>467</v>
      </c>
      <c r="H23" t="s">
        <v>468</v>
      </c>
      <c r="I23" t="s">
        <v>468</v>
      </c>
      <c r="J23" t="s">
        <v>467</v>
      </c>
    </row>
    <row r="24" spans="1:11" x14ac:dyDescent="0.3">
      <c r="A24">
        <v>327</v>
      </c>
      <c r="B24" s="156">
        <v>45650.459965277798</v>
      </c>
      <c r="C24" s="156">
        <v>45650.460069444402</v>
      </c>
      <c r="D24" t="s">
        <v>145</v>
      </c>
      <c r="E24" t="s">
        <v>144</v>
      </c>
      <c r="F24" t="s">
        <v>468</v>
      </c>
      <c r="G24" t="s">
        <v>468</v>
      </c>
      <c r="H24" t="s">
        <v>468</v>
      </c>
      <c r="I24" t="s">
        <v>468</v>
      </c>
      <c r="J24" t="s">
        <v>468</v>
      </c>
    </row>
    <row r="25" spans="1:11" x14ac:dyDescent="0.3">
      <c r="A25">
        <v>328</v>
      </c>
      <c r="B25" s="156">
        <v>45650.461238425902</v>
      </c>
      <c r="C25" s="156">
        <v>45650.462500000001</v>
      </c>
      <c r="D25" t="s">
        <v>439</v>
      </c>
      <c r="E25" t="s">
        <v>438</v>
      </c>
      <c r="F25" t="s">
        <v>468</v>
      </c>
      <c r="G25" t="s">
        <v>596</v>
      </c>
      <c r="H25" t="s">
        <v>468</v>
      </c>
      <c r="I25" t="s">
        <v>468</v>
      </c>
      <c r="J25" t="s">
        <v>596</v>
      </c>
      <c r="K25" t="s">
        <v>602</v>
      </c>
    </row>
    <row r="26" spans="1:11" x14ac:dyDescent="0.3">
      <c r="A26">
        <v>329</v>
      </c>
      <c r="B26" s="156">
        <v>45650.468055555597</v>
      </c>
      <c r="C26" s="156">
        <v>45650.470428240696</v>
      </c>
      <c r="D26" t="s">
        <v>435</v>
      </c>
      <c r="E26" t="s">
        <v>434</v>
      </c>
      <c r="F26" t="s">
        <v>468</v>
      </c>
      <c r="G26" t="s">
        <v>468</v>
      </c>
      <c r="H26" t="s">
        <v>467</v>
      </c>
      <c r="I26" t="s">
        <v>468</v>
      </c>
      <c r="J26" t="s">
        <v>468</v>
      </c>
    </row>
    <row r="27" spans="1:11" x14ac:dyDescent="0.3">
      <c r="A27">
        <v>330</v>
      </c>
      <c r="B27" s="156">
        <v>45650.5000462963</v>
      </c>
      <c r="C27" s="156">
        <v>45650.500613425902</v>
      </c>
      <c r="D27" t="s">
        <v>603</v>
      </c>
      <c r="E27" t="s">
        <v>522</v>
      </c>
      <c r="F27" t="s">
        <v>467</v>
      </c>
      <c r="G27" t="s">
        <v>467</v>
      </c>
      <c r="H27" t="s">
        <v>467</v>
      </c>
      <c r="I27" t="s">
        <v>468</v>
      </c>
      <c r="J27" t="s">
        <v>596</v>
      </c>
    </row>
    <row r="28" spans="1:11" x14ac:dyDescent="0.3">
      <c r="A28">
        <v>331</v>
      </c>
      <c r="B28" s="156">
        <v>45650.504930555602</v>
      </c>
      <c r="C28" s="156">
        <v>45650.505208333299</v>
      </c>
      <c r="D28" t="s">
        <v>604</v>
      </c>
      <c r="E28" t="s">
        <v>239</v>
      </c>
      <c r="F28" t="s">
        <v>468</v>
      </c>
      <c r="G28" t="s">
        <v>468</v>
      </c>
      <c r="H28" t="s">
        <v>468</v>
      </c>
      <c r="I28" t="s">
        <v>468</v>
      </c>
      <c r="J28" t="s">
        <v>468</v>
      </c>
    </row>
    <row r="29" spans="1:11" x14ac:dyDescent="0.3">
      <c r="A29">
        <v>332</v>
      </c>
      <c r="B29" s="156">
        <v>45652.352974537003</v>
      </c>
      <c r="C29" s="156">
        <v>45652.353333333303</v>
      </c>
      <c r="D29" t="s">
        <v>85</v>
      </c>
      <c r="E29" t="s">
        <v>84</v>
      </c>
      <c r="F29" t="s">
        <v>468</v>
      </c>
      <c r="G29" t="s">
        <v>468</v>
      </c>
      <c r="H29" t="s">
        <v>468</v>
      </c>
      <c r="I29" t="s">
        <v>468</v>
      </c>
      <c r="J29" t="s">
        <v>468</v>
      </c>
      <c r="K29" t="s">
        <v>605</v>
      </c>
    </row>
    <row r="30" spans="1:11" x14ac:dyDescent="0.3">
      <c r="A30">
        <v>333</v>
      </c>
      <c r="B30" s="156">
        <v>45652.354803240698</v>
      </c>
      <c r="C30" s="156">
        <v>45652.355393518497</v>
      </c>
      <c r="D30" t="s">
        <v>249</v>
      </c>
      <c r="E30" t="s">
        <v>248</v>
      </c>
      <c r="F30" t="s">
        <v>467</v>
      </c>
      <c r="G30" t="s">
        <v>467</v>
      </c>
      <c r="H30" t="s">
        <v>467</v>
      </c>
      <c r="I30" t="s">
        <v>467</v>
      </c>
      <c r="J30" t="s">
        <v>467</v>
      </c>
    </row>
    <row r="31" spans="1:11" x14ac:dyDescent="0.3">
      <c r="A31">
        <v>334</v>
      </c>
      <c r="B31" s="156">
        <v>45652.360069444403</v>
      </c>
      <c r="C31" s="156">
        <v>45652.360381944403</v>
      </c>
      <c r="D31" t="s">
        <v>221</v>
      </c>
      <c r="E31" t="s">
        <v>606</v>
      </c>
      <c r="F31" t="s">
        <v>468</v>
      </c>
      <c r="G31" t="s">
        <v>468</v>
      </c>
      <c r="H31" t="s">
        <v>468</v>
      </c>
      <c r="I31" t="s">
        <v>468</v>
      </c>
      <c r="J31" t="s">
        <v>468</v>
      </c>
      <c r="K31" t="s">
        <v>607</v>
      </c>
    </row>
    <row r="32" spans="1:11" x14ac:dyDescent="0.3">
      <c r="A32">
        <v>335</v>
      </c>
      <c r="B32" s="156">
        <v>45652.368750000001</v>
      </c>
      <c r="C32" s="156">
        <v>45652.370405092603</v>
      </c>
      <c r="D32" t="s">
        <v>271</v>
      </c>
      <c r="E32" t="s">
        <v>270</v>
      </c>
      <c r="F32" t="s">
        <v>467</v>
      </c>
      <c r="G32" t="s">
        <v>467</v>
      </c>
      <c r="H32" t="s">
        <v>467</v>
      </c>
      <c r="I32" t="s">
        <v>467</v>
      </c>
      <c r="J32" t="s">
        <v>467</v>
      </c>
    </row>
    <row r="33" spans="1:11" x14ac:dyDescent="0.3">
      <c r="A33">
        <v>336</v>
      </c>
      <c r="B33" s="156">
        <v>45652.371574074103</v>
      </c>
      <c r="C33" s="156">
        <v>45652.373368055603</v>
      </c>
      <c r="D33" t="s">
        <v>387</v>
      </c>
      <c r="E33" t="s">
        <v>386</v>
      </c>
      <c r="F33" t="s">
        <v>467</v>
      </c>
      <c r="G33" t="s">
        <v>467</v>
      </c>
      <c r="H33" t="s">
        <v>596</v>
      </c>
      <c r="I33" t="s">
        <v>467</v>
      </c>
      <c r="J33" t="s">
        <v>467</v>
      </c>
    </row>
    <row r="34" spans="1:11" x14ac:dyDescent="0.3">
      <c r="A34">
        <v>337</v>
      </c>
      <c r="B34" s="156">
        <v>45652.377337963</v>
      </c>
      <c r="C34" s="156">
        <v>45652.378125000003</v>
      </c>
      <c r="D34" t="s">
        <v>256</v>
      </c>
      <c r="E34" t="s">
        <v>255</v>
      </c>
      <c r="F34" t="s">
        <v>596</v>
      </c>
      <c r="G34" t="s">
        <v>467</v>
      </c>
      <c r="H34" t="s">
        <v>469</v>
      </c>
      <c r="I34" t="s">
        <v>467</v>
      </c>
      <c r="J34" t="s">
        <v>467</v>
      </c>
    </row>
    <row r="35" spans="1:11" x14ac:dyDescent="0.3">
      <c r="A35">
        <v>338</v>
      </c>
      <c r="B35" s="156">
        <v>45652.395150463002</v>
      </c>
      <c r="C35" s="156">
        <v>45652.395312499997</v>
      </c>
      <c r="D35" t="s">
        <v>585</v>
      </c>
      <c r="E35" t="s">
        <v>348</v>
      </c>
      <c r="F35" t="s">
        <v>468</v>
      </c>
      <c r="G35" t="s">
        <v>468</v>
      </c>
      <c r="H35" t="s">
        <v>468</v>
      </c>
      <c r="I35" t="s">
        <v>468</v>
      </c>
      <c r="J35" t="s">
        <v>468</v>
      </c>
    </row>
    <row r="36" spans="1:11" x14ac:dyDescent="0.3">
      <c r="A36">
        <v>339</v>
      </c>
      <c r="B36" s="156">
        <v>45652.417511574102</v>
      </c>
      <c r="C36" s="156">
        <v>45652.417812500003</v>
      </c>
      <c r="D36" t="s">
        <v>307</v>
      </c>
      <c r="E36" t="s">
        <v>306</v>
      </c>
      <c r="F36" t="s">
        <v>467</v>
      </c>
      <c r="G36" t="s">
        <v>467</v>
      </c>
      <c r="H36" t="s">
        <v>467</v>
      </c>
      <c r="I36" t="s">
        <v>467</v>
      </c>
      <c r="J36" t="s">
        <v>467</v>
      </c>
    </row>
    <row r="37" spans="1:11" x14ac:dyDescent="0.3">
      <c r="A37">
        <v>340</v>
      </c>
      <c r="B37" s="156">
        <v>45652.463564814803</v>
      </c>
      <c r="C37" s="156">
        <v>45652.463935185202</v>
      </c>
      <c r="D37" t="s">
        <v>92</v>
      </c>
      <c r="E37" t="s">
        <v>91</v>
      </c>
      <c r="F37" t="s">
        <v>467</v>
      </c>
      <c r="G37" t="s">
        <v>467</v>
      </c>
      <c r="H37" t="s">
        <v>467</v>
      </c>
      <c r="I37" t="s">
        <v>468</v>
      </c>
      <c r="J37" t="s">
        <v>467</v>
      </c>
    </row>
    <row r="38" spans="1:11" x14ac:dyDescent="0.3">
      <c r="A38">
        <v>341</v>
      </c>
      <c r="B38" s="156">
        <v>45652.465416666702</v>
      </c>
      <c r="C38" s="156">
        <v>45652.469004629602</v>
      </c>
      <c r="D38" t="s">
        <v>61</v>
      </c>
      <c r="E38" t="s">
        <v>60</v>
      </c>
      <c r="F38" t="s">
        <v>467</v>
      </c>
      <c r="G38" t="s">
        <v>467</v>
      </c>
      <c r="H38" t="s">
        <v>467</v>
      </c>
      <c r="I38" t="s">
        <v>467</v>
      </c>
      <c r="J38" t="s">
        <v>467</v>
      </c>
    </row>
    <row r="39" spans="1:11" x14ac:dyDescent="0.3">
      <c r="A39">
        <v>342</v>
      </c>
      <c r="B39" s="156">
        <v>45652.489699074104</v>
      </c>
      <c r="C39" s="156">
        <v>45652.490150463003</v>
      </c>
      <c r="D39" t="s">
        <v>254</v>
      </c>
      <c r="E39" t="s">
        <v>253</v>
      </c>
      <c r="F39" t="s">
        <v>467</v>
      </c>
      <c r="G39" t="s">
        <v>467</v>
      </c>
      <c r="H39" t="s">
        <v>467</v>
      </c>
      <c r="I39" t="s">
        <v>467</v>
      </c>
      <c r="J39" t="s">
        <v>468</v>
      </c>
      <c r="K39" t="s">
        <v>467</v>
      </c>
    </row>
    <row r="40" spans="1:11" x14ac:dyDescent="0.3">
      <c r="A40">
        <v>343</v>
      </c>
      <c r="B40" s="156">
        <v>45652.645810185197</v>
      </c>
      <c r="C40" s="156">
        <v>45652.646168981497</v>
      </c>
      <c r="D40" t="s">
        <v>224</v>
      </c>
      <c r="E40" t="s">
        <v>223</v>
      </c>
      <c r="F40" t="s">
        <v>467</v>
      </c>
      <c r="G40" t="s">
        <v>596</v>
      </c>
      <c r="H40" t="s">
        <v>467</v>
      </c>
      <c r="I40" t="s">
        <v>467</v>
      </c>
      <c r="J40" t="s">
        <v>596</v>
      </c>
    </row>
    <row r="41" spans="1:11" x14ac:dyDescent="0.3">
      <c r="A41">
        <v>344</v>
      </c>
      <c r="B41" s="156">
        <v>45653.368437500001</v>
      </c>
      <c r="C41" s="156">
        <v>45653.3718981481</v>
      </c>
      <c r="D41" t="s">
        <v>326</v>
      </c>
      <c r="E41" t="s">
        <v>325</v>
      </c>
      <c r="F41" t="s">
        <v>469</v>
      </c>
      <c r="G41" t="s">
        <v>596</v>
      </c>
      <c r="H41" t="s">
        <v>469</v>
      </c>
      <c r="I41" t="s">
        <v>596</v>
      </c>
      <c r="J41" t="s">
        <v>596</v>
      </c>
      <c r="K41" t="s">
        <v>608</v>
      </c>
    </row>
    <row r="42" spans="1:11" x14ac:dyDescent="0.3">
      <c r="A42">
        <v>345</v>
      </c>
      <c r="B42" s="156">
        <v>45653.386909722198</v>
      </c>
      <c r="C42" s="156">
        <v>45653.387268518498</v>
      </c>
      <c r="D42" t="s">
        <v>345</v>
      </c>
      <c r="E42" t="s">
        <v>344</v>
      </c>
      <c r="F42" t="s">
        <v>596</v>
      </c>
      <c r="G42" t="s">
        <v>596</v>
      </c>
      <c r="H42" t="s">
        <v>467</v>
      </c>
      <c r="I42" t="s">
        <v>596</v>
      </c>
      <c r="J42" t="s">
        <v>596</v>
      </c>
      <c r="K42" t="s">
        <v>609</v>
      </c>
    </row>
    <row r="43" spans="1:11" x14ac:dyDescent="0.3">
      <c r="A43">
        <v>346</v>
      </c>
      <c r="B43" s="156">
        <v>45653.3925578704</v>
      </c>
      <c r="C43" s="156">
        <v>45653.394606481503</v>
      </c>
      <c r="D43" t="s">
        <v>337</v>
      </c>
      <c r="E43" t="s">
        <v>336</v>
      </c>
      <c r="F43" t="s">
        <v>468</v>
      </c>
      <c r="G43" t="s">
        <v>468</v>
      </c>
      <c r="H43" t="s">
        <v>468</v>
      </c>
      <c r="I43" t="s">
        <v>468</v>
      </c>
      <c r="J43" t="s">
        <v>468</v>
      </c>
      <c r="K43" t="s">
        <v>610</v>
      </c>
    </row>
    <row r="44" spans="1:11" x14ac:dyDescent="0.3">
      <c r="A44">
        <v>347</v>
      </c>
      <c r="B44" s="156">
        <v>45653.441365740699</v>
      </c>
      <c r="C44" s="156">
        <v>45653.441539351901</v>
      </c>
      <c r="D44" t="s">
        <v>611</v>
      </c>
      <c r="E44" t="s">
        <v>189</v>
      </c>
      <c r="F44" t="s">
        <v>468</v>
      </c>
      <c r="G44" t="s">
        <v>468</v>
      </c>
      <c r="H44" t="s">
        <v>468</v>
      </c>
      <c r="I44" t="s">
        <v>468</v>
      </c>
      <c r="J44" t="s">
        <v>468</v>
      </c>
    </row>
    <row r="45" spans="1:11" x14ac:dyDescent="0.3">
      <c r="A45">
        <v>348</v>
      </c>
      <c r="B45" s="156">
        <v>45654.369247685201</v>
      </c>
      <c r="C45" s="156">
        <v>45654.370219907403</v>
      </c>
      <c r="D45" t="s">
        <v>374</v>
      </c>
      <c r="E45" t="s">
        <v>612</v>
      </c>
      <c r="F45" t="s">
        <v>467</v>
      </c>
      <c r="G45" t="s">
        <v>467</v>
      </c>
      <c r="H45" t="s">
        <v>467</v>
      </c>
      <c r="I45" t="s">
        <v>467</v>
      </c>
      <c r="J45" t="s">
        <v>467</v>
      </c>
    </row>
    <row r="46" spans="1:11" x14ac:dyDescent="0.3">
      <c r="A46">
        <v>349</v>
      </c>
      <c r="B46" s="156">
        <v>45656.384004629603</v>
      </c>
      <c r="C46" s="156">
        <v>45656.384571759299</v>
      </c>
      <c r="D46" t="s">
        <v>613</v>
      </c>
      <c r="E46" t="s">
        <v>295</v>
      </c>
      <c r="F46" t="s">
        <v>468</v>
      </c>
      <c r="G46" t="s">
        <v>596</v>
      </c>
      <c r="H46" t="s">
        <v>468</v>
      </c>
      <c r="I46" t="s">
        <v>468</v>
      </c>
      <c r="J46" t="s">
        <v>468</v>
      </c>
    </row>
    <row r="47" spans="1:11" x14ac:dyDescent="0.3">
      <c r="A47">
        <v>350</v>
      </c>
      <c r="B47" s="156">
        <v>45656.986076388901</v>
      </c>
      <c r="C47" s="156">
        <v>45656.986435185201</v>
      </c>
      <c r="D47" t="s">
        <v>136</v>
      </c>
      <c r="E47" t="s">
        <v>135</v>
      </c>
      <c r="F47" t="s">
        <v>468</v>
      </c>
      <c r="G47" t="s">
        <v>468</v>
      </c>
      <c r="H47" t="s">
        <v>468</v>
      </c>
      <c r="I47" t="s">
        <v>468</v>
      </c>
      <c r="J47" t="s">
        <v>468</v>
      </c>
    </row>
  </sheetData>
  <mergeCells count="1">
    <mergeCell ref="A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vertirATabla">
                <anchor moveWithCells="1" sizeWithCells="1">
                  <from>
                    <xdr:col>16</xdr:col>
                    <xdr:colOff>190500</xdr:colOff>
                    <xdr:row>9</xdr:row>
                    <xdr:rowOff>83820</xdr:rowOff>
                  </from>
                  <to>
                    <xdr:col>17</xdr:col>
                    <xdr:colOff>327660</xdr:colOff>
                    <xdr:row>12</xdr:row>
                    <xdr:rowOff>53340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topLeftCell="B1" zoomScale="86" workbookViewId="0">
      <selection activeCell="AL20" sqref="K19:AL20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20" width="7.33203125" bestFit="1" customWidth="1"/>
    <col min="21" max="21" width="8" bestFit="1" customWidth="1"/>
    <col min="22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97" t="s">
        <v>474</v>
      </c>
      <c r="C4" s="197" t="s">
        <v>5</v>
      </c>
      <c r="D4" s="197" t="s">
        <v>475</v>
      </c>
      <c r="E4" s="186" t="s">
        <v>476</v>
      </c>
      <c r="F4" s="186"/>
      <c r="G4" s="186"/>
      <c r="H4" s="186"/>
      <c r="I4" s="184" t="s">
        <v>477</v>
      </c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  <c r="Z4" s="185"/>
      <c r="AA4" s="185"/>
      <c r="AB4" s="185"/>
      <c r="AC4" s="185"/>
      <c r="AD4" s="185"/>
      <c r="AE4" s="185"/>
      <c r="AF4" s="185"/>
      <c r="AG4" s="185"/>
      <c r="AH4" s="185"/>
      <c r="AI4" s="185"/>
      <c r="AJ4" s="185"/>
      <c r="AK4" s="185"/>
      <c r="AL4" s="185"/>
      <c r="AM4" s="185"/>
      <c r="AN4" s="185"/>
      <c r="AO4" s="185"/>
      <c r="AP4" s="185"/>
      <c r="AQ4" s="185"/>
      <c r="AR4" s="185"/>
      <c r="AS4" s="185"/>
      <c r="AT4" s="185"/>
      <c r="AU4" s="185"/>
      <c r="AV4" s="185"/>
      <c r="AW4" s="185"/>
      <c r="AX4" s="185"/>
      <c r="AY4" s="185"/>
      <c r="AZ4" s="185"/>
      <c r="BA4" s="185"/>
      <c r="BB4" s="185"/>
      <c r="BC4" s="185"/>
      <c r="BD4" s="185"/>
      <c r="BE4" s="185"/>
      <c r="BF4" s="185"/>
      <c r="BG4" s="185"/>
      <c r="BH4" s="185"/>
      <c r="BI4" s="185"/>
      <c r="BJ4" s="185"/>
      <c r="BK4" s="185"/>
      <c r="BL4" s="185"/>
      <c r="BM4" s="185"/>
      <c r="BN4" s="185"/>
      <c r="BO4" s="185"/>
      <c r="BP4" s="185"/>
      <c r="BQ4" s="185"/>
      <c r="BR4" s="185"/>
      <c r="BS4" s="185"/>
      <c r="BT4" s="185"/>
      <c r="BU4" s="185"/>
      <c r="BV4" s="185"/>
      <c r="BW4" s="185"/>
    </row>
    <row r="5" spans="2:83" x14ac:dyDescent="0.3">
      <c r="B5" s="197"/>
      <c r="C5" s="197"/>
      <c r="D5" s="197"/>
      <c r="E5" s="186" t="s">
        <v>478</v>
      </c>
      <c r="F5" s="186"/>
      <c r="G5" s="45" t="s">
        <v>479</v>
      </c>
      <c r="H5" s="45"/>
      <c r="I5" s="199" t="s">
        <v>480</v>
      </c>
      <c r="J5" s="188" t="s">
        <v>481</v>
      </c>
      <c r="K5" s="182"/>
      <c r="L5" s="182"/>
      <c r="M5" s="182"/>
      <c r="N5" s="182"/>
      <c r="O5" s="182"/>
      <c r="P5" s="182" t="s">
        <v>482</v>
      </c>
      <c r="Q5" s="182"/>
      <c r="R5" s="182"/>
      <c r="S5" s="182"/>
      <c r="T5" s="182"/>
      <c r="U5" s="182"/>
      <c r="V5" s="182" t="s">
        <v>483</v>
      </c>
      <c r="W5" s="182"/>
      <c r="X5" s="182"/>
      <c r="Y5" s="182"/>
      <c r="Z5" s="182"/>
      <c r="AA5" s="182"/>
      <c r="AB5" s="182" t="s">
        <v>484</v>
      </c>
      <c r="AC5" s="182"/>
      <c r="AD5" s="182"/>
      <c r="AE5" s="182"/>
      <c r="AF5" s="182"/>
      <c r="AG5" s="182"/>
      <c r="AH5" s="182" t="s">
        <v>485</v>
      </c>
      <c r="AI5" s="182"/>
      <c r="AJ5" s="182"/>
      <c r="AK5" s="182"/>
      <c r="AL5" s="182"/>
      <c r="AM5" s="182"/>
      <c r="AN5" s="182" t="s">
        <v>486</v>
      </c>
      <c r="AO5" s="182"/>
      <c r="AP5" s="182"/>
      <c r="AQ5" s="182"/>
      <c r="AR5" s="182"/>
      <c r="AS5" s="182"/>
      <c r="AT5" s="182" t="s">
        <v>487</v>
      </c>
      <c r="AU5" s="182"/>
      <c r="AV5" s="182"/>
      <c r="AW5" s="182"/>
      <c r="AX5" s="182"/>
      <c r="AY5" s="182"/>
      <c r="AZ5" s="182" t="s">
        <v>488</v>
      </c>
      <c r="BA5" s="182"/>
      <c r="BB5" s="182"/>
      <c r="BC5" s="182"/>
      <c r="BD5" s="182"/>
      <c r="BE5" s="183"/>
      <c r="BF5" s="182" t="s">
        <v>516</v>
      </c>
      <c r="BG5" s="182"/>
      <c r="BH5" s="182"/>
      <c r="BI5" s="182"/>
      <c r="BJ5" s="182"/>
      <c r="BK5" s="183"/>
      <c r="BL5" s="182" t="s">
        <v>517</v>
      </c>
      <c r="BM5" s="182"/>
      <c r="BN5" s="182"/>
      <c r="BO5" s="182"/>
      <c r="BP5" s="182"/>
      <c r="BQ5" s="183"/>
      <c r="BR5" s="182" t="s">
        <v>518</v>
      </c>
      <c r="BS5" s="182"/>
      <c r="BT5" s="182"/>
      <c r="BU5" s="182"/>
      <c r="BV5" s="182"/>
      <c r="BW5" s="183"/>
      <c r="CC5" s="186" t="s">
        <v>489</v>
      </c>
      <c r="CD5" s="186"/>
      <c r="CE5" s="186"/>
    </row>
    <row r="6" spans="2:83" x14ac:dyDescent="0.3">
      <c r="B6" s="198"/>
      <c r="C6" s="198"/>
      <c r="D6" s="198"/>
      <c r="E6" s="46" t="s">
        <v>480</v>
      </c>
      <c r="F6" s="46" t="s">
        <v>490</v>
      </c>
      <c r="G6" s="46" t="s">
        <v>480</v>
      </c>
      <c r="H6" s="46" t="s">
        <v>490</v>
      </c>
      <c r="I6" s="199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52" t="s">
        <v>442</v>
      </c>
      <c r="D7" s="118">
        <v>128</v>
      </c>
      <c r="E7" s="119">
        <v>125</v>
      </c>
      <c r="F7" s="54">
        <f>E7/$D7</f>
        <v>0.9765625</v>
      </c>
      <c r="G7" s="53">
        <f>D7-E7</f>
        <v>3</v>
      </c>
      <c r="H7" s="54">
        <f>G7/$D7</f>
        <v>2.34375E-2</v>
      </c>
      <c r="I7" s="137">
        <v>5</v>
      </c>
      <c r="J7" s="56"/>
      <c r="P7" s="56"/>
      <c r="U7" s="57"/>
      <c r="V7" s="56"/>
      <c r="AA7" s="57"/>
      <c r="AB7" s="56"/>
      <c r="AG7" s="57"/>
      <c r="AH7" s="56"/>
      <c r="AM7" s="57"/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t="s">
        <v>45</v>
      </c>
      <c r="D8" s="62">
        <f>51+89</f>
        <v>140</v>
      </c>
      <c r="E8" s="63">
        <v>89</v>
      </c>
      <c r="F8" s="64">
        <f t="shared" ref="F8:H18" si="0">E8/$D8</f>
        <v>0.63571428571428568</v>
      </c>
      <c r="G8" s="63">
        <f t="shared" ref="G8:G17" si="1">D8-E8</f>
        <v>51</v>
      </c>
      <c r="H8" s="64">
        <f t="shared" si="0"/>
        <v>0.36428571428571427</v>
      </c>
      <c r="I8" s="55">
        <v>5</v>
      </c>
      <c r="J8" s="56"/>
      <c r="P8" s="56"/>
      <c r="U8" s="57"/>
      <c r="V8" s="56"/>
      <c r="AA8" s="57"/>
      <c r="AB8" s="56"/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t="s">
        <v>24</v>
      </c>
      <c r="D9" s="62">
        <v>75</v>
      </c>
      <c r="E9" s="63">
        <v>75</v>
      </c>
      <c r="F9" s="64">
        <f t="shared" si="0"/>
        <v>1</v>
      </c>
      <c r="G9" s="63">
        <f t="shared" si="1"/>
        <v>0</v>
      </c>
      <c r="H9" s="64">
        <f t="shared" si="0"/>
        <v>0</v>
      </c>
      <c r="I9" s="55">
        <v>4</v>
      </c>
      <c r="J9" s="56"/>
      <c r="P9" s="56"/>
      <c r="U9" s="57"/>
      <c r="V9" s="56"/>
      <c r="AA9" s="57"/>
      <c r="AB9" s="56"/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t="s">
        <v>43</v>
      </c>
      <c r="D10" s="62">
        <f>7+64</f>
        <v>71</v>
      </c>
      <c r="E10" s="63">
        <v>64</v>
      </c>
      <c r="F10" s="64">
        <f t="shared" si="0"/>
        <v>0.90140845070422537</v>
      </c>
      <c r="G10" s="63">
        <f t="shared" si="1"/>
        <v>7</v>
      </c>
      <c r="H10" s="64">
        <f t="shared" si="0"/>
        <v>9.8591549295774641E-2</v>
      </c>
      <c r="I10" s="55">
        <v>8</v>
      </c>
      <c r="J10" s="56"/>
      <c r="P10" s="56"/>
      <c r="U10" s="57"/>
      <c r="V10" s="56"/>
      <c r="AA10" s="57"/>
      <c r="AB10" s="56"/>
      <c r="AG10" s="57"/>
      <c r="AH10" s="56"/>
      <c r="AM10" s="57"/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t="s">
        <v>37</v>
      </c>
      <c r="D11" s="62">
        <f>7+51</f>
        <v>58</v>
      </c>
      <c r="E11" s="63">
        <v>51</v>
      </c>
      <c r="F11" s="64">
        <f t="shared" si="0"/>
        <v>0.87931034482758619</v>
      </c>
      <c r="G11" s="63">
        <f t="shared" si="1"/>
        <v>7</v>
      </c>
      <c r="H11" s="64">
        <f t="shared" si="0"/>
        <v>0.1206896551724138</v>
      </c>
      <c r="I11" s="55">
        <v>5</v>
      </c>
      <c r="J11" s="56"/>
      <c r="L11">
        <v>3</v>
      </c>
      <c r="M11">
        <v>19</v>
      </c>
      <c r="N11">
        <v>16</v>
      </c>
      <c r="O11">
        <v>4</v>
      </c>
      <c r="P11" s="56"/>
      <c r="R11">
        <v>1</v>
      </c>
      <c r="S11">
        <v>16</v>
      </c>
      <c r="T11">
        <v>13</v>
      </c>
      <c r="U11" s="57">
        <v>12</v>
      </c>
      <c r="V11" s="56"/>
      <c r="X11">
        <v>7</v>
      </c>
      <c r="Y11">
        <v>18</v>
      </c>
      <c r="Z11">
        <v>14</v>
      </c>
      <c r="AA11" s="57">
        <v>3</v>
      </c>
      <c r="AB11" s="56"/>
      <c r="AD11">
        <v>3</v>
      </c>
      <c r="AE11">
        <v>18</v>
      </c>
      <c r="AF11">
        <v>18</v>
      </c>
      <c r="AG11" s="57">
        <v>3</v>
      </c>
      <c r="AH11" s="56"/>
      <c r="AJ11">
        <v>3</v>
      </c>
      <c r="AK11">
        <v>14</v>
      </c>
      <c r="AL11">
        <v>15</v>
      </c>
      <c r="AM11" s="57">
        <v>10</v>
      </c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B12" s="60">
        <v>6</v>
      </c>
      <c r="C12" t="s">
        <v>18</v>
      </c>
      <c r="D12" s="135">
        <v>70</v>
      </c>
      <c r="E12" s="136">
        <v>49</v>
      </c>
      <c r="F12" s="64">
        <f t="shared" si="0"/>
        <v>0.7</v>
      </c>
      <c r="G12" s="63">
        <f t="shared" si="1"/>
        <v>21</v>
      </c>
      <c r="H12" s="64">
        <f t="shared" si="0"/>
        <v>0.3</v>
      </c>
      <c r="I12" s="137">
        <v>9</v>
      </c>
      <c r="J12" s="56"/>
      <c r="P12" s="56"/>
      <c r="U12" s="57"/>
      <c r="V12" s="56"/>
      <c r="AA12" s="57"/>
      <c r="AB12" s="56"/>
      <c r="AG12" s="57"/>
      <c r="AH12" s="56"/>
      <c r="AM12" s="57"/>
      <c r="AN12" s="56"/>
      <c r="AS12" s="57"/>
      <c r="AT12" s="56"/>
      <c r="AY12" s="57"/>
      <c r="AZ12" s="56"/>
      <c r="BE12" s="57"/>
      <c r="BF12" s="56"/>
      <c r="BK12" s="57"/>
      <c r="BL12" s="56"/>
      <c r="BQ12" s="57"/>
      <c r="BR12" s="56"/>
      <c r="BW12" s="57"/>
      <c r="CC12" s="58" t="s">
        <v>496</v>
      </c>
      <c r="CD12" s="58" t="s">
        <v>473</v>
      </c>
      <c r="CE12" s="59">
        <v>0</v>
      </c>
    </row>
    <row r="13" spans="2:83" x14ac:dyDescent="0.3">
      <c r="B13" s="60">
        <v>7</v>
      </c>
      <c r="C13" t="s">
        <v>7</v>
      </c>
      <c r="D13" s="62">
        <f>10+88</f>
        <v>98</v>
      </c>
      <c r="E13" s="63">
        <v>88</v>
      </c>
      <c r="F13" s="64">
        <f t="shared" si="0"/>
        <v>0.89795918367346939</v>
      </c>
      <c r="G13" s="63">
        <f t="shared" si="1"/>
        <v>10</v>
      </c>
      <c r="H13" s="64">
        <f t="shared" si="0"/>
        <v>0.10204081632653061</v>
      </c>
      <c r="I13" s="55">
        <v>4</v>
      </c>
      <c r="J13" s="56"/>
      <c r="P13" s="56"/>
      <c r="U13" s="57"/>
      <c r="V13" s="56"/>
      <c r="AA13" s="57"/>
      <c r="AB13" s="56"/>
      <c r="AG13" s="57"/>
      <c r="AH13" s="56"/>
      <c r="AM13" s="57"/>
      <c r="AN13" s="56"/>
      <c r="AS13" s="57"/>
      <c r="AT13" s="56"/>
      <c r="AY13" s="57"/>
      <c r="AZ13" s="56"/>
      <c r="BE13" s="57"/>
      <c r="BF13" s="56"/>
      <c r="BK13" s="57"/>
      <c r="BL13" s="56"/>
      <c r="BQ13" s="57"/>
      <c r="BR13" s="56"/>
      <c r="BW13" s="57"/>
    </row>
    <row r="14" spans="2:83" x14ac:dyDescent="0.3">
      <c r="B14" s="60">
        <v>8</v>
      </c>
      <c r="C14" t="s">
        <v>12</v>
      </c>
      <c r="D14" s="62">
        <f>42+80</f>
        <v>122</v>
      </c>
      <c r="E14" s="63">
        <v>80</v>
      </c>
      <c r="F14" s="64">
        <f t="shared" si="0"/>
        <v>0.65573770491803274</v>
      </c>
      <c r="G14" s="63">
        <f t="shared" si="1"/>
        <v>42</v>
      </c>
      <c r="H14" s="64">
        <f t="shared" si="0"/>
        <v>0.34426229508196721</v>
      </c>
      <c r="I14" s="55">
        <v>5</v>
      </c>
      <c r="J14" s="56"/>
      <c r="P14" s="56"/>
      <c r="U14" s="57"/>
      <c r="V14" s="56"/>
      <c r="AA14" s="57"/>
      <c r="AB14" s="56"/>
      <c r="AG14" s="57"/>
      <c r="AH14" s="56"/>
      <c r="AM14" s="57"/>
      <c r="AN14" s="56"/>
      <c r="AS14" s="57"/>
      <c r="AT14" s="56"/>
      <c r="AY14" s="57"/>
      <c r="AZ14" s="56"/>
      <c r="BE14" s="57"/>
      <c r="BF14" s="56"/>
      <c r="BK14" s="57"/>
      <c r="BL14" s="56"/>
      <c r="BQ14" s="57"/>
      <c r="BR14" s="56"/>
      <c r="BW14" s="57"/>
    </row>
    <row r="15" spans="2:83" x14ac:dyDescent="0.3">
      <c r="B15" s="60">
        <v>9</v>
      </c>
      <c r="C15" t="s">
        <v>32</v>
      </c>
      <c r="D15" s="135">
        <v>105</v>
      </c>
      <c r="E15" s="136">
        <v>93</v>
      </c>
      <c r="F15" s="64">
        <f t="shared" si="0"/>
        <v>0.88571428571428568</v>
      </c>
      <c r="G15" s="63">
        <f t="shared" si="1"/>
        <v>12</v>
      </c>
      <c r="H15" s="64">
        <f t="shared" si="0"/>
        <v>0.11428571428571428</v>
      </c>
      <c r="I15" s="137">
        <v>4</v>
      </c>
      <c r="J15" s="56"/>
      <c r="P15" s="56"/>
      <c r="U15" s="57"/>
      <c r="V15" s="56"/>
      <c r="AA15" s="57"/>
      <c r="AB15" s="56"/>
      <c r="AG15" s="57"/>
      <c r="AH15" s="56"/>
      <c r="AM15" s="57"/>
      <c r="AN15" s="56"/>
      <c r="AS15" s="57"/>
      <c r="AT15" s="56"/>
      <c r="AY15" s="57"/>
      <c r="AZ15" s="56"/>
      <c r="BE15" s="57"/>
      <c r="BF15" s="56"/>
      <c r="BK15" s="57"/>
      <c r="BL15" s="56"/>
      <c r="BQ15" s="57"/>
      <c r="BR15" s="56"/>
      <c r="BW15" s="57"/>
    </row>
    <row r="16" spans="2:83" x14ac:dyDescent="0.3">
      <c r="B16" s="60">
        <v>10</v>
      </c>
      <c r="C16" t="s">
        <v>44</v>
      </c>
      <c r="D16" s="62">
        <f>23+54</f>
        <v>77</v>
      </c>
      <c r="E16" s="63">
        <v>54</v>
      </c>
      <c r="F16" s="64">
        <f t="shared" si="0"/>
        <v>0.70129870129870131</v>
      </c>
      <c r="G16" s="63">
        <f t="shared" si="1"/>
        <v>23</v>
      </c>
      <c r="H16" s="64">
        <f t="shared" si="0"/>
        <v>0.29870129870129869</v>
      </c>
      <c r="I16" s="55">
        <v>7</v>
      </c>
      <c r="J16" s="56"/>
      <c r="P16" s="56"/>
      <c r="U16" s="57"/>
      <c r="V16" s="56"/>
      <c r="AA16" s="57"/>
      <c r="AB16" s="56"/>
      <c r="AG16" s="57"/>
      <c r="AH16" s="56"/>
      <c r="AM16" s="57"/>
      <c r="AN16" s="56"/>
      <c r="AS16" s="57"/>
      <c r="AT16" s="56"/>
      <c r="AY16" s="57"/>
      <c r="AZ16" s="56"/>
      <c r="BE16" s="57"/>
      <c r="BF16" s="56"/>
      <c r="BK16" s="57"/>
      <c r="BL16" s="56"/>
      <c r="BQ16" s="57"/>
      <c r="BR16" s="56"/>
      <c r="BW16" s="57"/>
    </row>
    <row r="17" spans="2:75" x14ac:dyDescent="0.3">
      <c r="B17" s="65">
        <v>11</v>
      </c>
      <c r="C17" t="s">
        <v>29</v>
      </c>
      <c r="D17" s="116">
        <v>78</v>
      </c>
      <c r="E17" s="117">
        <v>73</v>
      </c>
      <c r="F17" s="67">
        <f t="shared" si="0"/>
        <v>0.9358974358974359</v>
      </c>
      <c r="G17" s="66">
        <f t="shared" si="1"/>
        <v>5</v>
      </c>
      <c r="H17" s="67">
        <f t="shared" si="0"/>
        <v>6.4102564102564097E-2</v>
      </c>
      <c r="I17" s="138">
        <v>3</v>
      </c>
      <c r="J17" s="68"/>
      <c r="K17" s="69"/>
      <c r="L17" s="69"/>
      <c r="M17" s="69"/>
      <c r="N17" s="69"/>
      <c r="O17" s="69"/>
      <c r="P17" s="68"/>
      <c r="Q17" s="69"/>
      <c r="R17" s="69"/>
      <c r="S17" s="69"/>
      <c r="T17" s="69"/>
      <c r="U17" s="70"/>
      <c r="V17" s="68"/>
      <c r="W17" s="69"/>
      <c r="X17" s="69"/>
      <c r="Y17" s="69"/>
      <c r="Z17" s="69"/>
      <c r="AA17" s="57"/>
      <c r="AB17" s="68"/>
      <c r="AC17" s="69"/>
      <c r="AD17" s="69"/>
      <c r="AE17" s="69"/>
      <c r="AF17" s="69"/>
      <c r="AG17" s="70"/>
      <c r="AH17" s="68"/>
      <c r="AI17" s="69"/>
      <c r="AJ17" s="69"/>
      <c r="AK17" s="69"/>
      <c r="AL17" s="69"/>
      <c r="AM17" s="70"/>
      <c r="AN17" s="68"/>
      <c r="AO17" s="69"/>
      <c r="AP17" s="69"/>
      <c r="AQ17" s="69"/>
      <c r="AR17" s="69"/>
      <c r="AS17" s="70"/>
      <c r="AT17" s="68"/>
      <c r="AU17" s="69"/>
      <c r="AV17" s="69"/>
      <c r="AW17" s="69"/>
      <c r="AX17" s="69"/>
      <c r="AY17" s="70"/>
      <c r="AZ17" s="68"/>
      <c r="BA17" s="69"/>
      <c r="BB17" s="69"/>
      <c r="BC17" s="69"/>
      <c r="BD17" s="69"/>
      <c r="BE17" s="70"/>
      <c r="BF17" s="68"/>
      <c r="BG17" s="69"/>
      <c r="BH17" s="69"/>
      <c r="BI17" s="69"/>
      <c r="BJ17" s="69"/>
      <c r="BK17" s="70"/>
      <c r="BL17" s="68"/>
      <c r="BM17" s="69"/>
      <c r="BN17" s="69"/>
      <c r="BO17" s="69"/>
      <c r="BP17" s="69"/>
      <c r="BQ17" s="70"/>
      <c r="BR17" s="68"/>
      <c r="BS17" s="69"/>
      <c r="BT17" s="69"/>
      <c r="BU17" s="69"/>
      <c r="BV17" s="69"/>
      <c r="BW17" s="70"/>
    </row>
    <row r="18" spans="2:75" x14ac:dyDescent="0.3">
      <c r="D18" s="71">
        <f>SUM(D7:D17)</f>
        <v>1022</v>
      </c>
      <c r="E18" s="71">
        <f>SUM(E7:E17)</f>
        <v>841</v>
      </c>
      <c r="F18" s="72">
        <f t="shared" si="0"/>
        <v>0.82289628180039143</v>
      </c>
      <c r="G18" s="71">
        <f>SUM(G7:G17)</f>
        <v>181</v>
      </c>
      <c r="H18" s="72">
        <f t="shared" si="0"/>
        <v>0.1771037181996086</v>
      </c>
      <c r="I18" s="71">
        <f>SUM(I7:I17)</f>
        <v>59</v>
      </c>
    </row>
    <row r="19" spans="2:75" x14ac:dyDescent="0.3">
      <c r="D19" s="71"/>
      <c r="E19" s="71"/>
      <c r="F19" s="72"/>
      <c r="G19" s="71"/>
      <c r="H19" s="72"/>
      <c r="I19" s="71"/>
    </row>
    <row r="20" spans="2:75" ht="15.6" x14ac:dyDescent="0.3">
      <c r="B20" s="73" t="s">
        <v>500</v>
      </c>
      <c r="C20" s="74"/>
      <c r="E20" s="72"/>
      <c r="F20" s="72"/>
      <c r="G20" s="72"/>
      <c r="H20" s="72"/>
    </row>
    <row r="22" spans="2:75" x14ac:dyDescent="0.3">
      <c r="B22" s="197" t="s">
        <v>474</v>
      </c>
      <c r="C22" s="197" t="s">
        <v>5</v>
      </c>
      <c r="D22" s="197" t="s">
        <v>475</v>
      </c>
      <c r="E22" s="186" t="s">
        <v>476</v>
      </c>
      <c r="F22" s="186"/>
      <c r="G22" s="186"/>
      <c r="H22" s="186"/>
      <c r="I22" s="184" t="s">
        <v>477</v>
      </c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5"/>
      <c r="AO22" s="185"/>
      <c r="AP22" s="185"/>
      <c r="AQ22" s="185"/>
      <c r="AR22" s="185"/>
      <c r="AS22" s="185"/>
      <c r="AT22" s="185"/>
      <c r="AU22" s="185"/>
      <c r="AV22" s="185"/>
      <c r="AW22" s="185"/>
      <c r="AX22" s="185"/>
      <c r="AY22" s="185"/>
      <c r="AZ22" s="185"/>
      <c r="BA22" s="185"/>
      <c r="BB22" s="185"/>
      <c r="BC22" s="185"/>
      <c r="BD22" s="185"/>
      <c r="BE22" s="185"/>
      <c r="BF22" s="185"/>
      <c r="BG22" s="185"/>
      <c r="BH22" s="185"/>
      <c r="BI22" s="185"/>
      <c r="BJ22" s="185"/>
      <c r="BK22" s="185"/>
      <c r="BL22" s="185"/>
      <c r="BM22" s="185"/>
      <c r="BN22" s="185"/>
      <c r="BO22" s="185"/>
      <c r="BP22" s="185"/>
      <c r="BQ22" s="185"/>
      <c r="BR22" s="185"/>
      <c r="BS22" s="185"/>
      <c r="BT22" s="185"/>
      <c r="BU22" s="185"/>
      <c r="BV22" s="185"/>
      <c r="BW22" s="185"/>
    </row>
    <row r="23" spans="2:75" x14ac:dyDescent="0.3">
      <c r="B23" s="197"/>
      <c r="C23" s="197"/>
      <c r="D23" s="197"/>
      <c r="E23" s="186" t="s">
        <v>478</v>
      </c>
      <c r="F23" s="186"/>
      <c r="G23" s="45" t="s">
        <v>479</v>
      </c>
      <c r="H23" s="45"/>
      <c r="I23" s="199" t="s">
        <v>480</v>
      </c>
      <c r="J23" s="188" t="s">
        <v>481</v>
      </c>
      <c r="K23" s="182"/>
      <c r="L23" s="182"/>
      <c r="M23" s="182"/>
      <c r="N23" s="182"/>
      <c r="O23" s="182"/>
      <c r="P23" s="182" t="s">
        <v>482</v>
      </c>
      <c r="Q23" s="182"/>
      <c r="R23" s="182"/>
      <c r="S23" s="182"/>
      <c r="T23" s="182"/>
      <c r="U23" s="182"/>
      <c r="V23" s="182" t="s">
        <v>483</v>
      </c>
      <c r="W23" s="182"/>
      <c r="X23" s="182"/>
      <c r="Y23" s="182"/>
      <c r="Z23" s="182"/>
      <c r="AA23" s="182"/>
      <c r="AB23" s="182" t="s">
        <v>484</v>
      </c>
      <c r="AC23" s="182"/>
      <c r="AD23" s="182"/>
      <c r="AE23" s="182"/>
      <c r="AF23" s="182"/>
      <c r="AG23" s="182"/>
      <c r="AH23" s="182" t="s">
        <v>485</v>
      </c>
      <c r="AI23" s="182"/>
      <c r="AJ23" s="182"/>
      <c r="AK23" s="182"/>
      <c r="AL23" s="182"/>
      <c r="AM23" s="182"/>
      <c r="AN23" s="182" t="s">
        <v>486</v>
      </c>
      <c r="AO23" s="182"/>
      <c r="AP23" s="182"/>
      <c r="AQ23" s="182"/>
      <c r="AR23" s="182"/>
      <c r="AS23" s="182"/>
      <c r="AT23" s="182" t="s">
        <v>487</v>
      </c>
      <c r="AU23" s="182"/>
      <c r="AV23" s="182"/>
      <c r="AW23" s="182"/>
      <c r="AX23" s="182"/>
      <c r="AY23" s="182"/>
      <c r="AZ23" s="182" t="s">
        <v>488</v>
      </c>
      <c r="BA23" s="182"/>
      <c r="BB23" s="182"/>
      <c r="BC23" s="182"/>
      <c r="BD23" s="182"/>
      <c r="BE23" s="183"/>
      <c r="BF23" s="182" t="s">
        <v>516</v>
      </c>
      <c r="BG23" s="182"/>
      <c r="BH23" s="182"/>
      <c r="BI23" s="182"/>
      <c r="BJ23" s="182"/>
      <c r="BK23" s="183"/>
      <c r="BL23" s="182" t="s">
        <v>517</v>
      </c>
      <c r="BM23" s="182"/>
      <c r="BN23" s="182"/>
      <c r="BO23" s="182"/>
      <c r="BP23" s="182"/>
      <c r="BQ23" s="183"/>
      <c r="BR23" s="182" t="s">
        <v>518</v>
      </c>
      <c r="BS23" s="182"/>
      <c r="BT23" s="182"/>
      <c r="BU23" s="182"/>
      <c r="BV23" s="182"/>
      <c r="BW23" s="183"/>
    </row>
    <row r="24" spans="2:75" x14ac:dyDescent="0.3">
      <c r="B24" s="198"/>
      <c r="C24" s="198"/>
      <c r="D24" s="198"/>
      <c r="E24" s="46" t="s">
        <v>480</v>
      </c>
      <c r="F24" s="46" t="s">
        <v>490</v>
      </c>
      <c r="G24" s="46" t="s">
        <v>480</v>
      </c>
      <c r="H24" s="46" t="s">
        <v>490</v>
      </c>
      <c r="I24" s="199"/>
      <c r="J24" s="75" t="s">
        <v>491</v>
      </c>
      <c r="K24" s="76" t="s">
        <v>492</v>
      </c>
      <c r="L24" s="76" t="s">
        <v>493</v>
      </c>
      <c r="M24" s="76" t="s">
        <v>494</v>
      </c>
      <c r="N24" s="76" t="s">
        <v>495</v>
      </c>
      <c r="O24" s="76" t="s">
        <v>496</v>
      </c>
      <c r="P24" s="48" t="s">
        <v>491</v>
      </c>
      <c r="Q24" s="48" t="s">
        <v>492</v>
      </c>
      <c r="R24" s="48" t="s">
        <v>493</v>
      </c>
      <c r="S24" s="48" t="s">
        <v>494</v>
      </c>
      <c r="T24" s="48" t="s">
        <v>495</v>
      </c>
      <c r="U24" s="48" t="s">
        <v>496</v>
      </c>
      <c r="V24" s="48" t="s">
        <v>491</v>
      </c>
      <c r="W24" s="48" t="s">
        <v>492</v>
      </c>
      <c r="X24" s="48" t="s">
        <v>493</v>
      </c>
      <c r="Y24" s="48" t="s">
        <v>494</v>
      </c>
      <c r="Z24" s="48" t="s">
        <v>495</v>
      </c>
      <c r="AA24" s="48" t="s">
        <v>496</v>
      </c>
      <c r="AB24" s="48" t="s">
        <v>491</v>
      </c>
      <c r="AC24" s="48" t="s">
        <v>492</v>
      </c>
      <c r="AD24" s="48" t="s">
        <v>493</v>
      </c>
      <c r="AE24" s="48" t="s">
        <v>494</v>
      </c>
      <c r="AF24" s="48" t="s">
        <v>495</v>
      </c>
      <c r="AG24" s="48" t="s">
        <v>496</v>
      </c>
      <c r="AH24" s="48" t="s">
        <v>491</v>
      </c>
      <c r="AI24" s="48" t="s">
        <v>492</v>
      </c>
      <c r="AJ24" s="48" t="s">
        <v>493</v>
      </c>
      <c r="AK24" s="48" t="s">
        <v>494</v>
      </c>
      <c r="AL24" s="48" t="s">
        <v>495</v>
      </c>
      <c r="AM24" s="48" t="s">
        <v>496</v>
      </c>
      <c r="AN24" s="48" t="s">
        <v>491</v>
      </c>
      <c r="AO24" s="48" t="s">
        <v>492</v>
      </c>
      <c r="AP24" s="48" t="s">
        <v>493</v>
      </c>
      <c r="AQ24" s="48" t="s">
        <v>494</v>
      </c>
      <c r="AR24" s="48" t="s">
        <v>495</v>
      </c>
      <c r="AS24" s="48" t="s">
        <v>496</v>
      </c>
      <c r="AT24" s="48" t="s">
        <v>491</v>
      </c>
      <c r="AU24" s="48" t="s">
        <v>492</v>
      </c>
      <c r="AV24" s="48" t="s">
        <v>493</v>
      </c>
      <c r="AW24" s="48" t="s">
        <v>494</v>
      </c>
      <c r="AX24" s="48" t="s">
        <v>495</v>
      </c>
      <c r="AY24" s="48" t="s">
        <v>496</v>
      </c>
      <c r="AZ24" s="48" t="s">
        <v>491</v>
      </c>
      <c r="BA24" s="48" t="s">
        <v>492</v>
      </c>
      <c r="BB24" s="48" t="s">
        <v>493</v>
      </c>
      <c r="BC24" s="48" t="s">
        <v>494</v>
      </c>
      <c r="BD24" s="48" t="s">
        <v>495</v>
      </c>
      <c r="BE24" s="49" t="s">
        <v>496</v>
      </c>
      <c r="BF24" s="48" t="s">
        <v>491</v>
      </c>
      <c r="BG24" s="48" t="s">
        <v>492</v>
      </c>
      <c r="BH24" s="48" t="s">
        <v>493</v>
      </c>
      <c r="BI24" s="48" t="s">
        <v>494</v>
      </c>
      <c r="BJ24" s="48" t="s">
        <v>495</v>
      </c>
      <c r="BK24" s="49" t="s">
        <v>496</v>
      </c>
      <c r="BL24" s="48" t="s">
        <v>491</v>
      </c>
      <c r="BM24" s="48" t="s">
        <v>492</v>
      </c>
      <c r="BN24" s="48" t="s">
        <v>493</v>
      </c>
      <c r="BO24" s="48" t="s">
        <v>494</v>
      </c>
      <c r="BP24" s="48" t="s">
        <v>495</v>
      </c>
      <c r="BQ24" s="49" t="s">
        <v>496</v>
      </c>
      <c r="BR24" s="48" t="s">
        <v>491</v>
      </c>
      <c r="BS24" s="48" t="s">
        <v>492</v>
      </c>
      <c r="BT24" s="48" t="s">
        <v>493</v>
      </c>
      <c r="BU24" s="48" t="s">
        <v>494</v>
      </c>
      <c r="BV24" s="48" t="s">
        <v>495</v>
      </c>
      <c r="BW24" s="49" t="s">
        <v>496</v>
      </c>
    </row>
    <row r="25" spans="2:75" x14ac:dyDescent="0.3">
      <c r="B25" s="51">
        <v>1</v>
      </c>
      <c r="C25" s="52" t="str">
        <f>C7</f>
        <v>SistemasTI</v>
      </c>
      <c r="D25" s="130">
        <f>D7</f>
        <v>128</v>
      </c>
      <c r="E25" s="131">
        <f>E7</f>
        <v>125</v>
      </c>
      <c r="F25" s="54">
        <f t="shared" ref="F25:I25" si="2">F7</f>
        <v>0.9765625</v>
      </c>
      <c r="G25" s="53">
        <f t="shared" si="2"/>
        <v>3</v>
      </c>
      <c r="H25" s="54">
        <f t="shared" si="2"/>
        <v>2.34375E-2</v>
      </c>
      <c r="I25" s="137">
        <f t="shared" si="2"/>
        <v>5</v>
      </c>
      <c r="J25" s="77">
        <f t="shared" ref="J25:O35" si="3">IF(AND(J7&lt;&gt;"",J7&gt;0),(VLOOKUP(J$6,$CC$6:$CE$12,3,0)*J7)/SUM($J7:$N7),0)</f>
        <v>0</v>
      </c>
      <c r="K25" s="78">
        <f t="shared" si="3"/>
        <v>0</v>
      </c>
      <c r="L25" s="78">
        <f t="shared" si="3"/>
        <v>0</v>
      </c>
      <c r="M25" s="78">
        <f t="shared" si="3"/>
        <v>0</v>
      </c>
      <c r="N25" s="78">
        <f t="shared" si="3"/>
        <v>0</v>
      </c>
      <c r="O25" s="78">
        <f t="shared" si="3"/>
        <v>0</v>
      </c>
      <c r="P25" s="77">
        <f t="shared" ref="P25:U35" si="4">IF(AND(P7&lt;&gt;"",P7&gt;0),(VLOOKUP(P$6,$CC$6:$CE$12,3,0)*P7)/SUM($P7:$T7),0)</f>
        <v>0</v>
      </c>
      <c r="Q25" s="78">
        <f t="shared" si="4"/>
        <v>0</v>
      </c>
      <c r="R25" s="78">
        <f t="shared" si="4"/>
        <v>0</v>
      </c>
      <c r="S25" s="78">
        <f>IF(AND(S7&lt;&gt;"",S7&gt;0),(VLOOKUP(S$6,$CC$6:$CE$12,3,0)*S7)/SUM($P7:$T7),0)</f>
        <v>0</v>
      </c>
      <c r="T25" s="78">
        <f t="shared" si="4"/>
        <v>0</v>
      </c>
      <c r="U25" s="78">
        <f t="shared" si="4"/>
        <v>0</v>
      </c>
      <c r="V25" s="77">
        <f t="shared" ref="V25:AA35" si="5">IF(AND(V7&lt;&gt;"",V7&gt;0),(VLOOKUP(V$6,$CC$6:$CE$12,3,0)*V7)/SUM($V7:$Z7),0)</f>
        <v>0</v>
      </c>
      <c r="W25" s="78">
        <f t="shared" si="5"/>
        <v>0</v>
      </c>
      <c r="X25" s="78">
        <f t="shared" si="5"/>
        <v>0</v>
      </c>
      <c r="Y25" s="78">
        <f t="shared" si="5"/>
        <v>0</v>
      </c>
      <c r="Z25" s="78">
        <f t="shared" si="5"/>
        <v>0</v>
      </c>
      <c r="AA25" s="78">
        <f t="shared" si="5"/>
        <v>0</v>
      </c>
      <c r="AB25" s="77">
        <f t="shared" ref="AB25:AG26" si="6">IF(AND(AB7&lt;&gt;"",AB7&gt;0),(VLOOKUP(AB$6,$CC$6:$CE$12,3,0)*AB7)/SUM($AB7:$AF7),0)</f>
        <v>0</v>
      </c>
      <c r="AC25" s="78">
        <f t="shared" si="6"/>
        <v>0</v>
      </c>
      <c r="AD25" s="78">
        <f t="shared" si="6"/>
        <v>0</v>
      </c>
      <c r="AE25" s="78">
        <f t="shared" si="6"/>
        <v>0</v>
      </c>
      <c r="AF25" s="78">
        <f t="shared" si="6"/>
        <v>0</v>
      </c>
      <c r="AG25" s="78">
        <f t="shared" si="6"/>
        <v>0</v>
      </c>
      <c r="AH25" s="77">
        <f t="shared" ref="AH25:AM27" si="7">IF(AND(AH7&lt;&gt;"",AH7&gt;0),(VLOOKUP(AH$6,$CC$6:$CE$12,3,0)*AH7)/SUM($AH7:$AL7),0)</f>
        <v>0</v>
      </c>
      <c r="AI25" s="78">
        <f t="shared" si="7"/>
        <v>0</v>
      </c>
      <c r="AJ25" s="78">
        <f t="shared" si="7"/>
        <v>0</v>
      </c>
      <c r="AK25" s="78">
        <f t="shared" si="7"/>
        <v>0</v>
      </c>
      <c r="AL25" s="78">
        <f t="shared" si="7"/>
        <v>0</v>
      </c>
      <c r="AM25" s="78">
        <f t="shared" si="7"/>
        <v>0</v>
      </c>
      <c r="AN25" s="77">
        <f t="shared" ref="AN25:AS35" si="8">IF(AND(AN7&lt;&gt;"",AN7&gt;0),(VLOOKUP(AN$6,$CC$6:$CE$12,3,0)*AN7)/SUM($AN7:$AR7),0)</f>
        <v>0</v>
      </c>
      <c r="AO25" s="78">
        <f t="shared" si="8"/>
        <v>0</v>
      </c>
      <c r="AP25" s="78">
        <f t="shared" si="8"/>
        <v>0</v>
      </c>
      <c r="AQ25" s="78">
        <f t="shared" si="8"/>
        <v>0</v>
      </c>
      <c r="AR25" s="78">
        <f t="shared" si="8"/>
        <v>0</v>
      </c>
      <c r="AS25" s="78">
        <f t="shared" si="8"/>
        <v>0</v>
      </c>
      <c r="AT25" s="77">
        <f t="shared" ref="AT25:AY35" si="9">IF(AND(AT7&lt;&gt;"",AT7&gt;0),(VLOOKUP(AT$6,$CC$6:$CE$12,3,0)*AT7)/SUM($AT7:$AX7),0)</f>
        <v>0</v>
      </c>
      <c r="AU25" s="78">
        <f t="shared" si="9"/>
        <v>0</v>
      </c>
      <c r="AV25" s="78">
        <f t="shared" si="9"/>
        <v>0</v>
      </c>
      <c r="AW25" s="78">
        <f t="shared" si="9"/>
        <v>0</v>
      </c>
      <c r="AX25" s="78">
        <f t="shared" si="9"/>
        <v>0</v>
      </c>
      <c r="AY25" s="78">
        <f t="shared" si="9"/>
        <v>0</v>
      </c>
      <c r="AZ25" s="77">
        <f>IF(AND(AZ7&lt;&gt;"",AZ7&gt;0),(VLOOKUP(AZ$6,$CC$6:$CE$12,3,0)*AZ7)/SUM($AZ7:$BD7),0)</f>
        <v>0</v>
      </c>
      <c r="BA25" s="78">
        <f t="shared" ref="AZ25:BE35" si="10">IF(AND(BA7&lt;&gt;"",BA7&gt;0),(VLOOKUP(BA$6,$CC$6:$CE$12,3,0)*BA7)/SUM($AZ7:$BD7),0)</f>
        <v>0</v>
      </c>
      <c r="BB25" s="78">
        <f t="shared" si="10"/>
        <v>0</v>
      </c>
      <c r="BC25" s="78">
        <f t="shared" si="10"/>
        <v>0</v>
      </c>
      <c r="BD25" s="78">
        <f t="shared" si="10"/>
        <v>0</v>
      </c>
      <c r="BE25" s="78">
        <f>IF(AND(BE7&lt;&gt;"",BE7&gt;0),(VLOOKUP(BE$6,$CC$6:$CE$12,3,0)*BE7)/SUM($AZ7:$BD7),0)</f>
        <v>0</v>
      </c>
      <c r="BF25" s="78">
        <f>IF(AND(BF7&lt;&gt;"",BF7&gt;0),(VLOOKUP(BF$6,$CC$6:$CE$12,3,0)*BF7)/SUM($BF7:$BJ7),0)</f>
        <v>0</v>
      </c>
      <c r="BG25" s="78">
        <f t="shared" ref="BG25:BK25" si="11">IF(AND(BG7&lt;&gt;"",BG7&gt;0),(VLOOKUP(BG$6,$CC$6:$CE$12,3,0)*BG7)/SUM($BF7:$BJ7),0)</f>
        <v>0</v>
      </c>
      <c r="BH25" s="78">
        <f t="shared" si="11"/>
        <v>0</v>
      </c>
      <c r="BI25" s="78">
        <f t="shared" si="11"/>
        <v>0</v>
      </c>
      <c r="BJ25" s="78">
        <f t="shared" si="11"/>
        <v>0</v>
      </c>
      <c r="BK25" s="78">
        <f t="shared" si="11"/>
        <v>0</v>
      </c>
      <c r="BL25" s="77">
        <f>IF(AND(BL7&lt;&gt;"",BL7&gt;0),(VLOOKUP(BL$6,$CC$6:$CE$12,3,0)*BL7)/SUM($BL7:$BP7),0)</f>
        <v>0</v>
      </c>
      <c r="BM25" s="77">
        <f t="shared" ref="BM25:BQ25" si="12">IF(AND(BM7&lt;&gt;"",BM7&gt;0),(VLOOKUP(BM$6,$CC$6:$CE$12,3,0)*BM7)/SUM($BL7:$BP7),0)</f>
        <v>0</v>
      </c>
      <c r="BN25" s="77">
        <f t="shared" si="12"/>
        <v>0</v>
      </c>
      <c r="BO25" s="77">
        <f t="shared" si="12"/>
        <v>0</v>
      </c>
      <c r="BP25" s="77">
        <f>IF(AND(BP7&lt;&gt;"",BP7&gt;0),(VLOOKUP(BP$6,$CC$6:$CE$12,3,0)*BP7)/SUM($BL7:$BP7),0)</f>
        <v>0</v>
      </c>
      <c r="BQ25" s="77">
        <f t="shared" si="12"/>
        <v>0</v>
      </c>
      <c r="BR25" s="77">
        <f>IF(AND(BR7&lt;&gt;"",BR7&gt;0),(VLOOKUP(BR$6,$CC$6:$CE$12,3,0)*BR7)/SUM($BR7:$BV7),0)</f>
        <v>0</v>
      </c>
      <c r="BS25" s="77">
        <f t="shared" ref="BS25:BW25" si="13">IF(AND(BS7&lt;&gt;"",BS7&gt;0),(VLOOKUP(BS$6,$CC$6:$CE$12,3,0)*BS7)/SUM($BR7:$BV7),0)</f>
        <v>0</v>
      </c>
      <c r="BT25" s="77">
        <f t="shared" si="13"/>
        <v>0</v>
      </c>
      <c r="BU25" s="77">
        <f t="shared" si="13"/>
        <v>0</v>
      </c>
      <c r="BV25" s="77">
        <f t="shared" si="13"/>
        <v>0</v>
      </c>
      <c r="BW25" s="77">
        <f t="shared" si="13"/>
        <v>0</v>
      </c>
    </row>
    <row r="26" spans="2:75" x14ac:dyDescent="0.3">
      <c r="B26" s="60">
        <v>2</v>
      </c>
      <c r="C26" s="61" t="str">
        <f>C8</f>
        <v>Sistema integrado de gestión</v>
      </c>
      <c r="D26" s="130">
        <f t="shared" ref="D26:E35" si="14">D8</f>
        <v>140</v>
      </c>
      <c r="E26" s="131">
        <f t="shared" si="14"/>
        <v>89</v>
      </c>
      <c r="F26" s="64">
        <f t="shared" ref="E26:I36" si="15">F8</f>
        <v>0.63571428571428568</v>
      </c>
      <c r="G26" s="63">
        <f t="shared" si="15"/>
        <v>51</v>
      </c>
      <c r="H26" s="64">
        <f t="shared" si="15"/>
        <v>0.36428571428571427</v>
      </c>
      <c r="I26" s="55">
        <f t="shared" si="15"/>
        <v>5</v>
      </c>
      <c r="J26" s="77">
        <f t="shared" si="3"/>
        <v>0</v>
      </c>
      <c r="K26" s="78">
        <f t="shared" si="3"/>
        <v>0</v>
      </c>
      <c r="L26" s="78">
        <f t="shared" si="3"/>
        <v>0</v>
      </c>
      <c r="M26" s="78">
        <f t="shared" si="3"/>
        <v>0</v>
      </c>
      <c r="N26" s="78">
        <f t="shared" si="3"/>
        <v>0</v>
      </c>
      <c r="O26" s="78">
        <f t="shared" si="3"/>
        <v>0</v>
      </c>
      <c r="P26" s="77">
        <f t="shared" si="4"/>
        <v>0</v>
      </c>
      <c r="Q26" s="78">
        <f t="shared" si="4"/>
        <v>0</v>
      </c>
      <c r="R26" s="78">
        <f t="shared" si="4"/>
        <v>0</v>
      </c>
      <c r="S26" s="78">
        <f t="shared" si="4"/>
        <v>0</v>
      </c>
      <c r="T26" s="78">
        <f t="shared" si="4"/>
        <v>0</v>
      </c>
      <c r="U26" s="78">
        <f t="shared" si="4"/>
        <v>0</v>
      </c>
      <c r="V26" s="77">
        <f t="shared" si="5"/>
        <v>0</v>
      </c>
      <c r="W26" s="78">
        <f t="shared" si="5"/>
        <v>0</v>
      </c>
      <c r="X26" s="78">
        <f t="shared" si="5"/>
        <v>0</v>
      </c>
      <c r="Y26" s="78">
        <f t="shared" si="5"/>
        <v>0</v>
      </c>
      <c r="Z26" s="78">
        <f t="shared" si="5"/>
        <v>0</v>
      </c>
      <c r="AA26" s="78">
        <f t="shared" si="5"/>
        <v>0</v>
      </c>
      <c r="AB26" s="77">
        <f t="shared" si="6"/>
        <v>0</v>
      </c>
      <c r="AC26" s="78">
        <f t="shared" si="6"/>
        <v>0</v>
      </c>
      <c r="AD26" s="78">
        <f t="shared" si="6"/>
        <v>0</v>
      </c>
      <c r="AE26" s="78">
        <f t="shared" si="6"/>
        <v>0</v>
      </c>
      <c r="AF26" s="78">
        <f t="shared" si="6"/>
        <v>0</v>
      </c>
      <c r="AG26" s="78">
        <f t="shared" si="6"/>
        <v>0</v>
      </c>
      <c r="AH26" s="77">
        <f t="shared" si="7"/>
        <v>0</v>
      </c>
      <c r="AI26" s="78">
        <f t="shared" si="7"/>
        <v>0</v>
      </c>
      <c r="AJ26" s="78">
        <f t="shared" si="7"/>
        <v>0</v>
      </c>
      <c r="AK26" s="78">
        <f t="shared" si="7"/>
        <v>0</v>
      </c>
      <c r="AL26" s="78">
        <f t="shared" si="7"/>
        <v>0</v>
      </c>
      <c r="AM26" s="78">
        <f t="shared" si="7"/>
        <v>0</v>
      </c>
      <c r="AN26" s="77">
        <f t="shared" si="8"/>
        <v>0</v>
      </c>
      <c r="AO26" s="78">
        <f t="shared" si="8"/>
        <v>0</v>
      </c>
      <c r="AP26" s="78">
        <f t="shared" si="8"/>
        <v>0</v>
      </c>
      <c r="AQ26" s="78">
        <f t="shared" si="8"/>
        <v>0</v>
      </c>
      <c r="AR26" s="78">
        <f t="shared" si="8"/>
        <v>0</v>
      </c>
      <c r="AS26" s="78">
        <f t="shared" si="8"/>
        <v>0</v>
      </c>
      <c r="AT26" s="77">
        <f t="shared" si="9"/>
        <v>0</v>
      </c>
      <c r="AU26" s="78">
        <f t="shared" si="9"/>
        <v>0</v>
      </c>
      <c r="AV26" s="78">
        <f>IF(AND(AV8&lt;&gt;"",AV8&gt;0),(VLOOKUP(AV$6,$CC$6:$CE$12,3,0)*AV8)/SUM($AT8:$AX8),0)</f>
        <v>0</v>
      </c>
      <c r="AW26" s="78">
        <f t="shared" si="9"/>
        <v>0</v>
      </c>
      <c r="AX26" s="78">
        <f t="shared" si="9"/>
        <v>0</v>
      </c>
      <c r="AY26" s="78">
        <f t="shared" si="9"/>
        <v>0</v>
      </c>
      <c r="AZ26" s="77">
        <f t="shared" si="10"/>
        <v>0</v>
      </c>
      <c r="BA26" s="78">
        <f t="shared" si="10"/>
        <v>0</v>
      </c>
      <c r="BB26" s="78">
        <f t="shared" si="10"/>
        <v>0</v>
      </c>
      <c r="BC26" s="78">
        <f t="shared" si="10"/>
        <v>0</v>
      </c>
      <c r="BD26" s="78">
        <f t="shared" si="10"/>
        <v>0</v>
      </c>
      <c r="BE26" s="78">
        <f t="shared" si="10"/>
        <v>0</v>
      </c>
      <c r="BF26" s="78">
        <f t="shared" ref="BF26:BK26" si="16">IF(AND(BF8&lt;&gt;"",BF8&gt;0),(VLOOKUP(BF$6,$CC$6:$CE$12,3,0)*BF8)/SUM($BF8:$BJ8),0)</f>
        <v>0</v>
      </c>
      <c r="BG26" s="78">
        <f t="shared" si="16"/>
        <v>0</v>
      </c>
      <c r="BH26" s="78">
        <f t="shared" si="16"/>
        <v>0</v>
      </c>
      <c r="BI26" s="78">
        <f t="shared" si="16"/>
        <v>0</v>
      </c>
      <c r="BJ26" s="78">
        <f t="shared" si="16"/>
        <v>0</v>
      </c>
      <c r="BK26" s="78">
        <f t="shared" si="16"/>
        <v>0</v>
      </c>
      <c r="BL26" s="77">
        <f t="shared" ref="BL26:BO26" si="17">IF(AND(BL8&lt;&gt;"",BL8&gt;0),(VLOOKUP(BL$6,$CC$6:$CE$12,3,0)*BL8)/SUM($BL8:$BP8),0)</f>
        <v>0</v>
      </c>
      <c r="BM26" s="77">
        <f t="shared" si="17"/>
        <v>0</v>
      </c>
      <c r="BN26" s="77">
        <f t="shared" si="17"/>
        <v>0</v>
      </c>
      <c r="BO26" s="77">
        <f t="shared" si="17"/>
        <v>0</v>
      </c>
      <c r="BP26" s="77">
        <f>IF(AND(BP8&lt;&gt;"",BP8&gt;0),(VLOOKUP(BP$6,$CC$6:$CE$12,3,0)*BP8)/SUM($BL8:$BP8),0)</f>
        <v>0</v>
      </c>
      <c r="BQ26" s="77">
        <f>IF(AND(BQ8&lt;&gt;"",BQ8&gt;0),(VLOOKUP(BQ$6,$CC$6:$CE$12,3,0)*BQ8)/SUM($BL8:$BP8),0)</f>
        <v>0</v>
      </c>
      <c r="BR26" s="77">
        <f t="shared" ref="BR26:BW26" si="18">IF(AND(BR8&lt;&gt;"",BR8&gt;0),(VLOOKUP(BR$6,$CC$6:$CE$12,3,0)*BR8)/SUM($BR8:$BV8),0)</f>
        <v>0</v>
      </c>
      <c r="BS26" s="77">
        <f t="shared" si="18"/>
        <v>0</v>
      </c>
      <c r="BT26" s="77">
        <f t="shared" si="18"/>
        <v>0</v>
      </c>
      <c r="BU26" s="77">
        <f t="shared" si="18"/>
        <v>0</v>
      </c>
      <c r="BV26" s="77">
        <f>IF(AND(BV8&lt;&gt;"",BV8&gt;0),(VLOOKUP(BV$6,$CC$6:$CE$12,3,0)*BV8)/SUM($BR8:$BV8),0)</f>
        <v>0</v>
      </c>
      <c r="BW26" s="77">
        <f t="shared" si="18"/>
        <v>0</v>
      </c>
    </row>
    <row r="27" spans="2:75" x14ac:dyDescent="0.3">
      <c r="B27" s="60">
        <v>3</v>
      </c>
      <c r="C27" s="61" t="str">
        <f>C9</f>
        <v>FinanzasYTesorería</v>
      </c>
      <c r="D27" s="130">
        <f t="shared" si="14"/>
        <v>75</v>
      </c>
      <c r="E27" s="131">
        <f t="shared" si="14"/>
        <v>75</v>
      </c>
      <c r="F27" s="64">
        <f t="shared" si="15"/>
        <v>1</v>
      </c>
      <c r="G27" s="63">
        <f t="shared" si="15"/>
        <v>0</v>
      </c>
      <c r="H27" s="64">
        <f t="shared" si="15"/>
        <v>0</v>
      </c>
      <c r="I27" s="55">
        <f t="shared" si="15"/>
        <v>4</v>
      </c>
      <c r="J27" s="77">
        <f t="shared" si="3"/>
        <v>0</v>
      </c>
      <c r="K27" s="78">
        <f t="shared" si="3"/>
        <v>0</v>
      </c>
      <c r="L27" s="78">
        <f t="shared" si="3"/>
        <v>0</v>
      </c>
      <c r="M27" s="78">
        <f t="shared" si="3"/>
        <v>0</v>
      </c>
      <c r="N27" s="78">
        <f t="shared" si="3"/>
        <v>0</v>
      </c>
      <c r="O27" s="78">
        <f t="shared" si="3"/>
        <v>0</v>
      </c>
      <c r="P27" s="77">
        <f t="shared" si="4"/>
        <v>0</v>
      </c>
      <c r="Q27" s="78">
        <f t="shared" si="4"/>
        <v>0</v>
      </c>
      <c r="R27" s="78">
        <f t="shared" si="4"/>
        <v>0</v>
      </c>
      <c r="S27" s="78">
        <f t="shared" si="4"/>
        <v>0</v>
      </c>
      <c r="T27" s="78">
        <f t="shared" si="4"/>
        <v>0</v>
      </c>
      <c r="U27" s="78">
        <f t="shared" si="4"/>
        <v>0</v>
      </c>
      <c r="V27" s="77">
        <f t="shared" ref="V27:AA32" si="19">IF(AND(V9&lt;&gt;"",V9&gt;0),(VLOOKUP(V$6,$CC$6:$CE$12,3,0)*V9)/SUM($V9:$Z9),0)</f>
        <v>0</v>
      </c>
      <c r="W27" s="78">
        <f t="shared" si="19"/>
        <v>0</v>
      </c>
      <c r="X27" s="78">
        <f t="shared" si="19"/>
        <v>0</v>
      </c>
      <c r="Y27" s="78">
        <f t="shared" si="19"/>
        <v>0</v>
      </c>
      <c r="Z27" s="78">
        <f t="shared" si="19"/>
        <v>0</v>
      </c>
      <c r="AA27" s="78">
        <f t="shared" si="19"/>
        <v>0</v>
      </c>
      <c r="AB27" s="77">
        <f t="shared" ref="AB27:AG35" si="20">IF(AND(AB9&lt;&gt;"",AB9&gt;0),(VLOOKUP(AB$6,$CC$6:$CE$12,3,0)*AB9)/SUM($AB9:$AF9),0)</f>
        <v>0</v>
      </c>
      <c r="AC27" s="78">
        <f t="shared" si="20"/>
        <v>0</v>
      </c>
      <c r="AD27" s="78">
        <f t="shared" si="20"/>
        <v>0</v>
      </c>
      <c r="AE27" s="78">
        <f t="shared" si="20"/>
        <v>0</v>
      </c>
      <c r="AF27" s="78">
        <f t="shared" si="20"/>
        <v>0</v>
      </c>
      <c r="AG27" s="78">
        <f t="shared" si="20"/>
        <v>0</v>
      </c>
      <c r="AH27" s="77">
        <f t="shared" si="7"/>
        <v>0</v>
      </c>
      <c r="AI27" s="78">
        <f t="shared" si="7"/>
        <v>0</v>
      </c>
      <c r="AJ27" s="78">
        <f t="shared" si="7"/>
        <v>0</v>
      </c>
      <c r="AK27" s="78">
        <f t="shared" si="7"/>
        <v>0</v>
      </c>
      <c r="AL27" s="78">
        <f t="shared" si="7"/>
        <v>0</v>
      </c>
      <c r="AM27" s="78">
        <f t="shared" si="7"/>
        <v>0</v>
      </c>
      <c r="AN27" s="77">
        <f t="shared" si="8"/>
        <v>0</v>
      </c>
      <c r="AO27" s="78">
        <f t="shared" si="8"/>
        <v>0</v>
      </c>
      <c r="AP27" s="78">
        <f t="shared" si="8"/>
        <v>0</v>
      </c>
      <c r="AQ27" s="78">
        <f t="shared" si="8"/>
        <v>0</v>
      </c>
      <c r="AR27" s="78">
        <f t="shared" si="8"/>
        <v>0</v>
      </c>
      <c r="AS27" s="78">
        <f t="shared" si="8"/>
        <v>0</v>
      </c>
      <c r="AT27" s="77">
        <f t="shared" si="9"/>
        <v>0</v>
      </c>
      <c r="AU27" s="78">
        <f t="shared" si="9"/>
        <v>0</v>
      </c>
      <c r="AV27" s="78">
        <f t="shared" si="9"/>
        <v>0</v>
      </c>
      <c r="AW27" s="78">
        <f t="shared" si="9"/>
        <v>0</v>
      </c>
      <c r="AX27" s="78">
        <f t="shared" si="9"/>
        <v>0</v>
      </c>
      <c r="AY27" s="78">
        <f t="shared" si="9"/>
        <v>0</v>
      </c>
      <c r="AZ27" s="77">
        <f>IF(AND(AZ9&lt;&gt;"",AZ9&gt;0),(VLOOKUP(AZ$6,$CC$6:$CE$12,3,0)*AZ9)/SUM($AZ9:$BD9),0)</f>
        <v>0</v>
      </c>
      <c r="BA27" s="78">
        <f t="shared" si="10"/>
        <v>0</v>
      </c>
      <c r="BB27" s="78">
        <f t="shared" si="10"/>
        <v>0</v>
      </c>
      <c r="BC27" s="78">
        <f>IF(AND(BC9&lt;&gt;"",BC9&gt;0),(VLOOKUP(BC$6,$CC$6:$CE$12,3,0)*BC9)/SUM($AZ9:$BD9),0)</f>
        <v>0</v>
      </c>
      <c r="BD27" s="78">
        <f t="shared" si="10"/>
        <v>0</v>
      </c>
      <c r="BE27" s="78">
        <f>IF(AND(BE9&lt;&gt;"",BE9&gt;0),(VLOOKUP(BE$6,$CC$6:$CE$12,3,0)*BE9)/SUM($AZ9:$BD9),0)</f>
        <v>0</v>
      </c>
      <c r="BF27" s="78">
        <f t="shared" ref="BF27:BK27" si="21">IF(AND(BF9&lt;&gt;"",BF9&gt;0),(VLOOKUP(BF$6,$CC$6:$CE$12,3,0)*BF9)/SUM($BF9:$BJ9),0)</f>
        <v>0</v>
      </c>
      <c r="BG27" s="78">
        <f t="shared" si="21"/>
        <v>0</v>
      </c>
      <c r="BH27" s="78">
        <f t="shared" si="21"/>
        <v>0</v>
      </c>
      <c r="BI27" s="78">
        <f t="shared" si="21"/>
        <v>0</v>
      </c>
      <c r="BJ27" s="78">
        <f t="shared" si="21"/>
        <v>0</v>
      </c>
      <c r="BK27" s="78">
        <f t="shared" si="21"/>
        <v>0</v>
      </c>
      <c r="BL27" s="77">
        <f t="shared" ref="BL27:BQ27" si="22">IF(AND(BL9&lt;&gt;"",BL9&gt;0),(VLOOKUP(BL$6,$CC$6:$CE$12,3,0)*BL9)/SUM($BL9:$BP9),0)</f>
        <v>0</v>
      </c>
      <c r="BM27" s="77">
        <f t="shared" si="22"/>
        <v>0</v>
      </c>
      <c r="BN27" s="77">
        <f t="shared" si="22"/>
        <v>0</v>
      </c>
      <c r="BO27" s="77">
        <f t="shared" si="22"/>
        <v>0</v>
      </c>
      <c r="BP27" s="77">
        <f t="shared" si="22"/>
        <v>0</v>
      </c>
      <c r="BQ27" s="77">
        <f t="shared" si="22"/>
        <v>0</v>
      </c>
      <c r="BR27" s="77">
        <f t="shared" ref="BR27:BW27" si="23">IF(AND(BR9&lt;&gt;"",BR9&gt;0),(VLOOKUP(BR$6,$CC$6:$CE$12,3,0)*BR9)/SUM($BR9:$BV9),0)</f>
        <v>0</v>
      </c>
      <c r="BS27" s="77">
        <f t="shared" si="23"/>
        <v>0</v>
      </c>
      <c r="BT27" s="77">
        <f t="shared" si="23"/>
        <v>0</v>
      </c>
      <c r="BU27" s="77">
        <f t="shared" si="23"/>
        <v>0</v>
      </c>
      <c r="BV27" s="77">
        <f t="shared" si="23"/>
        <v>0</v>
      </c>
      <c r="BW27" s="77">
        <f t="shared" si="23"/>
        <v>0</v>
      </c>
    </row>
    <row r="28" spans="2:75" x14ac:dyDescent="0.3">
      <c r="B28" s="60">
        <v>4</v>
      </c>
      <c r="C28" s="61" t="str">
        <f>C10</f>
        <v>Seguridad</v>
      </c>
      <c r="D28" s="130">
        <f t="shared" si="14"/>
        <v>71</v>
      </c>
      <c r="E28" s="131">
        <f t="shared" si="14"/>
        <v>64</v>
      </c>
      <c r="F28" s="64">
        <f t="shared" si="15"/>
        <v>0.90140845070422537</v>
      </c>
      <c r="G28" s="63">
        <f t="shared" si="15"/>
        <v>7</v>
      </c>
      <c r="H28" s="64">
        <f t="shared" si="15"/>
        <v>9.8591549295774641E-2</v>
      </c>
      <c r="I28" s="55">
        <f t="shared" si="15"/>
        <v>8</v>
      </c>
      <c r="J28" s="77">
        <f t="shared" si="3"/>
        <v>0</v>
      </c>
      <c r="K28" s="78">
        <f t="shared" si="3"/>
        <v>0</v>
      </c>
      <c r="L28" s="78">
        <f t="shared" si="3"/>
        <v>0</v>
      </c>
      <c r="M28" s="78">
        <f t="shared" si="3"/>
        <v>0</v>
      </c>
      <c r="N28" s="78">
        <f t="shared" si="3"/>
        <v>0</v>
      </c>
      <c r="O28" s="78">
        <f t="shared" si="3"/>
        <v>0</v>
      </c>
      <c r="P28" s="77">
        <f t="shared" si="4"/>
        <v>0</v>
      </c>
      <c r="Q28" s="78">
        <f t="shared" si="4"/>
        <v>0</v>
      </c>
      <c r="R28" s="78">
        <f t="shared" si="4"/>
        <v>0</v>
      </c>
      <c r="S28" s="78">
        <f t="shared" si="4"/>
        <v>0</v>
      </c>
      <c r="T28" s="78">
        <f t="shared" si="4"/>
        <v>0</v>
      </c>
      <c r="U28" s="78">
        <f t="shared" si="4"/>
        <v>0</v>
      </c>
      <c r="V28" s="77">
        <f t="shared" si="19"/>
        <v>0</v>
      </c>
      <c r="W28" s="78">
        <f t="shared" si="19"/>
        <v>0</v>
      </c>
      <c r="X28" s="78">
        <f t="shared" si="19"/>
        <v>0</v>
      </c>
      <c r="Y28" s="78">
        <f t="shared" si="19"/>
        <v>0</v>
      </c>
      <c r="Z28" s="78">
        <f t="shared" si="19"/>
        <v>0</v>
      </c>
      <c r="AA28" s="78">
        <f t="shared" si="19"/>
        <v>0</v>
      </c>
      <c r="AB28" s="77">
        <f t="shared" si="20"/>
        <v>0</v>
      </c>
      <c r="AC28" s="78">
        <f t="shared" si="20"/>
        <v>0</v>
      </c>
      <c r="AD28" s="78">
        <f t="shared" si="20"/>
        <v>0</v>
      </c>
      <c r="AE28" s="78">
        <f t="shared" si="20"/>
        <v>0</v>
      </c>
      <c r="AF28" s="78">
        <f t="shared" si="20"/>
        <v>0</v>
      </c>
      <c r="AG28" s="78">
        <f t="shared" si="20"/>
        <v>0</v>
      </c>
      <c r="AH28" s="77">
        <f t="shared" ref="AH28:AM35" si="24">IF(AND(AH10&lt;&gt;"",AH10&gt;0),(VLOOKUP(AH$6,$CC$6:$CE$12,3,0)*AH10)/SUM($AH10:$AL10),0)</f>
        <v>0</v>
      </c>
      <c r="AI28" s="78">
        <f t="shared" si="24"/>
        <v>0</v>
      </c>
      <c r="AJ28" s="78">
        <f t="shared" si="24"/>
        <v>0</v>
      </c>
      <c r="AK28" s="78">
        <f t="shared" si="24"/>
        <v>0</v>
      </c>
      <c r="AL28" s="78">
        <f t="shared" si="24"/>
        <v>0</v>
      </c>
      <c r="AM28" s="78">
        <f t="shared" si="24"/>
        <v>0</v>
      </c>
      <c r="AN28" s="77">
        <f t="shared" si="8"/>
        <v>0</v>
      </c>
      <c r="AO28" s="78">
        <f t="shared" si="8"/>
        <v>0</v>
      </c>
      <c r="AP28" s="78">
        <f t="shared" si="8"/>
        <v>0</v>
      </c>
      <c r="AQ28" s="78">
        <f t="shared" si="8"/>
        <v>0</v>
      </c>
      <c r="AR28" s="78">
        <f t="shared" si="8"/>
        <v>0</v>
      </c>
      <c r="AS28" s="78">
        <f t="shared" si="8"/>
        <v>0</v>
      </c>
      <c r="AT28" s="77">
        <f t="shared" si="9"/>
        <v>0</v>
      </c>
      <c r="AU28" s="78">
        <f t="shared" si="9"/>
        <v>0</v>
      </c>
      <c r="AV28" s="78">
        <f t="shared" si="9"/>
        <v>0</v>
      </c>
      <c r="AW28" s="78">
        <f t="shared" si="9"/>
        <v>0</v>
      </c>
      <c r="AX28" s="78">
        <f t="shared" si="9"/>
        <v>0</v>
      </c>
      <c r="AY28" s="78">
        <f t="shared" si="9"/>
        <v>0</v>
      </c>
      <c r="AZ28" s="77">
        <f t="shared" si="10"/>
        <v>0</v>
      </c>
      <c r="BA28" s="78">
        <f t="shared" si="10"/>
        <v>0</v>
      </c>
      <c r="BB28" s="78">
        <f t="shared" si="10"/>
        <v>0</v>
      </c>
      <c r="BC28" s="78">
        <f t="shared" si="10"/>
        <v>0</v>
      </c>
      <c r="BD28" s="78">
        <f t="shared" si="10"/>
        <v>0</v>
      </c>
      <c r="BE28" s="78">
        <f t="shared" si="10"/>
        <v>0</v>
      </c>
      <c r="BF28" s="78">
        <f t="shared" ref="BF28:BK28" si="25">IF(AND(BF10&lt;&gt;"",BF10&gt;0),(VLOOKUP(BF$6,$CC$6:$CE$12,3,0)*BF10)/SUM($BF10:$BJ10),0)</f>
        <v>0</v>
      </c>
      <c r="BG28" s="78">
        <f t="shared" si="25"/>
        <v>0</v>
      </c>
      <c r="BH28" s="78">
        <f t="shared" si="25"/>
        <v>0</v>
      </c>
      <c r="BI28" s="78">
        <f t="shared" si="25"/>
        <v>0</v>
      </c>
      <c r="BJ28" s="78">
        <f t="shared" si="25"/>
        <v>0</v>
      </c>
      <c r="BK28" s="78">
        <f t="shared" si="25"/>
        <v>0</v>
      </c>
      <c r="BL28" s="77">
        <f t="shared" ref="BL28:BN28" si="26">IF(AND(BL10&lt;&gt;"",BL10&gt;0),(VLOOKUP(BL$6,$CC$6:$CE$12,3,0)*BL10)/SUM($BL10:$BP10),0)</f>
        <v>0</v>
      </c>
      <c r="BM28" s="77">
        <f t="shared" si="26"/>
        <v>0</v>
      </c>
      <c r="BN28" s="77">
        <f t="shared" si="26"/>
        <v>0</v>
      </c>
      <c r="BO28" s="77">
        <f>IF(AND(BO10&lt;&gt;"",BO10&gt;0),(VLOOKUP(BO$6,$CC$6:$CE$12,3,0)*BO10)/SUM($BL10:$BP10),0)</f>
        <v>0</v>
      </c>
      <c r="BP28" s="77">
        <f>IF(AND(BP10&lt;&gt;"",BP10&gt;0),(VLOOKUP(BP$6,$CC$6:$CE$12,3,0)*BP10)/SUM($BL10:$BP10),0)</f>
        <v>0</v>
      </c>
      <c r="BQ28" s="77">
        <f>IF(AND(BQ10&lt;&gt;"",BQ10&gt;0),(VLOOKUP(BQ$6,$CC$6:$CE$12,3,0)*BQ10)/SUM($BL10:$BP10),0)</f>
        <v>0</v>
      </c>
      <c r="BR28" s="77">
        <f t="shared" ref="BR28:BW28" si="27">IF(AND(BR10&lt;&gt;"",BR10&gt;0),(VLOOKUP(BR$6,$CC$6:$CE$12,3,0)*BR10)/SUM($BR10:$BV10),0)</f>
        <v>0</v>
      </c>
      <c r="BS28" s="77">
        <f t="shared" si="27"/>
        <v>0</v>
      </c>
      <c r="BT28" s="77">
        <f t="shared" si="27"/>
        <v>0</v>
      </c>
      <c r="BU28" s="77">
        <f t="shared" si="27"/>
        <v>0</v>
      </c>
      <c r="BV28" s="77">
        <f t="shared" si="27"/>
        <v>0</v>
      </c>
      <c r="BW28" s="77">
        <f t="shared" si="27"/>
        <v>0</v>
      </c>
    </row>
    <row r="29" spans="2:75" x14ac:dyDescent="0.3">
      <c r="B29" s="60">
        <v>5</v>
      </c>
      <c r="C29" s="61" t="str">
        <f>C11</f>
        <v>Legal</v>
      </c>
      <c r="D29" s="130">
        <f t="shared" si="14"/>
        <v>58</v>
      </c>
      <c r="E29" s="131">
        <f t="shared" si="14"/>
        <v>51</v>
      </c>
      <c r="F29" s="64">
        <f t="shared" si="15"/>
        <v>0.87931034482758619</v>
      </c>
      <c r="G29" s="63">
        <f t="shared" si="15"/>
        <v>7</v>
      </c>
      <c r="H29" s="64">
        <f t="shared" si="15"/>
        <v>0.1206896551724138</v>
      </c>
      <c r="I29" s="55">
        <f t="shared" si="15"/>
        <v>5</v>
      </c>
      <c r="J29" s="77">
        <f t="shared" si="3"/>
        <v>0</v>
      </c>
      <c r="K29" s="78">
        <f t="shared" si="3"/>
        <v>0</v>
      </c>
      <c r="L29" s="78">
        <f t="shared" si="3"/>
        <v>0.23684210526315788</v>
      </c>
      <c r="M29" s="78">
        <f t="shared" si="3"/>
        <v>2</v>
      </c>
      <c r="N29" s="78">
        <f t="shared" si="3"/>
        <v>2.1052631578947367</v>
      </c>
      <c r="O29" s="78">
        <f t="shared" si="3"/>
        <v>0</v>
      </c>
      <c r="P29" s="77">
        <f t="shared" si="4"/>
        <v>0</v>
      </c>
      <c r="Q29" s="78">
        <f t="shared" si="4"/>
        <v>0</v>
      </c>
      <c r="R29" s="78">
        <f t="shared" si="4"/>
        <v>0.1</v>
      </c>
      <c r="S29" s="78">
        <f t="shared" si="4"/>
        <v>2.1333333333333333</v>
      </c>
      <c r="T29" s="78">
        <f t="shared" si="4"/>
        <v>2.1666666666666665</v>
      </c>
      <c r="U29" s="78">
        <f t="shared" si="4"/>
        <v>0</v>
      </c>
      <c r="V29" s="77">
        <f t="shared" si="19"/>
        <v>0</v>
      </c>
      <c r="W29" s="78">
        <f t="shared" si="19"/>
        <v>0</v>
      </c>
      <c r="X29" s="78">
        <f t="shared" si="19"/>
        <v>0.53846153846153844</v>
      </c>
      <c r="Y29" s="78">
        <f t="shared" si="19"/>
        <v>1.8461538461538463</v>
      </c>
      <c r="Z29" s="78">
        <f t="shared" si="19"/>
        <v>1.7948717948717949</v>
      </c>
      <c r="AA29" s="78">
        <f t="shared" si="19"/>
        <v>0</v>
      </c>
      <c r="AB29" s="77">
        <f t="shared" si="20"/>
        <v>0</v>
      </c>
      <c r="AC29" s="78">
        <f t="shared" si="20"/>
        <v>0</v>
      </c>
      <c r="AD29" s="78">
        <f t="shared" si="20"/>
        <v>0.23076923076923078</v>
      </c>
      <c r="AE29" s="78">
        <f t="shared" si="20"/>
        <v>1.8461538461538463</v>
      </c>
      <c r="AF29" s="78">
        <f t="shared" si="20"/>
        <v>2.3076923076923075</v>
      </c>
      <c r="AG29" s="78">
        <f t="shared" si="20"/>
        <v>0</v>
      </c>
      <c r="AH29" s="77">
        <f t="shared" si="24"/>
        <v>0</v>
      </c>
      <c r="AI29" s="78">
        <f t="shared" si="24"/>
        <v>0</v>
      </c>
      <c r="AJ29" s="78">
        <f t="shared" si="24"/>
        <v>0.28125</v>
      </c>
      <c r="AK29" s="78">
        <f t="shared" si="24"/>
        <v>1.75</v>
      </c>
      <c r="AL29" s="78">
        <f t="shared" si="24"/>
        <v>2.34375</v>
      </c>
      <c r="AM29" s="78">
        <f t="shared" si="24"/>
        <v>0</v>
      </c>
      <c r="AN29" s="77">
        <f t="shared" si="8"/>
        <v>0</v>
      </c>
      <c r="AO29" s="78">
        <f t="shared" si="8"/>
        <v>0</v>
      </c>
      <c r="AP29" s="78">
        <f t="shared" si="8"/>
        <v>0</v>
      </c>
      <c r="AQ29" s="78">
        <f t="shared" si="8"/>
        <v>0</v>
      </c>
      <c r="AR29" s="78">
        <f t="shared" si="8"/>
        <v>0</v>
      </c>
      <c r="AS29" s="78">
        <f t="shared" si="8"/>
        <v>0</v>
      </c>
      <c r="AT29" s="77">
        <f t="shared" si="9"/>
        <v>0</v>
      </c>
      <c r="AU29" s="78">
        <f t="shared" si="9"/>
        <v>0</v>
      </c>
      <c r="AV29" s="78">
        <f t="shared" si="9"/>
        <v>0</v>
      </c>
      <c r="AW29" s="78">
        <f t="shared" si="9"/>
        <v>0</v>
      </c>
      <c r="AX29" s="78">
        <f t="shared" si="9"/>
        <v>0</v>
      </c>
      <c r="AY29" s="78">
        <f t="shared" si="9"/>
        <v>0</v>
      </c>
      <c r="AZ29" s="77">
        <f t="shared" si="10"/>
        <v>0</v>
      </c>
      <c r="BA29" s="78">
        <f t="shared" si="10"/>
        <v>0</v>
      </c>
      <c r="BB29" s="78">
        <f t="shared" si="10"/>
        <v>0</v>
      </c>
      <c r="BC29" s="78">
        <f t="shared" si="10"/>
        <v>0</v>
      </c>
      <c r="BD29" s="78">
        <f t="shared" si="10"/>
        <v>0</v>
      </c>
      <c r="BE29" s="78">
        <f t="shared" si="10"/>
        <v>0</v>
      </c>
      <c r="BF29" s="78">
        <f t="shared" ref="BF29:BK29" si="28">IF(AND(BF11&lt;&gt;"",BF11&gt;0),(VLOOKUP(BF$6,$CC$6:$CE$12,3,0)*BF11)/SUM($BF11:$BJ11),0)</f>
        <v>0</v>
      </c>
      <c r="BG29" s="78">
        <f t="shared" si="28"/>
        <v>0</v>
      </c>
      <c r="BH29" s="78">
        <f t="shared" si="28"/>
        <v>0</v>
      </c>
      <c r="BI29" s="78">
        <f t="shared" si="28"/>
        <v>0</v>
      </c>
      <c r="BJ29" s="78">
        <f t="shared" si="28"/>
        <v>0</v>
      </c>
      <c r="BK29" s="78">
        <f t="shared" si="28"/>
        <v>0</v>
      </c>
      <c r="BL29" s="77">
        <f t="shared" ref="BL29:BQ29" si="29">IF(AND(BL11&lt;&gt;"",BL11&gt;0),(VLOOKUP(BL$6,$CC$6:$CE$12,3,0)*BL11)/SUM($BL11:$BP11),0)</f>
        <v>0</v>
      </c>
      <c r="BM29" s="77">
        <f t="shared" si="29"/>
        <v>0</v>
      </c>
      <c r="BN29" s="77">
        <f t="shared" si="29"/>
        <v>0</v>
      </c>
      <c r="BO29" s="77">
        <f t="shared" si="29"/>
        <v>0</v>
      </c>
      <c r="BP29" s="77">
        <f t="shared" si="29"/>
        <v>0</v>
      </c>
      <c r="BQ29" s="77">
        <f t="shared" si="29"/>
        <v>0</v>
      </c>
      <c r="BR29" s="77">
        <f t="shared" ref="BR29:BW29" si="30">IF(AND(BR11&lt;&gt;"",BR11&gt;0),(VLOOKUP(BR$6,$CC$6:$CE$12,3,0)*BR11)/SUM($BR11:$BV11),0)</f>
        <v>0</v>
      </c>
      <c r="BS29" s="77">
        <f t="shared" si="30"/>
        <v>0</v>
      </c>
      <c r="BT29" s="77">
        <f t="shared" si="30"/>
        <v>0</v>
      </c>
      <c r="BU29" s="77">
        <f t="shared" si="30"/>
        <v>0</v>
      </c>
      <c r="BV29" s="77">
        <f t="shared" si="30"/>
        <v>0</v>
      </c>
      <c r="BW29" s="77">
        <f t="shared" si="30"/>
        <v>0</v>
      </c>
    </row>
    <row r="30" spans="2:75" x14ac:dyDescent="0.3">
      <c r="B30" s="60">
        <v>6</v>
      </c>
      <c r="C30" s="61" t="str">
        <f t="shared" ref="C30:C35" si="31">C12</f>
        <v>Calidad</v>
      </c>
      <c r="D30" s="130">
        <f>D12</f>
        <v>70</v>
      </c>
      <c r="E30" s="131">
        <f t="shared" ref="E30:E35" si="32">E12</f>
        <v>49</v>
      </c>
      <c r="F30" s="64">
        <f t="shared" si="15"/>
        <v>0.7</v>
      </c>
      <c r="G30" s="63">
        <f t="shared" si="15"/>
        <v>21</v>
      </c>
      <c r="H30" s="64">
        <f t="shared" si="15"/>
        <v>0.3</v>
      </c>
      <c r="I30" s="137">
        <f t="shared" si="15"/>
        <v>9</v>
      </c>
      <c r="J30" s="77">
        <f t="shared" si="3"/>
        <v>0</v>
      </c>
      <c r="K30" s="78">
        <f t="shared" si="3"/>
        <v>0</v>
      </c>
      <c r="L30" s="78">
        <f t="shared" si="3"/>
        <v>0</v>
      </c>
      <c r="M30" s="78">
        <f t="shared" si="3"/>
        <v>0</v>
      </c>
      <c r="N30" s="78">
        <f t="shared" si="3"/>
        <v>0</v>
      </c>
      <c r="O30" s="78">
        <f t="shared" si="3"/>
        <v>0</v>
      </c>
      <c r="P30" s="77">
        <f t="shared" si="4"/>
        <v>0</v>
      </c>
      <c r="Q30" s="78">
        <f t="shared" si="4"/>
        <v>0</v>
      </c>
      <c r="R30" s="78">
        <f t="shared" si="4"/>
        <v>0</v>
      </c>
      <c r="S30" s="78">
        <f t="shared" si="4"/>
        <v>0</v>
      </c>
      <c r="T30" s="78">
        <f t="shared" si="4"/>
        <v>0</v>
      </c>
      <c r="U30" s="78">
        <f t="shared" si="4"/>
        <v>0</v>
      </c>
      <c r="V30" s="77">
        <f t="shared" si="19"/>
        <v>0</v>
      </c>
      <c r="W30" s="78">
        <f t="shared" si="19"/>
        <v>0</v>
      </c>
      <c r="X30" s="78">
        <f t="shared" si="19"/>
        <v>0</v>
      </c>
      <c r="Y30" s="78">
        <f t="shared" si="19"/>
        <v>0</v>
      </c>
      <c r="Z30" s="78">
        <f t="shared" si="19"/>
        <v>0</v>
      </c>
      <c r="AA30" s="78">
        <f t="shared" si="19"/>
        <v>0</v>
      </c>
      <c r="AB30" s="77">
        <f t="shared" si="20"/>
        <v>0</v>
      </c>
      <c r="AC30" s="78">
        <f t="shared" si="20"/>
        <v>0</v>
      </c>
      <c r="AD30" s="78">
        <f t="shared" si="20"/>
        <v>0</v>
      </c>
      <c r="AE30" s="78">
        <f t="shared" si="20"/>
        <v>0</v>
      </c>
      <c r="AF30" s="78">
        <f t="shared" si="20"/>
        <v>0</v>
      </c>
      <c r="AG30" s="78">
        <f t="shared" si="20"/>
        <v>0</v>
      </c>
      <c r="AH30" s="77">
        <f t="shared" si="24"/>
        <v>0</v>
      </c>
      <c r="AI30" s="78">
        <f t="shared" si="24"/>
        <v>0</v>
      </c>
      <c r="AJ30" s="78">
        <f t="shared" si="24"/>
        <v>0</v>
      </c>
      <c r="AK30" s="78">
        <f t="shared" si="24"/>
        <v>0</v>
      </c>
      <c r="AL30" s="78">
        <f t="shared" si="24"/>
        <v>0</v>
      </c>
      <c r="AM30" s="78">
        <f t="shared" si="24"/>
        <v>0</v>
      </c>
      <c r="AN30" s="77">
        <f t="shared" si="8"/>
        <v>0</v>
      </c>
      <c r="AO30" s="78">
        <f t="shared" si="8"/>
        <v>0</v>
      </c>
      <c r="AP30" s="78">
        <f t="shared" si="8"/>
        <v>0</v>
      </c>
      <c r="AQ30" s="78">
        <f>IF(AND(AQ12&lt;&gt;"",AQ12&gt;0),(VLOOKUP(AQ$6,$CC$6:$CE$12,3,0)*AQ12)/SUM($AN12:$AR12),0)</f>
        <v>0</v>
      </c>
      <c r="AR30" s="78">
        <f t="shared" si="8"/>
        <v>0</v>
      </c>
      <c r="AS30" s="78">
        <f t="shared" si="8"/>
        <v>0</v>
      </c>
      <c r="AT30" s="77">
        <f t="shared" si="9"/>
        <v>0</v>
      </c>
      <c r="AU30" s="78">
        <f t="shared" si="9"/>
        <v>0</v>
      </c>
      <c r="AV30" s="78">
        <f t="shared" si="9"/>
        <v>0</v>
      </c>
      <c r="AW30" s="78">
        <f t="shared" si="9"/>
        <v>0</v>
      </c>
      <c r="AX30" s="78">
        <f t="shared" si="9"/>
        <v>0</v>
      </c>
      <c r="AY30" s="78">
        <f t="shared" si="9"/>
        <v>0</v>
      </c>
      <c r="AZ30" s="77">
        <f t="shared" si="10"/>
        <v>0</v>
      </c>
      <c r="BA30" s="78">
        <f t="shared" si="10"/>
        <v>0</v>
      </c>
      <c r="BB30" s="78">
        <f t="shared" si="10"/>
        <v>0</v>
      </c>
      <c r="BC30" s="78">
        <f t="shared" si="10"/>
        <v>0</v>
      </c>
      <c r="BD30" s="78">
        <f t="shared" si="10"/>
        <v>0</v>
      </c>
      <c r="BE30" s="78">
        <f t="shared" si="10"/>
        <v>0</v>
      </c>
      <c r="BF30" s="78">
        <f t="shared" ref="BF30:BK30" si="33">IF(AND(BF12&lt;&gt;"",BF12&gt;0),(VLOOKUP(BF$6,$CC$6:$CE$12,3,0)*BF12)/SUM($BF12:$BJ12),0)</f>
        <v>0</v>
      </c>
      <c r="BG30" s="78">
        <f t="shared" si="33"/>
        <v>0</v>
      </c>
      <c r="BH30" s="78">
        <f t="shared" si="33"/>
        <v>0</v>
      </c>
      <c r="BI30" s="78">
        <f t="shared" si="33"/>
        <v>0</v>
      </c>
      <c r="BJ30" s="78">
        <f>IF(AND(BJ12&lt;&gt;"",BJ12&gt;0),(VLOOKUP(BJ$6,$CC$6:$CE$12,3,0)*BJ12)/SUM($BF12:$BJ12),0)</f>
        <v>0</v>
      </c>
      <c r="BK30" s="78">
        <f t="shared" si="33"/>
        <v>0</v>
      </c>
      <c r="BL30" s="77">
        <f t="shared" ref="BL30:BQ30" si="34">IF(AND(BL12&lt;&gt;"",BL12&gt;0),(VLOOKUP(BL$6,$CC$6:$CE$12,3,0)*BL12)/SUM($BL12:$BP12),0)</f>
        <v>0</v>
      </c>
      <c r="BM30" s="77">
        <f t="shared" si="34"/>
        <v>0</v>
      </c>
      <c r="BN30" s="77">
        <f t="shared" si="34"/>
        <v>0</v>
      </c>
      <c r="BO30" s="77">
        <f t="shared" si="34"/>
        <v>0</v>
      </c>
      <c r="BP30" s="77">
        <f t="shared" si="34"/>
        <v>0</v>
      </c>
      <c r="BQ30" s="77">
        <f t="shared" si="34"/>
        <v>0</v>
      </c>
      <c r="BR30" s="77">
        <f t="shared" ref="BR30:BW30" si="35">IF(AND(BR12&lt;&gt;"",BR12&gt;0),(VLOOKUP(BR$6,$CC$6:$CE$12,3,0)*BR12)/SUM($BR12:$BV12),0)</f>
        <v>0</v>
      </c>
      <c r="BS30" s="77">
        <f t="shared" si="35"/>
        <v>0</v>
      </c>
      <c r="BT30" s="77">
        <f>IF(AND(BT12&lt;&gt;"",BT12&gt;0),(VLOOKUP(BT$6,$CC$6:$CE$12,3,0)*BT12)/SUM($BR12:$BV12),0)</f>
        <v>0</v>
      </c>
      <c r="BU30" s="77">
        <f t="shared" si="35"/>
        <v>0</v>
      </c>
      <c r="BV30" s="77">
        <f t="shared" si="35"/>
        <v>0</v>
      </c>
      <c r="BW30" s="77">
        <f t="shared" si="35"/>
        <v>0</v>
      </c>
    </row>
    <row r="31" spans="2:75" x14ac:dyDescent="0.3">
      <c r="B31" s="60">
        <v>7</v>
      </c>
      <c r="C31" s="61" t="str">
        <f t="shared" si="31"/>
        <v>Administración</v>
      </c>
      <c r="D31" s="130">
        <f t="shared" si="14"/>
        <v>98</v>
      </c>
      <c r="E31" s="131">
        <f t="shared" si="32"/>
        <v>88</v>
      </c>
      <c r="F31" s="64">
        <f t="shared" si="15"/>
        <v>0.89795918367346939</v>
      </c>
      <c r="G31" s="63">
        <f t="shared" si="15"/>
        <v>10</v>
      </c>
      <c r="H31" s="64">
        <f t="shared" si="15"/>
        <v>0.10204081632653061</v>
      </c>
      <c r="I31" s="55">
        <f t="shared" si="15"/>
        <v>4</v>
      </c>
      <c r="J31" s="77">
        <f t="shared" si="3"/>
        <v>0</v>
      </c>
      <c r="K31" s="78">
        <f t="shared" si="3"/>
        <v>0</v>
      </c>
      <c r="L31" s="78">
        <f t="shared" si="3"/>
        <v>0</v>
      </c>
      <c r="M31" s="78">
        <f t="shared" si="3"/>
        <v>0</v>
      </c>
      <c r="N31" s="78">
        <f t="shared" si="3"/>
        <v>0</v>
      </c>
      <c r="O31" s="78">
        <f t="shared" si="3"/>
        <v>0</v>
      </c>
      <c r="P31" s="77">
        <f t="shared" si="4"/>
        <v>0</v>
      </c>
      <c r="Q31" s="78">
        <f t="shared" si="4"/>
        <v>0</v>
      </c>
      <c r="R31" s="78">
        <f t="shared" si="4"/>
        <v>0</v>
      </c>
      <c r="S31" s="78">
        <f t="shared" si="4"/>
        <v>0</v>
      </c>
      <c r="T31" s="78">
        <f t="shared" si="4"/>
        <v>0</v>
      </c>
      <c r="U31" s="78">
        <f>IF(AND(U13&lt;&gt;"",U13&gt;0),(VLOOKUP(U$6,$CC$6:$CE$12,3,0)*U13)/SUM($P13:$T13),0)</f>
        <v>0</v>
      </c>
      <c r="V31" s="77">
        <f t="shared" si="19"/>
        <v>0</v>
      </c>
      <c r="W31" s="78">
        <f t="shared" si="19"/>
        <v>0</v>
      </c>
      <c r="X31" s="78">
        <f t="shared" si="19"/>
        <v>0</v>
      </c>
      <c r="Y31" s="78">
        <f t="shared" si="19"/>
        <v>0</v>
      </c>
      <c r="Z31" s="78">
        <f t="shared" si="19"/>
        <v>0</v>
      </c>
      <c r="AA31" s="78">
        <f t="shared" si="19"/>
        <v>0</v>
      </c>
      <c r="AB31" s="77">
        <f t="shared" si="20"/>
        <v>0</v>
      </c>
      <c r="AC31" s="78">
        <f t="shared" si="20"/>
        <v>0</v>
      </c>
      <c r="AD31" s="78">
        <f t="shared" si="20"/>
        <v>0</v>
      </c>
      <c r="AE31" s="78">
        <f t="shared" si="20"/>
        <v>0</v>
      </c>
      <c r="AF31" s="78">
        <f t="shared" si="20"/>
        <v>0</v>
      </c>
      <c r="AG31" s="78">
        <f t="shared" si="20"/>
        <v>0</v>
      </c>
      <c r="AH31" s="77">
        <f t="shared" si="24"/>
        <v>0</v>
      </c>
      <c r="AI31" s="78">
        <f t="shared" si="24"/>
        <v>0</v>
      </c>
      <c r="AJ31" s="78">
        <f t="shared" si="24"/>
        <v>0</v>
      </c>
      <c r="AK31" s="78">
        <f t="shared" si="24"/>
        <v>0</v>
      </c>
      <c r="AL31" s="78">
        <f t="shared" si="24"/>
        <v>0</v>
      </c>
      <c r="AM31" s="78">
        <f t="shared" si="24"/>
        <v>0</v>
      </c>
      <c r="AN31" s="77">
        <f t="shared" si="8"/>
        <v>0</v>
      </c>
      <c r="AO31" s="78">
        <f t="shared" si="8"/>
        <v>0</v>
      </c>
      <c r="AP31" s="78">
        <f t="shared" si="8"/>
        <v>0</v>
      </c>
      <c r="AQ31" s="78">
        <f t="shared" si="8"/>
        <v>0</v>
      </c>
      <c r="AR31" s="78">
        <f>IF(AND(AR13&lt;&gt;"",AR13&gt;0),(VLOOKUP(AR$6,$CC$6:$CE$12,3,0)*AR13)/SUM($AN13:$AR13),0)</f>
        <v>0</v>
      </c>
      <c r="AS31" s="78">
        <f t="shared" si="8"/>
        <v>0</v>
      </c>
      <c r="AT31" s="77">
        <f t="shared" si="9"/>
        <v>0</v>
      </c>
      <c r="AU31" s="78">
        <f t="shared" si="9"/>
        <v>0</v>
      </c>
      <c r="AV31" s="78">
        <f t="shared" si="9"/>
        <v>0</v>
      </c>
      <c r="AW31" s="78">
        <f t="shared" si="9"/>
        <v>0</v>
      </c>
      <c r="AX31" s="78">
        <f>IF(AND(AX13&lt;&gt;"",AX13&gt;0),(VLOOKUP(AX$6,$CC$6:$CE$12,3,0)*AX13)/SUM($AT13:$AX13),0)</f>
        <v>0</v>
      </c>
      <c r="AY31" s="78">
        <f t="shared" si="9"/>
        <v>0</v>
      </c>
      <c r="AZ31" s="77">
        <f t="shared" si="10"/>
        <v>0</v>
      </c>
      <c r="BA31" s="78">
        <f t="shared" si="10"/>
        <v>0</v>
      </c>
      <c r="BB31" s="78">
        <f t="shared" si="10"/>
        <v>0</v>
      </c>
      <c r="BC31" s="78">
        <f t="shared" si="10"/>
        <v>0</v>
      </c>
      <c r="BD31" s="78">
        <f t="shared" si="10"/>
        <v>0</v>
      </c>
      <c r="BE31" s="78">
        <f t="shared" si="10"/>
        <v>0</v>
      </c>
      <c r="BF31" s="78">
        <f t="shared" ref="BF31:BK31" si="36">IF(AND(BF13&lt;&gt;"",BF13&gt;0),(VLOOKUP(BF$6,$CC$6:$CE$12,3,0)*BF13)/SUM($BF13:$BJ13),0)</f>
        <v>0</v>
      </c>
      <c r="BG31" s="78">
        <f t="shared" si="36"/>
        <v>0</v>
      </c>
      <c r="BH31" s="78">
        <f t="shared" si="36"/>
        <v>0</v>
      </c>
      <c r="BI31" s="78">
        <f t="shared" si="36"/>
        <v>0</v>
      </c>
      <c r="BJ31" s="78">
        <f t="shared" si="36"/>
        <v>0</v>
      </c>
      <c r="BK31" s="78">
        <f t="shared" si="36"/>
        <v>0</v>
      </c>
      <c r="BL31" s="77">
        <f t="shared" ref="BL31:BQ31" si="37">IF(AND(BL13&lt;&gt;"",BL13&gt;0),(VLOOKUP(BL$6,$CC$6:$CE$12,3,0)*BL13)/SUM($BL13:$BP13),0)</f>
        <v>0</v>
      </c>
      <c r="BM31" s="77">
        <f t="shared" si="37"/>
        <v>0</v>
      </c>
      <c r="BN31" s="77">
        <f t="shared" si="37"/>
        <v>0</v>
      </c>
      <c r="BO31" s="77">
        <f t="shared" si="37"/>
        <v>0</v>
      </c>
      <c r="BP31" s="77">
        <f t="shared" si="37"/>
        <v>0</v>
      </c>
      <c r="BQ31" s="77">
        <f t="shared" si="37"/>
        <v>0</v>
      </c>
      <c r="BR31" s="77">
        <f t="shared" ref="BR31:BV31" si="38">IF(AND(BR13&lt;&gt;"",BR13&gt;0),(VLOOKUP(BR$6,$CC$6:$CE$12,3,0)*BR13)/SUM($BR13:$BV13),0)</f>
        <v>0</v>
      </c>
      <c r="BS31" s="77">
        <f t="shared" si="38"/>
        <v>0</v>
      </c>
      <c r="BT31" s="77">
        <f t="shared" si="38"/>
        <v>0</v>
      </c>
      <c r="BU31" s="77">
        <f t="shared" si="38"/>
        <v>0</v>
      </c>
      <c r="BV31" s="77">
        <f t="shared" si="38"/>
        <v>0</v>
      </c>
      <c r="BW31" s="77">
        <f>IF(AND(BW13&lt;&gt;"",BW13&gt;0),(VLOOKUP(BW$6,$CC$6:$CE$12,3,0)*BW13)/SUM($BR13:$BV13),0)</f>
        <v>0</v>
      </c>
    </row>
    <row r="32" spans="2:75" x14ac:dyDescent="0.3">
      <c r="B32" s="60">
        <v>8</v>
      </c>
      <c r="C32" s="61" t="str">
        <f t="shared" si="31"/>
        <v>Contabilidad</v>
      </c>
      <c r="D32" s="130">
        <f t="shared" si="14"/>
        <v>122</v>
      </c>
      <c r="E32" s="131">
        <f t="shared" si="32"/>
        <v>80</v>
      </c>
      <c r="F32" s="64">
        <f t="shared" si="15"/>
        <v>0.65573770491803274</v>
      </c>
      <c r="G32" s="63">
        <f t="shared" si="15"/>
        <v>42</v>
      </c>
      <c r="H32" s="64">
        <f t="shared" si="15"/>
        <v>0.34426229508196721</v>
      </c>
      <c r="I32" s="55">
        <f t="shared" si="15"/>
        <v>5</v>
      </c>
      <c r="J32" s="77">
        <f t="shared" si="3"/>
        <v>0</v>
      </c>
      <c r="K32" s="78">
        <f t="shared" si="3"/>
        <v>0</v>
      </c>
      <c r="L32" s="78">
        <f t="shared" si="3"/>
        <v>0</v>
      </c>
      <c r="M32" s="78">
        <f t="shared" si="3"/>
        <v>0</v>
      </c>
      <c r="N32" s="78">
        <f t="shared" si="3"/>
        <v>0</v>
      </c>
      <c r="O32" s="78">
        <f t="shared" si="3"/>
        <v>0</v>
      </c>
      <c r="P32" s="77">
        <f t="shared" si="4"/>
        <v>0</v>
      </c>
      <c r="Q32" s="78">
        <f t="shared" si="4"/>
        <v>0</v>
      </c>
      <c r="R32" s="78">
        <f t="shared" si="4"/>
        <v>0</v>
      </c>
      <c r="S32" s="78">
        <f t="shared" si="4"/>
        <v>0</v>
      </c>
      <c r="T32" s="78">
        <f t="shared" si="4"/>
        <v>0</v>
      </c>
      <c r="U32" s="78">
        <f t="shared" si="4"/>
        <v>0</v>
      </c>
      <c r="V32" s="77">
        <f t="shared" si="19"/>
        <v>0</v>
      </c>
      <c r="W32" s="78">
        <f t="shared" si="19"/>
        <v>0</v>
      </c>
      <c r="X32" s="78">
        <f t="shared" si="19"/>
        <v>0</v>
      </c>
      <c r="Y32" s="78">
        <f t="shared" si="19"/>
        <v>0</v>
      </c>
      <c r="Z32" s="78">
        <f t="shared" si="19"/>
        <v>0</v>
      </c>
      <c r="AA32" s="78">
        <f t="shared" si="19"/>
        <v>0</v>
      </c>
      <c r="AB32" s="77">
        <f t="shared" si="20"/>
        <v>0</v>
      </c>
      <c r="AC32" s="78">
        <f t="shared" si="20"/>
        <v>0</v>
      </c>
      <c r="AD32" s="78">
        <f t="shared" si="20"/>
        <v>0</v>
      </c>
      <c r="AE32" s="78">
        <f t="shared" si="20"/>
        <v>0</v>
      </c>
      <c r="AF32" s="78">
        <f t="shared" si="20"/>
        <v>0</v>
      </c>
      <c r="AG32" s="78">
        <f t="shared" si="20"/>
        <v>0</v>
      </c>
      <c r="AH32" s="77">
        <f t="shared" si="24"/>
        <v>0</v>
      </c>
      <c r="AI32" s="78">
        <f t="shared" si="24"/>
        <v>0</v>
      </c>
      <c r="AJ32" s="78">
        <f t="shared" si="24"/>
        <v>0</v>
      </c>
      <c r="AK32" s="78">
        <f t="shared" si="24"/>
        <v>0</v>
      </c>
      <c r="AL32" s="78">
        <f t="shared" si="24"/>
        <v>0</v>
      </c>
      <c r="AM32" s="78">
        <f t="shared" si="24"/>
        <v>0</v>
      </c>
      <c r="AN32" s="77">
        <f t="shared" si="8"/>
        <v>0</v>
      </c>
      <c r="AO32" s="78">
        <f t="shared" si="8"/>
        <v>0</v>
      </c>
      <c r="AP32" s="78">
        <f t="shared" si="8"/>
        <v>0</v>
      </c>
      <c r="AQ32" s="78">
        <f t="shared" si="8"/>
        <v>0</v>
      </c>
      <c r="AR32" s="78">
        <f t="shared" si="8"/>
        <v>0</v>
      </c>
      <c r="AS32" s="78">
        <f>IF(AND(AS14&lt;&gt;"",AS14&gt;0),(VLOOKUP(AS$6,$CC$6:$CE$12,3,0)*AS14)/SUM($AN14:$AR14),0)</f>
        <v>0</v>
      </c>
      <c r="AT32" s="77">
        <f t="shared" si="9"/>
        <v>0</v>
      </c>
      <c r="AU32" s="78">
        <f t="shared" si="9"/>
        <v>0</v>
      </c>
      <c r="AV32" s="78">
        <f t="shared" si="9"/>
        <v>0</v>
      </c>
      <c r="AW32" s="78">
        <f t="shared" si="9"/>
        <v>0</v>
      </c>
      <c r="AX32" s="78">
        <f t="shared" si="9"/>
        <v>0</v>
      </c>
      <c r="AY32" s="78">
        <f t="shared" si="9"/>
        <v>0</v>
      </c>
      <c r="AZ32" s="77">
        <f t="shared" si="10"/>
        <v>0</v>
      </c>
      <c r="BA32" s="78">
        <f t="shared" si="10"/>
        <v>0</v>
      </c>
      <c r="BB32" s="78">
        <f t="shared" si="10"/>
        <v>0</v>
      </c>
      <c r="BC32" s="78">
        <f t="shared" si="10"/>
        <v>0</v>
      </c>
      <c r="BD32" s="78">
        <f t="shared" si="10"/>
        <v>0</v>
      </c>
      <c r="BE32" s="78">
        <f t="shared" si="10"/>
        <v>0</v>
      </c>
      <c r="BF32" s="78">
        <f t="shared" ref="BF32:BJ32" si="39">IF(AND(BF14&lt;&gt;"",BF14&gt;0),(VLOOKUP(BF$6,$CC$6:$CE$12,3,0)*BF14)/SUM($BF14:$BJ14),0)</f>
        <v>0</v>
      </c>
      <c r="BG32" s="78">
        <f t="shared" si="39"/>
        <v>0</v>
      </c>
      <c r="BH32" s="78">
        <f t="shared" si="39"/>
        <v>0</v>
      </c>
      <c r="BI32" s="78">
        <f t="shared" si="39"/>
        <v>0</v>
      </c>
      <c r="BJ32" s="78">
        <f t="shared" si="39"/>
        <v>0</v>
      </c>
      <c r="BK32" s="78">
        <f>IF(AND(BK14&lt;&gt;"",BK14&gt;0),(VLOOKUP(BK$6,$CC$6:$CE$12,3,0)*BK14)/SUM($BF14:$BJ14),0)</f>
        <v>0</v>
      </c>
      <c r="BL32" s="77">
        <f t="shared" ref="BL32:BQ32" si="40">IF(AND(BL14&lt;&gt;"",BL14&gt;0),(VLOOKUP(BL$6,$CC$6:$CE$12,3,0)*BL14)/SUM($BL14:$BP14),0)</f>
        <v>0</v>
      </c>
      <c r="BM32" s="77">
        <f t="shared" si="40"/>
        <v>0</v>
      </c>
      <c r="BN32" s="77">
        <f t="shared" si="40"/>
        <v>0</v>
      </c>
      <c r="BO32" s="77">
        <f t="shared" si="40"/>
        <v>0</v>
      </c>
      <c r="BP32" s="77">
        <f t="shared" si="40"/>
        <v>0</v>
      </c>
      <c r="BQ32" s="77">
        <f t="shared" si="40"/>
        <v>0</v>
      </c>
      <c r="BR32" s="77">
        <f t="shared" ref="BR32:BW32" si="41">IF(AND(BR14&lt;&gt;"",BR14&gt;0),(VLOOKUP(BR$6,$CC$6:$CE$12,3,0)*BR14)/SUM($BR14:$BV14),0)</f>
        <v>0</v>
      </c>
      <c r="BS32" s="77">
        <f>IF(AND(BS14&lt;&gt;"",BS14&gt;0),(VLOOKUP(BS$6,$CC$6:$CE$12,3,0)*BS14)/SUM($BR14:$BV14),0)</f>
        <v>0</v>
      </c>
      <c r="BT32" s="77">
        <f t="shared" si="41"/>
        <v>0</v>
      </c>
      <c r="BU32" s="77">
        <f t="shared" si="41"/>
        <v>0</v>
      </c>
      <c r="BV32" s="77">
        <f t="shared" si="41"/>
        <v>0</v>
      </c>
      <c r="BW32" s="77">
        <f t="shared" si="41"/>
        <v>0</v>
      </c>
    </row>
    <row r="33" spans="2:75" x14ac:dyDescent="0.3">
      <c r="B33" s="60">
        <v>9</v>
      </c>
      <c r="C33" s="61" t="str">
        <f t="shared" si="31"/>
        <v>ControlDeGestión</v>
      </c>
      <c r="D33" s="130">
        <f t="shared" si="14"/>
        <v>105</v>
      </c>
      <c r="E33" s="131">
        <f t="shared" si="32"/>
        <v>93</v>
      </c>
      <c r="F33" s="64">
        <f t="shared" si="15"/>
        <v>0.88571428571428568</v>
      </c>
      <c r="G33" s="63">
        <f t="shared" si="15"/>
        <v>12</v>
      </c>
      <c r="H33" s="64">
        <f t="shared" si="15"/>
        <v>0.11428571428571428</v>
      </c>
      <c r="I33" s="137">
        <f t="shared" si="15"/>
        <v>4</v>
      </c>
      <c r="J33" s="77">
        <f t="shared" si="3"/>
        <v>0</v>
      </c>
      <c r="K33" s="78">
        <f t="shared" si="3"/>
        <v>0</v>
      </c>
      <c r="L33" s="78">
        <f t="shared" si="3"/>
        <v>0</v>
      </c>
      <c r="M33" s="78">
        <f t="shared" si="3"/>
        <v>0</v>
      </c>
      <c r="N33" s="78">
        <f t="shared" si="3"/>
        <v>0</v>
      </c>
      <c r="O33" s="78">
        <f t="shared" si="3"/>
        <v>0</v>
      </c>
      <c r="P33" s="77">
        <f t="shared" si="4"/>
        <v>0</v>
      </c>
      <c r="Q33" s="78">
        <f t="shared" si="4"/>
        <v>0</v>
      </c>
      <c r="R33" s="78">
        <f t="shared" si="4"/>
        <v>0</v>
      </c>
      <c r="S33" s="78">
        <f t="shared" si="4"/>
        <v>0</v>
      </c>
      <c r="T33" s="78">
        <f t="shared" si="4"/>
        <v>0</v>
      </c>
      <c r="U33" s="78">
        <f t="shared" si="4"/>
        <v>0</v>
      </c>
      <c r="V33" s="77">
        <f t="shared" si="5"/>
        <v>0</v>
      </c>
      <c r="W33" s="78">
        <f t="shared" si="5"/>
        <v>0</v>
      </c>
      <c r="X33" s="78">
        <f t="shared" si="5"/>
        <v>0</v>
      </c>
      <c r="Y33" s="78">
        <f t="shared" si="5"/>
        <v>0</v>
      </c>
      <c r="Z33" s="78">
        <f t="shared" si="5"/>
        <v>0</v>
      </c>
      <c r="AA33" s="78">
        <f t="shared" si="5"/>
        <v>0</v>
      </c>
      <c r="AB33" s="77">
        <f t="shared" si="20"/>
        <v>0</v>
      </c>
      <c r="AC33" s="78">
        <f t="shared" si="20"/>
        <v>0</v>
      </c>
      <c r="AD33" s="78">
        <f t="shared" si="20"/>
        <v>0</v>
      </c>
      <c r="AE33" s="78">
        <f t="shared" si="20"/>
        <v>0</v>
      </c>
      <c r="AF33" s="78">
        <f t="shared" si="20"/>
        <v>0</v>
      </c>
      <c r="AG33" s="78">
        <f t="shared" si="20"/>
        <v>0</v>
      </c>
      <c r="AH33" s="77">
        <f t="shared" si="24"/>
        <v>0</v>
      </c>
      <c r="AI33" s="78">
        <f t="shared" si="24"/>
        <v>0</v>
      </c>
      <c r="AJ33" s="78">
        <f t="shared" si="24"/>
        <v>0</v>
      </c>
      <c r="AK33" s="78">
        <f t="shared" si="24"/>
        <v>0</v>
      </c>
      <c r="AL33" s="78">
        <f t="shared" si="24"/>
        <v>0</v>
      </c>
      <c r="AM33" s="78">
        <f t="shared" si="24"/>
        <v>0</v>
      </c>
      <c r="AN33" s="77">
        <f t="shared" si="8"/>
        <v>0</v>
      </c>
      <c r="AO33" s="78">
        <f t="shared" si="8"/>
        <v>0</v>
      </c>
      <c r="AP33" s="78">
        <f t="shared" si="8"/>
        <v>0</v>
      </c>
      <c r="AQ33" s="78">
        <f t="shared" si="8"/>
        <v>0</v>
      </c>
      <c r="AR33" s="78">
        <f t="shared" si="8"/>
        <v>0</v>
      </c>
      <c r="AS33" s="78">
        <f t="shared" si="8"/>
        <v>0</v>
      </c>
      <c r="AT33" s="77">
        <f t="shared" si="9"/>
        <v>0</v>
      </c>
      <c r="AU33" s="78">
        <f t="shared" si="9"/>
        <v>0</v>
      </c>
      <c r="AV33" s="78">
        <f t="shared" si="9"/>
        <v>0</v>
      </c>
      <c r="AW33" s="78">
        <f t="shared" si="9"/>
        <v>0</v>
      </c>
      <c r="AX33" s="78">
        <f t="shared" si="9"/>
        <v>0</v>
      </c>
      <c r="AY33" s="78">
        <f t="shared" si="9"/>
        <v>0</v>
      </c>
      <c r="AZ33" s="77">
        <f t="shared" si="10"/>
        <v>0</v>
      </c>
      <c r="BA33" s="78">
        <f t="shared" si="10"/>
        <v>0</v>
      </c>
      <c r="BB33" s="78">
        <f t="shared" si="10"/>
        <v>0</v>
      </c>
      <c r="BC33" s="78">
        <f t="shared" si="10"/>
        <v>0</v>
      </c>
      <c r="BD33" s="78">
        <f t="shared" si="10"/>
        <v>0</v>
      </c>
      <c r="BE33" s="78">
        <f t="shared" si="10"/>
        <v>0</v>
      </c>
      <c r="BF33" s="78">
        <f t="shared" ref="BF33:BK33" si="42">IF(AND(BF15&lt;&gt;"",BF15&gt;0),(VLOOKUP(BF$6,$CC$6:$CE$12,3,0)*BF15)/SUM($BF15:$BJ15),0)</f>
        <v>0</v>
      </c>
      <c r="BG33" s="78">
        <f t="shared" si="42"/>
        <v>0</v>
      </c>
      <c r="BH33" s="78">
        <f t="shared" si="42"/>
        <v>0</v>
      </c>
      <c r="BI33" s="78">
        <f t="shared" si="42"/>
        <v>0</v>
      </c>
      <c r="BJ33" s="78">
        <f>IF(AND(BJ15&lt;&gt;"",BJ15&gt;0),(VLOOKUP(BJ$6,$CC$6:$CE$12,3,0)*BJ15)/SUM($BF15:$BJ15),0)</f>
        <v>0</v>
      </c>
      <c r="BK33" s="78">
        <f t="shared" si="42"/>
        <v>0</v>
      </c>
      <c r="BL33" s="77">
        <f t="shared" ref="BL33:BP33" si="43">IF(AND(BL15&lt;&gt;"",BL15&gt;0),(VLOOKUP(BL$6,$CC$6:$CE$12,3,0)*BL15)/SUM($BL15:$BP15),0)</f>
        <v>0</v>
      </c>
      <c r="BM33" s="77">
        <f t="shared" si="43"/>
        <v>0</v>
      </c>
      <c r="BN33" s="77">
        <f t="shared" si="43"/>
        <v>0</v>
      </c>
      <c r="BO33" s="77">
        <f t="shared" si="43"/>
        <v>0</v>
      </c>
      <c r="BP33" s="77">
        <f t="shared" si="43"/>
        <v>0</v>
      </c>
      <c r="BQ33" s="77">
        <f>IF(AND(BQ15&lt;&gt;"",BQ15&gt;0),(VLOOKUP(BQ$6,$CC$6:$CE$12,3,0)*BQ15)/SUM($BL15:$BP15),0)</f>
        <v>0</v>
      </c>
      <c r="BR33" s="77">
        <f t="shared" ref="BR33:BW33" si="44">IF(AND(BR15&lt;&gt;"",BR15&gt;0),(VLOOKUP(BR$6,$CC$6:$CE$12,3,0)*BR15)/SUM($BR15:$BV15),0)</f>
        <v>0</v>
      </c>
      <c r="BS33" s="77">
        <f t="shared" si="44"/>
        <v>0</v>
      </c>
      <c r="BT33" s="77">
        <f t="shared" si="44"/>
        <v>0</v>
      </c>
      <c r="BU33" s="77">
        <f t="shared" si="44"/>
        <v>0</v>
      </c>
      <c r="BV33" s="77">
        <f t="shared" si="44"/>
        <v>0</v>
      </c>
      <c r="BW33" s="77">
        <f t="shared" si="44"/>
        <v>0</v>
      </c>
    </row>
    <row r="34" spans="2:75" x14ac:dyDescent="0.3">
      <c r="B34" s="60">
        <v>10</v>
      </c>
      <c r="C34" s="61" t="str">
        <f t="shared" si="31"/>
        <v>Compras</v>
      </c>
      <c r="D34" s="130">
        <f t="shared" si="14"/>
        <v>77</v>
      </c>
      <c r="E34" s="131">
        <f t="shared" si="32"/>
        <v>54</v>
      </c>
      <c r="F34" s="64">
        <f t="shared" si="15"/>
        <v>0.70129870129870131</v>
      </c>
      <c r="G34" s="63">
        <f t="shared" si="15"/>
        <v>23</v>
      </c>
      <c r="H34" s="64">
        <f t="shared" si="15"/>
        <v>0.29870129870129869</v>
      </c>
      <c r="I34" s="55">
        <f>I16</f>
        <v>7</v>
      </c>
      <c r="J34" s="77">
        <f t="shared" si="3"/>
        <v>0</v>
      </c>
      <c r="K34" s="78">
        <f t="shared" si="3"/>
        <v>0</v>
      </c>
      <c r="L34" s="78">
        <f t="shared" si="3"/>
        <v>0</v>
      </c>
      <c r="M34" s="78">
        <f t="shared" si="3"/>
        <v>0</v>
      </c>
      <c r="N34" s="78">
        <f t="shared" si="3"/>
        <v>0</v>
      </c>
      <c r="O34" s="78">
        <f t="shared" si="3"/>
        <v>0</v>
      </c>
      <c r="P34" s="77">
        <f t="shared" si="4"/>
        <v>0</v>
      </c>
      <c r="Q34" s="78">
        <f t="shared" si="4"/>
        <v>0</v>
      </c>
      <c r="R34" s="78">
        <f t="shared" si="4"/>
        <v>0</v>
      </c>
      <c r="S34" s="78">
        <f t="shared" si="4"/>
        <v>0</v>
      </c>
      <c r="T34" s="78">
        <f t="shared" si="4"/>
        <v>0</v>
      </c>
      <c r="U34" s="78">
        <f t="shared" si="4"/>
        <v>0</v>
      </c>
      <c r="V34" s="77">
        <f t="shared" si="5"/>
        <v>0</v>
      </c>
      <c r="W34" s="78">
        <f t="shared" si="5"/>
        <v>0</v>
      </c>
      <c r="X34" s="78">
        <f t="shared" si="5"/>
        <v>0</v>
      </c>
      <c r="Y34" s="78">
        <f t="shared" si="5"/>
        <v>0</v>
      </c>
      <c r="Z34" s="78">
        <f t="shared" si="5"/>
        <v>0</v>
      </c>
      <c r="AA34" s="78">
        <f t="shared" si="5"/>
        <v>0</v>
      </c>
      <c r="AB34" s="77">
        <f t="shared" si="20"/>
        <v>0</v>
      </c>
      <c r="AC34" s="78">
        <f t="shared" si="20"/>
        <v>0</v>
      </c>
      <c r="AD34" s="78">
        <f t="shared" si="20"/>
        <v>0</v>
      </c>
      <c r="AE34" s="78">
        <f t="shared" si="20"/>
        <v>0</v>
      </c>
      <c r="AF34" s="78">
        <f t="shared" si="20"/>
        <v>0</v>
      </c>
      <c r="AG34" s="78">
        <f t="shared" si="20"/>
        <v>0</v>
      </c>
      <c r="AH34" s="77">
        <f t="shared" si="24"/>
        <v>0</v>
      </c>
      <c r="AI34" s="78">
        <f t="shared" si="24"/>
        <v>0</v>
      </c>
      <c r="AJ34" s="78">
        <f t="shared" si="24"/>
        <v>0</v>
      </c>
      <c r="AK34" s="78">
        <f t="shared" si="24"/>
        <v>0</v>
      </c>
      <c r="AL34" s="78">
        <f t="shared" si="24"/>
        <v>0</v>
      </c>
      <c r="AM34" s="78">
        <f t="shared" si="24"/>
        <v>0</v>
      </c>
      <c r="AN34" s="77">
        <f t="shared" si="8"/>
        <v>0</v>
      </c>
      <c r="AO34" s="78">
        <f t="shared" si="8"/>
        <v>0</v>
      </c>
      <c r="AP34" s="78">
        <f t="shared" si="8"/>
        <v>0</v>
      </c>
      <c r="AQ34" s="78">
        <f t="shared" si="8"/>
        <v>0</v>
      </c>
      <c r="AR34" s="78">
        <f t="shared" si="8"/>
        <v>0</v>
      </c>
      <c r="AS34" s="78">
        <f t="shared" si="8"/>
        <v>0</v>
      </c>
      <c r="AT34" s="77">
        <f t="shared" si="9"/>
        <v>0</v>
      </c>
      <c r="AU34" s="78">
        <f t="shared" si="9"/>
        <v>0</v>
      </c>
      <c r="AV34" s="78">
        <f t="shared" si="9"/>
        <v>0</v>
      </c>
      <c r="AW34" s="78">
        <f t="shared" si="9"/>
        <v>0</v>
      </c>
      <c r="AX34" s="78">
        <f t="shared" si="9"/>
        <v>0</v>
      </c>
      <c r="AY34" s="78">
        <f t="shared" si="9"/>
        <v>0</v>
      </c>
      <c r="AZ34" s="77">
        <f t="shared" si="10"/>
        <v>0</v>
      </c>
      <c r="BA34" s="78">
        <f t="shared" si="10"/>
        <v>0</v>
      </c>
      <c r="BB34" s="78">
        <f t="shared" si="10"/>
        <v>0</v>
      </c>
      <c r="BC34" s="78">
        <f t="shared" si="10"/>
        <v>0</v>
      </c>
      <c r="BD34" s="78">
        <f t="shared" si="10"/>
        <v>0</v>
      </c>
      <c r="BE34" s="78">
        <f t="shared" si="10"/>
        <v>0</v>
      </c>
      <c r="BF34" s="78">
        <f t="shared" ref="BF34:BK34" si="45">IF(AND(BF16&lt;&gt;"",BF16&gt;0),(VLOOKUP(BF$6,$CC$6:$CE$12,3,0)*BF16)/SUM($BF16:$BJ16),0)</f>
        <v>0</v>
      </c>
      <c r="BG34" s="78">
        <f t="shared" si="45"/>
        <v>0</v>
      </c>
      <c r="BH34" s="78">
        <f>IF(AND(BH16&lt;&gt;"",BH16&gt;0),(VLOOKUP(BH$6,$CC$6:$CE$12,3,0)*BH16)/SUM($BF16:$BJ16),0)</f>
        <v>0</v>
      </c>
      <c r="BI34" s="78">
        <f>IF(AND(BI16&lt;&gt;"",BI16&gt;0),(VLOOKUP(BI$6,$CC$6:$CE$12,3,0)*BI16)/SUM($BF16:$BJ16),0)</f>
        <v>0</v>
      </c>
      <c r="BJ34" s="78">
        <f t="shared" si="45"/>
        <v>0</v>
      </c>
      <c r="BK34" s="78">
        <f t="shared" si="45"/>
        <v>0</v>
      </c>
      <c r="BL34" s="77">
        <f t="shared" ref="BL34:BQ34" si="46">IF(AND(BL16&lt;&gt;"",BL16&gt;0),(VLOOKUP(BL$6,$CC$6:$CE$12,3,0)*BL16)/SUM($BL16:$BP16),0)</f>
        <v>0</v>
      </c>
      <c r="BM34" s="77">
        <f>IF(AND(BM16&lt;&gt;"",BM16&gt;0),(VLOOKUP(BM$6,$CC$6:$CE$12,3,0)*BM16)/SUM($BL16:$BP16),0)</f>
        <v>0</v>
      </c>
      <c r="BN34" s="77">
        <f t="shared" si="46"/>
        <v>0</v>
      </c>
      <c r="BO34" s="77">
        <f t="shared" si="46"/>
        <v>0</v>
      </c>
      <c r="BP34" s="77">
        <f t="shared" si="46"/>
        <v>0</v>
      </c>
      <c r="BQ34" s="77">
        <f t="shared" si="46"/>
        <v>0</v>
      </c>
      <c r="BR34" s="77">
        <f>IF(AND(BR16&lt;&gt;"",BR16&gt;0),(VLOOKUP(BR$6,$CC$6:$CE$12,3,0)*BR16)/SUM($BR16:$BV16),0)</f>
        <v>0</v>
      </c>
      <c r="BS34" s="77">
        <f t="shared" ref="BS34:BW34" si="47">IF(AND(BS16&lt;&gt;"",BS16&gt;0),(VLOOKUP(BS$6,$CC$6:$CE$12,3,0)*BS16)/SUM($BR16:$BV16),0)</f>
        <v>0</v>
      </c>
      <c r="BT34" s="77">
        <f>IF(AND(BT16&lt;&gt;"",BT16&gt;0),(VLOOKUP(BT$6,$CC$6:$CE$12,3,0)*BT16)/SUM($BR16:$BV16),0)</f>
        <v>0</v>
      </c>
      <c r="BU34" s="77">
        <f t="shared" si="47"/>
        <v>0</v>
      </c>
      <c r="BV34" s="77">
        <f t="shared" si="47"/>
        <v>0</v>
      </c>
      <c r="BW34" s="77">
        <f t="shared" si="47"/>
        <v>0</v>
      </c>
    </row>
    <row r="35" spans="2:75" x14ac:dyDescent="0.3">
      <c r="B35" s="65">
        <v>11</v>
      </c>
      <c r="C35" s="61" t="str">
        <f t="shared" si="31"/>
        <v>RiesgosYCumplimiento</v>
      </c>
      <c r="D35" s="130">
        <f t="shared" si="14"/>
        <v>78</v>
      </c>
      <c r="E35" s="131">
        <f t="shared" si="32"/>
        <v>73</v>
      </c>
      <c r="F35" s="67">
        <f t="shared" si="15"/>
        <v>0.9358974358974359</v>
      </c>
      <c r="G35" s="66">
        <f t="shared" si="15"/>
        <v>5</v>
      </c>
      <c r="H35" s="67">
        <f t="shared" si="15"/>
        <v>6.4102564102564097E-2</v>
      </c>
      <c r="I35" s="138">
        <f t="shared" si="15"/>
        <v>3</v>
      </c>
      <c r="J35" s="79">
        <f t="shared" si="3"/>
        <v>0</v>
      </c>
      <c r="K35" s="80">
        <f t="shared" si="3"/>
        <v>0</v>
      </c>
      <c r="L35" s="80">
        <f t="shared" si="3"/>
        <v>0</v>
      </c>
      <c r="M35" s="80">
        <f t="shared" si="3"/>
        <v>0</v>
      </c>
      <c r="N35" s="80">
        <f t="shared" si="3"/>
        <v>0</v>
      </c>
      <c r="O35" s="80">
        <f t="shared" si="3"/>
        <v>0</v>
      </c>
      <c r="P35" s="79">
        <f t="shared" si="4"/>
        <v>0</v>
      </c>
      <c r="Q35" s="80">
        <f t="shared" si="4"/>
        <v>0</v>
      </c>
      <c r="R35" s="80">
        <f t="shared" si="4"/>
        <v>0</v>
      </c>
      <c r="S35" s="80">
        <f t="shared" si="4"/>
        <v>0</v>
      </c>
      <c r="T35" s="80">
        <f t="shared" si="4"/>
        <v>0</v>
      </c>
      <c r="U35" s="81">
        <f t="shared" si="4"/>
        <v>0</v>
      </c>
      <c r="V35" s="79">
        <f t="shared" si="5"/>
        <v>0</v>
      </c>
      <c r="W35" s="80">
        <f t="shared" si="5"/>
        <v>0</v>
      </c>
      <c r="X35" s="80">
        <f t="shared" si="5"/>
        <v>0</v>
      </c>
      <c r="Y35" s="80">
        <f t="shared" si="5"/>
        <v>0</v>
      </c>
      <c r="Z35" s="80">
        <f t="shared" si="5"/>
        <v>0</v>
      </c>
      <c r="AA35" s="81">
        <f t="shared" si="5"/>
        <v>0</v>
      </c>
      <c r="AB35" s="79">
        <f t="shared" si="20"/>
        <v>0</v>
      </c>
      <c r="AC35" s="80">
        <f t="shared" si="20"/>
        <v>0</v>
      </c>
      <c r="AD35" s="80">
        <f t="shared" si="20"/>
        <v>0</v>
      </c>
      <c r="AE35" s="80">
        <f t="shared" si="20"/>
        <v>0</v>
      </c>
      <c r="AF35" s="80">
        <f t="shared" si="20"/>
        <v>0</v>
      </c>
      <c r="AG35" s="81">
        <f t="shared" si="20"/>
        <v>0</v>
      </c>
      <c r="AH35" s="79">
        <f t="shared" si="24"/>
        <v>0</v>
      </c>
      <c r="AI35" s="80">
        <f t="shared" si="24"/>
        <v>0</v>
      </c>
      <c r="AJ35" s="80">
        <f t="shared" si="24"/>
        <v>0</v>
      </c>
      <c r="AK35" s="80">
        <f t="shared" si="24"/>
        <v>0</v>
      </c>
      <c r="AL35" s="80">
        <f t="shared" si="24"/>
        <v>0</v>
      </c>
      <c r="AM35" s="81">
        <f t="shared" si="24"/>
        <v>0</v>
      </c>
      <c r="AN35" s="79">
        <f t="shared" si="8"/>
        <v>0</v>
      </c>
      <c r="AO35" s="80">
        <f t="shared" si="8"/>
        <v>0</v>
      </c>
      <c r="AP35" s="80">
        <f t="shared" si="8"/>
        <v>0</v>
      </c>
      <c r="AQ35" s="80">
        <f t="shared" si="8"/>
        <v>0</v>
      </c>
      <c r="AR35" s="80">
        <f t="shared" si="8"/>
        <v>0</v>
      </c>
      <c r="AS35" s="81">
        <f t="shared" si="8"/>
        <v>0</v>
      </c>
      <c r="AT35" s="79">
        <f t="shared" si="9"/>
        <v>0</v>
      </c>
      <c r="AU35" s="80">
        <f t="shared" si="9"/>
        <v>0</v>
      </c>
      <c r="AV35" s="80">
        <f t="shared" si="9"/>
        <v>0</v>
      </c>
      <c r="AW35" s="80">
        <f t="shared" si="9"/>
        <v>0</v>
      </c>
      <c r="AX35" s="80">
        <f t="shared" si="9"/>
        <v>0</v>
      </c>
      <c r="AY35" s="81">
        <f t="shared" si="9"/>
        <v>0</v>
      </c>
      <c r="AZ35" s="79">
        <f t="shared" si="10"/>
        <v>0</v>
      </c>
      <c r="BA35" s="80">
        <f t="shared" si="10"/>
        <v>0</v>
      </c>
      <c r="BB35" s="80">
        <f t="shared" si="10"/>
        <v>0</v>
      </c>
      <c r="BC35" s="80">
        <f t="shared" si="10"/>
        <v>0</v>
      </c>
      <c r="BD35" s="80">
        <f t="shared" si="10"/>
        <v>0</v>
      </c>
      <c r="BE35" s="81">
        <f t="shared" si="10"/>
        <v>0</v>
      </c>
      <c r="BF35" s="78">
        <f t="shared" ref="BF35:BK35" si="48">IF(AND(BF17&lt;&gt;"",BF17&gt;0),(VLOOKUP(BF$6,$CC$6:$CE$12,3,0)*BF17)/SUM($BF17:$BJ17),0)</f>
        <v>0</v>
      </c>
      <c r="BG35" s="78">
        <f t="shared" si="48"/>
        <v>0</v>
      </c>
      <c r="BH35" s="78">
        <f t="shared" si="48"/>
        <v>0</v>
      </c>
      <c r="BI35" s="78">
        <f t="shared" si="48"/>
        <v>0</v>
      </c>
      <c r="BJ35" s="78">
        <f t="shared" si="48"/>
        <v>0</v>
      </c>
      <c r="BK35" s="78">
        <f t="shared" si="48"/>
        <v>0</v>
      </c>
      <c r="BL35" s="77">
        <f>IF(AND(BL17&lt;&gt;"",BL17&gt;0),(VLOOKUP(BL$6,$CC$6:$CE$12,3,0)*BL17)/SUM($BL17:$BP17),0)</f>
        <v>0</v>
      </c>
      <c r="BM35" s="77">
        <f t="shared" ref="BM35:BQ35" si="49">IF(AND(BM17&lt;&gt;"",BM17&gt;0),(VLOOKUP(BM$6,$CC$6:$CE$12,3,0)*BM17)/SUM($BL17:$BP17),0)</f>
        <v>0</v>
      </c>
      <c r="BN35" s="77">
        <f t="shared" si="49"/>
        <v>0</v>
      </c>
      <c r="BO35" s="77">
        <f t="shared" si="49"/>
        <v>0</v>
      </c>
      <c r="BP35" s="77">
        <f t="shared" si="49"/>
        <v>0</v>
      </c>
      <c r="BQ35" s="77">
        <f t="shared" si="49"/>
        <v>0</v>
      </c>
      <c r="BR35" s="77">
        <f t="shared" ref="BR35:BV35" si="50">IF(AND(BR17&lt;&gt;"",BR17&gt;0),(VLOOKUP(BR$6,$CC$6:$CE$12,3,0)*BR17)/SUM($BR17:$BV17),0)</f>
        <v>0</v>
      </c>
      <c r="BS35" s="77">
        <f t="shared" si="50"/>
        <v>0</v>
      </c>
      <c r="BT35" s="77">
        <f t="shared" si="50"/>
        <v>0</v>
      </c>
      <c r="BU35" s="77">
        <f>IF(AND(BU17&lt;&gt;"",BU17&gt;0),(VLOOKUP(BU$6,$CC$6:$CE$12,3,0)*BU17)/SUM($BR17:$BV17),0)</f>
        <v>0</v>
      </c>
      <c r="BV35" s="77">
        <f t="shared" si="50"/>
        <v>0</v>
      </c>
      <c r="BW35" s="77">
        <f>IF(AND(BW17&lt;&gt;"",BW17&gt;0),(VLOOKUP(BW$6,$CC$6:$CE$12,3,0)*BW17)/SUM($BR17:$BV17),0)</f>
        <v>0</v>
      </c>
    </row>
    <row r="36" spans="2:75" x14ac:dyDescent="0.3">
      <c r="D36" s="71">
        <f>SUM(D25:D35)</f>
        <v>1022</v>
      </c>
      <c r="E36" s="71">
        <f t="shared" si="15"/>
        <v>841</v>
      </c>
      <c r="F36" s="72">
        <f t="shared" si="15"/>
        <v>0.82289628180039143</v>
      </c>
      <c r="G36" s="71">
        <f t="shared" si="15"/>
        <v>181</v>
      </c>
      <c r="H36" s="72">
        <f t="shared" si="15"/>
        <v>0.1771037181996086</v>
      </c>
      <c r="I36" s="71">
        <f t="shared" si="15"/>
        <v>59</v>
      </c>
    </row>
    <row r="37" spans="2:75" x14ac:dyDescent="0.3">
      <c r="D37" s="71"/>
      <c r="E37" s="71"/>
      <c r="F37" s="72"/>
      <c r="G37" s="71"/>
      <c r="H37" s="72"/>
      <c r="I37" s="71"/>
    </row>
    <row r="38" spans="2:75" x14ac:dyDescent="0.3">
      <c r="D38" s="71"/>
      <c r="E38" s="71"/>
      <c r="F38" s="72"/>
      <c r="G38" s="71"/>
      <c r="H38" s="72"/>
      <c r="I38" s="71"/>
      <c r="J38" s="82"/>
    </row>
    <row r="39" spans="2:75" ht="15.6" x14ac:dyDescent="0.3">
      <c r="D39" s="71"/>
      <c r="E39" s="71"/>
      <c r="F39" s="72"/>
      <c r="G39" s="71"/>
      <c r="H39" s="72"/>
      <c r="I39" s="71"/>
      <c r="K39" s="83" t="s">
        <v>501</v>
      </c>
    </row>
    <row r="40" spans="2:75" x14ac:dyDescent="0.3">
      <c r="D40" s="71"/>
      <c r="E40" s="71"/>
      <c r="F40" s="72"/>
      <c r="G40" s="71"/>
      <c r="H40" s="72"/>
      <c r="I40" s="71"/>
    </row>
    <row r="41" spans="2:75" x14ac:dyDescent="0.3">
      <c r="D41" s="71"/>
      <c r="E41" s="71"/>
      <c r="F41" s="72"/>
      <c r="G41" s="71"/>
      <c r="H41" s="72"/>
      <c r="I41" s="71"/>
    </row>
    <row r="42" spans="2:75" x14ac:dyDescent="0.3">
      <c r="U42" s="84"/>
    </row>
    <row r="43" spans="2:75" x14ac:dyDescent="0.3">
      <c r="E43" s="189" t="s">
        <v>474</v>
      </c>
      <c r="F43" s="191" t="s">
        <v>5</v>
      </c>
      <c r="G43" s="192"/>
      <c r="H43" s="192"/>
      <c r="I43" s="193"/>
      <c r="J43" s="187" t="s">
        <v>502</v>
      </c>
      <c r="K43" s="185"/>
      <c r="L43" s="185"/>
      <c r="M43" s="185"/>
      <c r="N43" s="185"/>
      <c r="O43" s="185"/>
      <c r="P43" s="185"/>
      <c r="Q43" s="185"/>
      <c r="R43" s="185"/>
      <c r="S43" s="185"/>
      <c r="T43" s="185"/>
    </row>
    <row r="44" spans="2:75" x14ac:dyDescent="0.3">
      <c r="E44" s="190"/>
      <c r="F44" s="194"/>
      <c r="G44" s="195"/>
      <c r="H44" s="195"/>
      <c r="I44" s="196"/>
      <c r="J44" s="85">
        <v>1</v>
      </c>
      <c r="K44" s="86">
        <v>2</v>
      </c>
      <c r="L44" s="86">
        <v>3</v>
      </c>
      <c r="M44" s="86">
        <v>4</v>
      </c>
      <c r="N44" s="86">
        <v>5</v>
      </c>
      <c r="O44" s="86">
        <v>6</v>
      </c>
      <c r="P44" s="86">
        <v>7</v>
      </c>
      <c r="Q44" s="86">
        <v>8</v>
      </c>
      <c r="R44" s="140">
        <v>9</v>
      </c>
      <c r="S44" s="140">
        <v>10</v>
      </c>
      <c r="T44" s="140">
        <v>11</v>
      </c>
      <c r="U44" s="87" t="s">
        <v>503</v>
      </c>
      <c r="W44" s="87" t="s">
        <v>454</v>
      </c>
    </row>
    <row r="45" spans="2:75" x14ac:dyDescent="0.3">
      <c r="E45" s="51">
        <v>1</v>
      </c>
      <c r="F45" s="88" t="s">
        <v>442</v>
      </c>
      <c r="G45" s="89"/>
      <c r="H45" s="89"/>
      <c r="I45" s="90"/>
      <c r="J45" s="91">
        <f t="shared" ref="J45:J55" si="51">SUM(J25:O25)</f>
        <v>0</v>
      </c>
      <c r="K45" s="91">
        <f t="shared" ref="K45:K55" si="52">SUM(P25:U25)</f>
        <v>0</v>
      </c>
      <c r="L45" s="91">
        <f t="shared" ref="L45:L55" si="53">SUM(V25:AA25)</f>
        <v>0</v>
      </c>
      <c r="M45" s="91">
        <f t="shared" ref="M45:M55" si="54">SUM(AB25:AG25)</f>
        <v>0</v>
      </c>
      <c r="N45" s="91">
        <f t="shared" ref="N45:N55" si="55">SUM(AH25:AM25)</f>
        <v>0</v>
      </c>
      <c r="O45" s="91">
        <f t="shared" ref="O45:O55" si="56">SUM(AN25:AS25)</f>
        <v>0</v>
      </c>
      <c r="P45" s="91">
        <f t="shared" ref="P45:P55" si="57">SUM(AT25:AY25)</f>
        <v>0</v>
      </c>
      <c r="Q45" s="91">
        <f>SUM(AZ25:BE25)</f>
        <v>0</v>
      </c>
      <c r="R45" s="141">
        <f>SUM(BF25:BK25)</f>
        <v>0</v>
      </c>
      <c r="S45" s="141">
        <f>SUM(BL25:BQ25)</f>
        <v>0</v>
      </c>
      <c r="T45" s="141">
        <f>SUM(BR25:BW25)</f>
        <v>0</v>
      </c>
      <c r="U45" s="92">
        <f t="shared" ref="U45:U55" si="58">IFERROR(AVERAGEIF(J45:Q45,"&gt;0",J45:Q45),0)</f>
        <v>0</v>
      </c>
      <c r="V45" s="93"/>
      <c r="W45" s="92">
        <v>4.4600389863547756</v>
      </c>
    </row>
    <row r="46" spans="2:75" x14ac:dyDescent="0.3">
      <c r="E46" s="60">
        <v>2</v>
      </c>
      <c r="F46" s="94" t="s">
        <v>45</v>
      </c>
      <c r="I46" s="95"/>
      <c r="J46" s="96">
        <f t="shared" si="51"/>
        <v>0</v>
      </c>
      <c r="K46" s="96">
        <f t="shared" si="52"/>
        <v>0</v>
      </c>
      <c r="L46" s="96">
        <f t="shared" si="53"/>
        <v>0</v>
      </c>
      <c r="M46" s="96">
        <f t="shared" si="54"/>
        <v>0</v>
      </c>
      <c r="N46" s="96">
        <f t="shared" si="55"/>
        <v>0</v>
      </c>
      <c r="O46" s="96">
        <f t="shared" si="56"/>
        <v>0</v>
      </c>
      <c r="P46" s="96">
        <f t="shared" si="57"/>
        <v>0</v>
      </c>
      <c r="Q46" s="96">
        <f t="shared" ref="Q46:Q55" si="59">SUM(AZ26:BE26)</f>
        <v>0</v>
      </c>
      <c r="R46" s="141">
        <f t="shared" ref="R46:R55" si="60">SUM(BF26:BK26)</f>
        <v>0</v>
      </c>
      <c r="S46" s="141">
        <f t="shared" ref="S46:S55" si="61">SUM(BL26:BQ26)</f>
        <v>0</v>
      </c>
      <c r="T46" s="141">
        <f t="shared" ref="T46:T55" si="62">SUM(BR26:BW26)</f>
        <v>0</v>
      </c>
      <c r="U46" s="97">
        <f t="shared" si="58"/>
        <v>0</v>
      </c>
      <c r="V46" s="93"/>
      <c r="W46" s="98">
        <v>4.1269999999999998</v>
      </c>
    </row>
    <row r="47" spans="2:75" x14ac:dyDescent="0.3">
      <c r="E47" s="60">
        <v>3</v>
      </c>
      <c r="F47" s="94" t="s">
        <v>24</v>
      </c>
      <c r="I47" s="95"/>
      <c r="J47" s="96">
        <f t="shared" si="51"/>
        <v>0</v>
      </c>
      <c r="K47" s="96">
        <f t="shared" si="52"/>
        <v>0</v>
      </c>
      <c r="L47" s="96">
        <f t="shared" si="53"/>
        <v>0</v>
      </c>
      <c r="M47" s="96">
        <f t="shared" si="54"/>
        <v>0</v>
      </c>
      <c r="N47" s="96">
        <f t="shared" si="55"/>
        <v>0</v>
      </c>
      <c r="O47" s="96">
        <f t="shared" si="56"/>
        <v>0</v>
      </c>
      <c r="P47" s="96">
        <f t="shared" si="57"/>
        <v>0</v>
      </c>
      <c r="Q47" s="96">
        <f t="shared" si="59"/>
        <v>0</v>
      </c>
      <c r="R47" s="141">
        <f t="shared" si="60"/>
        <v>0</v>
      </c>
      <c r="S47" s="141">
        <f t="shared" si="61"/>
        <v>0</v>
      </c>
      <c r="T47" s="141">
        <f t="shared" si="62"/>
        <v>0</v>
      </c>
      <c r="U47" s="97">
        <f t="shared" si="58"/>
        <v>0</v>
      </c>
      <c r="V47" s="93"/>
      <c r="W47" s="98">
        <v>4.0410000000000004</v>
      </c>
    </row>
    <row r="48" spans="2:75" x14ac:dyDescent="0.3">
      <c r="E48" s="60">
        <v>4</v>
      </c>
      <c r="F48" s="94" t="s">
        <v>43</v>
      </c>
      <c r="I48" s="95"/>
      <c r="J48" s="96">
        <f t="shared" si="51"/>
        <v>0</v>
      </c>
      <c r="K48" s="96">
        <f t="shared" si="52"/>
        <v>0</v>
      </c>
      <c r="L48" s="96">
        <f t="shared" si="53"/>
        <v>0</v>
      </c>
      <c r="M48" s="96">
        <f t="shared" si="54"/>
        <v>0</v>
      </c>
      <c r="N48" s="96">
        <f t="shared" si="55"/>
        <v>0</v>
      </c>
      <c r="O48" s="96">
        <f t="shared" si="56"/>
        <v>0</v>
      </c>
      <c r="P48" s="96">
        <f t="shared" si="57"/>
        <v>0</v>
      </c>
      <c r="Q48" s="96">
        <f t="shared" si="59"/>
        <v>0</v>
      </c>
      <c r="R48" s="141">
        <f t="shared" si="60"/>
        <v>0</v>
      </c>
      <c r="S48" s="141">
        <f t="shared" si="61"/>
        <v>0</v>
      </c>
      <c r="T48" s="141">
        <f t="shared" si="62"/>
        <v>0</v>
      </c>
      <c r="U48" s="97">
        <f t="shared" si="58"/>
        <v>0</v>
      </c>
      <c r="V48" s="93"/>
      <c r="W48" s="98">
        <v>4.1500000000000004</v>
      </c>
    </row>
    <row r="49" spans="5:25" x14ac:dyDescent="0.3">
      <c r="E49" s="60">
        <v>5</v>
      </c>
      <c r="F49" s="94" t="s">
        <v>37</v>
      </c>
      <c r="I49" s="95"/>
      <c r="J49" s="96">
        <f t="shared" si="51"/>
        <v>4.3421052631578947</v>
      </c>
      <c r="K49" s="96">
        <f t="shared" si="52"/>
        <v>4.4000000000000004</v>
      </c>
      <c r="L49" s="96">
        <f t="shared" si="53"/>
        <v>4.1794871794871797</v>
      </c>
      <c r="M49" s="96">
        <f t="shared" si="54"/>
        <v>4.384615384615385</v>
      </c>
      <c r="N49" s="96">
        <f t="shared" si="55"/>
        <v>4.375</v>
      </c>
      <c r="O49" s="96">
        <f t="shared" si="56"/>
        <v>0</v>
      </c>
      <c r="P49" s="96">
        <f t="shared" si="57"/>
        <v>0</v>
      </c>
      <c r="Q49" s="96">
        <f t="shared" si="59"/>
        <v>0</v>
      </c>
      <c r="R49" s="141">
        <f>SUM(BF29:BK29)</f>
        <v>0</v>
      </c>
      <c r="S49" s="141">
        <f t="shared" si="61"/>
        <v>0</v>
      </c>
      <c r="T49" s="141">
        <f t="shared" si="62"/>
        <v>0</v>
      </c>
      <c r="U49" s="99">
        <f t="shared" si="58"/>
        <v>4.3362415654520916</v>
      </c>
      <c r="V49" s="93"/>
      <c r="W49" s="99">
        <v>4.5289999999999999</v>
      </c>
      <c r="Y49" s="146"/>
    </row>
    <row r="50" spans="5:25" x14ac:dyDescent="0.3">
      <c r="E50" s="60">
        <v>6</v>
      </c>
      <c r="F50" s="94" t="s">
        <v>18</v>
      </c>
      <c r="I50" s="95"/>
      <c r="J50" s="96">
        <f t="shared" si="51"/>
        <v>0</v>
      </c>
      <c r="K50" s="96">
        <f t="shared" si="52"/>
        <v>0</v>
      </c>
      <c r="L50" s="96">
        <f t="shared" si="53"/>
        <v>0</v>
      </c>
      <c r="M50" s="96">
        <f t="shared" si="54"/>
        <v>0</v>
      </c>
      <c r="N50" s="96">
        <f t="shared" si="55"/>
        <v>0</v>
      </c>
      <c r="O50" s="96">
        <f t="shared" si="56"/>
        <v>0</v>
      </c>
      <c r="P50" s="96">
        <f t="shared" si="57"/>
        <v>0</v>
      </c>
      <c r="Q50" s="96">
        <f t="shared" si="59"/>
        <v>0</v>
      </c>
      <c r="R50" s="141">
        <f t="shared" si="60"/>
        <v>0</v>
      </c>
      <c r="S50" s="141">
        <f>SUM(BL30:BQ30)</f>
        <v>0</v>
      </c>
      <c r="T50" s="141">
        <f t="shared" si="62"/>
        <v>0</v>
      </c>
      <c r="U50" s="97">
        <f t="shared" si="58"/>
        <v>0</v>
      </c>
      <c r="V50" s="93"/>
      <c r="W50" s="98">
        <v>4.0529999999999999</v>
      </c>
      <c r="Y50" s="146"/>
    </row>
    <row r="51" spans="5:25" x14ac:dyDescent="0.3">
      <c r="E51" s="60">
        <v>7</v>
      </c>
      <c r="F51" s="94" t="s">
        <v>7</v>
      </c>
      <c r="I51" s="95"/>
      <c r="J51" s="96">
        <f t="shared" si="51"/>
        <v>0</v>
      </c>
      <c r="K51" s="96">
        <f t="shared" si="52"/>
        <v>0</v>
      </c>
      <c r="L51" s="96">
        <f t="shared" si="53"/>
        <v>0</v>
      </c>
      <c r="M51" s="96">
        <f t="shared" si="54"/>
        <v>0</v>
      </c>
      <c r="N51" s="96">
        <f t="shared" si="55"/>
        <v>0</v>
      </c>
      <c r="O51" s="96">
        <f t="shared" si="56"/>
        <v>0</v>
      </c>
      <c r="P51" s="96">
        <f t="shared" si="57"/>
        <v>0</v>
      </c>
      <c r="Q51" s="96">
        <f t="shared" si="59"/>
        <v>0</v>
      </c>
      <c r="R51" s="141">
        <f t="shared" si="60"/>
        <v>0</v>
      </c>
      <c r="S51" s="141">
        <f t="shared" si="61"/>
        <v>0</v>
      </c>
      <c r="T51" s="141">
        <f t="shared" si="62"/>
        <v>0</v>
      </c>
      <c r="U51" s="97">
        <f t="shared" si="58"/>
        <v>0</v>
      </c>
      <c r="V51" s="93"/>
      <c r="W51" s="98">
        <v>4.2709999999999999</v>
      </c>
      <c r="Y51" s="146"/>
    </row>
    <row r="52" spans="5:25" x14ac:dyDescent="0.3">
      <c r="E52" s="60">
        <v>8</v>
      </c>
      <c r="F52" s="94" t="s">
        <v>12</v>
      </c>
      <c r="I52" s="95"/>
      <c r="J52" s="100">
        <f t="shared" si="51"/>
        <v>0</v>
      </c>
      <c r="K52" s="100">
        <f t="shared" si="52"/>
        <v>0</v>
      </c>
      <c r="L52" s="100">
        <f t="shared" si="53"/>
        <v>0</v>
      </c>
      <c r="M52" s="100">
        <f t="shared" si="54"/>
        <v>0</v>
      </c>
      <c r="N52" s="100">
        <f t="shared" si="55"/>
        <v>0</v>
      </c>
      <c r="O52" s="100">
        <f t="shared" si="56"/>
        <v>0</v>
      </c>
      <c r="P52" s="100">
        <f t="shared" si="57"/>
        <v>0</v>
      </c>
      <c r="Q52" s="100">
        <f t="shared" si="59"/>
        <v>0</v>
      </c>
      <c r="R52" s="141">
        <f t="shared" si="60"/>
        <v>0</v>
      </c>
      <c r="S52" s="141">
        <f t="shared" si="61"/>
        <v>0</v>
      </c>
      <c r="T52" s="141">
        <f t="shared" si="62"/>
        <v>0</v>
      </c>
      <c r="U52" s="97">
        <f t="shared" si="58"/>
        <v>0</v>
      </c>
      <c r="V52" s="93"/>
      <c r="W52" s="98">
        <v>4.1929999999999996</v>
      </c>
      <c r="Y52" s="146"/>
    </row>
    <row r="53" spans="5:25" x14ac:dyDescent="0.3">
      <c r="E53" s="60">
        <v>9</v>
      </c>
      <c r="F53" s="94" t="s">
        <v>32</v>
      </c>
      <c r="I53" s="95"/>
      <c r="J53" s="96">
        <f t="shared" si="51"/>
        <v>0</v>
      </c>
      <c r="K53" s="96">
        <f t="shared" si="52"/>
        <v>0</v>
      </c>
      <c r="L53" s="96">
        <f t="shared" si="53"/>
        <v>0</v>
      </c>
      <c r="M53" s="96">
        <f t="shared" si="54"/>
        <v>0</v>
      </c>
      <c r="N53" s="96">
        <f t="shared" si="55"/>
        <v>0</v>
      </c>
      <c r="O53" s="96">
        <f t="shared" si="56"/>
        <v>0</v>
      </c>
      <c r="P53" s="96">
        <f t="shared" si="57"/>
        <v>0</v>
      </c>
      <c r="Q53" s="96">
        <f t="shared" si="59"/>
        <v>0</v>
      </c>
      <c r="R53" s="141">
        <f>SUM(BF33:BK33)</f>
        <v>0</v>
      </c>
      <c r="S53" s="141">
        <f t="shared" si="61"/>
        <v>0</v>
      </c>
      <c r="T53" s="141">
        <f t="shared" si="62"/>
        <v>0</v>
      </c>
      <c r="U53" s="99">
        <f t="shared" si="58"/>
        <v>0</v>
      </c>
      <c r="V53" s="93"/>
      <c r="W53" s="99">
        <v>4.407</v>
      </c>
    </row>
    <row r="54" spans="5:25" x14ac:dyDescent="0.3">
      <c r="E54" s="60">
        <v>10</v>
      </c>
      <c r="F54" s="94" t="s">
        <v>44</v>
      </c>
      <c r="I54" s="95"/>
      <c r="J54" s="96">
        <f t="shared" si="51"/>
        <v>0</v>
      </c>
      <c r="K54" s="96">
        <f t="shared" si="52"/>
        <v>0</v>
      </c>
      <c r="L54" s="96">
        <f t="shared" si="53"/>
        <v>0</v>
      </c>
      <c r="M54" s="96">
        <f t="shared" si="54"/>
        <v>0</v>
      </c>
      <c r="N54" s="96">
        <f t="shared" si="55"/>
        <v>0</v>
      </c>
      <c r="O54" s="96">
        <f t="shared" si="56"/>
        <v>0</v>
      </c>
      <c r="P54" s="96">
        <f t="shared" si="57"/>
        <v>0</v>
      </c>
      <c r="Q54" s="96">
        <f t="shared" si="59"/>
        <v>0</v>
      </c>
      <c r="R54" s="141">
        <f t="shared" si="60"/>
        <v>0</v>
      </c>
      <c r="S54" s="141">
        <f t="shared" si="61"/>
        <v>0</v>
      </c>
      <c r="T54" s="141">
        <f t="shared" si="62"/>
        <v>0</v>
      </c>
      <c r="U54" s="97">
        <f t="shared" si="58"/>
        <v>0</v>
      </c>
      <c r="V54" s="93"/>
      <c r="W54" s="98">
        <v>3.5390000000000001</v>
      </c>
    </row>
    <row r="55" spans="5:25" x14ac:dyDescent="0.3">
      <c r="E55" s="65">
        <v>11</v>
      </c>
      <c r="F55" s="101" t="s">
        <v>29</v>
      </c>
      <c r="G55" s="102"/>
      <c r="H55" s="102"/>
      <c r="I55" s="103"/>
      <c r="J55" s="104">
        <f t="shared" si="51"/>
        <v>0</v>
      </c>
      <c r="K55" s="104">
        <f t="shared" si="52"/>
        <v>0</v>
      </c>
      <c r="L55" s="104">
        <f t="shared" si="53"/>
        <v>0</v>
      </c>
      <c r="M55" s="104">
        <f t="shared" si="54"/>
        <v>0</v>
      </c>
      <c r="N55" s="104">
        <f t="shared" si="55"/>
        <v>0</v>
      </c>
      <c r="O55" s="104">
        <f t="shared" si="56"/>
        <v>0</v>
      </c>
      <c r="P55" s="104">
        <f t="shared" si="57"/>
        <v>0</v>
      </c>
      <c r="Q55" s="104">
        <f t="shared" si="59"/>
        <v>0</v>
      </c>
      <c r="R55" s="141">
        <f t="shared" si="60"/>
        <v>0</v>
      </c>
      <c r="S55" s="141">
        <f t="shared" si="61"/>
        <v>0</v>
      </c>
      <c r="T55" s="141">
        <f t="shared" si="62"/>
        <v>0</v>
      </c>
      <c r="U55" s="105">
        <f t="shared" si="58"/>
        <v>0</v>
      </c>
      <c r="V55" s="93"/>
      <c r="W55" s="106">
        <v>4.2439999999999998</v>
      </c>
    </row>
    <row r="57" spans="5:25" ht="15.6" x14ac:dyDescent="0.3">
      <c r="J57" s="186" t="s">
        <v>489</v>
      </c>
      <c r="K57" s="186"/>
      <c r="L57" s="186"/>
      <c r="O57" s="83"/>
    </row>
    <row r="58" spans="5:25" x14ac:dyDescent="0.3">
      <c r="J58" s="50" t="s">
        <v>497</v>
      </c>
      <c r="K58" s="50" t="s">
        <v>498</v>
      </c>
      <c r="L58" s="50" t="s">
        <v>499</v>
      </c>
    </row>
    <row r="59" spans="5:25" x14ac:dyDescent="0.3">
      <c r="J59" s="58" t="s">
        <v>491</v>
      </c>
      <c r="K59" s="58" t="s">
        <v>471</v>
      </c>
      <c r="L59" s="59">
        <v>1</v>
      </c>
    </row>
    <row r="60" spans="5:25" x14ac:dyDescent="0.3">
      <c r="J60" s="58" t="s">
        <v>492</v>
      </c>
      <c r="K60" s="58" t="s">
        <v>470</v>
      </c>
      <c r="L60" s="59">
        <v>2</v>
      </c>
    </row>
    <row r="61" spans="5:25" x14ac:dyDescent="0.3">
      <c r="J61" s="58" t="s">
        <v>493</v>
      </c>
      <c r="K61" s="58" t="s">
        <v>469</v>
      </c>
      <c r="L61" s="59">
        <v>3</v>
      </c>
    </row>
    <row r="62" spans="5:25" x14ac:dyDescent="0.3">
      <c r="J62" s="58" t="s">
        <v>494</v>
      </c>
      <c r="K62" s="58" t="s">
        <v>467</v>
      </c>
      <c r="L62" s="59">
        <v>4</v>
      </c>
    </row>
    <row r="63" spans="5:25" x14ac:dyDescent="0.3">
      <c r="J63" s="58" t="s">
        <v>495</v>
      </c>
      <c r="K63" s="58" t="s">
        <v>468</v>
      </c>
      <c r="L63" s="59">
        <v>5</v>
      </c>
    </row>
    <row r="64" spans="5:25" x14ac:dyDescent="0.3">
      <c r="J64" s="58" t="s">
        <v>496</v>
      </c>
      <c r="K64" s="58" t="s">
        <v>473</v>
      </c>
      <c r="L64" s="59">
        <v>0</v>
      </c>
    </row>
    <row r="72" spans="10:10" ht="18" x14ac:dyDescent="0.4">
      <c r="J72" t="s">
        <v>504</v>
      </c>
    </row>
  </sheetData>
  <mergeCells count="41"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  <mergeCell ref="E43:E44"/>
    <mergeCell ref="F43:I44"/>
    <mergeCell ref="B22:B24"/>
    <mergeCell ref="C22:C24"/>
    <mergeCell ref="D22:D24"/>
    <mergeCell ref="E22:H22"/>
    <mergeCell ref="E23:F23"/>
    <mergeCell ref="I23:I24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BL5:BQ5"/>
    <mergeCell ref="BR5:BW5"/>
    <mergeCell ref="I4:BW4"/>
    <mergeCell ref="BF23:BK23"/>
    <mergeCell ref="BL23:BQ23"/>
    <mergeCell ref="BR23:BW23"/>
    <mergeCell ref="I22:BW22"/>
    <mergeCell ref="AZ23:BE23"/>
  </mergeCells>
  <conditionalFormatting sqref="J7:BE17">
    <cfRule type="expression" dxfId="18" priority="9">
      <formula>J7=""</formula>
    </cfRule>
  </conditionalFormatting>
  <conditionalFormatting sqref="J25:BE35">
    <cfRule type="expression" dxfId="17" priority="8">
      <formula>J25=0</formula>
    </cfRule>
  </conditionalFormatting>
  <conditionalFormatting sqref="BF7:BK17">
    <cfRule type="expression" dxfId="16" priority="7">
      <formula>BF7=""</formula>
    </cfRule>
  </conditionalFormatting>
  <conditionalFormatting sqref="BL7:BQ17">
    <cfRule type="expression" dxfId="15" priority="6">
      <formula>BL7=""</formula>
    </cfRule>
  </conditionalFormatting>
  <conditionalFormatting sqref="BR7:BW17">
    <cfRule type="expression" dxfId="14" priority="5">
      <formula>BR7=""</formula>
    </cfRule>
  </conditionalFormatting>
  <conditionalFormatting sqref="BL25:BQ35">
    <cfRule type="expression" dxfId="13" priority="3">
      <formula>BL25=0</formula>
    </cfRule>
  </conditionalFormatting>
  <conditionalFormatting sqref="BR25:BW35">
    <cfRule type="expression" dxfId="12" priority="2">
      <formula>BR25=0</formula>
    </cfRule>
  </conditionalFormatting>
  <conditionalFormatting sqref="BF25:BK35">
    <cfRule type="expression" dxfId="11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zoomScale="86" workbookViewId="0">
      <selection activeCell="E28" sqref="E28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.88671875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97" t="s">
        <v>474</v>
      </c>
      <c r="C4" s="197" t="s">
        <v>5</v>
      </c>
      <c r="D4" s="197" t="s">
        <v>475</v>
      </c>
      <c r="E4" s="186" t="s">
        <v>476</v>
      </c>
      <c r="F4" s="186"/>
      <c r="G4" s="186"/>
      <c r="H4" s="186"/>
      <c r="I4" s="184" t="s">
        <v>477</v>
      </c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  <c r="Z4" s="185"/>
      <c r="AA4" s="185"/>
      <c r="AB4" s="185"/>
      <c r="AC4" s="185"/>
      <c r="AD4" s="185"/>
      <c r="AE4" s="185"/>
      <c r="AF4" s="185"/>
      <c r="AG4" s="185"/>
      <c r="AH4" s="185"/>
      <c r="AI4" s="185"/>
      <c r="AJ4" s="185"/>
      <c r="AK4" s="185"/>
      <c r="AL4" s="185"/>
      <c r="AM4" s="185"/>
      <c r="AN4" s="185"/>
      <c r="AO4" s="185"/>
      <c r="AP4" s="185"/>
      <c r="AQ4" s="185"/>
      <c r="AR4" s="185"/>
      <c r="AS4" s="185"/>
      <c r="AT4" s="185"/>
      <c r="AU4" s="185"/>
      <c r="AV4" s="185"/>
      <c r="AW4" s="185"/>
      <c r="AX4" s="185"/>
      <c r="AY4" s="185"/>
      <c r="AZ4" s="185"/>
      <c r="BA4" s="185"/>
      <c r="BB4" s="185"/>
      <c r="BC4" s="185"/>
      <c r="BD4" s="185"/>
      <c r="BE4" s="185"/>
      <c r="BF4" s="185"/>
      <c r="BG4" s="185"/>
      <c r="BH4" s="185"/>
      <c r="BI4" s="185"/>
      <c r="BJ4" s="185"/>
      <c r="BK4" s="185"/>
      <c r="BL4" s="185"/>
      <c r="BM4" s="185"/>
      <c r="BN4" s="185"/>
      <c r="BO4" s="185"/>
      <c r="BP4" s="185"/>
      <c r="BQ4" s="185"/>
      <c r="BR4" s="185"/>
      <c r="BS4" s="185"/>
      <c r="BT4" s="185"/>
      <c r="BU4" s="185"/>
      <c r="BV4" s="185"/>
      <c r="BW4" s="185"/>
    </row>
    <row r="5" spans="2:83" x14ac:dyDescent="0.3">
      <c r="B5" s="197"/>
      <c r="C5" s="197"/>
      <c r="D5" s="197"/>
      <c r="E5" s="186" t="s">
        <v>478</v>
      </c>
      <c r="F5" s="186"/>
      <c r="G5" s="45" t="s">
        <v>479</v>
      </c>
      <c r="H5" s="45"/>
      <c r="I5" s="199" t="s">
        <v>480</v>
      </c>
      <c r="J5" s="188" t="s">
        <v>481</v>
      </c>
      <c r="K5" s="182"/>
      <c r="L5" s="182"/>
      <c r="M5" s="182"/>
      <c r="N5" s="182"/>
      <c r="O5" s="182"/>
      <c r="P5" s="182" t="s">
        <v>482</v>
      </c>
      <c r="Q5" s="182"/>
      <c r="R5" s="182"/>
      <c r="S5" s="182"/>
      <c r="T5" s="182"/>
      <c r="U5" s="182"/>
      <c r="V5" s="182" t="s">
        <v>483</v>
      </c>
      <c r="W5" s="182"/>
      <c r="X5" s="182"/>
      <c r="Y5" s="182"/>
      <c r="Z5" s="182"/>
      <c r="AA5" s="182"/>
      <c r="AB5" s="182" t="s">
        <v>484</v>
      </c>
      <c r="AC5" s="182"/>
      <c r="AD5" s="182"/>
      <c r="AE5" s="182"/>
      <c r="AF5" s="182"/>
      <c r="AG5" s="182"/>
      <c r="AH5" s="182" t="s">
        <v>485</v>
      </c>
      <c r="AI5" s="182"/>
      <c r="AJ5" s="182"/>
      <c r="AK5" s="182"/>
      <c r="AL5" s="182"/>
      <c r="AM5" s="182"/>
      <c r="AN5" s="182" t="s">
        <v>486</v>
      </c>
      <c r="AO5" s="182"/>
      <c r="AP5" s="182"/>
      <c r="AQ5" s="182"/>
      <c r="AR5" s="182"/>
      <c r="AS5" s="182"/>
      <c r="AT5" s="182" t="s">
        <v>487</v>
      </c>
      <c r="AU5" s="182"/>
      <c r="AV5" s="182"/>
      <c r="AW5" s="182"/>
      <c r="AX5" s="182"/>
      <c r="AY5" s="182"/>
      <c r="AZ5" s="182" t="s">
        <v>488</v>
      </c>
      <c r="BA5" s="182"/>
      <c r="BB5" s="182"/>
      <c r="BC5" s="182"/>
      <c r="BD5" s="182"/>
      <c r="BE5" s="183"/>
      <c r="BF5" s="182" t="s">
        <v>516</v>
      </c>
      <c r="BG5" s="182"/>
      <c r="BH5" s="182"/>
      <c r="BI5" s="182"/>
      <c r="BJ5" s="182"/>
      <c r="BK5" s="183"/>
      <c r="BL5" s="182" t="s">
        <v>517</v>
      </c>
      <c r="BM5" s="182"/>
      <c r="BN5" s="182"/>
      <c r="BO5" s="182"/>
      <c r="BP5" s="182"/>
      <c r="BQ5" s="183"/>
      <c r="BR5" s="182" t="s">
        <v>518</v>
      </c>
      <c r="BS5" s="182"/>
      <c r="BT5" s="182"/>
      <c r="BU5" s="182"/>
      <c r="BV5" s="182"/>
      <c r="BW5" s="183"/>
      <c r="CC5" s="186" t="s">
        <v>489</v>
      </c>
      <c r="CD5" s="186"/>
      <c r="CE5" s="186"/>
    </row>
    <row r="6" spans="2:83" x14ac:dyDescent="0.3">
      <c r="B6" s="198"/>
      <c r="C6" s="198"/>
      <c r="D6" s="198"/>
      <c r="E6" s="46" t="s">
        <v>480</v>
      </c>
      <c r="F6" s="46" t="s">
        <v>490</v>
      </c>
      <c r="G6" s="46" t="s">
        <v>480</v>
      </c>
      <c r="H6" s="46" t="s">
        <v>490</v>
      </c>
      <c r="I6" s="199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132" t="s">
        <v>66</v>
      </c>
      <c r="D7" s="118"/>
      <c r="E7" s="119"/>
      <c r="F7" s="54"/>
      <c r="G7" s="53"/>
      <c r="H7" s="54"/>
      <c r="I7" s="55"/>
      <c r="J7" s="56"/>
      <c r="L7">
        <v>1</v>
      </c>
      <c r="M7">
        <v>7</v>
      </c>
      <c r="N7">
        <v>5</v>
      </c>
      <c r="O7">
        <v>1</v>
      </c>
      <c r="P7" s="56"/>
      <c r="R7">
        <v>1</v>
      </c>
      <c r="S7">
        <v>6</v>
      </c>
      <c r="T7">
        <v>4</v>
      </c>
      <c r="U7" s="57">
        <v>3</v>
      </c>
      <c r="V7" s="56"/>
      <c r="X7">
        <v>1</v>
      </c>
      <c r="Y7">
        <v>6</v>
      </c>
      <c r="Z7">
        <v>5</v>
      </c>
      <c r="AA7" s="57">
        <v>2</v>
      </c>
      <c r="AB7" s="56"/>
      <c r="AD7">
        <v>2</v>
      </c>
      <c r="AE7">
        <v>5</v>
      </c>
      <c r="AF7">
        <v>7</v>
      </c>
      <c r="AG7" s="57"/>
      <c r="AH7" s="56"/>
      <c r="AJ7">
        <v>1</v>
      </c>
      <c r="AK7">
        <v>6</v>
      </c>
      <c r="AL7">
        <v>6</v>
      </c>
      <c r="AM7" s="57">
        <v>1</v>
      </c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s="132" t="s">
        <v>70</v>
      </c>
      <c r="D8" s="62"/>
      <c r="E8" s="63"/>
      <c r="F8" s="64"/>
      <c r="G8" s="63"/>
      <c r="H8" s="64"/>
      <c r="I8" s="55"/>
      <c r="J8" s="56"/>
      <c r="L8">
        <v>1</v>
      </c>
      <c r="M8">
        <v>3</v>
      </c>
      <c r="N8">
        <v>7</v>
      </c>
      <c r="P8" s="56"/>
      <c r="S8">
        <v>2</v>
      </c>
      <c r="T8">
        <v>5</v>
      </c>
      <c r="U8" s="57">
        <v>4</v>
      </c>
      <c r="V8" s="56"/>
      <c r="X8">
        <v>1</v>
      </c>
      <c r="Y8">
        <v>5</v>
      </c>
      <c r="Z8">
        <v>4</v>
      </c>
      <c r="AA8" s="57">
        <v>1</v>
      </c>
      <c r="AB8" s="56"/>
      <c r="AE8">
        <v>3</v>
      </c>
      <c r="AF8">
        <v>6</v>
      </c>
      <c r="AG8" s="57">
        <v>2</v>
      </c>
      <c r="AH8" s="56"/>
      <c r="AK8">
        <v>2</v>
      </c>
      <c r="AL8">
        <v>5</v>
      </c>
      <c r="AM8" s="57">
        <v>4</v>
      </c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s="133" t="s">
        <v>62</v>
      </c>
      <c r="D9" s="62"/>
      <c r="E9" s="63"/>
      <c r="F9" s="64"/>
      <c r="G9" s="63"/>
      <c r="H9" s="64"/>
      <c r="I9" s="55"/>
      <c r="J9" s="56"/>
      <c r="M9">
        <v>3</v>
      </c>
      <c r="N9">
        <v>3</v>
      </c>
      <c r="P9" s="56"/>
      <c r="S9">
        <v>3</v>
      </c>
      <c r="T9">
        <v>3</v>
      </c>
      <c r="U9" s="57"/>
      <c r="V9" s="56"/>
      <c r="Y9">
        <v>3</v>
      </c>
      <c r="Z9">
        <v>3</v>
      </c>
      <c r="AA9" s="57"/>
      <c r="AB9" s="56"/>
      <c r="AE9">
        <v>2</v>
      </c>
      <c r="AF9">
        <v>4</v>
      </c>
      <c r="AG9" s="57"/>
      <c r="AH9" s="56"/>
      <c r="AK9">
        <v>2</v>
      </c>
      <c r="AL9">
        <v>3</v>
      </c>
      <c r="AM9" s="57">
        <v>1</v>
      </c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s="132" t="s">
        <v>74</v>
      </c>
      <c r="D10" s="62"/>
      <c r="E10" s="63"/>
      <c r="F10" s="64"/>
      <c r="G10" s="63"/>
      <c r="H10" s="64"/>
      <c r="I10" s="55"/>
      <c r="J10" s="56"/>
      <c r="L10">
        <v>1</v>
      </c>
      <c r="M10">
        <v>3</v>
      </c>
      <c r="P10" s="56"/>
      <c r="S10">
        <v>2</v>
      </c>
      <c r="U10" s="57">
        <v>2</v>
      </c>
      <c r="V10" s="56"/>
      <c r="X10">
        <v>3</v>
      </c>
      <c r="Z10">
        <v>1</v>
      </c>
      <c r="AA10" s="57"/>
      <c r="AB10" s="56"/>
      <c r="AE10">
        <v>4</v>
      </c>
      <c r="AG10" s="57"/>
      <c r="AH10" s="56"/>
      <c r="AK10">
        <v>2</v>
      </c>
      <c r="AM10" s="57">
        <v>2</v>
      </c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s="132" t="s">
        <v>89</v>
      </c>
      <c r="D11" s="62"/>
      <c r="E11" s="63"/>
      <c r="F11" s="64"/>
      <c r="G11" s="63"/>
      <c r="H11" s="64"/>
      <c r="I11" s="55"/>
      <c r="J11" s="56"/>
      <c r="M11">
        <v>3</v>
      </c>
      <c r="N11">
        <v>1</v>
      </c>
      <c r="O11">
        <v>3</v>
      </c>
      <c r="P11" s="56"/>
      <c r="S11">
        <v>3</v>
      </c>
      <c r="T11">
        <v>1</v>
      </c>
      <c r="U11" s="57">
        <v>3</v>
      </c>
      <c r="V11" s="56"/>
      <c r="X11">
        <v>2</v>
      </c>
      <c r="Y11">
        <v>4</v>
      </c>
      <c r="Z11">
        <v>1</v>
      </c>
      <c r="AA11" s="57"/>
      <c r="AB11" s="56"/>
      <c r="AD11">
        <v>1</v>
      </c>
      <c r="AE11">
        <v>4</v>
      </c>
      <c r="AF11">
        <v>1</v>
      </c>
      <c r="AG11" s="57">
        <v>1</v>
      </c>
      <c r="AH11" s="56"/>
      <c r="AJ11">
        <v>2</v>
      </c>
      <c r="AK11">
        <v>2</v>
      </c>
      <c r="AL11">
        <v>1</v>
      </c>
      <c r="AM11" s="57">
        <v>2</v>
      </c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D12" s="71"/>
      <c r="E12" s="71"/>
      <c r="F12" s="72"/>
      <c r="G12" s="71"/>
      <c r="H12" s="72"/>
      <c r="I12" s="71">
        <f>SUM(I7:I11)</f>
        <v>0</v>
      </c>
      <c r="CC12" s="58" t="s">
        <v>496</v>
      </c>
      <c r="CD12" s="58" t="s">
        <v>473</v>
      </c>
      <c r="CE12" s="59">
        <v>0</v>
      </c>
    </row>
    <row r="13" spans="2:83" x14ac:dyDescent="0.3">
      <c r="D13" s="71"/>
      <c r="E13" s="71"/>
      <c r="F13" s="72"/>
      <c r="G13" s="71"/>
      <c r="H13" s="72"/>
      <c r="I13" s="71"/>
    </row>
    <row r="14" spans="2:83" ht="15.6" x14ac:dyDescent="0.3">
      <c r="B14" s="83" t="s">
        <v>580</v>
      </c>
      <c r="C14" s="74"/>
      <c r="E14" s="72"/>
      <c r="F14" s="72"/>
      <c r="G14" s="72"/>
      <c r="H14" s="72"/>
      <c r="O14" t="s">
        <v>581</v>
      </c>
    </row>
    <row r="16" spans="2:83" x14ac:dyDescent="0.3">
      <c r="B16" s="197" t="s">
        <v>474</v>
      </c>
      <c r="C16" s="197" t="s">
        <v>5</v>
      </c>
      <c r="D16" s="197" t="s">
        <v>475</v>
      </c>
      <c r="E16" s="186" t="s">
        <v>476</v>
      </c>
      <c r="F16" s="186"/>
      <c r="G16" s="186"/>
      <c r="H16" s="186"/>
      <c r="I16" s="184" t="s">
        <v>477</v>
      </c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5"/>
      <c r="AO16" s="185"/>
      <c r="AP16" s="185"/>
      <c r="AQ16" s="185"/>
      <c r="AR16" s="185"/>
      <c r="AS16" s="185"/>
      <c r="AT16" s="185"/>
      <c r="AU16" s="185"/>
      <c r="AV16" s="185"/>
      <c r="AW16" s="185"/>
      <c r="AX16" s="185"/>
      <c r="AY16" s="185"/>
      <c r="AZ16" s="185"/>
      <c r="BA16" s="185"/>
      <c r="BB16" s="185"/>
      <c r="BC16" s="185"/>
      <c r="BD16" s="185"/>
      <c r="BE16" s="185"/>
      <c r="BF16" s="185"/>
      <c r="BG16" s="185"/>
      <c r="BH16" s="185"/>
      <c r="BI16" s="185"/>
      <c r="BJ16" s="185"/>
      <c r="BK16" s="185"/>
      <c r="BL16" s="185"/>
      <c r="BM16" s="185"/>
      <c r="BN16" s="185"/>
      <c r="BO16" s="185"/>
      <c r="BP16" s="185"/>
      <c r="BQ16" s="185"/>
      <c r="BR16" s="185"/>
      <c r="BS16" s="185"/>
      <c r="BT16" s="185"/>
      <c r="BU16" s="185"/>
      <c r="BV16" s="185"/>
      <c r="BW16" s="185"/>
    </row>
    <row r="17" spans="2:75" x14ac:dyDescent="0.3">
      <c r="B17" s="197"/>
      <c r="C17" s="197"/>
      <c r="D17" s="197"/>
      <c r="E17" s="186" t="s">
        <v>478</v>
      </c>
      <c r="F17" s="186"/>
      <c r="G17" s="45" t="s">
        <v>479</v>
      </c>
      <c r="H17" s="45"/>
      <c r="I17" s="199" t="s">
        <v>480</v>
      </c>
      <c r="J17" s="188" t="s">
        <v>481</v>
      </c>
      <c r="K17" s="182"/>
      <c r="L17" s="182"/>
      <c r="M17" s="182"/>
      <c r="N17" s="182"/>
      <c r="O17" s="182"/>
      <c r="P17" s="182" t="s">
        <v>482</v>
      </c>
      <c r="Q17" s="182"/>
      <c r="R17" s="182"/>
      <c r="S17" s="182"/>
      <c r="T17" s="182"/>
      <c r="U17" s="182"/>
      <c r="V17" s="182" t="s">
        <v>483</v>
      </c>
      <c r="W17" s="182"/>
      <c r="X17" s="182"/>
      <c r="Y17" s="182"/>
      <c r="Z17" s="182"/>
      <c r="AA17" s="182"/>
      <c r="AB17" s="182" t="s">
        <v>484</v>
      </c>
      <c r="AC17" s="182"/>
      <c r="AD17" s="182"/>
      <c r="AE17" s="182"/>
      <c r="AF17" s="182"/>
      <c r="AG17" s="182"/>
      <c r="AH17" s="182" t="s">
        <v>485</v>
      </c>
      <c r="AI17" s="182"/>
      <c r="AJ17" s="182"/>
      <c r="AK17" s="182"/>
      <c r="AL17" s="182"/>
      <c r="AM17" s="182"/>
      <c r="AN17" s="182" t="s">
        <v>486</v>
      </c>
      <c r="AO17" s="182"/>
      <c r="AP17" s="182"/>
      <c r="AQ17" s="182"/>
      <c r="AR17" s="182"/>
      <c r="AS17" s="182"/>
      <c r="AT17" s="182" t="s">
        <v>487</v>
      </c>
      <c r="AU17" s="182"/>
      <c r="AV17" s="182"/>
      <c r="AW17" s="182"/>
      <c r="AX17" s="182"/>
      <c r="AY17" s="182"/>
      <c r="AZ17" s="182" t="s">
        <v>488</v>
      </c>
      <c r="BA17" s="182"/>
      <c r="BB17" s="182"/>
      <c r="BC17" s="182"/>
      <c r="BD17" s="182"/>
      <c r="BE17" s="183"/>
      <c r="BF17" s="182" t="s">
        <v>516</v>
      </c>
      <c r="BG17" s="182"/>
      <c r="BH17" s="182"/>
      <c r="BI17" s="182"/>
      <c r="BJ17" s="182"/>
      <c r="BK17" s="183"/>
      <c r="BL17" s="182" t="s">
        <v>517</v>
      </c>
      <c r="BM17" s="182"/>
      <c r="BN17" s="182"/>
      <c r="BO17" s="182"/>
      <c r="BP17" s="182"/>
      <c r="BQ17" s="183"/>
      <c r="BR17" s="182" t="s">
        <v>518</v>
      </c>
      <c r="BS17" s="182"/>
      <c r="BT17" s="182"/>
      <c r="BU17" s="182"/>
      <c r="BV17" s="182"/>
      <c r="BW17" s="183"/>
    </row>
    <row r="18" spans="2:75" x14ac:dyDescent="0.3">
      <c r="B18" s="198"/>
      <c r="C18" s="198"/>
      <c r="D18" s="198"/>
      <c r="E18" s="46" t="s">
        <v>480</v>
      </c>
      <c r="F18" s="46" t="s">
        <v>490</v>
      </c>
      <c r="G18" s="46" t="s">
        <v>480</v>
      </c>
      <c r="H18" s="46" t="s">
        <v>490</v>
      </c>
      <c r="I18" s="199"/>
      <c r="J18" s="75" t="s">
        <v>491</v>
      </c>
      <c r="K18" s="76" t="s">
        <v>492</v>
      </c>
      <c r="L18" s="76" t="s">
        <v>493</v>
      </c>
      <c r="M18" s="76" t="s">
        <v>494</v>
      </c>
      <c r="N18" s="76" t="s">
        <v>495</v>
      </c>
      <c r="O18" s="76" t="s">
        <v>496</v>
      </c>
      <c r="P18" s="48" t="s">
        <v>491</v>
      </c>
      <c r="Q18" s="48" t="s">
        <v>492</v>
      </c>
      <c r="R18" s="48" t="s">
        <v>493</v>
      </c>
      <c r="S18" s="48" t="s">
        <v>494</v>
      </c>
      <c r="T18" s="48" t="s">
        <v>495</v>
      </c>
      <c r="U18" s="48" t="s">
        <v>496</v>
      </c>
      <c r="V18" s="48" t="s">
        <v>491</v>
      </c>
      <c r="W18" s="48" t="s">
        <v>492</v>
      </c>
      <c r="X18" s="48" t="s">
        <v>493</v>
      </c>
      <c r="Y18" s="48" t="s">
        <v>494</v>
      </c>
      <c r="Z18" s="48" t="s">
        <v>495</v>
      </c>
      <c r="AA18" s="48" t="s">
        <v>496</v>
      </c>
      <c r="AB18" s="48" t="s">
        <v>491</v>
      </c>
      <c r="AC18" s="48" t="s">
        <v>492</v>
      </c>
      <c r="AD18" s="48" t="s">
        <v>493</v>
      </c>
      <c r="AE18" s="48" t="s">
        <v>494</v>
      </c>
      <c r="AF18" s="48" t="s">
        <v>495</v>
      </c>
      <c r="AG18" s="48" t="s">
        <v>496</v>
      </c>
      <c r="AH18" s="48" t="s">
        <v>491</v>
      </c>
      <c r="AI18" s="48" t="s">
        <v>492</v>
      </c>
      <c r="AJ18" s="48" t="s">
        <v>493</v>
      </c>
      <c r="AK18" s="48" t="s">
        <v>494</v>
      </c>
      <c r="AL18" s="48" t="s">
        <v>495</v>
      </c>
      <c r="AM18" s="48" t="s">
        <v>496</v>
      </c>
      <c r="AN18" s="48" t="s">
        <v>491</v>
      </c>
      <c r="AO18" s="48" t="s">
        <v>492</v>
      </c>
      <c r="AP18" s="48" t="s">
        <v>493</v>
      </c>
      <c r="AQ18" s="48" t="s">
        <v>494</v>
      </c>
      <c r="AR18" s="48" t="s">
        <v>495</v>
      </c>
      <c r="AS18" s="48" t="s">
        <v>496</v>
      </c>
      <c r="AT18" s="48" t="s">
        <v>491</v>
      </c>
      <c r="AU18" s="48" t="s">
        <v>492</v>
      </c>
      <c r="AV18" s="48" t="s">
        <v>493</v>
      </c>
      <c r="AW18" s="48" t="s">
        <v>494</v>
      </c>
      <c r="AX18" s="48" t="s">
        <v>495</v>
      </c>
      <c r="AY18" s="48" t="s">
        <v>496</v>
      </c>
      <c r="AZ18" s="48" t="s">
        <v>491</v>
      </c>
      <c r="BA18" s="48" t="s">
        <v>492</v>
      </c>
      <c r="BB18" s="48" t="s">
        <v>493</v>
      </c>
      <c r="BC18" s="48" t="s">
        <v>494</v>
      </c>
      <c r="BD18" s="48" t="s">
        <v>495</v>
      </c>
      <c r="BE18" s="49" t="s">
        <v>496</v>
      </c>
      <c r="BF18" s="48" t="s">
        <v>491</v>
      </c>
      <c r="BG18" s="48" t="s">
        <v>492</v>
      </c>
      <c r="BH18" s="48" t="s">
        <v>493</v>
      </c>
      <c r="BI18" s="48" t="s">
        <v>494</v>
      </c>
      <c r="BJ18" s="48" t="s">
        <v>495</v>
      </c>
      <c r="BK18" s="49" t="s">
        <v>496</v>
      </c>
      <c r="BL18" s="48" t="s">
        <v>491</v>
      </c>
      <c r="BM18" s="48" t="s">
        <v>492</v>
      </c>
      <c r="BN18" s="48" t="s">
        <v>493</v>
      </c>
      <c r="BO18" s="48" t="s">
        <v>494</v>
      </c>
      <c r="BP18" s="48" t="s">
        <v>495</v>
      </c>
      <c r="BQ18" s="49" t="s">
        <v>496</v>
      </c>
      <c r="BR18" s="48" t="s">
        <v>491</v>
      </c>
      <c r="BS18" s="48" t="s">
        <v>492</v>
      </c>
      <c r="BT18" s="48" t="s">
        <v>493</v>
      </c>
      <c r="BU18" s="48" t="s">
        <v>494</v>
      </c>
      <c r="BV18" s="48" t="s">
        <v>495</v>
      </c>
      <c r="BW18" s="49" t="s">
        <v>496</v>
      </c>
    </row>
    <row r="19" spans="2:75" x14ac:dyDescent="0.3">
      <c r="B19" s="51">
        <v>1</v>
      </c>
      <c r="C19" s="132" t="s">
        <v>66</v>
      </c>
      <c r="D19" s="130"/>
      <c r="E19" s="131"/>
      <c r="F19" s="54">
        <f t="shared" ref="F19:I24" si="0">F7</f>
        <v>0</v>
      </c>
      <c r="G19" s="53">
        <f t="shared" si="0"/>
        <v>0</v>
      </c>
      <c r="H19" s="54">
        <f t="shared" si="0"/>
        <v>0</v>
      </c>
      <c r="I19" s="55">
        <f t="shared" si="0"/>
        <v>0</v>
      </c>
      <c r="J19" s="77">
        <f>IF(AND(J7&lt;&gt;"",J7&gt;0),(VLOOKUP(J$6,$CC$6:$CE$11,3,0)*J7)/SUM($J7:$N7),0)</f>
        <v>0</v>
      </c>
      <c r="K19" s="78">
        <f t="shared" ref="J19:L23" si="1">IF(AND(K7&lt;&gt;"",K7&gt;0),(VLOOKUP(K$6,$CC$6:$CE$11,3,0)*K7)/SUM($J7:$N7),0)</f>
        <v>0</v>
      </c>
      <c r="L19" s="78">
        <f t="shared" si="1"/>
        <v>0.23076923076923078</v>
      </c>
      <c r="M19" s="78">
        <f>IF(AND(M7&lt;&gt;"",M7&gt;0),(VLOOKUP(M$6,$CC$6:$CE$12,3,0)*M7)/SUM($J7:$N7),0)</f>
        <v>2.1538461538461537</v>
      </c>
      <c r="N19" s="78">
        <f>IF(AND(N7&lt;&gt;"",N7&gt;0),(VLOOKUP(N$6,$CC$6:$CE$12,3,0)*N7)/SUM($J7:$N7),0)</f>
        <v>1.9230769230769231</v>
      </c>
      <c r="O19" s="78">
        <f>IF(AND(O7&lt;&gt;"",O7&gt;0),(VLOOKUP(O$6,$CC$6:$CE$12,3,0)*O7)/SUM($J7:$N7),0)</f>
        <v>0</v>
      </c>
      <c r="P19" s="77">
        <f t="shared" ref="P19:T23" si="2">IF(AND(P7&lt;&gt;"",P7&gt;0),(VLOOKUP(P$6,$CC$6:$CE$11,3,0)*P7)/SUM($P7:$T7),0)</f>
        <v>0</v>
      </c>
      <c r="Q19" s="78">
        <f t="shared" si="2"/>
        <v>0</v>
      </c>
      <c r="R19" s="78">
        <f t="shared" si="2"/>
        <v>0.27272727272727271</v>
      </c>
      <c r="S19" s="78">
        <f t="shared" si="2"/>
        <v>2.1818181818181817</v>
      </c>
      <c r="T19" s="78">
        <f t="shared" si="2"/>
        <v>1.8181818181818181</v>
      </c>
      <c r="U19" s="78">
        <f t="shared" ref="U19:U23" si="3">IF(AND(U7&lt;&gt;"",U7&gt;0),(VLOOKUP(U$6,$CC$6:$CE$12,3,0)*U7)/SUM($P7:$T7),0)</f>
        <v>0</v>
      </c>
      <c r="V19" s="77">
        <f t="shared" ref="V19:Z23" si="4">IF(AND(V7&lt;&gt;"",V7&gt;0),(VLOOKUP(V$6,$CC$6:$CE$11,3,0)*V7)/SUM($V7:$Z7),0)</f>
        <v>0</v>
      </c>
      <c r="W19" s="78">
        <f t="shared" si="4"/>
        <v>0</v>
      </c>
      <c r="X19" s="78">
        <f t="shared" si="4"/>
        <v>0.25</v>
      </c>
      <c r="Y19" s="78">
        <f t="shared" si="4"/>
        <v>2</v>
      </c>
      <c r="Z19" s="78">
        <f t="shared" si="4"/>
        <v>2.0833333333333335</v>
      </c>
      <c r="AA19" s="78">
        <f>IF(AND(AA7&lt;&gt;"",AA7&gt;0),(VLOOKUP(AA$6,$CC$6:$CE$12,3,0)*AA7)/SUM($V7:$Z7),0)</f>
        <v>0</v>
      </c>
      <c r="AB19" s="77">
        <f t="shared" ref="AB19:AF23" si="5">IF(AND(AB7&lt;&gt;"",AB7&gt;0),(VLOOKUP(AB$6,$CC$6:$CE$11,3,0)*AB7)/SUM($AB7:$AF7),0)</f>
        <v>0</v>
      </c>
      <c r="AC19" s="78">
        <f t="shared" si="5"/>
        <v>0</v>
      </c>
      <c r="AD19" s="78">
        <f t="shared" si="5"/>
        <v>0.42857142857142855</v>
      </c>
      <c r="AE19" s="78">
        <f t="shared" si="5"/>
        <v>1.4285714285714286</v>
      </c>
      <c r="AF19" s="78">
        <f t="shared" si="5"/>
        <v>2.5</v>
      </c>
      <c r="AG19" s="78">
        <f>IF(AND(AG7&lt;&gt;"",AG7&gt;0),(VLOOKUP(AG$6,$CC$6:$CE$12,3,0)*AG7)/SUM($AB7:$AF7),0)</f>
        <v>0</v>
      </c>
      <c r="AH19" s="77">
        <f t="shared" ref="AH19:AL23" si="6">IF(AND(AH7&lt;&gt;"",AH7&gt;0),(VLOOKUP(AH$6,$CC$6:$CE$11,3,0)*AH7)/SUM($AH7:$AL7),0)</f>
        <v>0</v>
      </c>
      <c r="AI19" s="78">
        <f t="shared" si="6"/>
        <v>0</v>
      </c>
      <c r="AJ19" s="78">
        <f t="shared" si="6"/>
        <v>0.23076923076923078</v>
      </c>
      <c r="AK19" s="78">
        <f t="shared" si="6"/>
        <v>1.8461538461538463</v>
      </c>
      <c r="AL19" s="78">
        <f t="shared" si="6"/>
        <v>2.3076923076923075</v>
      </c>
      <c r="AM19" s="78">
        <f>IF(AND(AM7&lt;&gt;"",AM7&gt;0),(VLOOKUP(AM$6,$CC$6:$CE$12,3,0)*AM7)/SUM($AH7:$AL7),0)</f>
        <v>0</v>
      </c>
      <c r="AN19" s="77">
        <f t="shared" ref="AN19:AR23" si="7">IF(AND(AN7&lt;&gt;"",AN7&gt;0),(VLOOKUP(AN$6,$CC$6:$CE$11,3,0)*AN7)/SUM($AN7:$AR7),0)</f>
        <v>0</v>
      </c>
      <c r="AO19" s="78">
        <f t="shared" si="7"/>
        <v>0</v>
      </c>
      <c r="AP19" s="78">
        <f t="shared" si="7"/>
        <v>0</v>
      </c>
      <c r="AQ19" s="78">
        <f t="shared" si="7"/>
        <v>0</v>
      </c>
      <c r="AR19" s="78">
        <f t="shared" si="7"/>
        <v>0</v>
      </c>
      <c r="AS19" s="78">
        <f>IF(AND(AS7&lt;&gt;"",AS7&gt;0),(VLOOKUP(AS$6,$CC$6:$CE$12,3,0)*AS7)/SUM($AN7:$AR7),0)</f>
        <v>0</v>
      </c>
      <c r="AT19" s="77">
        <f t="shared" ref="AT19:AX23" si="8">IF(AND(AT7&lt;&gt;"",AT7&gt;0),(VLOOKUP(AT$6,$CC$6:$CE$11,3,0)*AT7)/SUM($AT7:$AX7),0)</f>
        <v>0</v>
      </c>
      <c r="AU19" s="78">
        <f t="shared" si="8"/>
        <v>0</v>
      </c>
      <c r="AV19" s="78">
        <f t="shared" si="8"/>
        <v>0</v>
      </c>
      <c r="AW19" s="78">
        <f t="shared" si="8"/>
        <v>0</v>
      </c>
      <c r="AX19" s="78">
        <f t="shared" si="8"/>
        <v>0</v>
      </c>
      <c r="AY19" s="78">
        <f>IF(AND(AY7&lt;&gt;"",AY7&gt;0),(VLOOKUP(AY$6,$CC$6:$CE$12,3,0)*AY7)/SUM($AT7:$AX7),0)</f>
        <v>0</v>
      </c>
      <c r="AZ19" s="77">
        <f t="shared" ref="AZ19:BD23" si="9">IF(AND(AZ7&lt;&gt;"",AZ7&gt;0),(VLOOKUP(AZ$6,$CC$6:$CE$11,3,0)*AZ7)/SUM($AZ7:$BD7),0)</f>
        <v>0</v>
      </c>
      <c r="BA19" s="78">
        <f t="shared" si="9"/>
        <v>0</v>
      </c>
      <c r="BB19" s="78">
        <f t="shared" si="9"/>
        <v>0</v>
      </c>
      <c r="BC19" s="78">
        <f t="shared" si="9"/>
        <v>0</v>
      </c>
      <c r="BD19" s="78">
        <f t="shared" si="9"/>
        <v>0</v>
      </c>
      <c r="BE19" s="78">
        <f>IF(AND(BE7&lt;&gt;"",BE7&gt;0),(VLOOKUP(BE$6,$CC$6:$CE$12,3,0)*BE7)/SUM($AZ7:$BD7),0)</f>
        <v>0</v>
      </c>
      <c r="BF19" s="78">
        <f>IF(AND(BF7&lt;&gt;"",BF7&gt;0),(VLOOKUP(BF$6,$CC$6:$CE$12,3,0)*BF7)/SUM($BF7:$BJ7),0)</f>
        <v>0</v>
      </c>
      <c r="BG19" s="78">
        <f t="shared" ref="BG19:BJ19" si="10">IF(AND(BG7&lt;&gt;"",BG7&gt;0),(VLOOKUP(BG$6,$CC$6:$CE$12,3,0)*BG7)/SUM($BF7:$BJ7),0)</f>
        <v>0</v>
      </c>
      <c r="BH19" s="78">
        <f t="shared" si="10"/>
        <v>0</v>
      </c>
      <c r="BI19" s="78">
        <f t="shared" si="10"/>
        <v>0</v>
      </c>
      <c r="BJ19" s="78">
        <f t="shared" si="10"/>
        <v>0</v>
      </c>
      <c r="BK19" s="78">
        <f>IF(AND(BK7&lt;&gt;"",BK7&gt;0),(VLOOKUP(BK$6,$CC$6:$CE$12,3,0)*BK7)/SUM($BF7:$BJ7),0)</f>
        <v>0</v>
      </c>
      <c r="BL19" s="78">
        <f>IF(AND(BL7&lt;&gt;"",BL7&gt;0),(VLOOKUP(BL$6,$CC$6:$CE$12,3,0)*BL7)/SUM($BL7:$BP7),0)</f>
        <v>0</v>
      </c>
      <c r="BM19" s="78">
        <f t="shared" ref="BM19:BQ19" si="11">IF(AND(BM7&lt;&gt;"",BM7&gt;0),(VLOOKUP(BM$6,$CC$6:$CE$12,3,0)*BM7)/SUM($BL7:$BP7),0)</f>
        <v>0</v>
      </c>
      <c r="BN19" s="78">
        <f t="shared" si="11"/>
        <v>0</v>
      </c>
      <c r="BO19" s="78">
        <f t="shared" si="11"/>
        <v>0</v>
      </c>
      <c r="BP19" s="78">
        <f t="shared" si="11"/>
        <v>0</v>
      </c>
      <c r="BQ19" s="78">
        <f t="shared" si="11"/>
        <v>0</v>
      </c>
      <c r="BR19" s="78">
        <f>IF(AND(BR7&lt;&gt;"",BR7&gt;0),(VLOOKUP(BR$6,$CC$6:$CE$12,3,0)*BR7)/SUM($BR7:$BV7),0)</f>
        <v>0</v>
      </c>
      <c r="BS19" s="78">
        <f t="shared" ref="BS19:BW19" si="12">IF(AND(BS7&lt;&gt;"",BS7&gt;0),(VLOOKUP(BS$6,$CC$6:$CE$12,3,0)*BS7)/SUM($BR7:$BV7),0)</f>
        <v>0</v>
      </c>
      <c r="BT19" s="78">
        <f t="shared" si="12"/>
        <v>0</v>
      </c>
      <c r="BU19" s="78">
        <f t="shared" si="12"/>
        <v>0</v>
      </c>
      <c r="BV19" s="78">
        <f t="shared" si="12"/>
        <v>0</v>
      </c>
      <c r="BW19" s="78">
        <f t="shared" si="12"/>
        <v>0</v>
      </c>
    </row>
    <row r="20" spans="2:75" x14ac:dyDescent="0.3">
      <c r="B20" s="60">
        <v>2</v>
      </c>
      <c r="C20" s="132" t="s">
        <v>70</v>
      </c>
      <c r="D20" s="62"/>
      <c r="E20" s="63"/>
      <c r="F20" s="64">
        <f t="shared" si="0"/>
        <v>0</v>
      </c>
      <c r="G20" s="63">
        <f t="shared" si="0"/>
        <v>0</v>
      </c>
      <c r="H20" s="64">
        <f t="shared" si="0"/>
        <v>0</v>
      </c>
      <c r="I20" s="55">
        <f t="shared" si="0"/>
        <v>0</v>
      </c>
      <c r="J20" s="77">
        <f t="shared" si="1"/>
        <v>0</v>
      </c>
      <c r="K20" s="78">
        <f t="shared" si="1"/>
        <v>0</v>
      </c>
      <c r="L20" s="78">
        <f t="shared" si="1"/>
        <v>0.27272727272727271</v>
      </c>
      <c r="M20" s="78">
        <f>IF(AND(M8&lt;&gt;"",M8&gt;0),(VLOOKUP(M$6,$CC$6:$CE$12,3,0)*M8)/SUM($J8:$N8),0)</f>
        <v>1.0909090909090908</v>
      </c>
      <c r="N20" s="78">
        <f t="shared" ref="N20" si="13">IF(AND(N8&lt;&gt;"",N8&gt;0),(VLOOKUP(N$6,$CC$6:$CE$12,3,0)*N8)/SUM($J8:$N8),0)</f>
        <v>3.1818181818181817</v>
      </c>
      <c r="O20" s="78">
        <f t="shared" ref="O20:O23" si="14">IF(AND(O8&lt;&gt;"",O8&gt;0),(VLOOKUP(O$6,$CC$6:$CE$12,3,0)*O8)/SUM($J8:$N8),0)</f>
        <v>0</v>
      </c>
      <c r="P20" s="77">
        <f t="shared" si="2"/>
        <v>0</v>
      </c>
      <c r="Q20" s="78">
        <f t="shared" si="2"/>
        <v>0</v>
      </c>
      <c r="R20" s="78">
        <f t="shared" si="2"/>
        <v>0</v>
      </c>
      <c r="S20" s="78">
        <f t="shared" si="2"/>
        <v>1.1428571428571428</v>
      </c>
      <c r="T20" s="78">
        <f t="shared" si="2"/>
        <v>3.5714285714285716</v>
      </c>
      <c r="U20" s="78">
        <f t="shared" si="3"/>
        <v>0</v>
      </c>
      <c r="V20" s="77">
        <f t="shared" si="4"/>
        <v>0</v>
      </c>
      <c r="W20" s="78">
        <f t="shared" si="4"/>
        <v>0</v>
      </c>
      <c r="X20" s="78">
        <f t="shared" si="4"/>
        <v>0.3</v>
      </c>
      <c r="Y20" s="78">
        <f t="shared" si="4"/>
        <v>2</v>
      </c>
      <c r="Z20" s="78">
        <f t="shared" si="4"/>
        <v>2</v>
      </c>
      <c r="AA20" s="78">
        <f t="shared" ref="AA20:AA23" si="15">IF(AND(AA8&lt;&gt;"",AA8&gt;0),(VLOOKUP(AA$6,$CC$6:$CE$12,3,0)*AA8)/SUM($V8:$Z8),0)</f>
        <v>0</v>
      </c>
      <c r="AB20" s="77">
        <f t="shared" si="5"/>
        <v>0</v>
      </c>
      <c r="AC20" s="78">
        <f t="shared" si="5"/>
        <v>0</v>
      </c>
      <c r="AD20" s="78">
        <f t="shared" si="5"/>
        <v>0</v>
      </c>
      <c r="AE20" s="78">
        <f t="shared" si="5"/>
        <v>1.3333333333333333</v>
      </c>
      <c r="AF20" s="78">
        <f t="shared" si="5"/>
        <v>3.3333333333333335</v>
      </c>
      <c r="AG20" s="78">
        <f>IF(AND(AG8&lt;&gt;"",AG8&gt;0),(VLOOKUP(AG$6,$CC$6:$CE$12,3,0)*AG8)/SUM($AB8:$AF8),0)</f>
        <v>0</v>
      </c>
      <c r="AH20" s="77">
        <f t="shared" si="6"/>
        <v>0</v>
      </c>
      <c r="AI20" s="78">
        <f t="shared" si="6"/>
        <v>0</v>
      </c>
      <c r="AJ20" s="78">
        <f t="shared" si="6"/>
        <v>0</v>
      </c>
      <c r="AK20" s="78">
        <f t="shared" si="6"/>
        <v>1.1428571428571428</v>
      </c>
      <c r="AL20" s="78">
        <f t="shared" si="6"/>
        <v>3.5714285714285716</v>
      </c>
      <c r="AM20" s="78">
        <f t="shared" ref="AM20:AM23" si="16">IF(AND(AM8&lt;&gt;"",AM8&gt;0),(VLOOKUP(AM$6,$CC$6:$CE$12,3,0)*AM8)/SUM($AH8:$AL8),0)</f>
        <v>0</v>
      </c>
      <c r="AN20" s="77">
        <f t="shared" si="7"/>
        <v>0</v>
      </c>
      <c r="AO20" s="78">
        <f t="shared" si="7"/>
        <v>0</v>
      </c>
      <c r="AP20" s="78">
        <f t="shared" si="7"/>
        <v>0</v>
      </c>
      <c r="AQ20" s="78">
        <f t="shared" si="7"/>
        <v>0</v>
      </c>
      <c r="AR20" s="78">
        <f t="shared" si="7"/>
        <v>0</v>
      </c>
      <c r="AS20" s="78">
        <f t="shared" ref="AS20:AS23" si="17">IF(AND(AS8&lt;&gt;"",AS8&gt;0),(VLOOKUP(AS$6,$CC$6:$CE$12,3,0)*AS8)/SUM($AN8:$AR8),0)</f>
        <v>0</v>
      </c>
      <c r="AT20" s="77">
        <f t="shared" si="8"/>
        <v>0</v>
      </c>
      <c r="AU20" s="78">
        <f t="shared" si="8"/>
        <v>0</v>
      </c>
      <c r="AV20" s="78">
        <f>IF(AND(AV8&lt;&gt;"",AV8&gt;0),(VLOOKUP(AV$6,$CC$6:$CE$11,3,0)*AV8)/SUM($AT8:$AX8),0)</f>
        <v>0</v>
      </c>
      <c r="AW20" s="78">
        <f t="shared" si="8"/>
        <v>0</v>
      </c>
      <c r="AX20" s="78">
        <f>IF(AND(AX8&lt;&gt;"",AX8&gt;0),(VLOOKUP(AX$6,$CC$6:$CE$11,3,0)*AX8)/SUM($AT8:$AX8),0)</f>
        <v>0</v>
      </c>
      <c r="AY20" s="78">
        <f t="shared" ref="AY20:AY22" si="18">IF(AND(AY8&lt;&gt;"",AY8&gt;0),(VLOOKUP(AY$6,$CC$6:$CE$12,3,0)*AY8)/SUM($AT8:$AX8),0)</f>
        <v>0</v>
      </c>
      <c r="AZ20" s="77">
        <f>IF(AND(AZ8&lt;&gt;"",AZ8&gt;0),(VLOOKUP(AZ$6,$CC$6:$CE$11,3,0)*AZ8)/SUM($AZ8:$BD8),0)</f>
        <v>0</v>
      </c>
      <c r="BA20" s="78">
        <f t="shared" si="9"/>
        <v>0</v>
      </c>
      <c r="BB20" s="78">
        <f t="shared" si="9"/>
        <v>0</v>
      </c>
      <c r="BC20" s="78">
        <f t="shared" si="9"/>
        <v>0</v>
      </c>
      <c r="BD20" s="78">
        <f t="shared" si="9"/>
        <v>0</v>
      </c>
      <c r="BE20" s="78">
        <f t="shared" ref="BE20:BE23" si="19">IF(AND(BE8&lt;&gt;"",BE8&gt;0),(VLOOKUP(BE$6,$CC$6:$CE$12,3,0)*BE8)/SUM($AZ8:$BD8),0)</f>
        <v>0</v>
      </c>
      <c r="BF20" s="78">
        <f t="shared" ref="BF20:BK23" si="20">IF(AND(BF8&lt;&gt;"",BF8&gt;0),(VLOOKUP(BF$6,$CC$6:$CE$12,3,0)*BF8)/SUM($BF8:$BJ8),0)</f>
        <v>0</v>
      </c>
      <c r="BG20" s="78">
        <f t="shared" si="20"/>
        <v>0</v>
      </c>
      <c r="BH20" s="78">
        <f t="shared" si="20"/>
        <v>0</v>
      </c>
      <c r="BI20" s="78">
        <f t="shared" si="20"/>
        <v>0</v>
      </c>
      <c r="BJ20" s="78">
        <f>IF(AND(BJ8&lt;&gt;"",BJ8&gt;0),(VLOOKUP(BJ$6,$CC$6:$CE$12,3,0)*BJ8)/SUM($BF8:$BJ8),0)</f>
        <v>0</v>
      </c>
      <c r="BK20" s="78">
        <f t="shared" si="20"/>
        <v>0</v>
      </c>
      <c r="BL20" s="78">
        <f t="shared" ref="BL20:BQ20" si="21">IF(AND(BL8&lt;&gt;"",BL8&gt;0),(VLOOKUP(BL$6,$CC$6:$CE$12,3,0)*BL8)/SUM($BL8:$BP8),0)</f>
        <v>0</v>
      </c>
      <c r="BM20" s="78">
        <f>IF(AND(BM8&lt;&gt;"",BM8&gt;0),(VLOOKUP(BM$6,$CC$6:$CE$12,3,0)*BM8)/SUM($BL8:$BP8),0)</f>
        <v>0</v>
      </c>
      <c r="BN20" s="78">
        <f t="shared" si="21"/>
        <v>0</v>
      </c>
      <c r="BO20" s="78">
        <f t="shared" si="21"/>
        <v>0</v>
      </c>
      <c r="BP20" s="78">
        <f>IF(AND(BP8&lt;&gt;"",BP8&gt;0),(VLOOKUP(BP$6,$CC$6:$CE$12,3,0)*BP8)/SUM($BL8:$BP8),0)</f>
        <v>0</v>
      </c>
      <c r="BQ20" s="78">
        <f t="shared" si="21"/>
        <v>0</v>
      </c>
      <c r="BR20" s="78">
        <f t="shared" ref="BR20:BW20" si="22">IF(AND(BR8&lt;&gt;"",BR8&gt;0),(VLOOKUP(BR$6,$CC$6:$CE$12,3,0)*BR8)/SUM($BR8:$BV8),0)</f>
        <v>0</v>
      </c>
      <c r="BS20" s="78">
        <f t="shared" si="22"/>
        <v>0</v>
      </c>
      <c r="BT20" s="78">
        <f t="shared" si="22"/>
        <v>0</v>
      </c>
      <c r="BU20" s="78">
        <f t="shared" si="22"/>
        <v>0</v>
      </c>
      <c r="BV20" s="78">
        <f t="shared" si="22"/>
        <v>0</v>
      </c>
      <c r="BW20" s="78">
        <f t="shared" si="22"/>
        <v>0</v>
      </c>
    </row>
    <row r="21" spans="2:75" x14ac:dyDescent="0.3">
      <c r="B21" s="60">
        <v>3</v>
      </c>
      <c r="C21" s="133" t="s">
        <v>62</v>
      </c>
      <c r="D21" s="62"/>
      <c r="E21" s="63"/>
      <c r="F21" s="64">
        <f t="shared" si="0"/>
        <v>0</v>
      </c>
      <c r="G21" s="63">
        <f t="shared" si="0"/>
        <v>0</v>
      </c>
      <c r="H21" s="64">
        <f t="shared" si="0"/>
        <v>0</v>
      </c>
      <c r="I21" s="55">
        <f t="shared" si="0"/>
        <v>0</v>
      </c>
      <c r="J21" s="77">
        <f t="shared" si="1"/>
        <v>0</v>
      </c>
      <c r="K21" s="78">
        <f t="shared" si="1"/>
        <v>0</v>
      </c>
      <c r="L21" s="78">
        <f t="shared" si="1"/>
        <v>0</v>
      </c>
      <c r="M21" s="78">
        <f t="shared" ref="M21:N21" si="23">IF(AND(M9&lt;&gt;"",M9&gt;0),(VLOOKUP(M$6,$CC$6:$CE$12,3,0)*M9)/SUM($J9:$N9),0)</f>
        <v>2</v>
      </c>
      <c r="N21" s="78">
        <f t="shared" si="23"/>
        <v>2.5</v>
      </c>
      <c r="O21" s="78">
        <f>IF(AND(O9&lt;&gt;"",O9&gt;0),(VLOOKUP(O$6,$CC$6:$CE$12,3,0)*O9)/SUM($J9:$N9),0)</f>
        <v>0</v>
      </c>
      <c r="P21" s="77">
        <f t="shared" si="2"/>
        <v>0</v>
      </c>
      <c r="Q21" s="78">
        <f t="shared" si="2"/>
        <v>0</v>
      </c>
      <c r="R21" s="78">
        <f t="shared" si="2"/>
        <v>0</v>
      </c>
      <c r="S21" s="78">
        <f t="shared" si="2"/>
        <v>2</v>
      </c>
      <c r="T21" s="78">
        <f t="shared" si="2"/>
        <v>2.5</v>
      </c>
      <c r="U21" s="78">
        <f t="shared" si="3"/>
        <v>0</v>
      </c>
      <c r="V21" s="77">
        <f t="shared" si="4"/>
        <v>0</v>
      </c>
      <c r="W21" s="78">
        <f t="shared" si="4"/>
        <v>0</v>
      </c>
      <c r="X21" s="78">
        <f t="shared" si="4"/>
        <v>0</v>
      </c>
      <c r="Y21" s="78">
        <f t="shared" si="4"/>
        <v>2</v>
      </c>
      <c r="Z21" s="78">
        <f t="shared" si="4"/>
        <v>2.5</v>
      </c>
      <c r="AA21" s="78">
        <f t="shared" si="15"/>
        <v>0</v>
      </c>
      <c r="AB21" s="77">
        <f t="shared" si="5"/>
        <v>0</v>
      </c>
      <c r="AC21" s="78">
        <f t="shared" si="5"/>
        <v>0</v>
      </c>
      <c r="AD21" s="78">
        <f t="shared" si="5"/>
        <v>0</v>
      </c>
      <c r="AE21" s="78">
        <f t="shared" si="5"/>
        <v>1.3333333333333333</v>
      </c>
      <c r="AF21" s="78">
        <f t="shared" si="5"/>
        <v>3.3333333333333335</v>
      </c>
      <c r="AG21" s="78">
        <f t="shared" ref="AG21:AG23" si="24">IF(AND(AG9&lt;&gt;"",AG9&gt;0),(VLOOKUP(AG$6,$CC$6:$CE$12,3,0)*AG9)/SUM($AB9:$AF9),0)</f>
        <v>0</v>
      </c>
      <c r="AH21" s="77">
        <f t="shared" si="6"/>
        <v>0</v>
      </c>
      <c r="AI21" s="78">
        <f t="shared" si="6"/>
        <v>0</v>
      </c>
      <c r="AJ21" s="78">
        <f t="shared" si="6"/>
        <v>0</v>
      </c>
      <c r="AK21" s="78">
        <f t="shared" si="6"/>
        <v>1.6</v>
      </c>
      <c r="AL21" s="78">
        <f t="shared" si="6"/>
        <v>3</v>
      </c>
      <c r="AM21" s="78">
        <f t="shared" si="16"/>
        <v>0</v>
      </c>
      <c r="AN21" s="77">
        <f t="shared" si="7"/>
        <v>0</v>
      </c>
      <c r="AO21" s="78">
        <f t="shared" si="7"/>
        <v>0</v>
      </c>
      <c r="AP21" s="78">
        <f t="shared" si="7"/>
        <v>0</v>
      </c>
      <c r="AQ21" s="78">
        <f t="shared" si="7"/>
        <v>0</v>
      </c>
      <c r="AR21" s="78">
        <f t="shared" si="7"/>
        <v>0</v>
      </c>
      <c r="AS21" s="78">
        <f t="shared" si="17"/>
        <v>0</v>
      </c>
      <c r="AT21" s="77">
        <f t="shared" si="8"/>
        <v>0</v>
      </c>
      <c r="AU21" s="78">
        <f t="shared" si="8"/>
        <v>0</v>
      </c>
      <c r="AV21" s="78">
        <f t="shared" si="8"/>
        <v>0</v>
      </c>
      <c r="AW21" s="78">
        <f t="shared" si="8"/>
        <v>0</v>
      </c>
      <c r="AX21" s="78">
        <f t="shared" si="8"/>
        <v>0</v>
      </c>
      <c r="AY21" s="78">
        <f t="shared" si="18"/>
        <v>0</v>
      </c>
      <c r="AZ21" s="77">
        <f t="shared" si="9"/>
        <v>0</v>
      </c>
      <c r="BA21" s="78">
        <f t="shared" si="9"/>
        <v>0</v>
      </c>
      <c r="BB21" s="78">
        <f t="shared" si="9"/>
        <v>0</v>
      </c>
      <c r="BC21" s="78">
        <f>IF(AND(BC9&lt;&gt;"",BC9&gt;0),(VLOOKUP(BC$6,$CC$6:$CE$11,3,0)*BC9)/SUM($AZ9:$BD9),0)</f>
        <v>0</v>
      </c>
      <c r="BD21" s="78">
        <f t="shared" si="9"/>
        <v>0</v>
      </c>
      <c r="BE21" s="78">
        <f t="shared" si="19"/>
        <v>0</v>
      </c>
      <c r="BF21" s="78">
        <f t="shared" si="20"/>
        <v>0</v>
      </c>
      <c r="BG21" s="78">
        <f t="shared" si="20"/>
        <v>0</v>
      </c>
      <c r="BH21" s="78">
        <f t="shared" si="20"/>
        <v>0</v>
      </c>
      <c r="BI21" s="78">
        <f t="shared" si="20"/>
        <v>0</v>
      </c>
      <c r="BJ21" s="78">
        <f>IF(AND(BJ9&lt;&gt;"",BJ9&gt;0),(VLOOKUP(BJ$6,$CC$6:$CE$12,3,0)*BJ9)/SUM($BF9:$BJ9),0)</f>
        <v>0</v>
      </c>
      <c r="BK21" s="78">
        <f t="shared" si="20"/>
        <v>0</v>
      </c>
      <c r="BL21" s="78">
        <f t="shared" ref="BL21:BO21" si="25">IF(AND(BL9&lt;&gt;"",BL9&gt;0),(VLOOKUP(BL$6,$CC$6:$CE$12,3,0)*BL9)/SUM($BL9:$BP9),0)</f>
        <v>0</v>
      </c>
      <c r="BM21" s="78">
        <f t="shared" si="25"/>
        <v>0</v>
      </c>
      <c r="BN21" s="78">
        <f t="shared" si="25"/>
        <v>0</v>
      </c>
      <c r="BO21" s="78">
        <f t="shared" si="25"/>
        <v>0</v>
      </c>
      <c r="BP21" s="78">
        <f>IF(AND(BP9&lt;&gt;"",BP9&gt;0),(VLOOKUP(BP$6,$CC$6:$CE$12,3,0)*BP9)/SUM($BL9:$BP9),0)</f>
        <v>0</v>
      </c>
      <c r="BQ21" s="78">
        <f>IF(AND(BQ9&lt;&gt;"",BQ9&gt;0),(VLOOKUP(BQ$6,$CC$6:$CE$12,3,0)*BQ9)/SUM($BL9:$BP9),0)</f>
        <v>0</v>
      </c>
      <c r="BR21" s="78">
        <f t="shared" ref="BR21:BW21" si="26">IF(AND(BR9&lt;&gt;"",BR9&gt;0),(VLOOKUP(BR$6,$CC$6:$CE$12,3,0)*BR9)/SUM($BR9:$BV9),0)</f>
        <v>0</v>
      </c>
      <c r="BS21" s="78">
        <f t="shared" si="26"/>
        <v>0</v>
      </c>
      <c r="BT21" s="78">
        <f t="shared" si="26"/>
        <v>0</v>
      </c>
      <c r="BU21" s="78">
        <f t="shared" si="26"/>
        <v>0</v>
      </c>
      <c r="BV21" s="78">
        <f t="shared" si="26"/>
        <v>0</v>
      </c>
      <c r="BW21" s="78">
        <f t="shared" si="26"/>
        <v>0</v>
      </c>
    </row>
    <row r="22" spans="2:75" x14ac:dyDescent="0.3">
      <c r="B22" s="60">
        <v>4</v>
      </c>
      <c r="C22" s="132" t="s">
        <v>74</v>
      </c>
      <c r="D22" s="62"/>
      <c r="E22" s="63"/>
      <c r="F22" s="64">
        <f t="shared" si="0"/>
        <v>0</v>
      </c>
      <c r="G22" s="63">
        <f t="shared" si="0"/>
        <v>0</v>
      </c>
      <c r="H22" s="64">
        <f t="shared" si="0"/>
        <v>0</v>
      </c>
      <c r="I22" s="55">
        <f t="shared" si="0"/>
        <v>0</v>
      </c>
      <c r="J22" s="77">
        <f t="shared" si="1"/>
        <v>0</v>
      </c>
      <c r="K22" s="78">
        <f t="shared" si="1"/>
        <v>0</v>
      </c>
      <c r="L22" s="78">
        <f t="shared" si="1"/>
        <v>0.75</v>
      </c>
      <c r="M22" s="78">
        <f t="shared" ref="M22:N22" si="27">IF(AND(M10&lt;&gt;"",M10&gt;0),(VLOOKUP(M$6,$CC$6:$CE$12,3,0)*M10)/SUM($J10:$N10),0)</f>
        <v>3</v>
      </c>
      <c r="N22" s="78">
        <f t="shared" si="27"/>
        <v>0</v>
      </c>
      <c r="O22" s="78">
        <f>IF(AND(O10&lt;&gt;"",O10&gt;0),(VLOOKUP(O$6,$CC$6:$CE$12,3,0)*O10)/SUM($J10:$N10),0)</f>
        <v>0</v>
      </c>
      <c r="P22" s="77">
        <f t="shared" si="2"/>
        <v>0</v>
      </c>
      <c r="Q22" s="78">
        <f t="shared" si="2"/>
        <v>0</v>
      </c>
      <c r="R22" s="78">
        <f t="shared" si="2"/>
        <v>0</v>
      </c>
      <c r="S22" s="78">
        <f t="shared" si="2"/>
        <v>4</v>
      </c>
      <c r="T22" s="78">
        <f t="shared" si="2"/>
        <v>0</v>
      </c>
      <c r="U22" s="78">
        <f t="shared" si="3"/>
        <v>0</v>
      </c>
      <c r="V22" s="77">
        <f t="shared" si="4"/>
        <v>0</v>
      </c>
      <c r="W22" s="78">
        <f t="shared" si="4"/>
        <v>0</v>
      </c>
      <c r="X22" s="78">
        <f t="shared" si="4"/>
        <v>2.25</v>
      </c>
      <c r="Y22" s="78">
        <f t="shared" si="4"/>
        <v>0</v>
      </c>
      <c r="Z22" s="78">
        <f t="shared" si="4"/>
        <v>1.25</v>
      </c>
      <c r="AA22" s="78">
        <f t="shared" si="15"/>
        <v>0</v>
      </c>
      <c r="AB22" s="77">
        <f t="shared" si="5"/>
        <v>0</v>
      </c>
      <c r="AC22" s="78">
        <f t="shared" si="5"/>
        <v>0</v>
      </c>
      <c r="AD22" s="78">
        <f t="shared" si="5"/>
        <v>0</v>
      </c>
      <c r="AE22" s="78">
        <f t="shared" si="5"/>
        <v>4</v>
      </c>
      <c r="AF22" s="78">
        <f t="shared" si="5"/>
        <v>0</v>
      </c>
      <c r="AG22" s="78">
        <f t="shared" si="24"/>
        <v>0</v>
      </c>
      <c r="AH22" s="77">
        <f t="shared" si="6"/>
        <v>0</v>
      </c>
      <c r="AI22" s="78">
        <f t="shared" si="6"/>
        <v>0</v>
      </c>
      <c r="AJ22" s="78">
        <f t="shared" si="6"/>
        <v>0</v>
      </c>
      <c r="AK22" s="78">
        <f t="shared" si="6"/>
        <v>4</v>
      </c>
      <c r="AL22" s="78">
        <f t="shared" si="6"/>
        <v>0</v>
      </c>
      <c r="AM22" s="78">
        <f t="shared" si="16"/>
        <v>0</v>
      </c>
      <c r="AN22" s="77">
        <f t="shared" si="7"/>
        <v>0</v>
      </c>
      <c r="AO22" s="78">
        <f t="shared" si="7"/>
        <v>0</v>
      </c>
      <c r="AP22" s="78">
        <f t="shared" si="7"/>
        <v>0</v>
      </c>
      <c r="AQ22" s="78">
        <f t="shared" si="7"/>
        <v>0</v>
      </c>
      <c r="AR22" s="78">
        <f t="shared" si="7"/>
        <v>0</v>
      </c>
      <c r="AS22" s="78">
        <f t="shared" si="17"/>
        <v>0</v>
      </c>
      <c r="AT22" s="77">
        <f t="shared" si="8"/>
        <v>0</v>
      </c>
      <c r="AU22" s="78">
        <f t="shared" si="8"/>
        <v>0</v>
      </c>
      <c r="AV22" s="78">
        <f t="shared" si="8"/>
        <v>0</v>
      </c>
      <c r="AW22" s="78">
        <f t="shared" si="8"/>
        <v>0</v>
      </c>
      <c r="AX22" s="78">
        <f t="shared" si="8"/>
        <v>0</v>
      </c>
      <c r="AY22" s="78">
        <f t="shared" si="18"/>
        <v>0</v>
      </c>
      <c r="AZ22" s="77">
        <f t="shared" si="9"/>
        <v>0</v>
      </c>
      <c r="BA22" s="78">
        <f t="shared" si="9"/>
        <v>0</v>
      </c>
      <c r="BB22" s="78">
        <f t="shared" si="9"/>
        <v>0</v>
      </c>
      <c r="BC22" s="78">
        <f t="shared" si="9"/>
        <v>0</v>
      </c>
      <c r="BD22" s="78">
        <f t="shared" si="9"/>
        <v>0</v>
      </c>
      <c r="BE22" s="78">
        <f t="shared" si="19"/>
        <v>0</v>
      </c>
      <c r="BF22" s="78">
        <f t="shared" si="20"/>
        <v>0</v>
      </c>
      <c r="BG22" s="78">
        <f t="shared" si="20"/>
        <v>0</v>
      </c>
      <c r="BH22" s="78">
        <f t="shared" si="20"/>
        <v>0</v>
      </c>
      <c r="BI22" s="78">
        <f t="shared" si="20"/>
        <v>0</v>
      </c>
      <c r="BJ22" s="78">
        <f>IF(AND(BJ10&lt;&gt;"",BJ10&gt;0),(VLOOKUP(BJ$6,$CC$6:$CE$12,3,0)*BJ10)/SUM($BF10:$BJ10),0)</f>
        <v>0</v>
      </c>
      <c r="BK22" s="78">
        <f>IF(AND(BK10&lt;&gt;"",BK10&gt;0),(VLOOKUP(BK$6,$CC$6:$CE$12,3,0)*BK10)/SUM($BF10:$BJ10),0)</f>
        <v>0</v>
      </c>
      <c r="BL22" s="78">
        <f t="shared" ref="BL22:BQ22" si="28">IF(AND(BL10&lt;&gt;"",BL10&gt;0),(VLOOKUP(BL$6,$CC$6:$CE$12,3,0)*BL10)/SUM($BL10:$BP10),0)</f>
        <v>0</v>
      </c>
      <c r="BM22" s="78">
        <f t="shared" si="28"/>
        <v>0</v>
      </c>
      <c r="BN22" s="78">
        <f t="shared" si="28"/>
        <v>0</v>
      </c>
      <c r="BO22" s="78">
        <f t="shared" si="28"/>
        <v>0</v>
      </c>
      <c r="BP22" s="78">
        <f t="shared" si="28"/>
        <v>0</v>
      </c>
      <c r="BQ22" s="78">
        <f t="shared" si="28"/>
        <v>0</v>
      </c>
      <c r="BR22" s="78">
        <f t="shared" ref="BR22:BW22" si="29">IF(AND(BR10&lt;&gt;"",BR10&gt;0),(VLOOKUP(BR$6,$CC$6:$CE$12,3,0)*BR10)/SUM($BR10:$BV10),0)</f>
        <v>0</v>
      </c>
      <c r="BS22" s="78">
        <f t="shared" si="29"/>
        <v>0</v>
      </c>
      <c r="BT22" s="78">
        <f t="shared" si="29"/>
        <v>0</v>
      </c>
      <c r="BU22" s="78">
        <f t="shared" si="29"/>
        <v>0</v>
      </c>
      <c r="BV22" s="78">
        <f t="shared" si="29"/>
        <v>0</v>
      </c>
      <c r="BW22" s="78">
        <f t="shared" si="29"/>
        <v>0</v>
      </c>
    </row>
    <row r="23" spans="2:75" x14ac:dyDescent="0.3">
      <c r="B23" s="60">
        <v>5</v>
      </c>
      <c r="C23" s="132" t="s">
        <v>89</v>
      </c>
      <c r="D23" s="62"/>
      <c r="E23" s="63"/>
      <c r="F23" s="64">
        <f t="shared" si="0"/>
        <v>0</v>
      </c>
      <c r="G23" s="63">
        <f t="shared" si="0"/>
        <v>0</v>
      </c>
      <c r="H23" s="64">
        <f t="shared" si="0"/>
        <v>0</v>
      </c>
      <c r="I23" s="55">
        <f t="shared" si="0"/>
        <v>0</v>
      </c>
      <c r="J23" s="77">
        <f t="shared" si="1"/>
        <v>0</v>
      </c>
      <c r="K23" s="78">
        <f t="shared" si="1"/>
        <v>0</v>
      </c>
      <c r="L23" s="78">
        <f t="shared" si="1"/>
        <v>0</v>
      </c>
      <c r="M23" s="78">
        <f t="shared" ref="M23:N23" si="30">IF(AND(M11&lt;&gt;"",M11&gt;0),(VLOOKUP(M$6,$CC$6:$CE$12,3,0)*M11)/SUM($J11:$N11),0)</f>
        <v>3</v>
      </c>
      <c r="N23" s="78">
        <f t="shared" si="30"/>
        <v>1.25</v>
      </c>
      <c r="O23" s="78">
        <f t="shared" si="14"/>
        <v>0</v>
      </c>
      <c r="P23" s="77">
        <f t="shared" si="2"/>
        <v>0</v>
      </c>
      <c r="Q23" s="78">
        <f t="shared" si="2"/>
        <v>0</v>
      </c>
      <c r="R23" s="78">
        <f t="shared" si="2"/>
        <v>0</v>
      </c>
      <c r="S23" s="78">
        <f t="shared" si="2"/>
        <v>3</v>
      </c>
      <c r="T23" s="78">
        <f t="shared" si="2"/>
        <v>1.25</v>
      </c>
      <c r="U23" s="78">
        <f t="shared" si="3"/>
        <v>0</v>
      </c>
      <c r="V23" s="77">
        <f t="shared" si="4"/>
        <v>0</v>
      </c>
      <c r="W23" s="78">
        <f t="shared" si="4"/>
        <v>0</v>
      </c>
      <c r="X23" s="78">
        <f t="shared" si="4"/>
        <v>0.8571428571428571</v>
      </c>
      <c r="Y23" s="78">
        <f t="shared" si="4"/>
        <v>2.2857142857142856</v>
      </c>
      <c r="Z23" s="78">
        <f t="shared" si="4"/>
        <v>0.7142857142857143</v>
      </c>
      <c r="AA23" s="78">
        <f t="shared" si="15"/>
        <v>0</v>
      </c>
      <c r="AB23" s="77">
        <f t="shared" si="5"/>
        <v>0</v>
      </c>
      <c r="AC23" s="78">
        <f t="shared" si="5"/>
        <v>0</v>
      </c>
      <c r="AD23" s="78">
        <f t="shared" si="5"/>
        <v>0.5</v>
      </c>
      <c r="AE23" s="78">
        <f t="shared" si="5"/>
        <v>2.6666666666666665</v>
      </c>
      <c r="AF23" s="78">
        <f t="shared" si="5"/>
        <v>0.83333333333333337</v>
      </c>
      <c r="AG23" s="78">
        <f t="shared" si="24"/>
        <v>0</v>
      </c>
      <c r="AH23" s="77">
        <f t="shared" si="6"/>
        <v>0</v>
      </c>
      <c r="AI23" s="78">
        <f t="shared" si="6"/>
        <v>0</v>
      </c>
      <c r="AJ23" s="78">
        <f t="shared" si="6"/>
        <v>1.2</v>
      </c>
      <c r="AK23" s="78">
        <f t="shared" si="6"/>
        <v>1.6</v>
      </c>
      <c r="AL23" s="78">
        <f t="shared" si="6"/>
        <v>1</v>
      </c>
      <c r="AM23" s="78">
        <f t="shared" si="16"/>
        <v>0</v>
      </c>
      <c r="AN23" s="77">
        <f t="shared" si="7"/>
        <v>0</v>
      </c>
      <c r="AO23" s="78">
        <f t="shared" si="7"/>
        <v>0</v>
      </c>
      <c r="AP23" s="78">
        <f t="shared" si="7"/>
        <v>0</v>
      </c>
      <c r="AQ23" s="78">
        <f t="shared" si="7"/>
        <v>0</v>
      </c>
      <c r="AR23" s="78">
        <f t="shared" si="7"/>
        <v>0</v>
      </c>
      <c r="AS23" s="78">
        <f t="shared" si="17"/>
        <v>0</v>
      </c>
      <c r="AT23" s="77">
        <f t="shared" si="8"/>
        <v>0</v>
      </c>
      <c r="AU23" s="78">
        <f t="shared" si="8"/>
        <v>0</v>
      </c>
      <c r="AV23" s="78">
        <f t="shared" si="8"/>
        <v>0</v>
      </c>
      <c r="AW23" s="78">
        <f t="shared" si="8"/>
        <v>0</v>
      </c>
      <c r="AX23" s="78">
        <f t="shared" si="8"/>
        <v>0</v>
      </c>
      <c r="AY23" s="78">
        <f>IF(AND(AY11&lt;&gt;"",AY11&gt;0),(VLOOKUP(AY$6,$CC$6:$CE$12,3,0)*AY11)/SUM($AT11:$AX11),0)</f>
        <v>0</v>
      </c>
      <c r="AZ23" s="77">
        <f t="shared" si="9"/>
        <v>0</v>
      </c>
      <c r="BA23" s="78">
        <f t="shared" si="9"/>
        <v>0</v>
      </c>
      <c r="BB23" s="78">
        <f t="shared" si="9"/>
        <v>0</v>
      </c>
      <c r="BC23" s="78">
        <f t="shared" si="9"/>
        <v>0</v>
      </c>
      <c r="BD23" s="78">
        <f>IF(AND(BD11&lt;&gt;"",BD11&gt;0),(VLOOKUP(BD$6,$CC$6:$CE$11,3,0)*BD11)/SUM($AZ11:$BD11),0)</f>
        <v>0</v>
      </c>
      <c r="BE23" s="78">
        <f t="shared" si="19"/>
        <v>0</v>
      </c>
      <c r="BF23" s="78">
        <f t="shared" si="20"/>
        <v>0</v>
      </c>
      <c r="BG23" s="78">
        <f t="shared" si="20"/>
        <v>0</v>
      </c>
      <c r="BH23" s="78">
        <f t="shared" si="20"/>
        <v>0</v>
      </c>
      <c r="BI23" s="78">
        <f t="shared" si="20"/>
        <v>0</v>
      </c>
      <c r="BJ23" s="78">
        <f t="shared" si="20"/>
        <v>0</v>
      </c>
      <c r="BK23" s="78">
        <f>IF(AND(BK11&lt;&gt;"",BK11&gt;0),(VLOOKUP(BK$6,$CC$6:$CE$12,3,0)*BK11)/SUM($BF11:$BJ11),0)</f>
        <v>0</v>
      </c>
      <c r="BL23" s="78">
        <f t="shared" ref="BL23:BQ23" si="31">IF(AND(BL11&lt;&gt;"",BL11&gt;0),(VLOOKUP(BL$6,$CC$6:$CE$12,3,0)*BL11)/SUM($BL11:$BP11),0)</f>
        <v>0</v>
      </c>
      <c r="BM23" s="78">
        <f t="shared" si="31"/>
        <v>0</v>
      </c>
      <c r="BN23" s="78">
        <f t="shared" si="31"/>
        <v>0</v>
      </c>
      <c r="BO23" s="78">
        <f t="shared" si="31"/>
        <v>0</v>
      </c>
      <c r="BP23" s="78">
        <f t="shared" si="31"/>
        <v>0</v>
      </c>
      <c r="BQ23" s="78">
        <f t="shared" si="31"/>
        <v>0</v>
      </c>
      <c r="BR23" s="78">
        <f t="shared" ref="BR23:BW23" si="32">IF(AND(BR11&lt;&gt;"",BR11&gt;0),(VLOOKUP(BR$6,$CC$6:$CE$12,3,0)*BR11)/SUM($BR11:$BV11),0)</f>
        <v>0</v>
      </c>
      <c r="BS23" s="78">
        <f t="shared" si="32"/>
        <v>0</v>
      </c>
      <c r="BT23" s="78">
        <f t="shared" si="32"/>
        <v>0</v>
      </c>
      <c r="BU23" s="78">
        <f t="shared" si="32"/>
        <v>0</v>
      </c>
      <c r="BV23" s="78">
        <f t="shared" si="32"/>
        <v>0</v>
      </c>
      <c r="BW23" s="78">
        <f t="shared" si="32"/>
        <v>0</v>
      </c>
    </row>
    <row r="24" spans="2:75" x14ac:dyDescent="0.3">
      <c r="D24" s="71"/>
      <c r="E24" s="71"/>
      <c r="F24" s="72">
        <f t="shared" si="0"/>
        <v>0</v>
      </c>
      <c r="G24" s="71">
        <f t="shared" si="0"/>
        <v>0</v>
      </c>
      <c r="H24" s="72">
        <f t="shared" si="0"/>
        <v>0</v>
      </c>
      <c r="I24" s="71">
        <f t="shared" si="0"/>
        <v>0</v>
      </c>
    </row>
    <row r="25" spans="2:75" x14ac:dyDescent="0.3">
      <c r="D25" s="71"/>
      <c r="E25" s="71"/>
      <c r="F25" s="72"/>
      <c r="G25" s="71"/>
      <c r="H25" s="72"/>
      <c r="I25" s="71"/>
    </row>
    <row r="26" spans="2:75" x14ac:dyDescent="0.3">
      <c r="D26" s="71"/>
      <c r="E26" s="71"/>
      <c r="F26" s="72"/>
      <c r="G26" s="71"/>
      <c r="H26" s="72"/>
      <c r="I26" s="71"/>
      <c r="J26" s="82"/>
    </row>
    <row r="27" spans="2:75" ht="15.6" x14ac:dyDescent="0.3">
      <c r="D27" s="71"/>
      <c r="E27" s="71"/>
      <c r="F27" s="72"/>
      <c r="G27" s="71"/>
      <c r="H27" s="72"/>
      <c r="I27" s="71"/>
      <c r="K27" s="83" t="s">
        <v>501</v>
      </c>
    </row>
    <row r="28" spans="2:75" x14ac:dyDescent="0.3">
      <c r="D28" s="71"/>
      <c r="E28" s="71"/>
      <c r="F28" s="72"/>
      <c r="G28" s="71"/>
      <c r="H28" s="72"/>
      <c r="I28" s="71"/>
    </row>
    <row r="29" spans="2:75" x14ac:dyDescent="0.3">
      <c r="D29" s="71"/>
      <c r="E29" s="71"/>
      <c r="F29" s="72"/>
      <c r="G29" s="71"/>
      <c r="H29" s="72"/>
      <c r="I29" s="71"/>
    </row>
    <row r="30" spans="2:75" x14ac:dyDescent="0.3">
      <c r="U30" s="84"/>
    </row>
    <row r="31" spans="2:75" x14ac:dyDescent="0.3">
      <c r="E31" s="189" t="s">
        <v>474</v>
      </c>
      <c r="F31" s="191" t="s">
        <v>5</v>
      </c>
      <c r="G31" s="192"/>
      <c r="H31" s="192"/>
      <c r="I31" s="193"/>
      <c r="J31" s="187" t="s">
        <v>502</v>
      </c>
      <c r="K31" s="185"/>
      <c r="L31" s="185"/>
      <c r="M31" s="185"/>
      <c r="N31" s="185"/>
      <c r="O31" s="185"/>
      <c r="P31" s="185"/>
      <c r="Q31" s="185"/>
      <c r="R31" s="185"/>
      <c r="S31" s="185"/>
      <c r="T31" s="185"/>
    </row>
    <row r="32" spans="2:75" x14ac:dyDescent="0.3">
      <c r="E32" s="190"/>
      <c r="F32" s="194"/>
      <c r="G32" s="195"/>
      <c r="H32" s="195"/>
      <c r="I32" s="196"/>
      <c r="J32" s="85">
        <v>1</v>
      </c>
      <c r="K32" s="86">
        <v>2</v>
      </c>
      <c r="L32" s="86">
        <v>3</v>
      </c>
      <c r="M32" s="86">
        <v>4</v>
      </c>
      <c r="N32" s="86">
        <v>5</v>
      </c>
      <c r="O32" s="86">
        <v>6</v>
      </c>
      <c r="P32" s="86">
        <v>7</v>
      </c>
      <c r="Q32" s="86">
        <v>8</v>
      </c>
      <c r="R32" s="140">
        <v>9</v>
      </c>
      <c r="S32" s="140">
        <v>10</v>
      </c>
      <c r="T32" s="140">
        <v>11</v>
      </c>
      <c r="U32" s="87" t="s">
        <v>503</v>
      </c>
      <c r="X32" s="87" t="s">
        <v>454</v>
      </c>
    </row>
    <row r="33" spans="5:24" x14ac:dyDescent="0.3">
      <c r="E33" s="51">
        <v>1</v>
      </c>
      <c r="F33" s="88" t="s">
        <v>66</v>
      </c>
      <c r="G33" s="89"/>
      <c r="H33" s="89"/>
      <c r="I33" s="90"/>
      <c r="J33" s="91">
        <f>SUM(J19:O19)</f>
        <v>4.3076923076923075</v>
      </c>
      <c r="K33" s="91">
        <f>SUM(P19:U19)</f>
        <v>4.2727272727272725</v>
      </c>
      <c r="L33" s="91">
        <f>SUM(V19:AA19)</f>
        <v>4.3333333333333339</v>
      </c>
      <c r="M33" s="91">
        <f>SUM(AB19:AG19)</f>
        <v>4.3571428571428577</v>
      </c>
      <c r="N33" s="91">
        <f>SUM(AH19:AM19)</f>
        <v>4.384615384615385</v>
      </c>
      <c r="O33" s="91">
        <f>SUM(AN19:AS19)</f>
        <v>0</v>
      </c>
      <c r="P33" s="91">
        <f>SUM(AT19:AY19)</f>
        <v>0</v>
      </c>
      <c r="Q33" s="91">
        <f>SUM(AZ19:BE19)</f>
        <v>0</v>
      </c>
      <c r="R33" s="91">
        <f>SUM(BF19:BK19)</f>
        <v>0</v>
      </c>
      <c r="S33" s="141">
        <f>SUM(BL19:BQ19)</f>
        <v>0</v>
      </c>
      <c r="T33" s="141">
        <f>SUM(BR19:BW19)</f>
        <v>0</v>
      </c>
      <c r="U33" s="92">
        <f>IFERROR(AVERAGEIF(J33:Q33,"&gt;0",J33:Q33),0)</f>
        <v>4.3311022311022311</v>
      </c>
      <c r="V33" s="93"/>
      <c r="X33" s="92">
        <v>4.4600389863547756</v>
      </c>
    </row>
    <row r="34" spans="5:24" x14ac:dyDescent="0.3">
      <c r="E34" s="60">
        <v>2</v>
      </c>
      <c r="F34" s="94" t="s">
        <v>70</v>
      </c>
      <c r="I34" s="95"/>
      <c r="J34" s="96">
        <f>SUM(J20:O20)</f>
        <v>4.545454545454545</v>
      </c>
      <c r="K34" s="96">
        <f>SUM(P20:U20)</f>
        <v>4.7142857142857144</v>
      </c>
      <c r="L34" s="96">
        <f>SUM(V20:AA20)</f>
        <v>4.3</v>
      </c>
      <c r="M34" s="96">
        <f>SUM(AB20:AG20)</f>
        <v>4.666666666666667</v>
      </c>
      <c r="N34" s="96">
        <f>SUM(AH20:AM20)</f>
        <v>4.7142857142857144</v>
      </c>
      <c r="O34" s="96">
        <f>SUM(AN20:AS20)</f>
        <v>0</v>
      </c>
      <c r="P34" s="96">
        <f>SUM(AT20:AY20)</f>
        <v>0</v>
      </c>
      <c r="Q34" s="96">
        <f>SUM(AZ20:BE20)</f>
        <v>0</v>
      </c>
      <c r="R34" s="91">
        <f t="shared" ref="R34:R37" si="33">SUM(BF20:BK20)</f>
        <v>0</v>
      </c>
      <c r="S34" s="141">
        <f t="shared" ref="S34:S37" si="34">SUM(BL20:BQ20)</f>
        <v>0</v>
      </c>
      <c r="T34" s="141">
        <f t="shared" ref="T34:T37" si="35">SUM(BR20:BW20)</f>
        <v>0</v>
      </c>
      <c r="U34" s="97">
        <f>IFERROR(AVERAGEIF(J34:Q34,"&gt;0",J34:Q34),0)</f>
        <v>4.5881385281385283</v>
      </c>
      <c r="V34" s="93"/>
      <c r="X34" s="98">
        <v>4.1269999999999998</v>
      </c>
    </row>
    <row r="35" spans="5:24" x14ac:dyDescent="0.3">
      <c r="E35" s="60">
        <v>3</v>
      </c>
      <c r="F35" s="94" t="s">
        <v>62</v>
      </c>
      <c r="I35" s="95"/>
      <c r="J35" s="96">
        <f>SUM(J21:O21)</f>
        <v>4.5</v>
      </c>
      <c r="K35" s="96">
        <f>SUM(P21:U21)</f>
        <v>4.5</v>
      </c>
      <c r="L35" s="96">
        <f>SUM(V21:AA21)</f>
        <v>4.5</v>
      </c>
      <c r="M35" s="96">
        <f>SUM(AB21:AG21)</f>
        <v>4.666666666666667</v>
      </c>
      <c r="N35" s="96">
        <f>SUM(AH21:AM21)</f>
        <v>4.5999999999999996</v>
      </c>
      <c r="O35" s="96">
        <f>SUM(AN21:AS21)</f>
        <v>0</v>
      </c>
      <c r="P35" s="96">
        <f>SUM(AT21:AY21)</f>
        <v>0</v>
      </c>
      <c r="Q35" s="96">
        <f>SUM(AZ21:BE21)</f>
        <v>0</v>
      </c>
      <c r="R35" s="91">
        <f t="shared" si="33"/>
        <v>0</v>
      </c>
      <c r="S35" s="141">
        <f t="shared" si="34"/>
        <v>0</v>
      </c>
      <c r="T35" s="141">
        <f>SUM(BR21:BW21)</f>
        <v>0</v>
      </c>
      <c r="U35" s="97">
        <f>IFERROR(AVERAGEIF(J35:Q35,"&gt;0",J35:Q35),0)</f>
        <v>4.5533333333333328</v>
      </c>
      <c r="V35" s="93"/>
      <c r="X35" s="98">
        <v>4.0410000000000004</v>
      </c>
    </row>
    <row r="36" spans="5:24" x14ac:dyDescent="0.3">
      <c r="E36" s="60">
        <v>4</v>
      </c>
      <c r="F36" s="94" t="s">
        <v>74</v>
      </c>
      <c r="I36" s="95"/>
      <c r="J36" s="96">
        <f>SUM(J22:O22)</f>
        <v>3.75</v>
      </c>
      <c r="K36" s="96">
        <f>SUM(P22:U22)</f>
        <v>4</v>
      </c>
      <c r="L36" s="96">
        <f>SUM(V22:AA22)</f>
        <v>3.5</v>
      </c>
      <c r="M36" s="96">
        <f>SUM(AB22:AG22)</f>
        <v>4</v>
      </c>
      <c r="N36" s="96">
        <f>SUM(AH22:AM22)</f>
        <v>4</v>
      </c>
      <c r="O36" s="96">
        <f>SUM(AN22:AS22)</f>
        <v>0</v>
      </c>
      <c r="P36" s="96">
        <f>SUM(AT22:AY22)</f>
        <v>0</v>
      </c>
      <c r="Q36" s="96">
        <f>SUM(AZ22:BE22)</f>
        <v>0</v>
      </c>
      <c r="R36" s="91">
        <f>SUM(BF22:BK22)</f>
        <v>0</v>
      </c>
      <c r="S36" s="141">
        <f t="shared" si="34"/>
        <v>0</v>
      </c>
      <c r="T36" s="141">
        <f t="shared" si="35"/>
        <v>0</v>
      </c>
      <c r="U36" s="97">
        <f>IFERROR(AVERAGEIF(J36:Q36,"&gt;0",J36:Q36),0)</f>
        <v>3.85</v>
      </c>
      <c r="V36" s="93"/>
      <c r="X36" s="98">
        <v>4.1500000000000004</v>
      </c>
    </row>
    <row r="37" spans="5:24" x14ac:dyDescent="0.3">
      <c r="E37" s="60">
        <v>5</v>
      </c>
      <c r="F37" s="94" t="s">
        <v>89</v>
      </c>
      <c r="I37" s="95"/>
      <c r="J37" s="96">
        <f>SUM(J23:O23)</f>
        <v>4.25</v>
      </c>
      <c r="K37" s="96">
        <f>SUM(P23:U23)</f>
        <v>4.25</v>
      </c>
      <c r="L37" s="96">
        <f>SUM(V23:AA23)</f>
        <v>3.8571428571428572</v>
      </c>
      <c r="M37" s="96">
        <f>SUM(AB23:AG23)</f>
        <v>4</v>
      </c>
      <c r="N37" s="96">
        <f>SUM(AH23:AM23)</f>
        <v>3.8</v>
      </c>
      <c r="O37" s="96">
        <f>SUM(AN23:AS23)</f>
        <v>0</v>
      </c>
      <c r="P37" s="96">
        <f>SUM(AT23:AY23)</f>
        <v>0</v>
      </c>
      <c r="Q37" s="96">
        <f>SUM(AZ23:BE23)</f>
        <v>0</v>
      </c>
      <c r="R37" s="91">
        <f t="shared" si="33"/>
        <v>0</v>
      </c>
      <c r="S37" s="141">
        <f t="shared" si="34"/>
        <v>0</v>
      </c>
      <c r="T37" s="141">
        <f t="shared" si="35"/>
        <v>0</v>
      </c>
      <c r="U37" s="99">
        <f>IFERROR(AVERAGEIF(J37:Q37,"&gt;0",J37:Q37),0)</f>
        <v>4.031428571428572</v>
      </c>
      <c r="V37" s="93"/>
      <c r="X37" s="99">
        <v>4.5289999999999999</v>
      </c>
    </row>
    <row r="39" spans="5:24" ht="15.6" x14ac:dyDescent="0.3">
      <c r="J39" s="186" t="s">
        <v>489</v>
      </c>
      <c r="K39" s="186"/>
      <c r="L39" s="186"/>
      <c r="O39" s="83"/>
    </row>
    <row r="40" spans="5:24" x14ac:dyDescent="0.3">
      <c r="J40" s="50" t="s">
        <v>497</v>
      </c>
      <c r="K40" s="50" t="s">
        <v>498</v>
      </c>
      <c r="L40" s="50" t="s">
        <v>499</v>
      </c>
    </row>
    <row r="41" spans="5:24" x14ac:dyDescent="0.3">
      <c r="J41" s="58" t="s">
        <v>491</v>
      </c>
      <c r="K41" s="58" t="s">
        <v>471</v>
      </c>
      <c r="L41" s="59">
        <v>1</v>
      </c>
    </row>
    <row r="42" spans="5:24" x14ac:dyDescent="0.3">
      <c r="J42" s="58" t="s">
        <v>492</v>
      </c>
      <c r="K42" s="58" t="s">
        <v>470</v>
      </c>
      <c r="L42" s="59">
        <v>2</v>
      </c>
    </row>
    <row r="43" spans="5:24" x14ac:dyDescent="0.3">
      <c r="J43" s="58" t="s">
        <v>493</v>
      </c>
      <c r="K43" s="58" t="s">
        <v>469</v>
      </c>
      <c r="L43" s="59">
        <v>3</v>
      </c>
    </row>
    <row r="44" spans="5:24" x14ac:dyDescent="0.3">
      <c r="J44" s="58" t="s">
        <v>494</v>
      </c>
      <c r="K44" s="58" t="s">
        <v>467</v>
      </c>
      <c r="L44" s="59">
        <v>4</v>
      </c>
    </row>
    <row r="45" spans="5:24" x14ac:dyDescent="0.3">
      <c r="J45" s="58" t="s">
        <v>495</v>
      </c>
      <c r="K45" s="58" t="s">
        <v>468</v>
      </c>
      <c r="L45" s="59">
        <v>5</v>
      </c>
    </row>
    <row r="46" spans="5:24" x14ac:dyDescent="0.3">
      <c r="J46" s="58" t="s">
        <v>496</v>
      </c>
      <c r="K46" s="58" t="s">
        <v>473</v>
      </c>
      <c r="L46" s="59">
        <v>0</v>
      </c>
    </row>
    <row r="54" spans="10:10" ht="18" x14ac:dyDescent="0.4">
      <c r="J54" t="s">
        <v>504</v>
      </c>
    </row>
  </sheetData>
  <mergeCells count="41"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J39:L39"/>
    <mergeCell ref="AT17:AY17"/>
    <mergeCell ref="E31:E32"/>
    <mergeCell ref="F31:I32"/>
    <mergeCell ref="J17:O17"/>
    <mergeCell ref="P17:U17"/>
    <mergeCell ref="J31:T31"/>
    <mergeCell ref="AZ17:BE17"/>
    <mergeCell ref="BF17:BK17"/>
    <mergeCell ref="BL17:BQ17"/>
    <mergeCell ref="AB17:AG17"/>
    <mergeCell ref="AH17:AM17"/>
    <mergeCell ref="AN17:AS17"/>
  </mergeCells>
  <conditionalFormatting sqref="J7:BE11">
    <cfRule type="expression" dxfId="10" priority="14">
      <formula>J7=""</formula>
    </cfRule>
  </conditionalFormatting>
  <conditionalFormatting sqref="P19:AF23 AH19:BK23 J19:N23">
    <cfRule type="expression" dxfId="9" priority="13">
      <formula>J19=0</formula>
    </cfRule>
  </conditionalFormatting>
  <conditionalFormatting sqref="BF7:BK11">
    <cfRule type="expression" dxfId="8" priority="12">
      <formula>BF7=""</formula>
    </cfRule>
  </conditionalFormatting>
  <conditionalFormatting sqref="BL7:BQ11">
    <cfRule type="expression" dxfId="7" priority="11">
      <formula>BL7=""</formula>
    </cfRule>
  </conditionalFormatting>
  <conditionalFormatting sqref="BR7:BW11">
    <cfRule type="expression" dxfId="6" priority="10">
      <formula>BR7=""</formula>
    </cfRule>
  </conditionalFormatting>
  <conditionalFormatting sqref="O19:O23">
    <cfRule type="expression" dxfId="5" priority="4">
      <formula>O19=0</formula>
    </cfRule>
  </conditionalFormatting>
  <conditionalFormatting sqref="AG19:AG23">
    <cfRule type="expression" dxfId="4" priority="3">
      <formula>AG19=0</formula>
    </cfRule>
  </conditionalFormatting>
  <conditionalFormatting sqref="BL19:BQ23">
    <cfRule type="expression" dxfId="3" priority="2">
      <formula>BL19=0</formula>
    </cfRule>
  </conditionalFormatting>
  <conditionalFormatting sqref="BR19:BW23">
    <cfRule type="expression" dxfId="2" priority="1">
      <formula>BR19=0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1B941-2EC5-4A2B-A98A-E3758FA43BA5}">
  <dimension ref="A1:L13"/>
  <sheetViews>
    <sheetView workbookViewId="0">
      <pane ySplit="1" topLeftCell="A2" activePane="bottomLeft" state="frozenSplit"/>
      <selection pane="bottomLeft" activeCell="A3" sqref="A3:A13"/>
    </sheetView>
  </sheetViews>
  <sheetFormatPr baseColWidth="10" defaultRowHeight="14.4" x14ac:dyDescent="0.3"/>
  <cols>
    <col min="1" max="1" width="171.88671875" bestFit="1" customWidth="1"/>
  </cols>
  <sheetData>
    <row r="1" spans="1:12" x14ac:dyDescent="0.3">
      <c r="A1" s="155" t="s">
        <v>614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</row>
    <row r="3" spans="1:12" x14ac:dyDescent="0.3">
      <c r="A3" t="s">
        <v>597</v>
      </c>
    </row>
    <row r="4" spans="1:12" x14ac:dyDescent="0.3">
      <c r="A4" t="s">
        <v>599</v>
      </c>
    </row>
    <row r="5" spans="1:12" x14ac:dyDescent="0.3">
      <c r="A5" t="s">
        <v>600</v>
      </c>
    </row>
    <row r="6" spans="1:12" x14ac:dyDescent="0.3">
      <c r="A6" t="s">
        <v>601</v>
      </c>
    </row>
    <row r="7" spans="1:12" x14ac:dyDescent="0.3">
      <c r="A7" t="s">
        <v>602</v>
      </c>
    </row>
    <row r="8" spans="1:12" x14ac:dyDescent="0.3">
      <c r="A8" t="s">
        <v>605</v>
      </c>
    </row>
    <row r="9" spans="1:12" x14ac:dyDescent="0.3">
      <c r="A9" t="s">
        <v>607</v>
      </c>
    </row>
    <row r="10" spans="1:12" x14ac:dyDescent="0.3">
      <c r="A10" t="s">
        <v>467</v>
      </c>
    </row>
    <row r="11" spans="1:12" x14ac:dyDescent="0.3">
      <c r="A11" t="s">
        <v>608</v>
      </c>
    </row>
    <row r="12" spans="1:12" x14ac:dyDescent="0.3">
      <c r="A12" t="s">
        <v>609</v>
      </c>
    </row>
    <row r="13" spans="1:12" x14ac:dyDescent="0.3">
      <c r="A13" t="s">
        <v>610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5504-422C-43AE-B570-CB076209ED2D}">
  <dimension ref="A1:I221"/>
  <sheetViews>
    <sheetView topLeftCell="A7" workbookViewId="0">
      <selection activeCell="M11" sqref="M11"/>
    </sheetView>
  </sheetViews>
  <sheetFormatPr baseColWidth="10" defaultRowHeight="14.4" x14ac:dyDescent="0.3"/>
  <cols>
    <col min="1" max="1" width="18.88671875" customWidth="1"/>
    <col min="8" max="8" width="49.6640625" bestFit="1" customWidth="1"/>
    <col min="9" max="9" width="25.6640625" bestFit="1" customWidth="1"/>
  </cols>
  <sheetData>
    <row r="1" spans="1:9" x14ac:dyDescent="0.3">
      <c r="A1" t="s">
        <v>589</v>
      </c>
      <c r="B1" t="s">
        <v>452</v>
      </c>
      <c r="C1" t="s">
        <v>617</v>
      </c>
      <c r="D1" t="s">
        <v>58</v>
      </c>
      <c r="E1" t="s">
        <v>5</v>
      </c>
      <c r="F1" t="s">
        <v>626</v>
      </c>
    </row>
    <row r="2" spans="1:9" x14ac:dyDescent="0.3">
      <c r="A2" s="157" t="s">
        <v>207</v>
      </c>
      <c r="B2" t="s">
        <v>38</v>
      </c>
      <c r="C2" s="160">
        <v>5</v>
      </c>
      <c r="D2" t="str">
        <f>VLOOKUP(A2,DataUsuario!B:D,2,FALSE)</f>
        <v>Administración y Finanzas</v>
      </c>
      <c r="E2" t="str">
        <f>VLOOKUP(A2,DataUsuario!B:D,3,FALSE)</f>
        <v>Riesgos y Cumplimiento</v>
      </c>
      <c r="F2" t="s">
        <v>66</v>
      </c>
    </row>
    <row r="3" spans="1:9" x14ac:dyDescent="0.3">
      <c r="A3" s="158" t="s">
        <v>133</v>
      </c>
      <c r="B3" t="s">
        <v>38</v>
      </c>
      <c r="C3" s="161">
        <v>3</v>
      </c>
      <c r="D3" t="str">
        <f>VLOOKUP(A3,DataUsuario!B:D,2,FALSE)</f>
        <v>Industrial y de Mantenimiento</v>
      </c>
      <c r="E3" t="str">
        <f>VLOOKUP(A3,DataUsuario!B:D,3,FALSE)</f>
        <v>Electricidad</v>
      </c>
      <c r="F3" t="s">
        <v>74</v>
      </c>
    </row>
    <row r="4" spans="1:9" x14ac:dyDescent="0.3">
      <c r="A4" s="157" t="s">
        <v>431</v>
      </c>
      <c r="B4" t="s">
        <v>38</v>
      </c>
      <c r="C4" s="160" t="s">
        <v>615</v>
      </c>
      <c r="D4" t="str">
        <f>VLOOKUP(A4,DataUsuario!B:D,2,FALSE)</f>
        <v>Agrícola</v>
      </c>
      <c r="E4" t="str">
        <f>VLOOKUP(A4,DataUsuario!B:D,3,FALSE)</f>
        <v>Fundo San Vicente</v>
      </c>
      <c r="F4" t="s">
        <v>89</v>
      </c>
      <c r="G4" t="s">
        <v>38</v>
      </c>
    </row>
    <row r="5" spans="1:9" x14ac:dyDescent="0.3">
      <c r="A5" s="158" t="s">
        <v>123</v>
      </c>
      <c r="B5" t="s">
        <v>38</v>
      </c>
      <c r="C5" s="161">
        <v>4</v>
      </c>
      <c r="D5" t="str">
        <f>VLOOKUP(A5,DataUsuario!B:D,2,FALSE)</f>
        <v>Administración y Finanzas</v>
      </c>
      <c r="E5" t="str">
        <f>VLOOKUP(A5,DataUsuario!B:D,3,FALSE)</f>
        <v>Gerencia Administración y Finanzas</v>
      </c>
      <c r="F5" t="s">
        <v>66</v>
      </c>
      <c r="G5" t="s">
        <v>39</v>
      </c>
    </row>
    <row r="6" spans="1:9" x14ac:dyDescent="0.3">
      <c r="A6" s="157" t="s">
        <v>289</v>
      </c>
      <c r="B6" t="s">
        <v>38</v>
      </c>
      <c r="C6" s="160">
        <v>4</v>
      </c>
      <c r="D6" t="str">
        <f>VLOOKUP(A6,DataUsuario!B:D,2,FALSE)</f>
        <v>Agrícola</v>
      </c>
      <c r="E6" t="str">
        <f>VLOOKUP(A6,DataUsuario!B:D,3,FALSE)</f>
        <v>Mantenimiento de Riego y Bombas</v>
      </c>
      <c r="F6" t="s">
        <v>89</v>
      </c>
      <c r="G6" t="s">
        <v>40</v>
      </c>
    </row>
    <row r="7" spans="1:9" x14ac:dyDescent="0.3">
      <c r="A7" s="158" t="s">
        <v>299</v>
      </c>
      <c r="B7" t="s">
        <v>38</v>
      </c>
      <c r="C7" s="161">
        <v>5</v>
      </c>
      <c r="D7" t="str">
        <f>VLOOKUP(A7,DataUsuario!B:D,2,FALSE)</f>
        <v>Administración y Finanzas</v>
      </c>
      <c r="E7" t="str">
        <f>VLOOKUP(A7,DataUsuario!B:D,3,FALSE)</f>
        <v>Legal</v>
      </c>
      <c r="F7" t="s">
        <v>66</v>
      </c>
      <c r="G7" t="s">
        <v>41</v>
      </c>
    </row>
    <row r="8" spans="1:9" x14ac:dyDescent="0.3">
      <c r="A8" s="157" t="s">
        <v>82</v>
      </c>
      <c r="B8" t="s">
        <v>38</v>
      </c>
      <c r="C8" s="160">
        <v>4</v>
      </c>
      <c r="D8" t="str">
        <f>VLOOKUP(A8,DataUsuario!B:D,2,FALSE)</f>
        <v>Industrial y de Mantenimiento</v>
      </c>
      <c r="E8" t="str">
        <f>VLOOKUP(A8,DataUsuario!B:D,3,FALSE)</f>
        <v>Producción</v>
      </c>
      <c r="F8" t="s">
        <v>74</v>
      </c>
      <c r="G8" t="s">
        <v>42</v>
      </c>
    </row>
    <row r="9" spans="1:9" x14ac:dyDescent="0.3">
      <c r="A9" s="158" t="s">
        <v>378</v>
      </c>
      <c r="B9" t="s">
        <v>38</v>
      </c>
      <c r="C9" s="161">
        <v>4</v>
      </c>
      <c r="D9" t="str">
        <f>VLOOKUP(A9,DataUsuario!B:D,2,FALSE)</f>
        <v>Industrial y de Mantenimiento</v>
      </c>
      <c r="E9" t="str">
        <f>VLOOKUP(A9,DataUsuario!B:D,3,FALSE)</f>
        <v>Gerencia industrial y de Mantenimiento</v>
      </c>
      <c r="F9" t="s">
        <v>74</v>
      </c>
      <c r="H9" s="166" t="s">
        <v>5</v>
      </c>
      <c r="I9" t="s">
        <v>628</v>
      </c>
    </row>
    <row r="10" spans="1:9" x14ac:dyDescent="0.3">
      <c r="A10" s="157" t="s">
        <v>77</v>
      </c>
      <c r="B10" t="s">
        <v>38</v>
      </c>
      <c r="C10" s="160">
        <v>5</v>
      </c>
      <c r="D10" t="str">
        <f>VLOOKUP(A10,DataUsuario!B:D,2,FALSE)</f>
        <v>Operaciones</v>
      </c>
      <c r="E10" t="str">
        <f>VLOOKUP(A10,DataUsuario!B:D,3,FALSE)</f>
        <v>Comercial No Giro</v>
      </c>
      <c r="F10" t="s">
        <v>70</v>
      </c>
      <c r="H10" s="166" t="s">
        <v>626</v>
      </c>
      <c r="I10" t="s">
        <v>66</v>
      </c>
    </row>
    <row r="11" spans="1:9" x14ac:dyDescent="0.3">
      <c r="A11" s="158" t="s">
        <v>322</v>
      </c>
      <c r="B11" t="s">
        <v>38</v>
      </c>
      <c r="C11" s="161">
        <v>3</v>
      </c>
      <c r="D11" t="str">
        <f>VLOOKUP(A11,DataUsuario!B:D,2,FALSE)</f>
        <v>Administración y Finanzas</v>
      </c>
      <c r="E11" t="str">
        <f>VLOOKUP(A11,DataUsuario!B:D,3,FALSE)</f>
        <v>Finanzas y Tesorería</v>
      </c>
      <c r="F11" t="s">
        <v>66</v>
      </c>
    </row>
    <row r="12" spans="1:9" x14ac:dyDescent="0.3">
      <c r="A12" s="157" t="s">
        <v>215</v>
      </c>
      <c r="B12" t="s">
        <v>38</v>
      </c>
      <c r="C12" s="160">
        <v>5</v>
      </c>
      <c r="D12" t="str">
        <f>VLOOKUP(A12,DataUsuario!B:D,2,FALSE)</f>
        <v>Gestión Humana y Sostenibilidad</v>
      </c>
      <c r="E12" t="str">
        <f>VLOOKUP(A12,DataUsuario!B:D,3,FALSE)</f>
        <v>Seguridad</v>
      </c>
      <c r="F12" t="s">
        <v>62</v>
      </c>
      <c r="H12" s="166" t="s">
        <v>622</v>
      </c>
      <c r="I12" t="s">
        <v>627</v>
      </c>
    </row>
    <row r="13" spans="1:9" x14ac:dyDescent="0.3">
      <c r="A13" s="158" t="s">
        <v>258</v>
      </c>
      <c r="B13" t="s">
        <v>38</v>
      </c>
      <c r="C13" s="161">
        <v>4</v>
      </c>
      <c r="D13" t="str">
        <f>VLOOKUP(A13,DataUsuario!B:D,2,FALSE)</f>
        <v>Operaciones</v>
      </c>
      <c r="E13" t="str">
        <f>VLOOKUP(A13,DataUsuario!B:D,3,FALSE)</f>
        <v>Calidad</v>
      </c>
      <c r="F13" t="s">
        <v>70</v>
      </c>
      <c r="H13" s="146" t="s">
        <v>66</v>
      </c>
      <c r="I13">
        <v>70</v>
      </c>
    </row>
    <row r="14" spans="1:9" x14ac:dyDescent="0.3">
      <c r="A14" s="157" t="s">
        <v>316</v>
      </c>
      <c r="B14" t="s">
        <v>38</v>
      </c>
      <c r="C14" s="160">
        <v>5</v>
      </c>
      <c r="D14" t="str">
        <f>VLOOKUP(A14,DataUsuario!B:D,2,FALSE)</f>
        <v>Administración y Finanzas</v>
      </c>
      <c r="E14" t="str">
        <f>VLOOKUP(A14,DataUsuario!B:D,3,FALSE)</f>
        <v>Compras</v>
      </c>
      <c r="F14" t="s">
        <v>66</v>
      </c>
      <c r="H14" s="176" t="s">
        <v>41</v>
      </c>
      <c r="I14">
        <v>14</v>
      </c>
    </row>
    <row r="15" spans="1:9" x14ac:dyDescent="0.3">
      <c r="A15" s="158" t="s">
        <v>275</v>
      </c>
      <c r="B15" t="s">
        <v>38</v>
      </c>
      <c r="C15" s="161">
        <v>4</v>
      </c>
      <c r="D15" t="str">
        <f>VLOOKUP(A15,DataUsuario!B:D,2,FALSE)</f>
        <v>Administración y Finanzas</v>
      </c>
      <c r="E15" t="str">
        <f>VLOOKUP(A15,DataUsuario!B:D,3,FALSE)</f>
        <v>Compras</v>
      </c>
      <c r="F15" t="s">
        <v>66</v>
      </c>
      <c r="H15" s="177">
        <v>3</v>
      </c>
      <c r="I15">
        <v>2</v>
      </c>
    </row>
    <row r="16" spans="1:9" x14ac:dyDescent="0.3">
      <c r="A16" s="157" t="s">
        <v>318</v>
      </c>
      <c r="B16" t="s">
        <v>38</v>
      </c>
      <c r="C16" s="160">
        <v>5</v>
      </c>
      <c r="D16" t="str">
        <f>VLOOKUP(A16,DataUsuario!B:D,2,FALSE)</f>
        <v>Operaciones</v>
      </c>
      <c r="E16" t="str">
        <f>VLOOKUP(A16,DataUsuario!B:D,3,FALSE)</f>
        <v>Cosecha</v>
      </c>
      <c r="F16" t="s">
        <v>70</v>
      </c>
      <c r="H16" s="177">
        <v>4</v>
      </c>
      <c r="I16">
        <v>5</v>
      </c>
    </row>
    <row r="17" spans="1:9" x14ac:dyDescent="0.3">
      <c r="A17" s="158" t="s">
        <v>176</v>
      </c>
      <c r="B17" t="s">
        <v>38</v>
      </c>
      <c r="C17" s="161">
        <v>5</v>
      </c>
      <c r="D17" t="str">
        <f>VLOOKUP(A17,DataUsuario!B:D,2,FALSE)</f>
        <v>Administración y Finanzas</v>
      </c>
      <c r="E17" t="str">
        <f>VLOOKUP(A17,DataUsuario!B:D,3,FALSE)</f>
        <v>Cadenas Productivas</v>
      </c>
      <c r="F17" t="s">
        <v>66</v>
      </c>
      <c r="H17" s="177">
        <v>5</v>
      </c>
      <c r="I17">
        <v>7</v>
      </c>
    </row>
    <row r="18" spans="1:9" x14ac:dyDescent="0.3">
      <c r="A18" s="157" t="s">
        <v>341</v>
      </c>
      <c r="B18" t="s">
        <v>38</v>
      </c>
      <c r="C18" s="160" t="s">
        <v>615</v>
      </c>
      <c r="D18" t="str">
        <f>VLOOKUP(A18,DataUsuario!B:D,2,FALSE)</f>
        <v>Administración y Finanzas</v>
      </c>
      <c r="E18" t="str">
        <f>VLOOKUP(A18,DataUsuario!B:D,3,FALSE)</f>
        <v>Contabilidad Tributaria</v>
      </c>
      <c r="F18" t="s">
        <v>66</v>
      </c>
      <c r="H18" s="176" t="s">
        <v>39</v>
      </c>
      <c r="I18">
        <v>14</v>
      </c>
    </row>
    <row r="19" spans="1:9" x14ac:dyDescent="0.3">
      <c r="A19" s="158" t="s">
        <v>314</v>
      </c>
      <c r="B19" t="s">
        <v>38</v>
      </c>
      <c r="C19" s="161">
        <v>4</v>
      </c>
      <c r="D19" t="str">
        <f>VLOOKUP(A19,DataUsuario!B:D,2,FALSE)</f>
        <v>Industrial y de Mantenimiento</v>
      </c>
      <c r="E19" t="str">
        <f>VLOOKUP(A19,DataUsuario!B:D,3,FALSE)</f>
        <v>Mantenimiento Industrial</v>
      </c>
      <c r="F19" t="s">
        <v>74</v>
      </c>
      <c r="H19" s="177">
        <v>3</v>
      </c>
      <c r="I19">
        <v>1</v>
      </c>
    </row>
    <row r="20" spans="1:9" x14ac:dyDescent="0.3">
      <c r="A20" s="157" t="s">
        <v>421</v>
      </c>
      <c r="B20" t="s">
        <v>38</v>
      </c>
      <c r="C20" s="160">
        <v>4</v>
      </c>
      <c r="D20" t="str">
        <f>VLOOKUP(A20,DataUsuario!B:D,2,FALSE)</f>
        <v>Operaciones</v>
      </c>
      <c r="E20" t="str">
        <f>VLOOKUP(A20,DataUsuario!B:D,3,FALSE)</f>
        <v>Cosecha</v>
      </c>
      <c r="F20" t="s">
        <v>70</v>
      </c>
      <c r="H20" s="177">
        <v>4</v>
      </c>
      <c r="I20">
        <v>6</v>
      </c>
    </row>
    <row r="21" spans="1:9" x14ac:dyDescent="0.3">
      <c r="A21" s="158" t="s">
        <v>236</v>
      </c>
      <c r="B21" t="s">
        <v>38</v>
      </c>
      <c r="C21" s="161">
        <v>4</v>
      </c>
      <c r="D21" t="str">
        <f>VLOOKUP(A21,DataUsuario!B:D,2,FALSE)</f>
        <v>Administración y Finanzas</v>
      </c>
      <c r="E21" t="str">
        <f>VLOOKUP(A21,DataUsuario!B:D,3,FALSE)</f>
        <v>Sistemas y TI</v>
      </c>
      <c r="F21" t="s">
        <v>66</v>
      </c>
      <c r="H21" s="177">
        <v>5</v>
      </c>
      <c r="I21">
        <v>4</v>
      </c>
    </row>
    <row r="22" spans="1:9" x14ac:dyDescent="0.3">
      <c r="A22" s="157" t="s">
        <v>145</v>
      </c>
      <c r="B22" t="s">
        <v>38</v>
      </c>
      <c r="C22" s="160">
        <v>5</v>
      </c>
      <c r="D22" t="str">
        <f>VLOOKUP(A22,DataUsuario!B:D,2,FALSE)</f>
        <v>Administración y Finanzas</v>
      </c>
      <c r="E22" t="str">
        <f>VLOOKUP(A22,DataUsuario!B:D,3,FALSE)</f>
        <v>Legal</v>
      </c>
      <c r="F22" t="s">
        <v>66</v>
      </c>
      <c r="H22" s="177" t="s">
        <v>615</v>
      </c>
      <c r="I22">
        <v>3</v>
      </c>
    </row>
    <row r="23" spans="1:9" x14ac:dyDescent="0.3">
      <c r="A23" s="158" t="s">
        <v>439</v>
      </c>
      <c r="B23" t="s">
        <v>38</v>
      </c>
      <c r="C23" s="161">
        <v>5</v>
      </c>
      <c r="D23" t="str">
        <f>VLOOKUP(A23,DataUsuario!B:D,2,FALSE)</f>
        <v>Operaciones</v>
      </c>
      <c r="E23" t="str">
        <f>VLOOKUP(A23,DataUsuario!B:D,3,FALSE)</f>
        <v>Comercial</v>
      </c>
      <c r="F23" t="s">
        <v>70</v>
      </c>
      <c r="H23" s="176" t="s">
        <v>38</v>
      </c>
      <c r="I23">
        <v>14</v>
      </c>
    </row>
    <row r="24" spans="1:9" x14ac:dyDescent="0.3">
      <c r="A24" s="157" t="s">
        <v>435</v>
      </c>
      <c r="B24" t="s">
        <v>38</v>
      </c>
      <c r="C24" s="160">
        <v>5</v>
      </c>
      <c r="D24" t="str">
        <f>VLOOKUP(A24,DataUsuario!B:D,2,FALSE)</f>
        <v>Operaciones</v>
      </c>
      <c r="E24" t="str">
        <f>VLOOKUP(A24,DataUsuario!B:D,3,FALSE)</f>
        <v>Almacenes y Distribución PT</v>
      </c>
      <c r="F24" t="s">
        <v>70</v>
      </c>
      <c r="H24" s="177">
        <v>3</v>
      </c>
      <c r="I24">
        <v>1</v>
      </c>
    </row>
    <row r="25" spans="1:9" x14ac:dyDescent="0.3">
      <c r="A25" s="158" t="s">
        <v>603</v>
      </c>
      <c r="B25" t="s">
        <v>38</v>
      </c>
      <c r="C25" s="161">
        <v>4</v>
      </c>
      <c r="D25" t="str">
        <f>VLOOKUP(A25,DataUsuario!B:D,2,FALSE)</f>
        <v>Gestión Humana y Sostenibilidad</v>
      </c>
      <c r="E25" t="str">
        <f>VLOOKUP(A25,DataUsuario!B:D,3,FALSE)</f>
        <v>Bienestar - Medico Ocupacional</v>
      </c>
      <c r="F25" t="s">
        <v>62</v>
      </c>
      <c r="H25" s="177">
        <v>4</v>
      </c>
      <c r="I25">
        <v>7</v>
      </c>
    </row>
    <row r="26" spans="1:9" x14ac:dyDescent="0.3">
      <c r="A26" s="157" t="s">
        <v>604</v>
      </c>
      <c r="B26" t="s">
        <v>38</v>
      </c>
      <c r="C26" s="160">
        <v>5</v>
      </c>
      <c r="D26" t="str">
        <f>VLOOKUP(A26,DataUsuario!B:D,2,FALSE)</f>
        <v>Gestión Humana y Sostenibilidad</v>
      </c>
      <c r="E26" t="str">
        <f>VLOOKUP(A26,DataUsuario!B:D,3,FALSE)</f>
        <v>Seguridad</v>
      </c>
      <c r="F26" t="s">
        <v>62</v>
      </c>
      <c r="H26" s="177">
        <v>5</v>
      </c>
      <c r="I26">
        <v>5</v>
      </c>
    </row>
    <row r="27" spans="1:9" x14ac:dyDescent="0.3">
      <c r="A27" s="158" t="s">
        <v>85</v>
      </c>
      <c r="B27" t="s">
        <v>38</v>
      </c>
      <c r="C27" s="161">
        <v>5</v>
      </c>
      <c r="D27" t="str">
        <f>VLOOKUP(A27,DataUsuario!B:D,2,FALSE)</f>
        <v>Operaciones</v>
      </c>
      <c r="E27" t="str">
        <f>VLOOKUP(A27,DataUsuario!B:D,3,FALSE)</f>
        <v>Comercial</v>
      </c>
      <c r="F27" t="s">
        <v>70</v>
      </c>
      <c r="H27" s="177" t="s">
        <v>615</v>
      </c>
      <c r="I27">
        <v>1</v>
      </c>
    </row>
    <row r="28" spans="1:9" x14ac:dyDescent="0.3">
      <c r="A28" s="157" t="s">
        <v>249</v>
      </c>
      <c r="B28" t="s">
        <v>38</v>
      </c>
      <c r="C28" s="160">
        <v>4</v>
      </c>
      <c r="D28" t="str">
        <f>VLOOKUP(A28,DataUsuario!B:D,2,FALSE)</f>
        <v>Administración y Finanzas</v>
      </c>
      <c r="E28" t="str">
        <f>VLOOKUP(A28,DataUsuario!B:D,3,FALSE)</f>
        <v>Compras</v>
      </c>
      <c r="F28" t="s">
        <v>66</v>
      </c>
      <c r="H28" s="176" t="s">
        <v>40</v>
      </c>
      <c r="I28">
        <v>14</v>
      </c>
    </row>
    <row r="29" spans="1:9" x14ac:dyDescent="0.3">
      <c r="A29" s="158" t="s">
        <v>221</v>
      </c>
      <c r="B29" t="s">
        <v>38</v>
      </c>
      <c r="C29" s="161">
        <v>5</v>
      </c>
      <c r="D29" t="str">
        <f>VLOOKUP(A29,DataUsuario!B:D,2,FALSE)</f>
        <v>Administración y Finanzas</v>
      </c>
      <c r="E29" t="str">
        <f>VLOOKUP(A29,DataUsuario!B:D,3,FALSE)</f>
        <v>Sistemas y TI</v>
      </c>
      <c r="F29" t="s">
        <v>66</v>
      </c>
      <c r="H29" s="177">
        <v>3</v>
      </c>
      <c r="I29">
        <v>1</v>
      </c>
    </row>
    <row r="30" spans="1:9" x14ac:dyDescent="0.3">
      <c r="A30" s="157" t="s">
        <v>271</v>
      </c>
      <c r="B30" t="s">
        <v>38</v>
      </c>
      <c r="C30" s="160">
        <v>4</v>
      </c>
      <c r="D30" t="str">
        <f>VLOOKUP(A30,DataUsuario!B:D,2,FALSE)</f>
        <v>Operaciones</v>
      </c>
      <c r="E30" t="str">
        <f>VLOOKUP(A30,DataUsuario!B:D,3,FALSE)</f>
        <v>Calidad</v>
      </c>
      <c r="F30" t="s">
        <v>70</v>
      </c>
      <c r="H30" s="177">
        <v>4</v>
      </c>
      <c r="I30">
        <v>6</v>
      </c>
    </row>
    <row r="31" spans="1:9" x14ac:dyDescent="0.3">
      <c r="A31" s="158" t="s">
        <v>387</v>
      </c>
      <c r="B31" t="s">
        <v>38</v>
      </c>
      <c r="C31" s="161">
        <v>4</v>
      </c>
      <c r="D31" t="str">
        <f>VLOOKUP(A31,DataUsuario!B:D,2,FALSE)</f>
        <v>Administración y Finanzas</v>
      </c>
      <c r="E31" t="str">
        <f>VLOOKUP(A31,DataUsuario!B:D,3,FALSE)</f>
        <v>Contabilidad Tributaria</v>
      </c>
      <c r="F31" t="s">
        <v>66</v>
      </c>
      <c r="H31" s="177">
        <v>5</v>
      </c>
      <c r="I31">
        <v>5</v>
      </c>
    </row>
    <row r="32" spans="1:9" x14ac:dyDescent="0.3">
      <c r="A32" s="157" t="s">
        <v>256</v>
      </c>
      <c r="B32" t="s">
        <v>38</v>
      </c>
      <c r="C32" s="160" t="s">
        <v>615</v>
      </c>
      <c r="D32" t="str">
        <f>VLOOKUP(A32,DataUsuario!B:D,2,FALSE)</f>
        <v>Agrícola</v>
      </c>
      <c r="E32" t="str">
        <f>VLOOKUP(A32,DataUsuario!B:D,3,FALSE)</f>
        <v>Fundo Montelima</v>
      </c>
      <c r="F32" t="s">
        <v>89</v>
      </c>
      <c r="H32" s="177" t="s">
        <v>615</v>
      </c>
      <c r="I32">
        <v>2</v>
      </c>
    </row>
    <row r="33" spans="1:9" x14ac:dyDescent="0.3">
      <c r="A33" s="158" t="s">
        <v>585</v>
      </c>
      <c r="B33" t="s">
        <v>38</v>
      </c>
      <c r="C33" s="161">
        <v>5</v>
      </c>
      <c r="D33" t="str">
        <f>VLOOKUP(A33,DataUsuario!B:D,2,FALSE)</f>
        <v>Operaciones</v>
      </c>
      <c r="E33" t="str">
        <f>VLOOKUP(A33,DataUsuario!B:D,3,FALSE)</f>
        <v>Comercial</v>
      </c>
      <c r="F33" t="s">
        <v>70</v>
      </c>
      <c r="H33" s="176" t="s">
        <v>42</v>
      </c>
      <c r="I33">
        <v>14</v>
      </c>
    </row>
    <row r="34" spans="1:9" x14ac:dyDescent="0.3">
      <c r="A34" s="157" t="s">
        <v>307</v>
      </c>
      <c r="B34" t="s">
        <v>38</v>
      </c>
      <c r="C34" s="160">
        <v>4</v>
      </c>
      <c r="D34" t="str">
        <f>VLOOKUP(A34,DataUsuario!B:D,2,FALSE)</f>
        <v>Gestión Humana y Sostenibilidad</v>
      </c>
      <c r="E34" t="str">
        <f>VLOOKUP(A34,DataUsuario!B:D,3,FALSE)</f>
        <v>Comunicaciones y Responsabilidad Social</v>
      </c>
      <c r="F34" t="s">
        <v>62</v>
      </c>
      <c r="H34" s="177">
        <v>3</v>
      </c>
      <c r="I34">
        <v>1</v>
      </c>
    </row>
    <row r="35" spans="1:9" x14ac:dyDescent="0.3">
      <c r="A35" s="158" t="s">
        <v>92</v>
      </c>
      <c r="B35" t="s">
        <v>38</v>
      </c>
      <c r="C35" s="161">
        <v>4</v>
      </c>
      <c r="D35" t="str">
        <f>VLOOKUP(A35,DataUsuario!B:D,2,FALSE)</f>
        <v>Administración y Finanzas</v>
      </c>
      <c r="E35" t="str">
        <f>VLOOKUP(A35,DataUsuario!B:D,3,FALSE)</f>
        <v>Control de Gestión</v>
      </c>
      <c r="F35" t="s">
        <v>66</v>
      </c>
      <c r="H35" s="177">
        <v>4</v>
      </c>
      <c r="I35">
        <v>6</v>
      </c>
    </row>
    <row r="36" spans="1:9" x14ac:dyDescent="0.3">
      <c r="A36" s="157" t="s">
        <v>61</v>
      </c>
      <c r="B36" t="s">
        <v>38</v>
      </c>
      <c r="C36" s="160">
        <v>4</v>
      </c>
      <c r="D36" t="str">
        <f>VLOOKUP(A36,DataUsuario!B:D,2,FALSE)</f>
        <v>Gestión Humana y Sostenibilidad</v>
      </c>
      <c r="E36" t="str">
        <f>VLOOKUP(A36,DataUsuario!B:D,3,FALSE)</f>
        <v>Compensación y Nóminas</v>
      </c>
      <c r="F36" t="s">
        <v>62</v>
      </c>
      <c r="H36" s="177">
        <v>5</v>
      </c>
      <c r="I36">
        <v>6</v>
      </c>
    </row>
    <row r="37" spans="1:9" x14ac:dyDescent="0.3">
      <c r="A37" s="158" t="s">
        <v>254</v>
      </c>
      <c r="B37" t="s">
        <v>38</v>
      </c>
      <c r="C37" s="161">
        <v>4</v>
      </c>
      <c r="D37" t="str">
        <f>VLOOKUP(A37,DataUsuario!B:D,2,FALSE)</f>
        <v>Administración y Finanzas</v>
      </c>
      <c r="E37" t="str">
        <f>VLOOKUP(A37,DataUsuario!B:D,3,FALSE)</f>
        <v>Administración</v>
      </c>
      <c r="F37" t="s">
        <v>66</v>
      </c>
      <c r="H37" s="177" t="s">
        <v>615</v>
      </c>
      <c r="I37">
        <v>1</v>
      </c>
    </row>
    <row r="38" spans="1:9" x14ac:dyDescent="0.3">
      <c r="A38" s="157" t="s">
        <v>224</v>
      </c>
      <c r="B38" t="s">
        <v>38</v>
      </c>
      <c r="C38" s="160">
        <v>4</v>
      </c>
      <c r="D38" t="str">
        <f>VLOOKUP(A38,DataUsuario!B:D,2,FALSE)</f>
        <v>Agrícola</v>
      </c>
      <c r="E38" t="str">
        <f>VLOOKUP(A38,DataUsuario!B:D,3,FALSE)</f>
        <v>Laboratorio e Investigación Agricola</v>
      </c>
      <c r="F38" t="s">
        <v>89</v>
      </c>
      <c r="H38" s="146" t="s">
        <v>623</v>
      </c>
      <c r="I38">
        <v>70</v>
      </c>
    </row>
    <row r="39" spans="1:9" x14ac:dyDescent="0.3">
      <c r="A39" s="158" t="s">
        <v>326</v>
      </c>
      <c r="B39" t="s">
        <v>38</v>
      </c>
      <c r="C39" s="161">
        <v>3</v>
      </c>
      <c r="D39" t="str">
        <f>VLOOKUP(A39,DataUsuario!B:D,2,FALSE)</f>
        <v>Operaciones</v>
      </c>
      <c r="E39" t="str">
        <f>VLOOKUP(A39,DataUsuario!B:D,3,FALSE)</f>
        <v>Calidad</v>
      </c>
      <c r="F39" t="s">
        <v>70</v>
      </c>
    </row>
    <row r="40" spans="1:9" x14ac:dyDescent="0.3">
      <c r="A40" s="157" t="s">
        <v>345</v>
      </c>
      <c r="B40" t="s">
        <v>38</v>
      </c>
      <c r="C40" s="160" t="s">
        <v>615</v>
      </c>
      <c r="D40" t="str">
        <f>VLOOKUP(A40,DataUsuario!B:D,2,FALSE)</f>
        <v>Agrícola</v>
      </c>
      <c r="E40" t="str">
        <f>VLOOKUP(A40,DataUsuario!B:D,3,FALSE)</f>
        <v>Mantenimiento de Riego y Bombas</v>
      </c>
      <c r="F40" t="s">
        <v>89</v>
      </c>
    </row>
    <row r="41" spans="1:9" x14ac:dyDescent="0.3">
      <c r="A41" s="158" t="s">
        <v>337</v>
      </c>
      <c r="B41" t="s">
        <v>38</v>
      </c>
      <c r="C41" s="161">
        <v>5</v>
      </c>
      <c r="D41" t="str">
        <f>VLOOKUP(A41,DataUsuario!B:D,2,FALSE)</f>
        <v>Agrícola</v>
      </c>
      <c r="E41" t="str">
        <f>VLOOKUP(A41,DataUsuario!B:D,3,FALSE)</f>
        <v>Fundo San Vicente</v>
      </c>
      <c r="F41" t="s">
        <v>89</v>
      </c>
    </row>
    <row r="42" spans="1:9" x14ac:dyDescent="0.3">
      <c r="A42" s="157" t="s">
        <v>611</v>
      </c>
      <c r="B42" t="s">
        <v>38</v>
      </c>
      <c r="C42" s="160">
        <v>5</v>
      </c>
      <c r="D42" t="str">
        <f>VLOOKUP(A42,DataUsuario!B:D,2,FALSE)</f>
        <v>Gestión Humana y Sostenibilidad</v>
      </c>
      <c r="E42" t="str">
        <f>VLOOKUP(A42,DataUsuario!B:D,3,FALSE)</f>
        <v>Gestión Humana</v>
      </c>
      <c r="F42" t="s">
        <v>62</v>
      </c>
    </row>
    <row r="43" spans="1:9" x14ac:dyDescent="0.3">
      <c r="A43" s="158" t="s">
        <v>374</v>
      </c>
      <c r="B43" t="s">
        <v>38</v>
      </c>
      <c r="C43" s="161">
        <v>4</v>
      </c>
      <c r="D43" t="str">
        <f>VLOOKUP(A43,DataUsuario!B:D,2,FALSE)</f>
        <v>Agrícola</v>
      </c>
      <c r="E43" t="str">
        <f>VLOOKUP(A43,DataUsuario!B:D,3,FALSE)</f>
        <v>Mantenimiento de Riego y Bombas</v>
      </c>
      <c r="F43" t="s">
        <v>89</v>
      </c>
    </row>
    <row r="44" spans="1:9" x14ac:dyDescent="0.3">
      <c r="A44" s="157" t="s">
        <v>613</v>
      </c>
      <c r="B44" t="s">
        <v>38</v>
      </c>
      <c r="C44" s="160">
        <v>5</v>
      </c>
      <c r="D44" t="str">
        <f>VLOOKUP(A44,DataUsuario!B:D,2,FALSE)</f>
        <v>Administración y Finanzas</v>
      </c>
      <c r="E44" t="str">
        <f>VLOOKUP(A44,DataUsuario!B:D,3,FALSE)</f>
        <v>Compras</v>
      </c>
      <c r="F44" t="s">
        <v>66</v>
      </c>
    </row>
    <row r="45" spans="1:9" x14ac:dyDescent="0.3">
      <c r="A45" s="159" t="s">
        <v>136</v>
      </c>
      <c r="B45" t="s">
        <v>38</v>
      </c>
      <c r="C45" s="162">
        <v>5</v>
      </c>
      <c r="D45" t="str">
        <f>VLOOKUP(A45,DataUsuario!B:D,2,FALSE)</f>
        <v>Operaciones</v>
      </c>
      <c r="E45" t="str">
        <f>VLOOKUP(A45,DataUsuario!B:D,3,FALSE)</f>
        <v>Comercial</v>
      </c>
      <c r="F45" t="s">
        <v>70</v>
      </c>
    </row>
    <row r="46" spans="1:9" x14ac:dyDescent="0.3">
      <c r="A46" s="157" t="s">
        <v>207</v>
      </c>
      <c r="B46" t="s">
        <v>39</v>
      </c>
      <c r="C46" s="160">
        <v>5</v>
      </c>
      <c r="D46" t="str">
        <f>VLOOKUP(A46,DataUsuario!B:D,2,FALSE)</f>
        <v>Administración y Finanzas</v>
      </c>
      <c r="E46" t="str">
        <f>VLOOKUP(A46,DataUsuario!B:D,3,FALSE)</f>
        <v>Riesgos y Cumplimiento</v>
      </c>
      <c r="F46" t="s">
        <v>66</v>
      </c>
    </row>
    <row r="47" spans="1:9" x14ac:dyDescent="0.3">
      <c r="A47" s="158" t="s">
        <v>133</v>
      </c>
      <c r="B47" t="s">
        <v>39</v>
      </c>
      <c r="C47" s="161">
        <v>4</v>
      </c>
      <c r="D47" t="str">
        <f>VLOOKUP(A47,DataUsuario!B:D,2,FALSE)</f>
        <v>Industrial y de Mantenimiento</v>
      </c>
      <c r="E47" t="str">
        <f>VLOOKUP(A47,DataUsuario!B:D,3,FALSE)</f>
        <v>Electricidad</v>
      </c>
      <c r="F47" t="s">
        <v>74</v>
      </c>
    </row>
    <row r="48" spans="1:9" x14ac:dyDescent="0.3">
      <c r="A48" s="157" t="s">
        <v>431</v>
      </c>
      <c r="B48" t="s">
        <v>39</v>
      </c>
      <c r="C48" s="160" t="s">
        <v>615</v>
      </c>
      <c r="D48" t="str">
        <f>VLOOKUP(A48,DataUsuario!B:D,2,FALSE)</f>
        <v>Agrícola</v>
      </c>
      <c r="E48" t="str">
        <f>VLOOKUP(A48,DataUsuario!B:D,3,FALSE)</f>
        <v>Fundo San Vicente</v>
      </c>
      <c r="F48" t="s">
        <v>89</v>
      </c>
    </row>
    <row r="49" spans="1:6" x14ac:dyDescent="0.3">
      <c r="A49" s="158" t="s">
        <v>123</v>
      </c>
      <c r="B49" t="s">
        <v>39</v>
      </c>
      <c r="C49" s="161">
        <v>4</v>
      </c>
      <c r="D49" t="str">
        <f>VLOOKUP(A49,DataUsuario!B:D,2,FALSE)</f>
        <v>Administración y Finanzas</v>
      </c>
      <c r="E49" t="str">
        <f>VLOOKUP(A49,DataUsuario!B:D,3,FALSE)</f>
        <v>Gerencia Administración y Finanzas</v>
      </c>
      <c r="F49" t="s">
        <v>66</v>
      </c>
    </row>
    <row r="50" spans="1:6" x14ac:dyDescent="0.3">
      <c r="A50" s="157" t="s">
        <v>289</v>
      </c>
      <c r="B50" t="s">
        <v>39</v>
      </c>
      <c r="C50" s="160">
        <v>4</v>
      </c>
      <c r="D50" t="str">
        <f>VLOOKUP(A50,DataUsuario!B:D,2,FALSE)</f>
        <v>Agrícola</v>
      </c>
      <c r="E50" t="str">
        <f>VLOOKUP(A50,DataUsuario!B:D,3,FALSE)</f>
        <v>Mantenimiento de Riego y Bombas</v>
      </c>
      <c r="F50" t="s">
        <v>89</v>
      </c>
    </row>
    <row r="51" spans="1:6" x14ac:dyDescent="0.3">
      <c r="A51" s="158" t="s">
        <v>299</v>
      </c>
      <c r="B51" t="s">
        <v>39</v>
      </c>
      <c r="C51" s="161">
        <v>5</v>
      </c>
      <c r="D51" t="str">
        <f>VLOOKUP(A51,DataUsuario!B:D,2,FALSE)</f>
        <v>Administración y Finanzas</v>
      </c>
      <c r="E51" t="str">
        <f>VLOOKUP(A51,DataUsuario!B:D,3,FALSE)</f>
        <v>Legal</v>
      </c>
      <c r="F51" t="s">
        <v>66</v>
      </c>
    </row>
    <row r="52" spans="1:6" x14ac:dyDescent="0.3">
      <c r="A52" s="157" t="s">
        <v>82</v>
      </c>
      <c r="B52" t="s">
        <v>39</v>
      </c>
      <c r="C52" s="160" t="s">
        <v>615</v>
      </c>
      <c r="D52" t="str">
        <f>VLOOKUP(A52,DataUsuario!B:D,2,FALSE)</f>
        <v>Industrial y de Mantenimiento</v>
      </c>
      <c r="E52" t="str">
        <f>VLOOKUP(A52,DataUsuario!B:D,3,FALSE)</f>
        <v>Producción</v>
      </c>
      <c r="F52" t="s">
        <v>74</v>
      </c>
    </row>
    <row r="53" spans="1:6" x14ac:dyDescent="0.3">
      <c r="A53" s="158" t="s">
        <v>378</v>
      </c>
      <c r="B53" t="s">
        <v>39</v>
      </c>
      <c r="C53" s="161">
        <v>4</v>
      </c>
      <c r="D53" t="str">
        <f>VLOOKUP(A53,DataUsuario!B:D,2,FALSE)</f>
        <v>Industrial y de Mantenimiento</v>
      </c>
      <c r="E53" t="str">
        <f>VLOOKUP(A53,DataUsuario!B:D,3,FALSE)</f>
        <v>Gerencia industrial y de Mantenimiento</v>
      </c>
      <c r="F53" t="s">
        <v>74</v>
      </c>
    </row>
    <row r="54" spans="1:6" x14ac:dyDescent="0.3">
      <c r="A54" s="157" t="s">
        <v>77</v>
      </c>
      <c r="B54" t="s">
        <v>39</v>
      </c>
      <c r="C54" s="160">
        <v>5</v>
      </c>
      <c r="D54" t="str">
        <f>VLOOKUP(A54,DataUsuario!B:D,2,FALSE)</f>
        <v>Operaciones</v>
      </c>
      <c r="E54" t="str">
        <f>VLOOKUP(A54,DataUsuario!B:D,3,FALSE)</f>
        <v>Comercial No Giro</v>
      </c>
      <c r="F54" t="s">
        <v>70</v>
      </c>
    </row>
    <row r="55" spans="1:6" x14ac:dyDescent="0.3">
      <c r="A55" s="158" t="s">
        <v>322</v>
      </c>
      <c r="B55" t="s">
        <v>39</v>
      </c>
      <c r="C55" s="161">
        <v>3</v>
      </c>
      <c r="D55" t="str">
        <f>VLOOKUP(A55,DataUsuario!B:D,2,FALSE)</f>
        <v>Administración y Finanzas</v>
      </c>
      <c r="E55" t="str">
        <f>VLOOKUP(A55,DataUsuario!B:D,3,FALSE)</f>
        <v>Finanzas y Tesorería</v>
      </c>
      <c r="F55" t="s">
        <v>66</v>
      </c>
    </row>
    <row r="56" spans="1:6" x14ac:dyDescent="0.3">
      <c r="A56" s="157" t="s">
        <v>215</v>
      </c>
      <c r="B56" t="s">
        <v>39</v>
      </c>
      <c r="C56" s="160">
        <v>5</v>
      </c>
      <c r="D56" t="str">
        <f>VLOOKUP(A56,DataUsuario!B:D,2,FALSE)</f>
        <v>Gestión Humana y Sostenibilidad</v>
      </c>
      <c r="E56" t="str">
        <f>VLOOKUP(A56,DataUsuario!B:D,3,FALSE)</f>
        <v>Seguridad</v>
      </c>
      <c r="F56" t="s">
        <v>62</v>
      </c>
    </row>
    <row r="57" spans="1:6" x14ac:dyDescent="0.3">
      <c r="A57" s="158" t="s">
        <v>258</v>
      </c>
      <c r="B57" t="s">
        <v>39</v>
      </c>
      <c r="C57" s="161" t="s">
        <v>615</v>
      </c>
      <c r="D57" t="str">
        <f>VLOOKUP(A57,DataUsuario!B:D,2,FALSE)</f>
        <v>Operaciones</v>
      </c>
      <c r="E57" t="str">
        <f>VLOOKUP(A57,DataUsuario!B:D,3,FALSE)</f>
        <v>Calidad</v>
      </c>
      <c r="F57" t="s">
        <v>70</v>
      </c>
    </row>
    <row r="58" spans="1:6" x14ac:dyDescent="0.3">
      <c r="A58" s="157" t="s">
        <v>316</v>
      </c>
      <c r="B58" t="s">
        <v>39</v>
      </c>
      <c r="C58" s="160" t="s">
        <v>615</v>
      </c>
      <c r="D58" t="str">
        <f>VLOOKUP(A58,DataUsuario!B:D,2,FALSE)</f>
        <v>Administración y Finanzas</v>
      </c>
      <c r="E58" t="str">
        <f>VLOOKUP(A58,DataUsuario!B:D,3,FALSE)</f>
        <v>Compras</v>
      </c>
      <c r="F58" t="s">
        <v>66</v>
      </c>
    </row>
    <row r="59" spans="1:6" x14ac:dyDescent="0.3">
      <c r="A59" s="158" t="s">
        <v>275</v>
      </c>
      <c r="B59" t="s">
        <v>39</v>
      </c>
      <c r="C59" s="161" t="s">
        <v>615</v>
      </c>
      <c r="D59" t="str">
        <f>VLOOKUP(A59,DataUsuario!B:D,2,FALSE)</f>
        <v>Administración y Finanzas</v>
      </c>
      <c r="E59" t="str">
        <f>VLOOKUP(A59,DataUsuario!B:D,3,FALSE)</f>
        <v>Compras</v>
      </c>
      <c r="F59" t="s">
        <v>66</v>
      </c>
    </row>
    <row r="60" spans="1:6" x14ac:dyDescent="0.3">
      <c r="A60" s="157" t="s">
        <v>318</v>
      </c>
      <c r="B60" t="s">
        <v>39</v>
      </c>
      <c r="C60" s="160" t="s">
        <v>615</v>
      </c>
      <c r="D60" t="str">
        <f>VLOOKUP(A60,DataUsuario!B:D,2,FALSE)</f>
        <v>Operaciones</v>
      </c>
      <c r="E60" t="str">
        <f>VLOOKUP(A60,DataUsuario!B:D,3,FALSE)</f>
        <v>Cosecha</v>
      </c>
      <c r="F60" t="s">
        <v>70</v>
      </c>
    </row>
    <row r="61" spans="1:6" x14ac:dyDescent="0.3">
      <c r="A61" s="158" t="s">
        <v>176</v>
      </c>
      <c r="B61" t="s">
        <v>39</v>
      </c>
      <c r="C61" s="161">
        <v>5</v>
      </c>
      <c r="D61" t="str">
        <f>VLOOKUP(A61,DataUsuario!B:D,2,FALSE)</f>
        <v>Administración y Finanzas</v>
      </c>
      <c r="E61" t="str">
        <f>VLOOKUP(A61,DataUsuario!B:D,3,FALSE)</f>
        <v>Cadenas Productivas</v>
      </c>
      <c r="F61" t="s">
        <v>66</v>
      </c>
    </row>
    <row r="62" spans="1:6" x14ac:dyDescent="0.3">
      <c r="A62" s="157" t="s">
        <v>341</v>
      </c>
      <c r="B62" t="s">
        <v>39</v>
      </c>
      <c r="C62" s="160">
        <v>5</v>
      </c>
      <c r="D62" t="str">
        <f>VLOOKUP(A62,DataUsuario!B:D,2,FALSE)</f>
        <v>Administración y Finanzas</v>
      </c>
      <c r="E62" t="str">
        <f>VLOOKUP(A62,DataUsuario!B:D,3,FALSE)</f>
        <v>Contabilidad Tributaria</v>
      </c>
      <c r="F62" t="s">
        <v>66</v>
      </c>
    </row>
    <row r="63" spans="1:6" x14ac:dyDescent="0.3">
      <c r="A63" s="158" t="s">
        <v>314</v>
      </c>
      <c r="B63" t="s">
        <v>39</v>
      </c>
      <c r="C63" s="161" t="s">
        <v>615</v>
      </c>
      <c r="D63" t="str">
        <f>VLOOKUP(A63,DataUsuario!B:D,2,FALSE)</f>
        <v>Industrial y de Mantenimiento</v>
      </c>
      <c r="E63" t="str">
        <f>VLOOKUP(A63,DataUsuario!B:D,3,FALSE)</f>
        <v>Mantenimiento Industrial</v>
      </c>
      <c r="F63" t="s">
        <v>74</v>
      </c>
    </row>
    <row r="64" spans="1:6" x14ac:dyDescent="0.3">
      <c r="A64" s="157" t="s">
        <v>421</v>
      </c>
      <c r="B64" t="s">
        <v>39</v>
      </c>
      <c r="C64" s="160">
        <v>4</v>
      </c>
      <c r="D64" t="str">
        <f>VLOOKUP(A64,DataUsuario!B:D,2,FALSE)</f>
        <v>Operaciones</v>
      </c>
      <c r="E64" t="str">
        <f>VLOOKUP(A64,DataUsuario!B:D,3,FALSE)</f>
        <v>Cosecha</v>
      </c>
      <c r="F64" t="s">
        <v>70</v>
      </c>
    </row>
    <row r="65" spans="1:6" x14ac:dyDescent="0.3">
      <c r="A65" s="158" t="s">
        <v>236</v>
      </c>
      <c r="B65" t="s">
        <v>39</v>
      </c>
      <c r="C65" s="161">
        <v>4</v>
      </c>
      <c r="D65" t="str">
        <f>VLOOKUP(A65,DataUsuario!B:D,2,FALSE)</f>
        <v>Administración y Finanzas</v>
      </c>
      <c r="E65" t="str">
        <f>VLOOKUP(A65,DataUsuario!B:D,3,FALSE)</f>
        <v>Sistemas y TI</v>
      </c>
      <c r="F65" t="s">
        <v>66</v>
      </c>
    </row>
    <row r="66" spans="1:6" x14ac:dyDescent="0.3">
      <c r="A66" s="157" t="s">
        <v>145</v>
      </c>
      <c r="B66" t="s">
        <v>39</v>
      </c>
      <c r="C66" s="160">
        <v>5</v>
      </c>
      <c r="D66" t="str">
        <f>VLOOKUP(A66,DataUsuario!B:D,2,FALSE)</f>
        <v>Administración y Finanzas</v>
      </c>
      <c r="E66" t="str">
        <f>VLOOKUP(A66,DataUsuario!B:D,3,FALSE)</f>
        <v>Legal</v>
      </c>
      <c r="F66" t="s">
        <v>66</v>
      </c>
    </row>
    <row r="67" spans="1:6" x14ac:dyDescent="0.3">
      <c r="A67" s="158" t="s">
        <v>439</v>
      </c>
      <c r="B67" t="s">
        <v>39</v>
      </c>
      <c r="C67" s="161" t="s">
        <v>615</v>
      </c>
      <c r="D67" t="str">
        <f>VLOOKUP(A67,DataUsuario!B:D,2,FALSE)</f>
        <v>Operaciones</v>
      </c>
      <c r="E67" t="str">
        <f>VLOOKUP(A67,DataUsuario!B:D,3,FALSE)</f>
        <v>Comercial</v>
      </c>
      <c r="F67" t="s">
        <v>70</v>
      </c>
    </row>
    <row r="68" spans="1:6" x14ac:dyDescent="0.3">
      <c r="A68" s="157" t="s">
        <v>435</v>
      </c>
      <c r="B68" t="s">
        <v>39</v>
      </c>
      <c r="C68" s="160">
        <v>5</v>
      </c>
      <c r="D68" t="str">
        <f>VLOOKUP(A68,DataUsuario!B:D,2,FALSE)</f>
        <v>Operaciones</v>
      </c>
      <c r="E68" t="str">
        <f>VLOOKUP(A68,DataUsuario!B:D,3,FALSE)</f>
        <v>Almacenes y Distribución PT</v>
      </c>
      <c r="F68" t="s">
        <v>70</v>
      </c>
    </row>
    <row r="69" spans="1:6" x14ac:dyDescent="0.3">
      <c r="A69" s="158" t="s">
        <v>603</v>
      </c>
      <c r="B69" t="s">
        <v>39</v>
      </c>
      <c r="C69" s="161">
        <v>4</v>
      </c>
      <c r="D69" t="str">
        <f>VLOOKUP(A69,DataUsuario!B:D,2,FALSE)</f>
        <v>Gestión Humana y Sostenibilidad</v>
      </c>
      <c r="E69" t="str">
        <f>VLOOKUP(A69,DataUsuario!B:D,3,FALSE)</f>
        <v>Bienestar - Medico Ocupacional</v>
      </c>
      <c r="F69" t="s">
        <v>62</v>
      </c>
    </row>
    <row r="70" spans="1:6" x14ac:dyDescent="0.3">
      <c r="A70" s="157" t="s">
        <v>604</v>
      </c>
      <c r="B70" t="s">
        <v>39</v>
      </c>
      <c r="C70" s="160">
        <v>5</v>
      </c>
      <c r="D70" t="str">
        <f>VLOOKUP(A70,DataUsuario!B:D,2,FALSE)</f>
        <v>Gestión Humana y Sostenibilidad</v>
      </c>
      <c r="E70" t="str">
        <f>VLOOKUP(A70,DataUsuario!B:D,3,FALSE)</f>
        <v>Seguridad</v>
      </c>
      <c r="F70" t="s">
        <v>62</v>
      </c>
    </row>
    <row r="71" spans="1:6" x14ac:dyDescent="0.3">
      <c r="A71" s="158" t="s">
        <v>85</v>
      </c>
      <c r="B71" t="s">
        <v>39</v>
      </c>
      <c r="C71" s="161">
        <v>5</v>
      </c>
      <c r="D71" t="str">
        <f>VLOOKUP(A71,DataUsuario!B:D,2,FALSE)</f>
        <v>Operaciones</v>
      </c>
      <c r="E71" t="str">
        <f>VLOOKUP(A71,DataUsuario!B:D,3,FALSE)</f>
        <v>Comercial</v>
      </c>
      <c r="F71" t="s">
        <v>70</v>
      </c>
    </row>
    <row r="72" spans="1:6" x14ac:dyDescent="0.3">
      <c r="A72" s="157" t="s">
        <v>249</v>
      </c>
      <c r="B72" t="s">
        <v>39</v>
      </c>
      <c r="C72" s="160">
        <v>4</v>
      </c>
      <c r="D72" t="str">
        <f>VLOOKUP(A72,DataUsuario!B:D,2,FALSE)</f>
        <v>Administración y Finanzas</v>
      </c>
      <c r="E72" t="str">
        <f>VLOOKUP(A72,DataUsuario!B:D,3,FALSE)</f>
        <v>Compras</v>
      </c>
      <c r="F72" t="s">
        <v>66</v>
      </c>
    </row>
    <row r="73" spans="1:6" x14ac:dyDescent="0.3">
      <c r="A73" s="158" t="s">
        <v>221</v>
      </c>
      <c r="B73" t="s">
        <v>39</v>
      </c>
      <c r="C73" s="161">
        <v>5</v>
      </c>
      <c r="D73" t="str">
        <f>VLOOKUP(A73,DataUsuario!B:D,2,FALSE)</f>
        <v>Administración y Finanzas</v>
      </c>
      <c r="E73" t="str">
        <f>VLOOKUP(A73,DataUsuario!B:D,3,FALSE)</f>
        <v>Sistemas y TI</v>
      </c>
      <c r="F73" t="s">
        <v>66</v>
      </c>
    </row>
    <row r="74" spans="1:6" x14ac:dyDescent="0.3">
      <c r="A74" s="157" t="s">
        <v>271</v>
      </c>
      <c r="B74" t="s">
        <v>39</v>
      </c>
      <c r="C74" s="160">
        <v>4</v>
      </c>
      <c r="D74" t="str">
        <f>VLOOKUP(A74,DataUsuario!B:D,2,FALSE)</f>
        <v>Operaciones</v>
      </c>
      <c r="E74" t="str">
        <f>VLOOKUP(A74,DataUsuario!B:D,3,FALSE)</f>
        <v>Calidad</v>
      </c>
      <c r="F74" t="s">
        <v>70</v>
      </c>
    </row>
    <row r="75" spans="1:6" x14ac:dyDescent="0.3">
      <c r="A75" s="158" t="s">
        <v>387</v>
      </c>
      <c r="B75" t="s">
        <v>39</v>
      </c>
      <c r="C75" s="161">
        <v>4</v>
      </c>
      <c r="D75" t="str">
        <f>VLOOKUP(A75,DataUsuario!B:D,2,FALSE)</f>
        <v>Administración y Finanzas</v>
      </c>
      <c r="E75" t="str">
        <f>VLOOKUP(A75,DataUsuario!B:D,3,FALSE)</f>
        <v>Contabilidad Tributaria</v>
      </c>
      <c r="F75" t="s">
        <v>66</v>
      </c>
    </row>
    <row r="76" spans="1:6" x14ac:dyDescent="0.3">
      <c r="A76" s="157" t="s">
        <v>256</v>
      </c>
      <c r="B76" t="s">
        <v>39</v>
      </c>
      <c r="C76" s="160">
        <v>4</v>
      </c>
      <c r="D76" t="str">
        <f>VLOOKUP(A76,DataUsuario!B:D,2,FALSE)</f>
        <v>Agrícola</v>
      </c>
      <c r="E76" t="str">
        <f>VLOOKUP(A76,DataUsuario!B:D,3,FALSE)</f>
        <v>Fundo Montelima</v>
      </c>
      <c r="F76" t="s">
        <v>89</v>
      </c>
    </row>
    <row r="77" spans="1:6" x14ac:dyDescent="0.3">
      <c r="A77" s="158" t="s">
        <v>585</v>
      </c>
      <c r="B77" t="s">
        <v>39</v>
      </c>
      <c r="C77" s="161">
        <v>5</v>
      </c>
      <c r="D77" t="str">
        <f>VLOOKUP(A77,DataUsuario!B:D,2,FALSE)</f>
        <v>Operaciones</v>
      </c>
      <c r="E77" t="str">
        <f>VLOOKUP(A77,DataUsuario!B:D,3,FALSE)</f>
        <v>Comercial</v>
      </c>
      <c r="F77" t="s">
        <v>70</v>
      </c>
    </row>
    <row r="78" spans="1:6" x14ac:dyDescent="0.3">
      <c r="A78" s="157" t="s">
        <v>307</v>
      </c>
      <c r="B78" t="s">
        <v>39</v>
      </c>
      <c r="C78" s="160">
        <v>4</v>
      </c>
      <c r="D78" t="str">
        <f>VLOOKUP(A78,DataUsuario!B:D,2,FALSE)</f>
        <v>Gestión Humana y Sostenibilidad</v>
      </c>
      <c r="E78" t="str">
        <f>VLOOKUP(A78,DataUsuario!B:D,3,FALSE)</f>
        <v>Comunicaciones y Responsabilidad Social</v>
      </c>
      <c r="F78" t="s">
        <v>62</v>
      </c>
    </row>
    <row r="79" spans="1:6" x14ac:dyDescent="0.3">
      <c r="A79" s="158" t="s">
        <v>92</v>
      </c>
      <c r="B79" t="s">
        <v>39</v>
      </c>
      <c r="C79" s="161">
        <v>4</v>
      </c>
      <c r="D79" t="str">
        <f>VLOOKUP(A79,DataUsuario!B:D,2,FALSE)</f>
        <v>Administración y Finanzas</v>
      </c>
      <c r="E79" t="str">
        <f>VLOOKUP(A79,DataUsuario!B:D,3,FALSE)</f>
        <v>Control de Gestión</v>
      </c>
      <c r="F79" t="s">
        <v>66</v>
      </c>
    </row>
    <row r="80" spans="1:6" x14ac:dyDescent="0.3">
      <c r="A80" s="157" t="s">
        <v>61</v>
      </c>
      <c r="B80" t="s">
        <v>39</v>
      </c>
      <c r="C80" s="160">
        <v>4</v>
      </c>
      <c r="D80" t="str">
        <f>VLOOKUP(A80,DataUsuario!B:D,2,FALSE)</f>
        <v>Gestión Humana y Sostenibilidad</v>
      </c>
      <c r="E80" t="str">
        <f>VLOOKUP(A80,DataUsuario!B:D,3,FALSE)</f>
        <v>Compensación y Nóminas</v>
      </c>
      <c r="F80" t="s">
        <v>62</v>
      </c>
    </row>
    <row r="81" spans="1:6" x14ac:dyDescent="0.3">
      <c r="A81" s="158" t="s">
        <v>254</v>
      </c>
      <c r="B81" t="s">
        <v>39</v>
      </c>
      <c r="C81" s="161">
        <v>4</v>
      </c>
      <c r="D81" t="str">
        <f>VLOOKUP(A81,DataUsuario!B:D,2,FALSE)</f>
        <v>Administración y Finanzas</v>
      </c>
      <c r="E81" t="str">
        <f>VLOOKUP(A81,DataUsuario!B:D,3,FALSE)</f>
        <v>Administración</v>
      </c>
      <c r="F81" t="s">
        <v>66</v>
      </c>
    </row>
    <row r="82" spans="1:6" x14ac:dyDescent="0.3">
      <c r="A82" s="157" t="s">
        <v>224</v>
      </c>
      <c r="B82" t="s">
        <v>39</v>
      </c>
      <c r="C82" s="160" t="s">
        <v>615</v>
      </c>
      <c r="D82" t="str">
        <f>VLOOKUP(A82,DataUsuario!B:D,2,FALSE)</f>
        <v>Agrícola</v>
      </c>
      <c r="E82" t="str">
        <f>VLOOKUP(A82,DataUsuario!B:D,3,FALSE)</f>
        <v>Laboratorio e Investigación Agricola</v>
      </c>
      <c r="F82" t="s">
        <v>89</v>
      </c>
    </row>
    <row r="83" spans="1:6" x14ac:dyDescent="0.3">
      <c r="A83" s="158" t="s">
        <v>326</v>
      </c>
      <c r="B83" t="s">
        <v>39</v>
      </c>
      <c r="C83" s="161" t="s">
        <v>615</v>
      </c>
      <c r="D83" t="str">
        <f>VLOOKUP(A83,DataUsuario!B:D,2,FALSE)</f>
        <v>Operaciones</v>
      </c>
      <c r="E83" t="str">
        <f>VLOOKUP(A83,DataUsuario!B:D,3,FALSE)</f>
        <v>Calidad</v>
      </c>
      <c r="F83" t="s">
        <v>70</v>
      </c>
    </row>
    <row r="84" spans="1:6" x14ac:dyDescent="0.3">
      <c r="A84" s="157" t="s">
        <v>345</v>
      </c>
      <c r="B84" t="s">
        <v>39</v>
      </c>
      <c r="C84" s="160" t="s">
        <v>615</v>
      </c>
      <c r="D84" t="str">
        <f>VLOOKUP(A84,DataUsuario!B:D,2,FALSE)</f>
        <v>Agrícola</v>
      </c>
      <c r="E84" t="str">
        <f>VLOOKUP(A84,DataUsuario!B:D,3,FALSE)</f>
        <v>Mantenimiento de Riego y Bombas</v>
      </c>
      <c r="F84" t="s">
        <v>89</v>
      </c>
    </row>
    <row r="85" spans="1:6" x14ac:dyDescent="0.3">
      <c r="A85" s="158" t="s">
        <v>337</v>
      </c>
      <c r="B85" t="s">
        <v>39</v>
      </c>
      <c r="C85" s="161">
        <v>5</v>
      </c>
      <c r="D85" t="str">
        <f>VLOOKUP(A85,DataUsuario!B:D,2,FALSE)</f>
        <v>Agrícola</v>
      </c>
      <c r="E85" t="str">
        <f>VLOOKUP(A85,DataUsuario!B:D,3,FALSE)</f>
        <v>Fundo San Vicente</v>
      </c>
      <c r="F85" t="s">
        <v>89</v>
      </c>
    </row>
    <row r="86" spans="1:6" x14ac:dyDescent="0.3">
      <c r="A86" s="157" t="s">
        <v>611</v>
      </c>
      <c r="B86" t="s">
        <v>39</v>
      </c>
      <c r="C86" s="160">
        <v>5</v>
      </c>
      <c r="D86" t="str">
        <f>VLOOKUP(A86,DataUsuario!B:D,2,FALSE)</f>
        <v>Gestión Humana y Sostenibilidad</v>
      </c>
      <c r="E86" t="str">
        <f>VLOOKUP(A86,DataUsuario!B:D,3,FALSE)</f>
        <v>Gestión Humana</v>
      </c>
      <c r="F86" t="s">
        <v>62</v>
      </c>
    </row>
    <row r="87" spans="1:6" x14ac:dyDescent="0.3">
      <c r="A87" s="158" t="s">
        <v>374</v>
      </c>
      <c r="B87" t="s">
        <v>39</v>
      </c>
      <c r="C87" s="161">
        <v>4</v>
      </c>
      <c r="D87" t="str">
        <f>VLOOKUP(A87,DataUsuario!B:D,2,FALSE)</f>
        <v>Agrícola</v>
      </c>
      <c r="E87" t="str">
        <f>VLOOKUP(A87,DataUsuario!B:D,3,FALSE)</f>
        <v>Mantenimiento de Riego y Bombas</v>
      </c>
      <c r="F87" t="s">
        <v>89</v>
      </c>
    </row>
    <row r="88" spans="1:6" x14ac:dyDescent="0.3">
      <c r="A88" s="157" t="s">
        <v>613</v>
      </c>
      <c r="B88" t="s">
        <v>39</v>
      </c>
      <c r="C88" s="160" t="s">
        <v>615</v>
      </c>
      <c r="D88" t="str">
        <f>VLOOKUP(A88,DataUsuario!B:D,2,FALSE)</f>
        <v>Administración y Finanzas</v>
      </c>
      <c r="E88" t="str">
        <f>VLOOKUP(A88,DataUsuario!B:D,3,FALSE)</f>
        <v>Compras</v>
      </c>
      <c r="F88" t="s">
        <v>66</v>
      </c>
    </row>
    <row r="89" spans="1:6" x14ac:dyDescent="0.3">
      <c r="A89" s="159" t="s">
        <v>136</v>
      </c>
      <c r="B89" t="s">
        <v>39</v>
      </c>
      <c r="C89" s="162">
        <v>5</v>
      </c>
      <c r="D89" t="str">
        <f>VLOOKUP(A89,DataUsuario!B:D,2,FALSE)</f>
        <v>Operaciones</v>
      </c>
      <c r="E89" t="str">
        <f>VLOOKUP(A89,DataUsuario!B:D,3,FALSE)</f>
        <v>Comercial</v>
      </c>
      <c r="F89" t="s">
        <v>70</v>
      </c>
    </row>
    <row r="90" spans="1:6" x14ac:dyDescent="0.3">
      <c r="A90" s="157" t="s">
        <v>207</v>
      </c>
      <c r="B90" t="s">
        <v>40</v>
      </c>
      <c r="C90" s="160">
        <v>5</v>
      </c>
      <c r="D90" t="str">
        <f>VLOOKUP(A90,DataUsuario!B:D,2,FALSE)</f>
        <v>Administración y Finanzas</v>
      </c>
      <c r="E90" t="str">
        <f>VLOOKUP(A90,DataUsuario!B:D,3,FALSE)</f>
        <v>Riesgos y Cumplimiento</v>
      </c>
      <c r="F90" t="s">
        <v>66</v>
      </c>
    </row>
    <row r="91" spans="1:6" x14ac:dyDescent="0.3">
      <c r="A91" s="158" t="s">
        <v>133</v>
      </c>
      <c r="B91" t="s">
        <v>40</v>
      </c>
      <c r="C91" s="161">
        <v>3</v>
      </c>
      <c r="D91" t="str">
        <f>VLOOKUP(A91,DataUsuario!B:D,2,FALSE)</f>
        <v>Industrial y de Mantenimiento</v>
      </c>
      <c r="E91" t="str">
        <f>VLOOKUP(A91,DataUsuario!B:D,3,FALSE)</f>
        <v>Electricidad</v>
      </c>
      <c r="F91" t="s">
        <v>74</v>
      </c>
    </row>
    <row r="92" spans="1:6" x14ac:dyDescent="0.3">
      <c r="A92" s="157" t="s">
        <v>431</v>
      </c>
      <c r="B92" t="s">
        <v>40</v>
      </c>
      <c r="C92" s="160">
        <v>4</v>
      </c>
      <c r="D92" t="str">
        <f>VLOOKUP(A92,DataUsuario!B:D,2,FALSE)</f>
        <v>Agrícola</v>
      </c>
      <c r="E92" t="str">
        <f>VLOOKUP(A92,DataUsuario!B:D,3,FALSE)</f>
        <v>Fundo San Vicente</v>
      </c>
      <c r="F92" t="s">
        <v>89</v>
      </c>
    </row>
    <row r="93" spans="1:6" x14ac:dyDescent="0.3">
      <c r="A93" s="158" t="s">
        <v>123</v>
      </c>
      <c r="B93" t="s">
        <v>40</v>
      </c>
      <c r="C93" s="161">
        <v>4</v>
      </c>
      <c r="D93" t="str">
        <f>VLOOKUP(A93,DataUsuario!B:D,2,FALSE)</f>
        <v>Administración y Finanzas</v>
      </c>
      <c r="E93" t="str">
        <f>VLOOKUP(A93,DataUsuario!B:D,3,FALSE)</f>
        <v>Gerencia Administración y Finanzas</v>
      </c>
      <c r="F93" t="s">
        <v>66</v>
      </c>
    </row>
    <row r="94" spans="1:6" x14ac:dyDescent="0.3">
      <c r="A94" s="157" t="s">
        <v>289</v>
      </c>
      <c r="B94" t="s">
        <v>40</v>
      </c>
      <c r="C94" s="160">
        <v>3</v>
      </c>
      <c r="D94" t="str">
        <f>VLOOKUP(A94,DataUsuario!B:D,2,FALSE)</f>
        <v>Agrícola</v>
      </c>
      <c r="E94" t="str">
        <f>VLOOKUP(A94,DataUsuario!B:D,3,FALSE)</f>
        <v>Mantenimiento de Riego y Bombas</v>
      </c>
      <c r="F94" t="s">
        <v>89</v>
      </c>
    </row>
    <row r="95" spans="1:6" x14ac:dyDescent="0.3">
      <c r="A95" s="158" t="s">
        <v>299</v>
      </c>
      <c r="B95" t="s">
        <v>40</v>
      </c>
      <c r="C95" s="161">
        <v>5</v>
      </c>
      <c r="D95" t="str">
        <f>VLOOKUP(A95,DataUsuario!B:D,2,FALSE)</f>
        <v>Administración y Finanzas</v>
      </c>
      <c r="E95" t="str">
        <f>VLOOKUP(A95,DataUsuario!B:D,3,FALSE)</f>
        <v>Legal</v>
      </c>
      <c r="F95" t="s">
        <v>66</v>
      </c>
    </row>
    <row r="96" spans="1:6" x14ac:dyDescent="0.3">
      <c r="A96" s="157" t="s">
        <v>82</v>
      </c>
      <c r="B96" t="s">
        <v>40</v>
      </c>
      <c r="C96" s="160">
        <v>3</v>
      </c>
      <c r="D96" t="str">
        <f>VLOOKUP(A96,DataUsuario!B:D,2,FALSE)</f>
        <v>Industrial y de Mantenimiento</v>
      </c>
      <c r="E96" t="str">
        <f>VLOOKUP(A96,DataUsuario!B:D,3,FALSE)</f>
        <v>Producción</v>
      </c>
      <c r="F96" t="s">
        <v>74</v>
      </c>
    </row>
    <row r="97" spans="1:6" x14ac:dyDescent="0.3">
      <c r="A97" s="158" t="s">
        <v>378</v>
      </c>
      <c r="B97" t="s">
        <v>40</v>
      </c>
      <c r="C97" s="161">
        <v>3</v>
      </c>
      <c r="D97" t="str">
        <f>VLOOKUP(A97,DataUsuario!B:D,2,FALSE)</f>
        <v>Industrial y de Mantenimiento</v>
      </c>
      <c r="E97" t="str">
        <f>VLOOKUP(A97,DataUsuario!B:D,3,FALSE)</f>
        <v>Gerencia industrial y de Mantenimiento</v>
      </c>
      <c r="F97" t="s">
        <v>74</v>
      </c>
    </row>
    <row r="98" spans="1:6" x14ac:dyDescent="0.3">
      <c r="A98" s="157" t="s">
        <v>77</v>
      </c>
      <c r="B98" t="s">
        <v>40</v>
      </c>
      <c r="C98" s="160" t="s">
        <v>615</v>
      </c>
      <c r="D98" t="str">
        <f>VLOOKUP(A98,DataUsuario!B:D,2,FALSE)</f>
        <v>Operaciones</v>
      </c>
      <c r="E98" t="str">
        <f>VLOOKUP(A98,DataUsuario!B:D,3,FALSE)</f>
        <v>Comercial No Giro</v>
      </c>
      <c r="F98" t="s">
        <v>70</v>
      </c>
    </row>
    <row r="99" spans="1:6" x14ac:dyDescent="0.3">
      <c r="A99" s="158" t="s">
        <v>322</v>
      </c>
      <c r="B99" t="s">
        <v>40</v>
      </c>
      <c r="C99" s="161">
        <v>3</v>
      </c>
      <c r="D99" t="str">
        <f>VLOOKUP(A99,DataUsuario!B:D,2,FALSE)</f>
        <v>Administración y Finanzas</v>
      </c>
      <c r="E99" t="str">
        <f>VLOOKUP(A99,DataUsuario!B:D,3,FALSE)</f>
        <v>Finanzas y Tesorería</v>
      </c>
      <c r="F99" t="s">
        <v>66</v>
      </c>
    </row>
    <row r="100" spans="1:6" x14ac:dyDescent="0.3">
      <c r="A100" s="157" t="s">
        <v>215</v>
      </c>
      <c r="B100" t="s">
        <v>40</v>
      </c>
      <c r="C100" s="160">
        <v>5</v>
      </c>
      <c r="D100" t="str">
        <f>VLOOKUP(A100,DataUsuario!B:D,2,FALSE)</f>
        <v>Gestión Humana y Sostenibilidad</v>
      </c>
      <c r="E100" t="str">
        <f>VLOOKUP(A100,DataUsuario!B:D,3,FALSE)</f>
        <v>Seguridad</v>
      </c>
      <c r="F100" t="s">
        <v>62</v>
      </c>
    </row>
    <row r="101" spans="1:6" x14ac:dyDescent="0.3">
      <c r="A101" s="158" t="s">
        <v>258</v>
      </c>
      <c r="B101" t="s">
        <v>40</v>
      </c>
      <c r="C101" s="161">
        <v>4</v>
      </c>
      <c r="D101" t="str">
        <f>VLOOKUP(A101,DataUsuario!B:D,2,FALSE)</f>
        <v>Operaciones</v>
      </c>
      <c r="E101" t="str">
        <f>VLOOKUP(A101,DataUsuario!B:D,3,FALSE)</f>
        <v>Calidad</v>
      </c>
      <c r="F101" t="s">
        <v>70</v>
      </c>
    </row>
    <row r="102" spans="1:6" x14ac:dyDescent="0.3">
      <c r="A102" s="157" t="s">
        <v>316</v>
      </c>
      <c r="B102" t="s">
        <v>40</v>
      </c>
      <c r="C102" s="160">
        <v>4</v>
      </c>
      <c r="D102" t="str">
        <f>VLOOKUP(A102,DataUsuario!B:D,2,FALSE)</f>
        <v>Administración y Finanzas</v>
      </c>
      <c r="E102" t="str">
        <f>VLOOKUP(A102,DataUsuario!B:D,3,FALSE)</f>
        <v>Compras</v>
      </c>
      <c r="F102" t="s">
        <v>66</v>
      </c>
    </row>
    <row r="103" spans="1:6" x14ac:dyDescent="0.3">
      <c r="A103" s="158" t="s">
        <v>275</v>
      </c>
      <c r="B103" t="s">
        <v>40</v>
      </c>
      <c r="C103" s="161">
        <v>4</v>
      </c>
      <c r="D103" t="str">
        <f>VLOOKUP(A103,DataUsuario!B:D,2,FALSE)</f>
        <v>Administración y Finanzas</v>
      </c>
      <c r="E103" t="str">
        <f>VLOOKUP(A103,DataUsuario!B:D,3,FALSE)</f>
        <v>Compras</v>
      </c>
      <c r="F103" t="s">
        <v>66</v>
      </c>
    </row>
    <row r="104" spans="1:6" x14ac:dyDescent="0.3">
      <c r="A104" s="157" t="s">
        <v>318</v>
      </c>
      <c r="B104" t="s">
        <v>40</v>
      </c>
      <c r="C104" s="160">
        <v>4</v>
      </c>
      <c r="D104" t="str">
        <f>VLOOKUP(A104,DataUsuario!B:D,2,FALSE)</f>
        <v>Operaciones</v>
      </c>
      <c r="E104" t="str">
        <f>VLOOKUP(A104,DataUsuario!B:D,3,FALSE)</f>
        <v>Cosecha</v>
      </c>
      <c r="F104" t="s">
        <v>70</v>
      </c>
    </row>
    <row r="105" spans="1:6" x14ac:dyDescent="0.3">
      <c r="A105" s="158" t="s">
        <v>176</v>
      </c>
      <c r="B105" t="s">
        <v>40</v>
      </c>
      <c r="C105" s="161">
        <v>5</v>
      </c>
      <c r="D105" t="str">
        <f>VLOOKUP(A105,DataUsuario!B:D,2,FALSE)</f>
        <v>Administración y Finanzas</v>
      </c>
      <c r="E105" t="str">
        <f>VLOOKUP(A105,DataUsuario!B:D,3,FALSE)</f>
        <v>Cadenas Productivas</v>
      </c>
      <c r="F105" t="s">
        <v>66</v>
      </c>
    </row>
    <row r="106" spans="1:6" x14ac:dyDescent="0.3">
      <c r="A106" s="157" t="s">
        <v>341</v>
      </c>
      <c r="B106" t="s">
        <v>40</v>
      </c>
      <c r="C106" s="160" t="s">
        <v>615</v>
      </c>
      <c r="D106" t="str">
        <f>VLOOKUP(A106,DataUsuario!B:D,2,FALSE)</f>
        <v>Administración y Finanzas</v>
      </c>
      <c r="E106" t="str">
        <f>VLOOKUP(A106,DataUsuario!B:D,3,FALSE)</f>
        <v>Contabilidad Tributaria</v>
      </c>
      <c r="F106" t="s">
        <v>66</v>
      </c>
    </row>
    <row r="107" spans="1:6" x14ac:dyDescent="0.3">
      <c r="A107" s="158" t="s">
        <v>314</v>
      </c>
      <c r="B107" t="s">
        <v>40</v>
      </c>
      <c r="C107" s="161">
        <v>5</v>
      </c>
      <c r="D107" t="str">
        <f>VLOOKUP(A107,DataUsuario!B:D,2,FALSE)</f>
        <v>Industrial y de Mantenimiento</v>
      </c>
      <c r="E107" t="str">
        <f>VLOOKUP(A107,DataUsuario!B:D,3,FALSE)</f>
        <v>Mantenimiento Industrial</v>
      </c>
      <c r="F107" t="s">
        <v>74</v>
      </c>
    </row>
    <row r="108" spans="1:6" x14ac:dyDescent="0.3">
      <c r="A108" s="157" t="s">
        <v>421</v>
      </c>
      <c r="B108" t="s">
        <v>40</v>
      </c>
      <c r="C108" s="160">
        <v>4</v>
      </c>
      <c r="D108" t="str">
        <f>VLOOKUP(A108,DataUsuario!B:D,2,FALSE)</f>
        <v>Operaciones</v>
      </c>
      <c r="E108" t="str">
        <f>VLOOKUP(A108,DataUsuario!B:D,3,FALSE)</f>
        <v>Cosecha</v>
      </c>
      <c r="F108" t="s">
        <v>70</v>
      </c>
    </row>
    <row r="109" spans="1:6" x14ac:dyDescent="0.3">
      <c r="A109" s="158" t="s">
        <v>236</v>
      </c>
      <c r="B109" t="s">
        <v>40</v>
      </c>
      <c r="C109" s="161">
        <v>5</v>
      </c>
      <c r="D109" t="str">
        <f>VLOOKUP(A109,DataUsuario!B:D,2,FALSE)</f>
        <v>Administración y Finanzas</v>
      </c>
      <c r="E109" t="str">
        <f>VLOOKUP(A109,DataUsuario!B:D,3,FALSE)</f>
        <v>Sistemas y TI</v>
      </c>
      <c r="F109" t="s">
        <v>66</v>
      </c>
    </row>
    <row r="110" spans="1:6" x14ac:dyDescent="0.3">
      <c r="A110" s="157" t="s">
        <v>145</v>
      </c>
      <c r="B110" t="s">
        <v>40</v>
      </c>
      <c r="C110" s="160">
        <v>5</v>
      </c>
      <c r="D110" t="str">
        <f>VLOOKUP(A110,DataUsuario!B:D,2,FALSE)</f>
        <v>Administración y Finanzas</v>
      </c>
      <c r="E110" t="str">
        <f>VLOOKUP(A110,DataUsuario!B:D,3,FALSE)</f>
        <v>Legal</v>
      </c>
      <c r="F110" t="s">
        <v>66</v>
      </c>
    </row>
    <row r="111" spans="1:6" x14ac:dyDescent="0.3">
      <c r="A111" s="158" t="s">
        <v>439</v>
      </c>
      <c r="B111" t="s">
        <v>40</v>
      </c>
      <c r="C111" s="161">
        <v>5</v>
      </c>
      <c r="D111" t="str">
        <f>VLOOKUP(A111,DataUsuario!B:D,2,FALSE)</f>
        <v>Operaciones</v>
      </c>
      <c r="E111" t="str">
        <f>VLOOKUP(A111,DataUsuario!B:D,3,FALSE)</f>
        <v>Comercial</v>
      </c>
      <c r="F111" t="s">
        <v>70</v>
      </c>
    </row>
    <row r="112" spans="1:6" x14ac:dyDescent="0.3">
      <c r="A112" s="157" t="s">
        <v>435</v>
      </c>
      <c r="B112" t="s">
        <v>40</v>
      </c>
      <c r="C112" s="160">
        <v>4</v>
      </c>
      <c r="D112" t="str">
        <f>VLOOKUP(A112,DataUsuario!B:D,2,FALSE)</f>
        <v>Operaciones</v>
      </c>
      <c r="E112" t="str">
        <f>VLOOKUP(A112,DataUsuario!B:D,3,FALSE)</f>
        <v>Almacenes y Distribución PT</v>
      </c>
      <c r="F112" t="s">
        <v>70</v>
      </c>
    </row>
    <row r="113" spans="1:6" x14ac:dyDescent="0.3">
      <c r="A113" s="158" t="s">
        <v>603</v>
      </c>
      <c r="B113" t="s">
        <v>40</v>
      </c>
      <c r="C113" s="161">
        <v>4</v>
      </c>
      <c r="D113" t="str">
        <f>VLOOKUP(A113,DataUsuario!B:D,2,FALSE)</f>
        <v>Gestión Humana y Sostenibilidad</v>
      </c>
      <c r="E113" t="str">
        <f>VLOOKUP(A113,DataUsuario!B:D,3,FALSE)</f>
        <v>Bienestar - Medico Ocupacional</v>
      </c>
      <c r="F113" t="s">
        <v>62</v>
      </c>
    </row>
    <row r="114" spans="1:6" x14ac:dyDescent="0.3">
      <c r="A114" s="157" t="s">
        <v>604</v>
      </c>
      <c r="B114" t="s">
        <v>40</v>
      </c>
      <c r="C114" s="160">
        <v>5</v>
      </c>
      <c r="D114" t="str">
        <f>VLOOKUP(A114,DataUsuario!B:D,2,FALSE)</f>
        <v>Gestión Humana y Sostenibilidad</v>
      </c>
      <c r="E114" t="str">
        <f>VLOOKUP(A114,DataUsuario!B:D,3,FALSE)</f>
        <v>Seguridad</v>
      </c>
      <c r="F114" t="s">
        <v>62</v>
      </c>
    </row>
    <row r="115" spans="1:6" x14ac:dyDescent="0.3">
      <c r="A115" s="158" t="s">
        <v>85</v>
      </c>
      <c r="B115" t="s">
        <v>40</v>
      </c>
      <c r="C115" s="161">
        <v>5</v>
      </c>
      <c r="D115" t="str">
        <f>VLOOKUP(A115,DataUsuario!B:D,2,FALSE)</f>
        <v>Operaciones</v>
      </c>
      <c r="E115" t="str">
        <f>VLOOKUP(A115,DataUsuario!B:D,3,FALSE)</f>
        <v>Comercial</v>
      </c>
      <c r="F115" t="s">
        <v>70</v>
      </c>
    </row>
    <row r="116" spans="1:6" x14ac:dyDescent="0.3">
      <c r="A116" s="157" t="s">
        <v>249</v>
      </c>
      <c r="B116" t="s">
        <v>40</v>
      </c>
      <c r="C116" s="160">
        <v>4</v>
      </c>
      <c r="D116" t="str">
        <f>VLOOKUP(A116,DataUsuario!B:D,2,FALSE)</f>
        <v>Administración y Finanzas</v>
      </c>
      <c r="E116" t="str">
        <f>VLOOKUP(A116,DataUsuario!B:D,3,FALSE)</f>
        <v>Compras</v>
      </c>
      <c r="F116" t="s">
        <v>66</v>
      </c>
    </row>
    <row r="117" spans="1:6" x14ac:dyDescent="0.3">
      <c r="A117" s="158" t="s">
        <v>221</v>
      </c>
      <c r="B117" t="s">
        <v>40</v>
      </c>
      <c r="C117" s="161">
        <v>5</v>
      </c>
      <c r="D117" t="str">
        <f>VLOOKUP(A117,DataUsuario!B:D,2,FALSE)</f>
        <v>Administración y Finanzas</v>
      </c>
      <c r="E117" t="str">
        <f>VLOOKUP(A117,DataUsuario!B:D,3,FALSE)</f>
        <v>Sistemas y TI</v>
      </c>
      <c r="F117" t="s">
        <v>66</v>
      </c>
    </row>
    <row r="118" spans="1:6" x14ac:dyDescent="0.3">
      <c r="A118" s="157" t="s">
        <v>271</v>
      </c>
      <c r="B118" t="s">
        <v>40</v>
      </c>
      <c r="C118" s="160">
        <v>4</v>
      </c>
      <c r="D118" t="str">
        <f>VLOOKUP(A118,DataUsuario!B:D,2,FALSE)</f>
        <v>Operaciones</v>
      </c>
      <c r="E118" t="str">
        <f>VLOOKUP(A118,DataUsuario!B:D,3,FALSE)</f>
        <v>Calidad</v>
      </c>
      <c r="F118" t="s">
        <v>70</v>
      </c>
    </row>
    <row r="119" spans="1:6" x14ac:dyDescent="0.3">
      <c r="A119" s="158" t="s">
        <v>387</v>
      </c>
      <c r="B119" t="s">
        <v>40</v>
      </c>
      <c r="C119" s="161" t="s">
        <v>615</v>
      </c>
      <c r="D119" t="str">
        <f>VLOOKUP(A119,DataUsuario!B:D,2,FALSE)</f>
        <v>Administración y Finanzas</v>
      </c>
      <c r="E119" t="str">
        <f>VLOOKUP(A119,DataUsuario!B:D,3,FALSE)</f>
        <v>Contabilidad Tributaria</v>
      </c>
      <c r="F119" t="s">
        <v>66</v>
      </c>
    </row>
    <row r="120" spans="1:6" x14ac:dyDescent="0.3">
      <c r="A120" s="157" t="s">
        <v>256</v>
      </c>
      <c r="B120" t="s">
        <v>40</v>
      </c>
      <c r="C120" s="160">
        <v>3</v>
      </c>
      <c r="D120" t="str">
        <f>VLOOKUP(A120,DataUsuario!B:D,2,FALSE)</f>
        <v>Agrícola</v>
      </c>
      <c r="E120" t="str">
        <f>VLOOKUP(A120,DataUsuario!B:D,3,FALSE)</f>
        <v>Fundo Montelima</v>
      </c>
      <c r="F120" t="s">
        <v>89</v>
      </c>
    </row>
    <row r="121" spans="1:6" x14ac:dyDescent="0.3">
      <c r="A121" s="158" t="s">
        <v>585</v>
      </c>
      <c r="B121" t="s">
        <v>40</v>
      </c>
      <c r="C121" s="161">
        <v>5</v>
      </c>
      <c r="D121" t="str">
        <f>VLOOKUP(A121,DataUsuario!B:D,2,FALSE)</f>
        <v>Operaciones</v>
      </c>
      <c r="E121" t="str">
        <f>VLOOKUP(A121,DataUsuario!B:D,3,FALSE)</f>
        <v>Comercial</v>
      </c>
      <c r="F121" t="s">
        <v>70</v>
      </c>
    </row>
    <row r="122" spans="1:6" x14ac:dyDescent="0.3">
      <c r="A122" s="157" t="s">
        <v>307</v>
      </c>
      <c r="B122" t="s">
        <v>40</v>
      </c>
      <c r="C122" s="160">
        <v>4</v>
      </c>
      <c r="D122" t="str">
        <f>VLOOKUP(A122,DataUsuario!B:D,2,FALSE)</f>
        <v>Gestión Humana y Sostenibilidad</v>
      </c>
      <c r="E122" t="str">
        <f>VLOOKUP(A122,DataUsuario!B:D,3,FALSE)</f>
        <v>Comunicaciones y Responsabilidad Social</v>
      </c>
      <c r="F122" t="s">
        <v>62</v>
      </c>
    </row>
    <row r="123" spans="1:6" x14ac:dyDescent="0.3">
      <c r="A123" s="158" t="s">
        <v>92</v>
      </c>
      <c r="B123" t="s">
        <v>40</v>
      </c>
      <c r="C123" s="161">
        <v>4</v>
      </c>
      <c r="D123" t="str">
        <f>VLOOKUP(A123,DataUsuario!B:D,2,FALSE)</f>
        <v>Administración y Finanzas</v>
      </c>
      <c r="E123" t="str">
        <f>VLOOKUP(A123,DataUsuario!B:D,3,FALSE)</f>
        <v>Control de Gestión</v>
      </c>
      <c r="F123" t="s">
        <v>66</v>
      </c>
    </row>
    <row r="124" spans="1:6" x14ac:dyDescent="0.3">
      <c r="A124" s="157" t="s">
        <v>61</v>
      </c>
      <c r="B124" t="s">
        <v>40</v>
      </c>
      <c r="C124" s="160">
        <v>4</v>
      </c>
      <c r="D124" t="str">
        <f>VLOOKUP(A124,DataUsuario!B:D,2,FALSE)</f>
        <v>Gestión Humana y Sostenibilidad</v>
      </c>
      <c r="E124" t="str">
        <f>VLOOKUP(A124,DataUsuario!B:D,3,FALSE)</f>
        <v>Compensación y Nóminas</v>
      </c>
      <c r="F124" t="s">
        <v>62</v>
      </c>
    </row>
    <row r="125" spans="1:6" x14ac:dyDescent="0.3">
      <c r="A125" s="158" t="s">
        <v>254</v>
      </c>
      <c r="B125" t="s">
        <v>40</v>
      </c>
      <c r="C125" s="161">
        <v>4</v>
      </c>
      <c r="D125" t="str">
        <f>VLOOKUP(A125,DataUsuario!B:D,2,FALSE)</f>
        <v>Administración y Finanzas</v>
      </c>
      <c r="E125" t="str">
        <f>VLOOKUP(A125,DataUsuario!B:D,3,FALSE)</f>
        <v>Administración</v>
      </c>
      <c r="F125" t="s">
        <v>66</v>
      </c>
    </row>
    <row r="126" spans="1:6" x14ac:dyDescent="0.3">
      <c r="A126" s="157" t="s">
        <v>224</v>
      </c>
      <c r="B126" t="s">
        <v>40</v>
      </c>
      <c r="C126" s="160">
        <v>4</v>
      </c>
      <c r="D126" t="str">
        <f>VLOOKUP(A126,DataUsuario!B:D,2,FALSE)</f>
        <v>Agrícola</v>
      </c>
      <c r="E126" t="str">
        <f>VLOOKUP(A126,DataUsuario!B:D,3,FALSE)</f>
        <v>Laboratorio e Investigación Agricola</v>
      </c>
      <c r="F126" t="s">
        <v>89</v>
      </c>
    </row>
    <row r="127" spans="1:6" x14ac:dyDescent="0.3">
      <c r="A127" s="158" t="s">
        <v>326</v>
      </c>
      <c r="B127" t="s">
        <v>40</v>
      </c>
      <c r="C127" s="161">
        <v>3</v>
      </c>
      <c r="D127" t="str">
        <f>VLOOKUP(A127,DataUsuario!B:D,2,FALSE)</f>
        <v>Operaciones</v>
      </c>
      <c r="E127" t="str">
        <f>VLOOKUP(A127,DataUsuario!B:D,3,FALSE)</f>
        <v>Calidad</v>
      </c>
      <c r="F127" t="s">
        <v>70</v>
      </c>
    </row>
    <row r="128" spans="1:6" x14ac:dyDescent="0.3">
      <c r="A128" s="157" t="s">
        <v>345</v>
      </c>
      <c r="B128" t="s">
        <v>40</v>
      </c>
      <c r="C128" s="160">
        <v>4</v>
      </c>
      <c r="D128" t="str">
        <f>VLOOKUP(A128,DataUsuario!B:D,2,FALSE)</f>
        <v>Agrícola</v>
      </c>
      <c r="E128" t="str">
        <f>VLOOKUP(A128,DataUsuario!B:D,3,FALSE)</f>
        <v>Mantenimiento de Riego y Bombas</v>
      </c>
      <c r="F128" t="s">
        <v>89</v>
      </c>
    </row>
    <row r="129" spans="1:6" x14ac:dyDescent="0.3">
      <c r="A129" s="158" t="s">
        <v>337</v>
      </c>
      <c r="B129" t="s">
        <v>40</v>
      </c>
      <c r="C129" s="161">
        <v>5</v>
      </c>
      <c r="D129" t="str">
        <f>VLOOKUP(A129,DataUsuario!B:D,2,FALSE)</f>
        <v>Agrícola</v>
      </c>
      <c r="E129" t="str">
        <f>VLOOKUP(A129,DataUsuario!B:D,3,FALSE)</f>
        <v>Fundo San Vicente</v>
      </c>
      <c r="F129" t="s">
        <v>89</v>
      </c>
    </row>
    <row r="130" spans="1:6" x14ac:dyDescent="0.3">
      <c r="A130" s="157" t="s">
        <v>611</v>
      </c>
      <c r="B130" t="s">
        <v>40</v>
      </c>
      <c r="C130" s="160">
        <v>5</v>
      </c>
      <c r="D130" t="str">
        <f>VLOOKUP(A130,DataUsuario!B:D,2,FALSE)</f>
        <v>Gestión Humana y Sostenibilidad</v>
      </c>
      <c r="E130" t="str">
        <f>VLOOKUP(A130,DataUsuario!B:D,3,FALSE)</f>
        <v>Gestión Humana</v>
      </c>
      <c r="F130" t="s">
        <v>62</v>
      </c>
    </row>
    <row r="131" spans="1:6" x14ac:dyDescent="0.3">
      <c r="A131" s="158" t="s">
        <v>374</v>
      </c>
      <c r="B131" t="s">
        <v>40</v>
      </c>
      <c r="C131" s="161">
        <v>4</v>
      </c>
      <c r="D131" t="str">
        <f>VLOOKUP(A131,DataUsuario!B:D,2,FALSE)</f>
        <v>Agrícola</v>
      </c>
      <c r="E131" t="str">
        <f>VLOOKUP(A131,DataUsuario!B:D,3,FALSE)</f>
        <v>Mantenimiento de Riego y Bombas</v>
      </c>
      <c r="F131" t="s">
        <v>89</v>
      </c>
    </row>
    <row r="132" spans="1:6" x14ac:dyDescent="0.3">
      <c r="A132" s="157" t="s">
        <v>613</v>
      </c>
      <c r="B132" t="s">
        <v>40</v>
      </c>
      <c r="C132" s="160">
        <v>5</v>
      </c>
      <c r="D132" t="str">
        <f>VLOOKUP(A132,DataUsuario!B:D,2,FALSE)</f>
        <v>Administración y Finanzas</v>
      </c>
      <c r="E132" t="str">
        <f>VLOOKUP(A132,DataUsuario!B:D,3,FALSE)</f>
        <v>Compras</v>
      </c>
      <c r="F132" t="s">
        <v>66</v>
      </c>
    </row>
    <row r="133" spans="1:6" x14ac:dyDescent="0.3">
      <c r="A133" s="159" t="s">
        <v>136</v>
      </c>
      <c r="B133" t="s">
        <v>40</v>
      </c>
      <c r="C133" s="162">
        <v>5</v>
      </c>
      <c r="D133" t="str">
        <f>VLOOKUP(A133,DataUsuario!B:D,2,FALSE)</f>
        <v>Operaciones</v>
      </c>
      <c r="E133" t="str">
        <f>VLOOKUP(A133,DataUsuario!B:D,3,FALSE)</f>
        <v>Comercial</v>
      </c>
      <c r="F133" t="s">
        <v>70</v>
      </c>
    </row>
    <row r="134" spans="1:6" x14ac:dyDescent="0.3">
      <c r="A134" s="157" t="s">
        <v>207</v>
      </c>
      <c r="B134" t="s">
        <v>41</v>
      </c>
      <c r="C134" s="160">
        <v>5</v>
      </c>
      <c r="D134" t="str">
        <f>VLOOKUP(A134,DataUsuario!B:D,2,FALSE)</f>
        <v>Administración y Finanzas</v>
      </c>
      <c r="E134" t="str">
        <f>VLOOKUP(A134,DataUsuario!B:D,3,FALSE)</f>
        <v>Riesgos y Cumplimiento</v>
      </c>
      <c r="F134" t="s">
        <v>66</v>
      </c>
    </row>
    <row r="135" spans="1:6" x14ac:dyDescent="0.3">
      <c r="A135" s="158" t="s">
        <v>133</v>
      </c>
      <c r="B135" t="s">
        <v>41</v>
      </c>
      <c r="C135" s="161">
        <v>4</v>
      </c>
      <c r="D135" t="str">
        <f>VLOOKUP(A135,DataUsuario!B:D,2,FALSE)</f>
        <v>Industrial y de Mantenimiento</v>
      </c>
      <c r="E135" t="str">
        <f>VLOOKUP(A135,DataUsuario!B:D,3,FALSE)</f>
        <v>Electricidad</v>
      </c>
      <c r="F135" t="s">
        <v>74</v>
      </c>
    </row>
    <row r="136" spans="1:6" x14ac:dyDescent="0.3">
      <c r="A136" s="157" t="s">
        <v>431</v>
      </c>
      <c r="B136" t="s">
        <v>41</v>
      </c>
      <c r="C136" s="160">
        <v>4</v>
      </c>
      <c r="D136" t="str">
        <f>VLOOKUP(A136,DataUsuario!B:D,2,FALSE)</f>
        <v>Agrícola</v>
      </c>
      <c r="E136" t="str">
        <f>VLOOKUP(A136,DataUsuario!B:D,3,FALSE)</f>
        <v>Fundo San Vicente</v>
      </c>
      <c r="F136" t="s">
        <v>89</v>
      </c>
    </row>
    <row r="137" spans="1:6" x14ac:dyDescent="0.3">
      <c r="A137" s="158" t="s">
        <v>123</v>
      </c>
      <c r="B137" t="s">
        <v>41</v>
      </c>
      <c r="C137" s="161">
        <v>4</v>
      </c>
      <c r="D137" t="str">
        <f>VLOOKUP(A137,DataUsuario!B:D,2,FALSE)</f>
        <v>Administración y Finanzas</v>
      </c>
      <c r="E137" t="str">
        <f>VLOOKUP(A137,DataUsuario!B:D,3,FALSE)</f>
        <v>Gerencia Administración y Finanzas</v>
      </c>
      <c r="F137" t="s">
        <v>66</v>
      </c>
    </row>
    <row r="138" spans="1:6" x14ac:dyDescent="0.3">
      <c r="A138" s="157" t="s">
        <v>289</v>
      </c>
      <c r="B138" t="s">
        <v>41</v>
      </c>
      <c r="C138" s="160">
        <v>3</v>
      </c>
      <c r="D138" t="str">
        <f>VLOOKUP(A138,DataUsuario!B:D,2,FALSE)</f>
        <v>Agrícola</v>
      </c>
      <c r="E138" t="str">
        <f>VLOOKUP(A138,DataUsuario!B:D,3,FALSE)</f>
        <v>Mantenimiento de Riego y Bombas</v>
      </c>
      <c r="F138" t="s">
        <v>89</v>
      </c>
    </row>
    <row r="139" spans="1:6" x14ac:dyDescent="0.3">
      <c r="A139" s="158" t="s">
        <v>299</v>
      </c>
      <c r="B139" t="s">
        <v>41</v>
      </c>
      <c r="C139" s="161">
        <v>5</v>
      </c>
      <c r="D139" t="str">
        <f>VLOOKUP(A139,DataUsuario!B:D,2,FALSE)</f>
        <v>Administración y Finanzas</v>
      </c>
      <c r="E139" t="str">
        <f>VLOOKUP(A139,DataUsuario!B:D,3,FALSE)</f>
        <v>Legal</v>
      </c>
      <c r="F139" t="s">
        <v>66</v>
      </c>
    </row>
    <row r="140" spans="1:6" x14ac:dyDescent="0.3">
      <c r="A140" s="157" t="s">
        <v>82</v>
      </c>
      <c r="B140" t="s">
        <v>41</v>
      </c>
      <c r="C140" s="160">
        <v>4</v>
      </c>
      <c r="D140" t="str">
        <f>VLOOKUP(A140,DataUsuario!B:D,2,FALSE)</f>
        <v>Industrial y de Mantenimiento</v>
      </c>
      <c r="E140" t="str">
        <f>VLOOKUP(A140,DataUsuario!B:D,3,FALSE)</f>
        <v>Producción</v>
      </c>
      <c r="F140" t="s">
        <v>74</v>
      </c>
    </row>
    <row r="141" spans="1:6" x14ac:dyDescent="0.3">
      <c r="A141" s="158" t="s">
        <v>378</v>
      </c>
      <c r="B141" t="s">
        <v>41</v>
      </c>
      <c r="C141" s="161">
        <v>4</v>
      </c>
      <c r="D141" t="str">
        <f>VLOOKUP(A141,DataUsuario!B:D,2,FALSE)</f>
        <v>Industrial y de Mantenimiento</v>
      </c>
      <c r="E141" t="str">
        <f>VLOOKUP(A141,DataUsuario!B:D,3,FALSE)</f>
        <v>Gerencia industrial y de Mantenimiento</v>
      </c>
      <c r="F141" t="s">
        <v>74</v>
      </c>
    </row>
    <row r="142" spans="1:6" x14ac:dyDescent="0.3">
      <c r="A142" s="157" t="s">
        <v>77</v>
      </c>
      <c r="B142" t="s">
        <v>41</v>
      </c>
      <c r="C142" s="160">
        <v>5</v>
      </c>
      <c r="D142" t="str">
        <f>VLOOKUP(A142,DataUsuario!B:D,2,FALSE)</f>
        <v>Operaciones</v>
      </c>
      <c r="E142" t="str">
        <f>VLOOKUP(A142,DataUsuario!B:D,3,FALSE)</f>
        <v>Comercial No Giro</v>
      </c>
      <c r="F142" t="s">
        <v>70</v>
      </c>
    </row>
    <row r="143" spans="1:6" x14ac:dyDescent="0.3">
      <c r="A143" s="158" t="s">
        <v>322</v>
      </c>
      <c r="B143" t="s">
        <v>41</v>
      </c>
      <c r="C143" s="161">
        <v>3</v>
      </c>
      <c r="D143" t="str">
        <f>VLOOKUP(A143,DataUsuario!B:D,2,FALSE)</f>
        <v>Administración y Finanzas</v>
      </c>
      <c r="E143" t="str">
        <f>VLOOKUP(A143,DataUsuario!B:D,3,FALSE)</f>
        <v>Finanzas y Tesorería</v>
      </c>
      <c r="F143" t="s">
        <v>66</v>
      </c>
    </row>
    <row r="144" spans="1:6" x14ac:dyDescent="0.3">
      <c r="A144" s="157" t="s">
        <v>215</v>
      </c>
      <c r="B144" t="s">
        <v>41</v>
      </c>
      <c r="C144" s="160">
        <v>5</v>
      </c>
      <c r="D144" t="str">
        <f>VLOOKUP(A144,DataUsuario!B:D,2,FALSE)</f>
        <v>Gestión Humana y Sostenibilidad</v>
      </c>
      <c r="E144" t="str">
        <f>VLOOKUP(A144,DataUsuario!B:D,3,FALSE)</f>
        <v>Seguridad</v>
      </c>
      <c r="F144" t="s">
        <v>62</v>
      </c>
    </row>
    <row r="145" spans="1:6" x14ac:dyDescent="0.3">
      <c r="A145" s="158" t="s">
        <v>258</v>
      </c>
      <c r="B145" t="s">
        <v>41</v>
      </c>
      <c r="C145" s="161">
        <v>4</v>
      </c>
      <c r="D145" t="str">
        <f>VLOOKUP(A145,DataUsuario!B:D,2,FALSE)</f>
        <v>Operaciones</v>
      </c>
      <c r="E145" t="str">
        <f>VLOOKUP(A145,DataUsuario!B:D,3,FALSE)</f>
        <v>Calidad</v>
      </c>
      <c r="F145" t="s">
        <v>70</v>
      </c>
    </row>
    <row r="146" spans="1:6" x14ac:dyDescent="0.3">
      <c r="A146" s="157" t="s">
        <v>316</v>
      </c>
      <c r="B146" t="s">
        <v>41</v>
      </c>
      <c r="C146" s="160">
        <v>3</v>
      </c>
      <c r="D146" t="str">
        <f>VLOOKUP(A146,DataUsuario!B:D,2,FALSE)</f>
        <v>Administración y Finanzas</v>
      </c>
      <c r="E146" t="str">
        <f>VLOOKUP(A146,DataUsuario!B:D,3,FALSE)</f>
        <v>Compras</v>
      </c>
      <c r="F146" t="s">
        <v>66</v>
      </c>
    </row>
    <row r="147" spans="1:6" x14ac:dyDescent="0.3">
      <c r="A147" s="158" t="s">
        <v>275</v>
      </c>
      <c r="B147" t="s">
        <v>41</v>
      </c>
      <c r="C147" s="161">
        <v>4</v>
      </c>
      <c r="D147" t="str">
        <f>VLOOKUP(A147,DataUsuario!B:D,2,FALSE)</f>
        <v>Administración y Finanzas</v>
      </c>
      <c r="E147" t="str">
        <f>VLOOKUP(A147,DataUsuario!B:D,3,FALSE)</f>
        <v>Compras</v>
      </c>
      <c r="F147" t="s">
        <v>66</v>
      </c>
    </row>
    <row r="148" spans="1:6" x14ac:dyDescent="0.3">
      <c r="A148" s="157" t="s">
        <v>318</v>
      </c>
      <c r="B148" t="s">
        <v>41</v>
      </c>
      <c r="C148" s="160" t="s">
        <v>615</v>
      </c>
      <c r="D148" t="str">
        <f>VLOOKUP(A148,DataUsuario!B:D,2,FALSE)</f>
        <v>Operaciones</v>
      </c>
      <c r="E148" t="str">
        <f>VLOOKUP(A148,DataUsuario!B:D,3,FALSE)</f>
        <v>Cosecha</v>
      </c>
      <c r="F148" t="s">
        <v>70</v>
      </c>
    </row>
    <row r="149" spans="1:6" x14ac:dyDescent="0.3">
      <c r="A149" s="158" t="s">
        <v>176</v>
      </c>
      <c r="B149" t="s">
        <v>41</v>
      </c>
      <c r="C149" s="161">
        <v>5</v>
      </c>
      <c r="D149" t="str">
        <f>VLOOKUP(A149,DataUsuario!B:D,2,FALSE)</f>
        <v>Administración y Finanzas</v>
      </c>
      <c r="E149" t="str">
        <f>VLOOKUP(A149,DataUsuario!B:D,3,FALSE)</f>
        <v>Cadenas Productivas</v>
      </c>
      <c r="F149" t="s">
        <v>66</v>
      </c>
    </row>
    <row r="150" spans="1:6" x14ac:dyDescent="0.3">
      <c r="A150" s="157" t="s">
        <v>341</v>
      </c>
      <c r="B150" t="s">
        <v>41</v>
      </c>
      <c r="C150" s="160">
        <v>5</v>
      </c>
      <c r="D150" t="str">
        <f>VLOOKUP(A150,DataUsuario!B:D,2,FALSE)</f>
        <v>Administración y Finanzas</v>
      </c>
      <c r="E150" t="str">
        <f>VLOOKUP(A150,DataUsuario!B:D,3,FALSE)</f>
        <v>Contabilidad Tributaria</v>
      </c>
      <c r="F150" t="s">
        <v>66</v>
      </c>
    </row>
    <row r="151" spans="1:6" x14ac:dyDescent="0.3">
      <c r="A151" s="158" t="s">
        <v>314</v>
      </c>
      <c r="B151" t="s">
        <v>41</v>
      </c>
      <c r="C151" s="161">
        <v>4</v>
      </c>
      <c r="D151" t="str">
        <f>VLOOKUP(A151,DataUsuario!B:D,2,FALSE)</f>
        <v>Industrial y de Mantenimiento</v>
      </c>
      <c r="E151" t="str">
        <f>VLOOKUP(A151,DataUsuario!B:D,3,FALSE)</f>
        <v>Mantenimiento Industrial</v>
      </c>
      <c r="F151" t="s">
        <v>74</v>
      </c>
    </row>
    <row r="152" spans="1:6" x14ac:dyDescent="0.3">
      <c r="A152" s="157" t="s">
        <v>421</v>
      </c>
      <c r="B152" t="s">
        <v>41</v>
      </c>
      <c r="C152" s="160">
        <v>4</v>
      </c>
      <c r="D152" t="str">
        <f>VLOOKUP(A152,DataUsuario!B:D,2,FALSE)</f>
        <v>Operaciones</v>
      </c>
      <c r="E152" t="str">
        <f>VLOOKUP(A152,DataUsuario!B:D,3,FALSE)</f>
        <v>Cosecha</v>
      </c>
      <c r="F152" t="s">
        <v>70</v>
      </c>
    </row>
    <row r="153" spans="1:6" x14ac:dyDescent="0.3">
      <c r="A153" s="158" t="s">
        <v>236</v>
      </c>
      <c r="B153" t="s">
        <v>41</v>
      </c>
      <c r="C153" s="161">
        <v>5</v>
      </c>
      <c r="D153" t="str">
        <f>VLOOKUP(A153,DataUsuario!B:D,2,FALSE)</f>
        <v>Administración y Finanzas</v>
      </c>
      <c r="E153" t="str">
        <f>VLOOKUP(A153,DataUsuario!B:D,3,FALSE)</f>
        <v>Sistemas y TI</v>
      </c>
      <c r="F153" t="s">
        <v>66</v>
      </c>
    </row>
    <row r="154" spans="1:6" x14ac:dyDescent="0.3">
      <c r="A154" s="157" t="s">
        <v>145</v>
      </c>
      <c r="B154" t="s">
        <v>41</v>
      </c>
      <c r="C154" s="160">
        <v>5</v>
      </c>
      <c r="D154" t="str">
        <f>VLOOKUP(A154,DataUsuario!B:D,2,FALSE)</f>
        <v>Administración y Finanzas</v>
      </c>
      <c r="E154" t="str">
        <f>VLOOKUP(A154,DataUsuario!B:D,3,FALSE)</f>
        <v>Legal</v>
      </c>
      <c r="F154" t="s">
        <v>66</v>
      </c>
    </row>
    <row r="155" spans="1:6" x14ac:dyDescent="0.3">
      <c r="A155" s="158" t="s">
        <v>439</v>
      </c>
      <c r="B155" t="s">
        <v>41</v>
      </c>
      <c r="C155" s="161">
        <v>5</v>
      </c>
      <c r="D155" t="str">
        <f>VLOOKUP(A155,DataUsuario!B:D,2,FALSE)</f>
        <v>Operaciones</v>
      </c>
      <c r="E155" t="str">
        <f>VLOOKUP(A155,DataUsuario!B:D,3,FALSE)</f>
        <v>Comercial</v>
      </c>
      <c r="F155" t="s">
        <v>70</v>
      </c>
    </row>
    <row r="156" spans="1:6" x14ac:dyDescent="0.3">
      <c r="A156" s="157" t="s">
        <v>435</v>
      </c>
      <c r="B156" t="s">
        <v>41</v>
      </c>
      <c r="C156" s="160">
        <v>5</v>
      </c>
      <c r="D156" t="str">
        <f>VLOOKUP(A156,DataUsuario!B:D,2,FALSE)</f>
        <v>Operaciones</v>
      </c>
      <c r="E156" t="str">
        <f>VLOOKUP(A156,DataUsuario!B:D,3,FALSE)</f>
        <v>Almacenes y Distribución PT</v>
      </c>
      <c r="F156" t="s">
        <v>70</v>
      </c>
    </row>
    <row r="157" spans="1:6" x14ac:dyDescent="0.3">
      <c r="A157" s="158" t="s">
        <v>603</v>
      </c>
      <c r="B157" t="s">
        <v>41</v>
      </c>
      <c r="C157" s="161">
        <v>5</v>
      </c>
      <c r="D157" t="str">
        <f>VLOOKUP(A157,DataUsuario!B:D,2,FALSE)</f>
        <v>Gestión Humana y Sostenibilidad</v>
      </c>
      <c r="E157" t="str">
        <f>VLOOKUP(A157,DataUsuario!B:D,3,FALSE)</f>
        <v>Bienestar - Medico Ocupacional</v>
      </c>
      <c r="F157" t="s">
        <v>62</v>
      </c>
    </row>
    <row r="158" spans="1:6" x14ac:dyDescent="0.3">
      <c r="A158" s="157" t="s">
        <v>604</v>
      </c>
      <c r="B158" t="s">
        <v>41</v>
      </c>
      <c r="C158" s="160">
        <v>5</v>
      </c>
      <c r="D158" t="str">
        <f>VLOOKUP(A158,DataUsuario!B:D,2,FALSE)</f>
        <v>Gestión Humana y Sostenibilidad</v>
      </c>
      <c r="E158" t="str">
        <f>VLOOKUP(A158,DataUsuario!B:D,3,FALSE)</f>
        <v>Seguridad</v>
      </c>
      <c r="F158" t="s">
        <v>62</v>
      </c>
    </row>
    <row r="159" spans="1:6" x14ac:dyDescent="0.3">
      <c r="A159" s="158" t="s">
        <v>85</v>
      </c>
      <c r="B159" t="s">
        <v>41</v>
      </c>
      <c r="C159" s="161">
        <v>5</v>
      </c>
      <c r="D159" t="str">
        <f>VLOOKUP(A159,DataUsuario!B:D,2,FALSE)</f>
        <v>Operaciones</v>
      </c>
      <c r="E159" t="str">
        <f>VLOOKUP(A159,DataUsuario!B:D,3,FALSE)</f>
        <v>Comercial</v>
      </c>
      <c r="F159" t="s">
        <v>70</v>
      </c>
    </row>
    <row r="160" spans="1:6" x14ac:dyDescent="0.3">
      <c r="A160" s="157" t="s">
        <v>249</v>
      </c>
      <c r="B160" t="s">
        <v>41</v>
      </c>
      <c r="C160" s="160">
        <v>4</v>
      </c>
      <c r="D160" t="str">
        <f>VLOOKUP(A160,DataUsuario!B:D,2,FALSE)</f>
        <v>Administración y Finanzas</v>
      </c>
      <c r="E160" t="str">
        <f>VLOOKUP(A160,DataUsuario!B:D,3,FALSE)</f>
        <v>Compras</v>
      </c>
      <c r="F160" t="s">
        <v>66</v>
      </c>
    </row>
    <row r="161" spans="1:6" x14ac:dyDescent="0.3">
      <c r="A161" s="158" t="s">
        <v>221</v>
      </c>
      <c r="B161" t="s">
        <v>41</v>
      </c>
      <c r="C161" s="161">
        <v>5</v>
      </c>
      <c r="D161" t="str">
        <f>VLOOKUP(A161,DataUsuario!B:D,2,FALSE)</f>
        <v>Administración y Finanzas</v>
      </c>
      <c r="E161" t="str">
        <f>VLOOKUP(A161,DataUsuario!B:D,3,FALSE)</f>
        <v>Sistemas y TI</v>
      </c>
      <c r="F161" t="s">
        <v>66</v>
      </c>
    </row>
    <row r="162" spans="1:6" x14ac:dyDescent="0.3">
      <c r="A162" s="157" t="s">
        <v>271</v>
      </c>
      <c r="B162" t="s">
        <v>41</v>
      </c>
      <c r="C162" s="160">
        <v>4</v>
      </c>
      <c r="D162" t="str">
        <f>VLOOKUP(A162,DataUsuario!B:D,2,FALSE)</f>
        <v>Operaciones</v>
      </c>
      <c r="E162" t="str">
        <f>VLOOKUP(A162,DataUsuario!B:D,3,FALSE)</f>
        <v>Calidad</v>
      </c>
      <c r="F162" t="s">
        <v>70</v>
      </c>
    </row>
    <row r="163" spans="1:6" x14ac:dyDescent="0.3">
      <c r="A163" s="158" t="s">
        <v>387</v>
      </c>
      <c r="B163" t="s">
        <v>41</v>
      </c>
      <c r="C163" s="161">
        <v>4</v>
      </c>
      <c r="D163" t="str">
        <f>VLOOKUP(A163,DataUsuario!B:D,2,FALSE)</f>
        <v>Administración y Finanzas</v>
      </c>
      <c r="E163" t="str">
        <f>VLOOKUP(A163,DataUsuario!B:D,3,FALSE)</f>
        <v>Contabilidad Tributaria</v>
      </c>
      <c r="F163" t="s">
        <v>66</v>
      </c>
    </row>
    <row r="164" spans="1:6" x14ac:dyDescent="0.3">
      <c r="A164" s="157" t="s">
        <v>256</v>
      </c>
      <c r="B164" t="s">
        <v>41</v>
      </c>
      <c r="C164" s="160">
        <v>4</v>
      </c>
      <c r="D164" t="str">
        <f>VLOOKUP(A164,DataUsuario!B:D,2,FALSE)</f>
        <v>Agrícola</v>
      </c>
      <c r="E164" t="str">
        <f>VLOOKUP(A164,DataUsuario!B:D,3,FALSE)</f>
        <v>Fundo Montelima</v>
      </c>
      <c r="F164" t="s">
        <v>89</v>
      </c>
    </row>
    <row r="165" spans="1:6" x14ac:dyDescent="0.3">
      <c r="A165" s="158" t="s">
        <v>585</v>
      </c>
      <c r="B165" t="s">
        <v>41</v>
      </c>
      <c r="C165" s="161">
        <v>5</v>
      </c>
      <c r="D165" t="str">
        <f>VLOOKUP(A165,DataUsuario!B:D,2,FALSE)</f>
        <v>Operaciones</v>
      </c>
      <c r="E165" t="str">
        <f>VLOOKUP(A165,DataUsuario!B:D,3,FALSE)</f>
        <v>Comercial</v>
      </c>
      <c r="F165" t="s">
        <v>70</v>
      </c>
    </row>
    <row r="166" spans="1:6" x14ac:dyDescent="0.3">
      <c r="A166" s="157" t="s">
        <v>307</v>
      </c>
      <c r="B166" t="s">
        <v>41</v>
      </c>
      <c r="C166" s="160">
        <v>4</v>
      </c>
      <c r="D166" t="str">
        <f>VLOOKUP(A166,DataUsuario!B:D,2,FALSE)</f>
        <v>Gestión Humana y Sostenibilidad</v>
      </c>
      <c r="E166" t="str">
        <f>VLOOKUP(A166,DataUsuario!B:D,3,FALSE)</f>
        <v>Comunicaciones y Responsabilidad Social</v>
      </c>
      <c r="F166" t="s">
        <v>62</v>
      </c>
    </row>
    <row r="167" spans="1:6" x14ac:dyDescent="0.3">
      <c r="A167" s="158" t="s">
        <v>92</v>
      </c>
      <c r="B167" t="s">
        <v>41</v>
      </c>
      <c r="C167" s="161">
        <v>5</v>
      </c>
      <c r="D167" t="str">
        <f>VLOOKUP(A167,DataUsuario!B:D,2,FALSE)</f>
        <v>Administración y Finanzas</v>
      </c>
      <c r="E167" t="str">
        <f>VLOOKUP(A167,DataUsuario!B:D,3,FALSE)</f>
        <v>Control de Gestión</v>
      </c>
      <c r="F167" t="s">
        <v>66</v>
      </c>
    </row>
    <row r="168" spans="1:6" x14ac:dyDescent="0.3">
      <c r="A168" s="157" t="s">
        <v>61</v>
      </c>
      <c r="B168" t="s">
        <v>41</v>
      </c>
      <c r="C168" s="160">
        <v>4</v>
      </c>
      <c r="D168" t="str">
        <f>VLOOKUP(A168,DataUsuario!B:D,2,FALSE)</f>
        <v>Gestión Humana y Sostenibilidad</v>
      </c>
      <c r="E168" t="str">
        <f>VLOOKUP(A168,DataUsuario!B:D,3,FALSE)</f>
        <v>Compensación y Nóminas</v>
      </c>
      <c r="F168" t="s">
        <v>62</v>
      </c>
    </row>
    <row r="169" spans="1:6" x14ac:dyDescent="0.3">
      <c r="A169" s="158" t="s">
        <v>254</v>
      </c>
      <c r="B169" t="s">
        <v>41</v>
      </c>
      <c r="C169" s="161">
        <v>4</v>
      </c>
      <c r="D169" t="str">
        <f>VLOOKUP(A169,DataUsuario!B:D,2,FALSE)</f>
        <v>Administración y Finanzas</v>
      </c>
      <c r="E169" t="str">
        <f>VLOOKUP(A169,DataUsuario!B:D,3,FALSE)</f>
        <v>Administración</v>
      </c>
      <c r="F169" t="s">
        <v>66</v>
      </c>
    </row>
    <row r="170" spans="1:6" x14ac:dyDescent="0.3">
      <c r="A170" s="157" t="s">
        <v>224</v>
      </c>
      <c r="B170" t="s">
        <v>41</v>
      </c>
      <c r="C170" s="160">
        <v>4</v>
      </c>
      <c r="D170" t="str">
        <f>VLOOKUP(A170,DataUsuario!B:D,2,FALSE)</f>
        <v>Agrícola</v>
      </c>
      <c r="E170" t="str">
        <f>VLOOKUP(A170,DataUsuario!B:D,3,FALSE)</f>
        <v>Laboratorio e Investigación Agricola</v>
      </c>
      <c r="F170" t="s">
        <v>89</v>
      </c>
    </row>
    <row r="171" spans="1:6" x14ac:dyDescent="0.3">
      <c r="A171" s="158" t="s">
        <v>326</v>
      </c>
      <c r="B171" t="s">
        <v>41</v>
      </c>
      <c r="C171" s="161" t="s">
        <v>615</v>
      </c>
      <c r="D171" t="str">
        <f>VLOOKUP(A171,DataUsuario!B:D,2,FALSE)</f>
        <v>Operaciones</v>
      </c>
      <c r="E171" t="str">
        <f>VLOOKUP(A171,DataUsuario!B:D,3,FALSE)</f>
        <v>Calidad</v>
      </c>
      <c r="F171" t="s">
        <v>70</v>
      </c>
    </row>
    <row r="172" spans="1:6" x14ac:dyDescent="0.3">
      <c r="A172" s="157" t="s">
        <v>345</v>
      </c>
      <c r="B172" t="s">
        <v>41</v>
      </c>
      <c r="C172" s="160" t="s">
        <v>615</v>
      </c>
      <c r="D172" t="str">
        <f>VLOOKUP(A172,DataUsuario!B:D,2,FALSE)</f>
        <v>Agrícola</v>
      </c>
      <c r="E172" t="str">
        <f>VLOOKUP(A172,DataUsuario!B:D,3,FALSE)</f>
        <v>Mantenimiento de Riego y Bombas</v>
      </c>
      <c r="F172" t="s">
        <v>89</v>
      </c>
    </row>
    <row r="173" spans="1:6" x14ac:dyDescent="0.3">
      <c r="A173" s="158" t="s">
        <v>337</v>
      </c>
      <c r="B173" t="s">
        <v>41</v>
      </c>
      <c r="C173" s="161">
        <v>5</v>
      </c>
      <c r="D173" t="str">
        <f>VLOOKUP(A173,DataUsuario!B:D,2,FALSE)</f>
        <v>Agrícola</v>
      </c>
      <c r="E173" t="str">
        <f>VLOOKUP(A173,DataUsuario!B:D,3,FALSE)</f>
        <v>Fundo San Vicente</v>
      </c>
      <c r="F173" t="s">
        <v>89</v>
      </c>
    </row>
    <row r="174" spans="1:6" x14ac:dyDescent="0.3">
      <c r="A174" s="157" t="s">
        <v>611</v>
      </c>
      <c r="B174" t="s">
        <v>41</v>
      </c>
      <c r="C174" s="160">
        <v>5</v>
      </c>
      <c r="D174" t="str">
        <f>VLOOKUP(A174,DataUsuario!B:D,2,FALSE)</f>
        <v>Gestión Humana y Sostenibilidad</v>
      </c>
      <c r="E174" t="str">
        <f>VLOOKUP(A174,DataUsuario!B:D,3,FALSE)</f>
        <v>Gestión Humana</v>
      </c>
      <c r="F174" t="s">
        <v>62</v>
      </c>
    </row>
    <row r="175" spans="1:6" x14ac:dyDescent="0.3">
      <c r="A175" s="158" t="s">
        <v>374</v>
      </c>
      <c r="B175" t="s">
        <v>41</v>
      </c>
      <c r="C175" s="161">
        <v>4</v>
      </c>
      <c r="D175" t="str">
        <f>VLOOKUP(A175,DataUsuario!B:D,2,FALSE)</f>
        <v>Agrícola</v>
      </c>
      <c r="E175" t="str">
        <f>VLOOKUP(A175,DataUsuario!B:D,3,FALSE)</f>
        <v>Mantenimiento de Riego y Bombas</v>
      </c>
      <c r="F175" t="s">
        <v>89</v>
      </c>
    </row>
    <row r="176" spans="1:6" x14ac:dyDescent="0.3">
      <c r="A176" s="157" t="s">
        <v>613</v>
      </c>
      <c r="B176" t="s">
        <v>41</v>
      </c>
      <c r="C176" s="160">
        <v>5</v>
      </c>
      <c r="D176" t="str">
        <f>VLOOKUP(A176,DataUsuario!B:D,2,FALSE)</f>
        <v>Administración y Finanzas</v>
      </c>
      <c r="E176" t="str">
        <f>VLOOKUP(A176,DataUsuario!B:D,3,FALSE)</f>
        <v>Compras</v>
      </c>
      <c r="F176" t="s">
        <v>66</v>
      </c>
    </row>
    <row r="177" spans="1:6" x14ac:dyDescent="0.3">
      <c r="A177" s="159" t="s">
        <v>136</v>
      </c>
      <c r="B177" t="s">
        <v>41</v>
      </c>
      <c r="C177" s="162">
        <v>5</v>
      </c>
      <c r="D177" t="str">
        <f>VLOOKUP(A177,DataUsuario!B:D,2,FALSE)</f>
        <v>Operaciones</v>
      </c>
      <c r="E177" t="str">
        <f>VLOOKUP(A177,DataUsuario!B:D,3,FALSE)</f>
        <v>Comercial</v>
      </c>
      <c r="F177" t="s">
        <v>70</v>
      </c>
    </row>
    <row r="178" spans="1:6" x14ac:dyDescent="0.3">
      <c r="A178" s="157" t="s">
        <v>207</v>
      </c>
      <c r="B178" t="s">
        <v>42</v>
      </c>
      <c r="C178" s="163">
        <v>5</v>
      </c>
      <c r="D178" t="str">
        <f>VLOOKUP(A178,DataUsuario!B:D,2,FALSE)</f>
        <v>Administración y Finanzas</v>
      </c>
      <c r="E178" t="str">
        <f>VLOOKUP(A178,DataUsuario!B:D,3,FALSE)</f>
        <v>Riesgos y Cumplimiento</v>
      </c>
      <c r="F178" t="s">
        <v>66</v>
      </c>
    </row>
    <row r="179" spans="1:6" x14ac:dyDescent="0.3">
      <c r="A179" s="158" t="s">
        <v>133</v>
      </c>
      <c r="B179" t="s">
        <v>42</v>
      </c>
      <c r="C179" s="164">
        <v>4</v>
      </c>
      <c r="D179" t="str">
        <f>VLOOKUP(A179,DataUsuario!B:D,2,FALSE)</f>
        <v>Industrial y de Mantenimiento</v>
      </c>
      <c r="E179" t="str">
        <f>VLOOKUP(A179,DataUsuario!B:D,3,FALSE)</f>
        <v>Electricidad</v>
      </c>
      <c r="F179" t="s">
        <v>74</v>
      </c>
    </row>
    <row r="180" spans="1:6" x14ac:dyDescent="0.3">
      <c r="A180" s="157" t="s">
        <v>431</v>
      </c>
      <c r="B180" t="s">
        <v>42</v>
      </c>
      <c r="C180" s="163">
        <v>3</v>
      </c>
      <c r="D180" t="str">
        <f>VLOOKUP(A180,DataUsuario!B:D,2,FALSE)</f>
        <v>Agrícola</v>
      </c>
      <c r="E180" t="str">
        <f>VLOOKUP(A180,DataUsuario!B:D,3,FALSE)</f>
        <v>Fundo San Vicente</v>
      </c>
      <c r="F180" t="s">
        <v>89</v>
      </c>
    </row>
    <row r="181" spans="1:6" x14ac:dyDescent="0.3">
      <c r="A181" s="158" t="s">
        <v>123</v>
      </c>
      <c r="B181" t="s">
        <v>42</v>
      </c>
      <c r="C181" s="164">
        <v>4</v>
      </c>
      <c r="D181" t="str">
        <f>VLOOKUP(A181,DataUsuario!B:D,2,FALSE)</f>
        <v>Administración y Finanzas</v>
      </c>
      <c r="E181" t="str">
        <f>VLOOKUP(A181,DataUsuario!B:D,3,FALSE)</f>
        <v>Gerencia Administración y Finanzas</v>
      </c>
      <c r="F181" t="s">
        <v>66</v>
      </c>
    </row>
    <row r="182" spans="1:6" x14ac:dyDescent="0.3">
      <c r="A182" s="157" t="s">
        <v>289</v>
      </c>
      <c r="B182" t="s">
        <v>42</v>
      </c>
      <c r="C182" s="163">
        <v>3</v>
      </c>
      <c r="D182" t="str">
        <f>VLOOKUP(A182,DataUsuario!B:D,2,FALSE)</f>
        <v>Agrícola</v>
      </c>
      <c r="E182" t="str">
        <f>VLOOKUP(A182,DataUsuario!B:D,3,FALSE)</f>
        <v>Mantenimiento de Riego y Bombas</v>
      </c>
      <c r="F182" t="s">
        <v>89</v>
      </c>
    </row>
    <row r="183" spans="1:6" x14ac:dyDescent="0.3">
      <c r="A183" s="158" t="s">
        <v>299</v>
      </c>
      <c r="B183" t="s">
        <v>42</v>
      </c>
      <c r="C183" s="164">
        <v>5</v>
      </c>
      <c r="D183" t="str">
        <f>VLOOKUP(A183,DataUsuario!B:D,2,FALSE)</f>
        <v>Administración y Finanzas</v>
      </c>
      <c r="E183" t="str">
        <f>VLOOKUP(A183,DataUsuario!B:D,3,FALSE)</f>
        <v>Legal</v>
      </c>
      <c r="F183" t="s">
        <v>66</v>
      </c>
    </row>
    <row r="184" spans="1:6" x14ac:dyDescent="0.3">
      <c r="A184" s="157" t="s">
        <v>82</v>
      </c>
      <c r="B184" t="s">
        <v>42</v>
      </c>
      <c r="C184" s="163" t="s">
        <v>615</v>
      </c>
      <c r="D184" t="str">
        <f>VLOOKUP(A184,DataUsuario!B:D,2,FALSE)</f>
        <v>Industrial y de Mantenimiento</v>
      </c>
      <c r="E184" t="str">
        <f>VLOOKUP(A184,DataUsuario!B:D,3,FALSE)</f>
        <v>Producción</v>
      </c>
      <c r="F184" t="s">
        <v>74</v>
      </c>
    </row>
    <row r="185" spans="1:6" x14ac:dyDescent="0.3">
      <c r="A185" s="158" t="s">
        <v>378</v>
      </c>
      <c r="B185" t="s">
        <v>42</v>
      </c>
      <c r="C185" s="164">
        <v>4</v>
      </c>
      <c r="D185" t="str">
        <f>VLOOKUP(A185,DataUsuario!B:D,2,FALSE)</f>
        <v>Industrial y de Mantenimiento</v>
      </c>
      <c r="E185" t="str">
        <f>VLOOKUP(A185,DataUsuario!B:D,3,FALSE)</f>
        <v>Gerencia industrial y de Mantenimiento</v>
      </c>
      <c r="F185" t="s">
        <v>74</v>
      </c>
    </row>
    <row r="186" spans="1:6" x14ac:dyDescent="0.3">
      <c r="A186" s="157" t="s">
        <v>77</v>
      </c>
      <c r="B186" t="s">
        <v>42</v>
      </c>
      <c r="C186" s="163">
        <v>5</v>
      </c>
      <c r="D186" t="str">
        <f>VLOOKUP(A186,DataUsuario!B:D,2,FALSE)</f>
        <v>Operaciones</v>
      </c>
      <c r="E186" t="str">
        <f>VLOOKUP(A186,DataUsuario!B:D,3,FALSE)</f>
        <v>Comercial No Giro</v>
      </c>
      <c r="F186" t="s">
        <v>70</v>
      </c>
    </row>
    <row r="187" spans="1:6" x14ac:dyDescent="0.3">
      <c r="A187" s="158" t="s">
        <v>322</v>
      </c>
      <c r="B187" t="s">
        <v>42</v>
      </c>
      <c r="C187" s="164">
        <v>3</v>
      </c>
      <c r="D187" t="str">
        <f>VLOOKUP(A187,DataUsuario!B:D,2,FALSE)</f>
        <v>Administración y Finanzas</v>
      </c>
      <c r="E187" t="str">
        <f>VLOOKUP(A187,DataUsuario!B:D,3,FALSE)</f>
        <v>Finanzas y Tesorería</v>
      </c>
      <c r="F187" t="s">
        <v>66</v>
      </c>
    </row>
    <row r="188" spans="1:6" x14ac:dyDescent="0.3">
      <c r="A188" s="157" t="s">
        <v>215</v>
      </c>
      <c r="B188" t="s">
        <v>42</v>
      </c>
      <c r="C188" s="163">
        <v>5</v>
      </c>
      <c r="D188" t="str">
        <f>VLOOKUP(A188,DataUsuario!B:D,2,FALSE)</f>
        <v>Gestión Humana y Sostenibilidad</v>
      </c>
      <c r="E188" t="str">
        <f>VLOOKUP(A188,DataUsuario!B:D,3,FALSE)</f>
        <v>Seguridad</v>
      </c>
      <c r="F188" t="s">
        <v>62</v>
      </c>
    </row>
    <row r="189" spans="1:6" x14ac:dyDescent="0.3">
      <c r="A189" s="158" t="s">
        <v>258</v>
      </c>
      <c r="B189" t="s">
        <v>42</v>
      </c>
      <c r="C189" s="164" t="s">
        <v>615</v>
      </c>
      <c r="D189" t="str">
        <f>VLOOKUP(A189,DataUsuario!B:D,2,FALSE)</f>
        <v>Operaciones</v>
      </c>
      <c r="E189" t="str">
        <f>VLOOKUP(A189,DataUsuario!B:D,3,FALSE)</f>
        <v>Calidad</v>
      </c>
      <c r="F189" t="s">
        <v>70</v>
      </c>
    </row>
    <row r="190" spans="1:6" x14ac:dyDescent="0.3">
      <c r="A190" s="157" t="s">
        <v>316</v>
      </c>
      <c r="B190" t="s">
        <v>42</v>
      </c>
      <c r="C190" s="163">
        <v>5</v>
      </c>
      <c r="D190" t="str">
        <f>VLOOKUP(A190,DataUsuario!B:D,2,FALSE)</f>
        <v>Administración y Finanzas</v>
      </c>
      <c r="E190" t="str">
        <f>VLOOKUP(A190,DataUsuario!B:D,3,FALSE)</f>
        <v>Compras</v>
      </c>
      <c r="F190" t="s">
        <v>66</v>
      </c>
    </row>
    <row r="191" spans="1:6" x14ac:dyDescent="0.3">
      <c r="A191" s="158" t="s">
        <v>275</v>
      </c>
      <c r="B191" t="s">
        <v>42</v>
      </c>
      <c r="C191" s="164">
        <v>4</v>
      </c>
      <c r="D191" t="str">
        <f>VLOOKUP(A191,DataUsuario!B:D,2,FALSE)</f>
        <v>Administración y Finanzas</v>
      </c>
      <c r="E191" t="str">
        <f>VLOOKUP(A191,DataUsuario!B:D,3,FALSE)</f>
        <v>Compras</v>
      </c>
      <c r="F191" t="s">
        <v>66</v>
      </c>
    </row>
    <row r="192" spans="1:6" x14ac:dyDescent="0.3">
      <c r="A192" s="157" t="s">
        <v>318</v>
      </c>
      <c r="B192" t="s">
        <v>42</v>
      </c>
      <c r="C192" s="163" t="s">
        <v>615</v>
      </c>
      <c r="D192" t="str">
        <f>VLOOKUP(A192,DataUsuario!B:D,2,FALSE)</f>
        <v>Operaciones</v>
      </c>
      <c r="E192" t="str">
        <f>VLOOKUP(A192,DataUsuario!B:D,3,FALSE)</f>
        <v>Cosecha</v>
      </c>
      <c r="F192" t="s">
        <v>70</v>
      </c>
    </row>
    <row r="193" spans="1:6" x14ac:dyDescent="0.3">
      <c r="A193" s="158" t="s">
        <v>176</v>
      </c>
      <c r="B193" t="s">
        <v>42</v>
      </c>
      <c r="C193" s="164" t="s">
        <v>615</v>
      </c>
      <c r="D193" t="str">
        <f>VLOOKUP(A193,DataUsuario!B:D,2,FALSE)</f>
        <v>Administración y Finanzas</v>
      </c>
      <c r="E193" t="str">
        <f>VLOOKUP(A193,DataUsuario!B:D,3,FALSE)</f>
        <v>Cadenas Productivas</v>
      </c>
      <c r="F193" t="s">
        <v>66</v>
      </c>
    </row>
    <row r="194" spans="1:6" x14ac:dyDescent="0.3">
      <c r="A194" s="157" t="s">
        <v>341</v>
      </c>
      <c r="B194" t="s">
        <v>42</v>
      </c>
      <c r="C194" s="163">
        <v>5</v>
      </c>
      <c r="D194" t="str">
        <f>VLOOKUP(A194,DataUsuario!B:D,2,FALSE)</f>
        <v>Administración y Finanzas</v>
      </c>
      <c r="E194" t="str">
        <f>VLOOKUP(A194,DataUsuario!B:D,3,FALSE)</f>
        <v>Contabilidad Tributaria</v>
      </c>
      <c r="F194" t="s">
        <v>66</v>
      </c>
    </row>
    <row r="195" spans="1:6" x14ac:dyDescent="0.3">
      <c r="A195" s="158" t="s">
        <v>314</v>
      </c>
      <c r="B195" t="s">
        <v>42</v>
      </c>
      <c r="C195" s="164" t="s">
        <v>615</v>
      </c>
      <c r="D195" t="str">
        <f>VLOOKUP(A195,DataUsuario!B:D,2,FALSE)</f>
        <v>Industrial y de Mantenimiento</v>
      </c>
      <c r="E195" t="str">
        <f>VLOOKUP(A195,DataUsuario!B:D,3,FALSE)</f>
        <v>Mantenimiento Industrial</v>
      </c>
      <c r="F195" t="s">
        <v>74</v>
      </c>
    </row>
    <row r="196" spans="1:6" x14ac:dyDescent="0.3">
      <c r="A196" s="157" t="s">
        <v>421</v>
      </c>
      <c r="B196" t="s">
        <v>42</v>
      </c>
      <c r="C196" s="163">
        <v>4</v>
      </c>
      <c r="D196" t="str">
        <f>VLOOKUP(A196,DataUsuario!B:D,2,FALSE)</f>
        <v>Operaciones</v>
      </c>
      <c r="E196" t="str">
        <f>VLOOKUP(A196,DataUsuario!B:D,3,FALSE)</f>
        <v>Cosecha</v>
      </c>
      <c r="F196" t="s">
        <v>70</v>
      </c>
    </row>
    <row r="197" spans="1:6" x14ac:dyDescent="0.3">
      <c r="A197" s="158" t="s">
        <v>236</v>
      </c>
      <c r="B197" t="s">
        <v>42</v>
      </c>
      <c r="C197" s="164">
        <v>4</v>
      </c>
      <c r="D197" t="str">
        <f>VLOOKUP(A197,DataUsuario!B:D,2,FALSE)</f>
        <v>Administración y Finanzas</v>
      </c>
      <c r="E197" t="str">
        <f>VLOOKUP(A197,DataUsuario!B:D,3,FALSE)</f>
        <v>Sistemas y TI</v>
      </c>
      <c r="F197" t="s">
        <v>66</v>
      </c>
    </row>
    <row r="198" spans="1:6" x14ac:dyDescent="0.3">
      <c r="A198" s="157" t="s">
        <v>145</v>
      </c>
      <c r="B198" t="s">
        <v>42</v>
      </c>
      <c r="C198" s="163">
        <v>5</v>
      </c>
      <c r="D198" t="str">
        <f>VLOOKUP(A198,DataUsuario!B:D,2,FALSE)</f>
        <v>Administración y Finanzas</v>
      </c>
      <c r="E198" t="str">
        <f>VLOOKUP(A198,DataUsuario!B:D,3,FALSE)</f>
        <v>Legal</v>
      </c>
      <c r="F198" t="s">
        <v>66</v>
      </c>
    </row>
    <row r="199" spans="1:6" x14ac:dyDescent="0.3">
      <c r="A199" s="158" t="s">
        <v>439</v>
      </c>
      <c r="B199" t="s">
        <v>42</v>
      </c>
      <c r="C199" s="164" t="s">
        <v>615</v>
      </c>
      <c r="D199" t="str">
        <f>VLOOKUP(A199,DataUsuario!B:D,2,FALSE)</f>
        <v>Operaciones</v>
      </c>
      <c r="E199" t="str">
        <f>VLOOKUP(A199,DataUsuario!B:D,3,FALSE)</f>
        <v>Comercial</v>
      </c>
      <c r="F199" t="s">
        <v>70</v>
      </c>
    </row>
    <row r="200" spans="1:6" x14ac:dyDescent="0.3">
      <c r="A200" s="157" t="s">
        <v>435</v>
      </c>
      <c r="B200" t="s">
        <v>42</v>
      </c>
      <c r="C200" s="163">
        <v>5</v>
      </c>
      <c r="D200" t="str">
        <f>VLOOKUP(A200,DataUsuario!B:D,2,FALSE)</f>
        <v>Operaciones</v>
      </c>
      <c r="E200" t="str">
        <f>VLOOKUP(A200,DataUsuario!B:D,3,FALSE)</f>
        <v>Almacenes y Distribución PT</v>
      </c>
      <c r="F200" t="s">
        <v>70</v>
      </c>
    </row>
    <row r="201" spans="1:6" x14ac:dyDescent="0.3">
      <c r="A201" s="158" t="s">
        <v>603</v>
      </c>
      <c r="B201" t="s">
        <v>42</v>
      </c>
      <c r="C201" s="164" t="s">
        <v>615</v>
      </c>
      <c r="D201" t="str">
        <f>VLOOKUP(A201,DataUsuario!B:D,2,FALSE)</f>
        <v>Gestión Humana y Sostenibilidad</v>
      </c>
      <c r="E201" t="str">
        <f>VLOOKUP(A201,DataUsuario!B:D,3,FALSE)</f>
        <v>Bienestar - Medico Ocupacional</v>
      </c>
      <c r="F201" t="s">
        <v>62</v>
      </c>
    </row>
    <row r="202" spans="1:6" x14ac:dyDescent="0.3">
      <c r="A202" s="157" t="s">
        <v>604</v>
      </c>
      <c r="B202" t="s">
        <v>42</v>
      </c>
      <c r="C202" s="163">
        <v>5</v>
      </c>
      <c r="D202" t="str">
        <f>VLOOKUP(A202,DataUsuario!B:D,2,FALSE)</f>
        <v>Gestión Humana y Sostenibilidad</v>
      </c>
      <c r="E202" t="str">
        <f>VLOOKUP(A202,DataUsuario!B:D,3,FALSE)</f>
        <v>Seguridad</v>
      </c>
      <c r="F202" t="s">
        <v>62</v>
      </c>
    </row>
    <row r="203" spans="1:6" x14ac:dyDescent="0.3">
      <c r="A203" s="158" t="s">
        <v>85</v>
      </c>
      <c r="B203" t="s">
        <v>42</v>
      </c>
      <c r="C203" s="164">
        <v>5</v>
      </c>
      <c r="D203" t="str">
        <f>VLOOKUP(A203,DataUsuario!B:D,2,FALSE)</f>
        <v>Operaciones</v>
      </c>
      <c r="E203" t="str">
        <f>VLOOKUP(A203,DataUsuario!B:D,3,FALSE)</f>
        <v>Comercial</v>
      </c>
      <c r="F203" t="s">
        <v>70</v>
      </c>
    </row>
    <row r="204" spans="1:6" x14ac:dyDescent="0.3">
      <c r="A204" s="157" t="s">
        <v>249</v>
      </c>
      <c r="B204" t="s">
        <v>42</v>
      </c>
      <c r="C204" s="163">
        <v>4</v>
      </c>
      <c r="D204" t="str">
        <f>VLOOKUP(A204,DataUsuario!B:D,2,FALSE)</f>
        <v>Administración y Finanzas</v>
      </c>
      <c r="E204" t="str">
        <f>VLOOKUP(A204,DataUsuario!B:D,3,FALSE)</f>
        <v>Compras</v>
      </c>
      <c r="F204" t="s">
        <v>66</v>
      </c>
    </row>
    <row r="205" spans="1:6" x14ac:dyDescent="0.3">
      <c r="A205" s="158" t="s">
        <v>221</v>
      </c>
      <c r="B205" t="s">
        <v>42</v>
      </c>
      <c r="C205" s="164">
        <v>5</v>
      </c>
      <c r="D205" t="str">
        <f>VLOOKUP(A205,DataUsuario!B:D,2,FALSE)</f>
        <v>Administración y Finanzas</v>
      </c>
      <c r="E205" t="str">
        <f>VLOOKUP(A205,DataUsuario!B:D,3,FALSE)</f>
        <v>Sistemas y TI</v>
      </c>
      <c r="F205" t="s">
        <v>66</v>
      </c>
    </row>
    <row r="206" spans="1:6" x14ac:dyDescent="0.3">
      <c r="A206" s="157" t="s">
        <v>271</v>
      </c>
      <c r="B206" t="s">
        <v>42</v>
      </c>
      <c r="C206" s="163">
        <v>4</v>
      </c>
      <c r="D206" t="str">
        <f>VLOOKUP(A206,DataUsuario!B:D,2,FALSE)</f>
        <v>Operaciones</v>
      </c>
      <c r="E206" t="str">
        <f>VLOOKUP(A206,DataUsuario!B:D,3,FALSE)</f>
        <v>Calidad</v>
      </c>
      <c r="F206" t="s">
        <v>70</v>
      </c>
    </row>
    <row r="207" spans="1:6" x14ac:dyDescent="0.3">
      <c r="A207" s="158" t="s">
        <v>387</v>
      </c>
      <c r="B207" t="s">
        <v>42</v>
      </c>
      <c r="C207" s="164">
        <v>4</v>
      </c>
      <c r="D207" t="str">
        <f>VLOOKUP(A207,DataUsuario!B:D,2,FALSE)</f>
        <v>Administración y Finanzas</v>
      </c>
      <c r="E207" t="str">
        <f>VLOOKUP(A207,DataUsuario!B:D,3,FALSE)</f>
        <v>Contabilidad Tributaria</v>
      </c>
      <c r="F207" t="s">
        <v>66</v>
      </c>
    </row>
    <row r="208" spans="1:6" x14ac:dyDescent="0.3">
      <c r="A208" s="157" t="s">
        <v>256</v>
      </c>
      <c r="B208" t="s">
        <v>42</v>
      </c>
      <c r="C208" s="163">
        <v>4</v>
      </c>
      <c r="D208" t="str">
        <f>VLOOKUP(A208,DataUsuario!B:D,2,FALSE)</f>
        <v>Agrícola</v>
      </c>
      <c r="E208" t="str">
        <f>VLOOKUP(A208,DataUsuario!B:D,3,FALSE)</f>
        <v>Fundo Montelima</v>
      </c>
      <c r="F208" t="s">
        <v>89</v>
      </c>
    </row>
    <row r="209" spans="1:6" x14ac:dyDescent="0.3">
      <c r="A209" s="158" t="s">
        <v>585</v>
      </c>
      <c r="B209" t="s">
        <v>42</v>
      </c>
      <c r="C209" s="164">
        <v>5</v>
      </c>
      <c r="D209" t="str">
        <f>VLOOKUP(A209,DataUsuario!B:D,2,FALSE)</f>
        <v>Operaciones</v>
      </c>
      <c r="E209" t="str">
        <f>VLOOKUP(A209,DataUsuario!B:D,3,FALSE)</f>
        <v>Comercial</v>
      </c>
      <c r="F209" t="s">
        <v>70</v>
      </c>
    </row>
    <row r="210" spans="1:6" x14ac:dyDescent="0.3">
      <c r="A210" s="157" t="s">
        <v>307</v>
      </c>
      <c r="B210" t="s">
        <v>42</v>
      </c>
      <c r="C210" s="163">
        <v>4</v>
      </c>
      <c r="D210" t="str">
        <f>VLOOKUP(A210,DataUsuario!B:D,2,FALSE)</f>
        <v>Gestión Humana y Sostenibilidad</v>
      </c>
      <c r="E210" t="str">
        <f>VLOOKUP(A210,DataUsuario!B:D,3,FALSE)</f>
        <v>Comunicaciones y Responsabilidad Social</v>
      </c>
      <c r="F210" t="s">
        <v>62</v>
      </c>
    </row>
    <row r="211" spans="1:6" x14ac:dyDescent="0.3">
      <c r="A211" s="158" t="s">
        <v>92</v>
      </c>
      <c r="B211" t="s">
        <v>42</v>
      </c>
      <c r="C211" s="164">
        <v>4</v>
      </c>
      <c r="D211" t="str">
        <f>VLOOKUP(A211,DataUsuario!B:D,2,FALSE)</f>
        <v>Administración y Finanzas</v>
      </c>
      <c r="E211" t="str">
        <f>VLOOKUP(A211,DataUsuario!B:D,3,FALSE)</f>
        <v>Control de Gestión</v>
      </c>
      <c r="F211" t="s">
        <v>66</v>
      </c>
    </row>
    <row r="212" spans="1:6" x14ac:dyDescent="0.3">
      <c r="A212" s="157" t="s">
        <v>61</v>
      </c>
      <c r="B212" t="s">
        <v>42</v>
      </c>
      <c r="C212" s="163">
        <v>4</v>
      </c>
      <c r="D212" t="str">
        <f>VLOOKUP(A212,DataUsuario!B:D,2,FALSE)</f>
        <v>Gestión Humana y Sostenibilidad</v>
      </c>
      <c r="E212" t="str">
        <f>VLOOKUP(A212,DataUsuario!B:D,3,FALSE)</f>
        <v>Compensación y Nóminas</v>
      </c>
      <c r="F212" t="s">
        <v>62</v>
      </c>
    </row>
    <row r="213" spans="1:6" x14ac:dyDescent="0.3">
      <c r="A213" s="158" t="s">
        <v>254</v>
      </c>
      <c r="B213" t="s">
        <v>42</v>
      </c>
      <c r="C213" s="164">
        <v>5</v>
      </c>
      <c r="D213" t="str">
        <f>VLOOKUP(A213,DataUsuario!B:D,2,FALSE)</f>
        <v>Administración y Finanzas</v>
      </c>
      <c r="E213" t="str">
        <f>VLOOKUP(A213,DataUsuario!B:D,3,FALSE)</f>
        <v>Administración</v>
      </c>
      <c r="F213" t="s">
        <v>66</v>
      </c>
    </row>
    <row r="214" spans="1:6" x14ac:dyDescent="0.3">
      <c r="A214" s="157" t="s">
        <v>224</v>
      </c>
      <c r="B214" t="s">
        <v>42</v>
      </c>
      <c r="C214" s="163" t="s">
        <v>615</v>
      </c>
      <c r="D214" t="str">
        <f>VLOOKUP(A214,DataUsuario!B:D,2,FALSE)</f>
        <v>Agrícola</v>
      </c>
      <c r="E214" t="str">
        <f>VLOOKUP(A214,DataUsuario!B:D,3,FALSE)</f>
        <v>Laboratorio e Investigación Agricola</v>
      </c>
      <c r="F214" t="s">
        <v>89</v>
      </c>
    </row>
    <row r="215" spans="1:6" x14ac:dyDescent="0.3">
      <c r="A215" s="158" t="s">
        <v>326</v>
      </c>
      <c r="B215" t="s">
        <v>42</v>
      </c>
      <c r="C215" s="164" t="s">
        <v>615</v>
      </c>
      <c r="D215" t="str">
        <f>VLOOKUP(A215,DataUsuario!B:D,2,FALSE)</f>
        <v>Operaciones</v>
      </c>
      <c r="E215" t="str">
        <f>VLOOKUP(A215,DataUsuario!B:D,3,FALSE)</f>
        <v>Calidad</v>
      </c>
      <c r="F215" t="s">
        <v>70</v>
      </c>
    </row>
    <row r="216" spans="1:6" x14ac:dyDescent="0.3">
      <c r="A216" s="157" t="s">
        <v>345</v>
      </c>
      <c r="B216" t="s">
        <v>42</v>
      </c>
      <c r="C216" s="163" t="s">
        <v>615</v>
      </c>
      <c r="D216" t="str">
        <f>VLOOKUP(A216,DataUsuario!B:D,2,FALSE)</f>
        <v>Agrícola</v>
      </c>
      <c r="E216" t="str">
        <f>VLOOKUP(A216,DataUsuario!B:D,3,FALSE)</f>
        <v>Mantenimiento de Riego y Bombas</v>
      </c>
      <c r="F216" t="s">
        <v>89</v>
      </c>
    </row>
    <row r="217" spans="1:6" x14ac:dyDescent="0.3">
      <c r="A217" s="158" t="s">
        <v>337</v>
      </c>
      <c r="B217" t="s">
        <v>42</v>
      </c>
      <c r="C217" s="164">
        <v>5</v>
      </c>
      <c r="D217" t="str">
        <f>VLOOKUP(A217,DataUsuario!B:D,2,FALSE)</f>
        <v>Agrícola</v>
      </c>
      <c r="E217" t="str">
        <f>VLOOKUP(A217,DataUsuario!B:D,3,FALSE)</f>
        <v>Fundo San Vicente</v>
      </c>
      <c r="F217" t="s">
        <v>89</v>
      </c>
    </row>
    <row r="218" spans="1:6" x14ac:dyDescent="0.3">
      <c r="A218" s="157" t="s">
        <v>611</v>
      </c>
      <c r="B218" t="s">
        <v>42</v>
      </c>
      <c r="C218" s="163">
        <v>5</v>
      </c>
      <c r="D218" t="str">
        <f>VLOOKUP(A218,DataUsuario!B:D,2,FALSE)</f>
        <v>Gestión Humana y Sostenibilidad</v>
      </c>
      <c r="E218" t="str">
        <f>VLOOKUP(A218,DataUsuario!B:D,3,FALSE)</f>
        <v>Gestión Humana</v>
      </c>
      <c r="F218" t="s">
        <v>62</v>
      </c>
    </row>
    <row r="219" spans="1:6" x14ac:dyDescent="0.3">
      <c r="A219" s="158" t="s">
        <v>374</v>
      </c>
      <c r="B219" t="s">
        <v>42</v>
      </c>
      <c r="C219" s="164">
        <v>4</v>
      </c>
      <c r="D219" t="str">
        <f>VLOOKUP(A219,DataUsuario!B:D,2,FALSE)</f>
        <v>Agrícola</v>
      </c>
      <c r="E219" t="str">
        <f>VLOOKUP(A219,DataUsuario!B:D,3,FALSE)</f>
        <v>Mantenimiento de Riego y Bombas</v>
      </c>
      <c r="F219" t="s">
        <v>89</v>
      </c>
    </row>
    <row r="220" spans="1:6" x14ac:dyDescent="0.3">
      <c r="A220" s="157" t="s">
        <v>613</v>
      </c>
      <c r="B220" t="s">
        <v>42</v>
      </c>
      <c r="C220" s="163">
        <v>5</v>
      </c>
      <c r="D220" t="str">
        <f>VLOOKUP(A220,DataUsuario!B:D,2,FALSE)</f>
        <v>Administración y Finanzas</v>
      </c>
      <c r="E220" t="str">
        <f>VLOOKUP(A220,DataUsuario!B:D,3,FALSE)</f>
        <v>Compras</v>
      </c>
      <c r="F220" t="s">
        <v>66</v>
      </c>
    </row>
    <row r="221" spans="1:6" x14ac:dyDescent="0.3">
      <c r="A221" s="159" t="s">
        <v>136</v>
      </c>
      <c r="B221" t="s">
        <v>42</v>
      </c>
      <c r="C221" s="165">
        <v>5</v>
      </c>
      <c r="D221" t="str">
        <f>VLOOKUP(A221,DataUsuario!B:D,2,FALSE)</f>
        <v>Operaciones</v>
      </c>
      <c r="E221" t="str">
        <f>VLOOKUP(A221,DataUsuario!B:D,3,FALSE)</f>
        <v>Comercial</v>
      </c>
      <c r="F221" t="s">
        <v>70</v>
      </c>
    </row>
  </sheetData>
  <pageMargins left="0.7" right="0.7" top="0.75" bottom="0.75" header="0.3" footer="0.3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1F87D-4BA1-4EB7-BDCB-6463511E27C5}">
  <dimension ref="A2:M42"/>
  <sheetViews>
    <sheetView workbookViewId="0">
      <selection activeCell="A2" sqref="A2:B4"/>
    </sheetView>
  </sheetViews>
  <sheetFormatPr baseColWidth="10" defaultRowHeight="14.4" x14ac:dyDescent="0.3"/>
  <cols>
    <col min="1" max="1" width="45.44140625" bestFit="1" customWidth="1"/>
    <col min="2" max="2" width="11.6640625" bestFit="1" customWidth="1"/>
    <col min="3" max="3" width="5.5546875" bestFit="1" customWidth="1"/>
    <col min="4" max="5" width="7.6640625" bestFit="1" customWidth="1"/>
    <col min="12" max="12" width="45.44140625" bestFit="1" customWidth="1"/>
    <col min="13" max="13" width="15.77734375" bestFit="1" customWidth="1"/>
  </cols>
  <sheetData>
    <row r="2" spans="1:13" x14ac:dyDescent="0.3">
      <c r="A2" t="s">
        <v>621</v>
      </c>
      <c r="B2">
        <v>54</v>
      </c>
    </row>
    <row r="3" spans="1:13" x14ac:dyDescent="0.3">
      <c r="A3" t="s">
        <v>629</v>
      </c>
      <c r="B3">
        <v>44</v>
      </c>
    </row>
    <row r="4" spans="1:13" x14ac:dyDescent="0.3">
      <c r="A4" t="s">
        <v>630</v>
      </c>
      <c r="B4">
        <v>10</v>
      </c>
    </row>
    <row r="15" spans="1:13" x14ac:dyDescent="0.3">
      <c r="A15" t="s">
        <v>452</v>
      </c>
      <c r="B15" t="s">
        <v>618</v>
      </c>
      <c r="L15" t="s">
        <v>619</v>
      </c>
      <c r="M15" t="s">
        <v>620</v>
      </c>
    </row>
    <row r="16" spans="1:13" x14ac:dyDescent="0.3">
      <c r="A16" t="s">
        <v>39</v>
      </c>
      <c r="B16" s="167">
        <v>4.4000000000000004</v>
      </c>
      <c r="L16" t="s">
        <v>70</v>
      </c>
      <c r="M16">
        <v>4.5880000000000001</v>
      </c>
    </row>
    <row r="17" spans="1:13" x14ac:dyDescent="0.3">
      <c r="A17" t="s">
        <v>41</v>
      </c>
      <c r="B17">
        <v>4.3849999999999998</v>
      </c>
      <c r="L17" t="s">
        <v>62</v>
      </c>
      <c r="M17">
        <v>4.5529999999999999</v>
      </c>
    </row>
    <row r="18" spans="1:13" x14ac:dyDescent="0.3">
      <c r="A18" t="s">
        <v>42</v>
      </c>
      <c r="B18">
        <v>4.375</v>
      </c>
      <c r="L18" t="s">
        <v>66</v>
      </c>
      <c r="M18">
        <v>4.3310000000000004</v>
      </c>
    </row>
    <row r="19" spans="1:13" x14ac:dyDescent="0.3">
      <c r="A19" t="s">
        <v>38</v>
      </c>
      <c r="B19">
        <v>4.3419999999999996</v>
      </c>
      <c r="L19" t="s">
        <v>89</v>
      </c>
      <c r="M19">
        <v>4.0309999999999997</v>
      </c>
    </row>
    <row r="20" spans="1:13" x14ac:dyDescent="0.3">
      <c r="A20" t="s">
        <v>40</v>
      </c>
      <c r="B20">
        <v>4.1790000000000003</v>
      </c>
      <c r="L20" t="s">
        <v>74</v>
      </c>
      <c r="M20" s="167">
        <v>3.85</v>
      </c>
    </row>
    <row r="34" spans="1:13" x14ac:dyDescent="0.3">
      <c r="L34" s="166" t="s">
        <v>5</v>
      </c>
      <c r="M34" t="s">
        <v>37</v>
      </c>
    </row>
    <row r="36" spans="1:13" ht="15" thickBot="1" x14ac:dyDescent="0.35">
      <c r="B36" s="21">
        <v>2022</v>
      </c>
      <c r="C36" s="22">
        <v>2023</v>
      </c>
      <c r="D36" s="22" t="s">
        <v>454</v>
      </c>
      <c r="E36" s="20" t="s">
        <v>459</v>
      </c>
      <c r="L36" s="166" t="s">
        <v>622</v>
      </c>
      <c r="M36" t="s">
        <v>624</v>
      </c>
    </row>
    <row r="37" spans="1:13" x14ac:dyDescent="0.3">
      <c r="A37" t="s">
        <v>39</v>
      </c>
      <c r="B37" s="30">
        <v>4.0238095238095202</v>
      </c>
      <c r="C37" s="24">
        <v>4.2397558849171748</v>
      </c>
      <c r="D37" s="27">
        <v>4.3570000000000002</v>
      </c>
      <c r="E37" s="167">
        <v>4.4000000000000004</v>
      </c>
      <c r="L37" s="146" t="s">
        <v>41</v>
      </c>
      <c r="M37" s="167">
        <v>5</v>
      </c>
    </row>
    <row r="38" spans="1:13" x14ac:dyDescent="0.3">
      <c r="A38" t="s">
        <v>41</v>
      </c>
      <c r="B38" s="31">
        <v>4.0548885077186965</v>
      </c>
      <c r="C38" s="27">
        <v>4.3040816326530607</v>
      </c>
      <c r="D38" s="27">
        <v>4.218</v>
      </c>
      <c r="E38">
        <v>4.3849999999999998</v>
      </c>
      <c r="L38" s="146" t="s">
        <v>39</v>
      </c>
      <c r="M38" s="167">
        <v>5</v>
      </c>
    </row>
    <row r="39" spans="1:13" x14ac:dyDescent="0.3">
      <c r="A39" t="s">
        <v>42</v>
      </c>
      <c r="B39" s="31">
        <v>4.0400962309542905</v>
      </c>
      <c r="C39" s="27">
        <v>4.3516057585825028</v>
      </c>
      <c r="D39" s="12">
        <v>4.1829999999999998</v>
      </c>
      <c r="E39">
        <v>4.375</v>
      </c>
      <c r="L39" s="146" t="s">
        <v>38</v>
      </c>
      <c r="M39" s="167">
        <v>5</v>
      </c>
    </row>
    <row r="40" spans="1:13" x14ac:dyDescent="0.3">
      <c r="A40" t="s">
        <v>38</v>
      </c>
      <c r="B40" s="31">
        <v>3.9591836734693877</v>
      </c>
      <c r="C40" s="27">
        <v>4.3045609548167096</v>
      </c>
      <c r="D40" s="27">
        <v>4.218</v>
      </c>
      <c r="E40">
        <v>4.3419999999999996</v>
      </c>
      <c r="L40" s="146" t="s">
        <v>40</v>
      </c>
      <c r="M40" s="167">
        <v>5</v>
      </c>
    </row>
    <row r="41" spans="1:13" ht="15" thickBot="1" x14ac:dyDescent="0.35">
      <c r="A41" t="s">
        <v>40</v>
      </c>
      <c r="B41" s="34">
        <v>3.9565217391304346</v>
      </c>
      <c r="C41" s="29">
        <v>4.2905263157894744</v>
      </c>
      <c r="D41" s="29">
        <v>4.2910000000000004</v>
      </c>
      <c r="E41" s="18">
        <v>4.1790000000000003</v>
      </c>
      <c r="L41" s="146" t="s">
        <v>42</v>
      </c>
      <c r="M41" s="167">
        <v>5</v>
      </c>
    </row>
    <row r="42" spans="1:13" x14ac:dyDescent="0.3">
      <c r="L42" s="146" t="s">
        <v>623</v>
      </c>
      <c r="M42" s="167">
        <v>5</v>
      </c>
    </row>
  </sheetData>
  <autoFilter ref="A36:E41" xr:uid="{1EA1F87D-4BA1-4EB7-BDCB-6463511E27C5}">
    <sortState xmlns:xlrd2="http://schemas.microsoft.com/office/spreadsheetml/2017/richdata2" ref="A37:E41">
      <sortCondition descending="1" ref="E36:E41"/>
    </sortState>
  </autoFilter>
  <pageMargins left="0.7" right="0.7" top="0.75" bottom="0.75" header="0.3" footer="0.3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E1783-FFC2-45E0-9C06-227E6185F5E7}">
  <dimension ref="B69:N86"/>
  <sheetViews>
    <sheetView tabSelected="1" workbookViewId="0">
      <selection activeCell="L11" sqref="L11"/>
    </sheetView>
  </sheetViews>
  <sheetFormatPr baseColWidth="10" defaultRowHeight="14.4" x14ac:dyDescent="0.3"/>
  <sheetData>
    <row r="69" spans="2:14" x14ac:dyDescent="0.3">
      <c r="B69" s="168"/>
      <c r="C69" s="169"/>
      <c r="D69" s="169"/>
      <c r="E69" s="169"/>
      <c r="F69" s="169"/>
      <c r="G69" s="169"/>
      <c r="H69" s="169"/>
      <c r="I69" s="169"/>
      <c r="J69" s="169"/>
      <c r="K69" s="169"/>
      <c r="L69" s="169"/>
      <c r="M69" s="169"/>
      <c r="N69" s="170"/>
    </row>
    <row r="70" spans="2:14" x14ac:dyDescent="0.3">
      <c r="B70" s="171" t="s">
        <v>625</v>
      </c>
      <c r="N70" s="172"/>
    </row>
    <row r="71" spans="2:14" x14ac:dyDescent="0.3">
      <c r="B71" s="171"/>
      <c r="N71" s="172"/>
    </row>
    <row r="72" spans="2:14" x14ac:dyDescent="0.3">
      <c r="B72" s="10" t="s">
        <v>5</v>
      </c>
      <c r="C72" s="10">
        <v>2021</v>
      </c>
      <c r="D72" s="10">
        <v>2022</v>
      </c>
      <c r="E72" s="11">
        <v>2023</v>
      </c>
      <c r="F72" s="11">
        <v>2024</v>
      </c>
      <c r="G72" s="43"/>
      <c r="N72" s="172"/>
    </row>
    <row r="73" spans="2:14" x14ac:dyDescent="0.3">
      <c r="B73" s="8" t="s">
        <v>37</v>
      </c>
      <c r="C73" s="15">
        <v>4.05</v>
      </c>
      <c r="D73" s="16">
        <v>4.0069999999999997</v>
      </c>
      <c r="E73" s="16">
        <v>4.2982698234860868</v>
      </c>
      <c r="F73" s="17">
        <v>4.4325000000000001</v>
      </c>
      <c r="G73" s="108"/>
      <c r="N73" s="172"/>
    </row>
    <row r="74" spans="2:14" x14ac:dyDescent="0.3">
      <c r="N74" s="172"/>
    </row>
    <row r="75" spans="2:14" x14ac:dyDescent="0.3">
      <c r="B75" s="171"/>
      <c r="N75" s="172"/>
    </row>
    <row r="76" spans="2:14" x14ac:dyDescent="0.3">
      <c r="B76" s="171"/>
      <c r="F76" s="141"/>
      <c r="N76" s="172"/>
    </row>
    <row r="77" spans="2:14" x14ac:dyDescent="0.3">
      <c r="B77" s="171"/>
      <c r="D77" s="141"/>
      <c r="N77" s="172"/>
    </row>
    <row r="78" spans="2:14" x14ac:dyDescent="0.3">
      <c r="B78" s="171"/>
      <c r="N78" s="172"/>
    </row>
    <row r="79" spans="2:14" x14ac:dyDescent="0.3">
      <c r="B79" s="171"/>
      <c r="N79" s="172"/>
    </row>
    <row r="80" spans="2:14" x14ac:dyDescent="0.3">
      <c r="B80" s="171"/>
      <c r="N80" s="172"/>
    </row>
    <row r="81" spans="2:14" x14ac:dyDescent="0.3">
      <c r="B81" s="171"/>
      <c r="N81" s="172"/>
    </row>
    <row r="82" spans="2:14" x14ac:dyDescent="0.3">
      <c r="B82" s="171"/>
      <c r="N82" s="172"/>
    </row>
    <row r="83" spans="2:14" x14ac:dyDescent="0.3">
      <c r="B83" s="171"/>
      <c r="N83" s="172"/>
    </row>
    <row r="84" spans="2:14" x14ac:dyDescent="0.3">
      <c r="B84" s="171"/>
      <c r="N84" s="172"/>
    </row>
    <row r="85" spans="2:14" x14ac:dyDescent="0.3">
      <c r="B85" s="171"/>
      <c r="N85" s="172"/>
    </row>
    <row r="86" spans="2:14" x14ac:dyDescent="0.3">
      <c r="B86" s="173"/>
      <c r="C86" s="174"/>
      <c r="D86" s="174"/>
      <c r="E86" s="174"/>
      <c r="F86" s="174"/>
      <c r="G86" s="174"/>
      <c r="H86" s="174"/>
      <c r="I86" s="174"/>
      <c r="J86" s="174"/>
      <c r="K86" s="174"/>
      <c r="L86" s="174"/>
      <c r="M86" s="174"/>
      <c r="N86" s="17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DataUsuario</vt:lpstr>
      <vt:lpstr>EncuestaAreas</vt:lpstr>
      <vt:lpstr>UniversoAreas</vt:lpstr>
      <vt:lpstr>HistoricoAreas</vt:lpstr>
      <vt:lpstr>Paso1_RespuestasMicrosoftForms</vt:lpstr>
      <vt:lpstr>Estadística</vt:lpstr>
      <vt:lpstr>Estadística_Gerencias</vt:lpstr>
      <vt:lpstr>Paso2_Comentarios</vt:lpstr>
      <vt:lpstr>Paso3_Tabuleado</vt:lpstr>
      <vt:lpstr>DataResumen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2025-01-02T15:00:34Z</dcterms:modified>
</cp:coreProperties>
</file>