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"/>
    </mc:Choice>
  </mc:AlternateContent>
  <xr:revisionPtr revIDLastSave="0" documentId="13_ncr:1_{32A822FB-ACCF-413B-AE59-B5E7682A359A}" xr6:coauthVersionLast="47" xr6:coauthVersionMax="47" xr10:uidLastSave="{00000000-0000-0000-0000-000000000000}"/>
  <bookViews>
    <workbookView xWindow="-108" yWindow="-108" windowWidth="23256" windowHeight="13896" firstSheet="5" activeTab="10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04" l="1"/>
  <c r="B4" i="204" s="1"/>
  <c r="E2" i="203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E425" i="203"/>
  <c r="E426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D425" i="203"/>
  <c r="D426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35" i="200" l="1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<sst xmlns="http://schemas.openxmlformats.org/spreadsheetml/2006/main" count="3276" uniqueCount="636">
  <si>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</si>
  <si>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</si>
  <si>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</si>
  <si>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</si>
  <si>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</si>
  <si>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</si>
  <si>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</si>
  <si>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</si>
  <si>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</si>
  <si>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</si>
  <si>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</si>
  <si>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</si>
  <si>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</si>
  <si>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</si>
  <si>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</si>
  <si>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</si>
  <si>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</si>
  <si>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</si>
  <si>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</si>
  <si>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</si>
  <si>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</si>
  <si>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</si>
  <si>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</si>
  <si>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</si>
  <si>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</si>
  <si>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</si>
  <si>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</si>
  <si>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</si>
  <si>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</si>
  <si>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</si>
  <si>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</si>
  <si>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</si>
  <si>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</si>
  <si>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</si>
  <si>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</si>
  <si>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</si>
  <si>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</si>
  <si>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</si>
  <si>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</si>
  <si>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</si>
  <si>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</si>
  <si>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</si>
  <si>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</si>
  <si>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</si>
  <si>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</si>
  <si>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</si>
  <si>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</si>
  <si>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</si>
  <si>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</si>
  <si>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</si>
  <si>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</si>
  <si>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</si>
  <si>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</si>
  <si>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</si>
  <si>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</si>
  <si>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</si>
  <si>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</si>
  <si>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</si>
  <si>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</si>
  <si>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</si>
  <si>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</si>
  <si>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</si>
  <si>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</si>
  <si>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</si>
  <si>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</si>
  <si>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</si>
  <si>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</si>
  <si>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</si>
  <si>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</si>
  <si>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</si>
  <si>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</si>
  <si>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</si>
  <si>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</si>
  <si>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</si>
  <si>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</si>
  <si>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</si>
  <si>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</si>
  <si>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</si>
  <si>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</si>
  <si>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</si>
  <si>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</si>
  <si>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</si>
  <si>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</si>
  <si>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</si>
  <si>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</si>
  <si>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</si>
  <si>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</si>
  <si>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</si>
  <si>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</si>
  <si>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</si>
  <si>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</si>
  <si>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</si>
  <si>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</si>
  <si>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</si>
  <si>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</si>
  <si>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</si>
  <si>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</si>
  <si>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</si>
  <si>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</si>
  <si>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</si>
  <si>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</si>
  <si>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</si>
  <si>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</si>
  <si>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</si>
  <si>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</si>
  <si>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</si>
  <si>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</si>
  <si>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</si>
  <si>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</si>
  <si>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</si>
  <si>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</si>
  <si>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</si>
  <si>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</si>
  <si>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</si>
  <si>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</si>
  <si>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</si>
  <si>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</si>
  <si>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</si>
  <si>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</si>
  <si>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</si>
  <si>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</si>
  <si>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</si>
  <si>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</si>
  <si>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</si>
  <si>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</si>
  <si>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</si>
  <si>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</si>
  <si>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</si>
  <si>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</si>
  <si>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</si>
  <si>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</si>
  <si>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</si>
  <si>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</si>
  <si>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</si>
  <si>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</si>
  <si>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</si>
  <si>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</si>
  <si>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</si>
  <si>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</si>
  <si>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</si>
  <si>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</si>
  <si>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</si>
  <si>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</si>
  <si>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</si>
  <si>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</si>
  <si>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</si>
  <si>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</si>
  <si>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</si>
  <si>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</si>
  <si>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</si>
  <si>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</si>
  <si>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</si>
  <si>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</si>
  <si>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</si>
  <si>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</si>
  <si>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</si>
  <si>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</si>
  <si>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</si>
  <si>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</si>
  <si>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</si>
  <si>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</si>
  <si>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</si>
  <si>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</si>
  <si>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</si>
  <si>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</si>
  <si>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</si>
  <si>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</si>
  <si>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</si>
  <si>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</si>
  <si>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</si>
  <si>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</si>
  <si>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</si>
  <si>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</si>
  <si>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</si>
  <si>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</si>
  <si>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</si>
  <si>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</si>
  <si>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</si>
  <si>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</si>
  <si>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</si>
  <si>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</si>
  <si>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</si>
  <si>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</si>
  <si>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</si>
  <si>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</si>
  <si>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</si>
  <si>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</si>
  <si>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</si>
  <si>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</si>
  <si>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</si>
  <si>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</si>
  <si>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</si>
  <si>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</si>
  <si>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</si>
  <si>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</si>
  <si>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</si>
  <si>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</si>
  <si>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</si>
  <si>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</si>
  <si>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</si>
  <si>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</si>
  <si>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</si>
  <si>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</si>
  <si>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</si>
  <si>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</si>
  <si>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</si>
  <si>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</si>
  <si>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</si>
  <si>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</si>
  <si>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</si>
  <si>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</si>
  <si>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</si>
  <si>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</si>
  <si>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</si>
  <si>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</si>
  <si>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</si>
  <si>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</si>
  <si>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</si>
  <si>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</si>
  <si>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</si>
  <si>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</si>
  <si>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</si>
  <si>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</si>
  <si>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</si>
  <si>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</si>
  <si>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</si>
  <si>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</si>
  <si>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</si>
  <si>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</si>
  <si>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</si>
  <si>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</si>
  <si>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</si>
  <si>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</si>
  <si>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</si>
  <si>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</si>
  <si>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</si>
  <si>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</si>
  <si>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</si>
  <si>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</si>
  <si>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</si>
  <si>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</si>
  <si>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</si>
  <si>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</si>
  <si>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</si>
  <si>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</si>
  <si>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</si>
  <si>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</si>
  <si>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</si>
  <si>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</si>
  <si>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</si>
  <si>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</si>
  <si>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</si>
  <si>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</si>
  <si>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</si>
  <si>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</si>
  <si>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</si>
  <si>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</si>
  <si>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</si>
  <si>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</si>
  <si>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</si>
  <si>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</si>
  <si>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</si>
  <si>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</si>
  <si>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</si>
  <si>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</si>
  <si>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</si>
  <si>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</si>
  <si>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</si>
  <si>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</si>
  <si>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</si>
  <si>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</si>
  <si>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</si>
  <si>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</si>
  <si>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</si>
  <si>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</si>
  <si>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</si>
  <si>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</si>
  <si>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</si>
  <si>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</si>
  <si>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</si>
  <si>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</si>
  <si>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</si>
  <si>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</si>
  <si>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</si>
  <si>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</si>
  <si>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</si>
  <si>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</si>
  <si>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</si>
  <si>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</si>
  <si>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</si>
  <si>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</si>
  <si>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</si>
  <si>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</si>
  <si>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</si>
  <si>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</si>
  <si>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</si>
  <si>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</si>
  <si>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</si>
  <si>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</si>
  <si>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</si>
  <si>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</si>
  <si>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</si>
  <si>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</si>
  <si>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</si>
  <si>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</si>
  <si>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</si>
  <si>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</si>
  <si>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</si>
  <si>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</si>
  <si>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</si>
  <si>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</si>
  <si>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</si>
  <si>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</si>
  <si>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</si>
  <si>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</si>
  <si>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</si>
  <si>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</si>
  <si>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</si>
  <si>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</si>
  <si>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</si>
  <si>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</si>
  <si>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</si>
  <si>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</si>
  <si>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</si>
  <si>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</si>
  <si>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</si>
  <si>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</si>
  <si>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</si>
  <si>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</si>
  <si>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</si>
  <si>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</si>
  <si>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</si>
  <si>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</si>
  <si>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</si>
  <si>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</si>
  <si>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</si>
  <si>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</si>
  <si>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</si>
  <si>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</si>
  <si>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</si>
  <si>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</si>
  <si>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</si>
  <si>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</si>
  <si>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</si>
  <si>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</si>
  <si>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</si>
  <si>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</si>
  <si>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</si>
  <si>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</si>
  <si>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</si>
  <si>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</si>
  <si>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</si>
  <si>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</si>
  <si>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</si>
  <si>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</si>
  <si>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</si>
  <si>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</si>
  <si>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</si>
  <si>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</si>
  <si>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</si>
  <si>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</si>
  <si>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</si>
  <si>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</si>
  <si>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</si>
  <si>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</si>
  <si>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</si>
  <si>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</si>
  <si>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</si>
  <si>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</si>
  <si>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</si>
  <si>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</si>
  <si>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</si>
  <si>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</si>
  <si>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</si>
  <si>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</si>
  <si>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</si>
  <si>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</si>
  <si>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</si>
  <si>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</si>
  <si>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</si>
  <si>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</si>
  <si>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</si>
  <si>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</si>
  <si>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</si>
  <si>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</si>
  <si>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</si>
  <si>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</si>
  <si>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</si>
  <si>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</si>
  <si>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</si>
  <si>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</si>
  <si>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</si>
  <si>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</si>
  <si>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</si>
  <si>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</si>
  <si>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</si>
  <si>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</si>
  <si>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</si>
  <si>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</si>
  <si>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</si>
  <si>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</si>
  <si>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</si>
  <si>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</si>
  <si>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</si>
  <si>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</si>
  <si>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</si>
  <si>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</si>
  <si>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</si>
  <si>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</si>
  <si>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</si>
  <si>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</si>
  <si>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</si>
  <si>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</si>
  <si>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</si>
  <si>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</si>
  <si>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</si>
  <si>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</si>
  <si>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</si>
  <si>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</si>
  <si>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</si>
  <si>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</si>
  <si>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</si>
  <si>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</si>
  <si>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</si>
  <si>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</si>
  <si>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</si>
  <si>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</si>
  <si>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</si>
  <si>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</si>
  <si>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</si>
  <si>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</si>
  <si>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</si>
  <si>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</si>
  <si>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</si>
  <si>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</si>
  <si>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</si>
  <si>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</si>
  <si>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</si>
  <si>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</si>
  <si>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</si>
  <si>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</si>
  <si>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</si>
  <si>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</si>
  <si>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</si>
  <si>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</si>
  <si>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</si>
  <si>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</si>
  <si>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</si>
  <si>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</si>
  <si>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</si>
  <si>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</si>
  <si>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</si>
  <si>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</si>
  <si>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</si>
  <si>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</si>
  <si>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</si>
  <si>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</si>
  <si>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</si>
  <si>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</si>
  <si>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</si>
  <si>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</si>
  <si>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</si>
  <si>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</si>
  <si>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</si>
  <si>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</si>
  <si>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</si>
  <si>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</si>
  <si>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</si>
  <si>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</si>
  <si>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</si>
  <si>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</si>
  <si>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</si>
  <si>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</si>
  <si>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</si>
  <si>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</si>
  <si>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</si>
  <si>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</si>
  <si>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</si>
  <si>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</si>
  <si>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</si>
  <si>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</si>
  <si>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</si>
  <si>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</si>
  <si>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</si>
  <si>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</si>
  <si>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</si>
  <si>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</si>
  <si>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</si>
  <si>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</si>
  <si>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</si>
  <si>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</si>
  <si>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</si>
  <si>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</si>
  <si>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</si>
  <si>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</si>
  <si>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</si>
  <si>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</si>
  <si>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</si>
  <si>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</si>
  <si>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</si>
  <si>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</si>
  <si>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</si>
  <si>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</si>
  <si>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</si>
  <si>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</si>
  <si>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</si>
  <si>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</si>
  <si>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</si>
  <si>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</si>
  <si>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</si>
  <si>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</si>
  <si>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</si>
  <si>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</si>
  <si>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</si>
  <si>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</si>
  <si>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</si>
  <si>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</si>
  <si>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</si>
  <si>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</si>
  <si>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</si>
  <si>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</si>
  <si>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</si>
  <si>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</si>
  <si>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</si>
  <si>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</si>
  <si>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</si>
  <si>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</si>
  <si>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</si>
  <si>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</si>
  <si>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</si>
  <si>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</si>
  <si>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</si>
  <si>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</si>
  <si>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</si>
  <si>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</si>
  <si>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</si>
  <si>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</si>
  <si>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</si>
  <si>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</si>
  <si>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</si>
  <si>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</si>
  <si>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</si>
  <si>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</si>
  <si>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</si>
  <si>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</si>
  <si>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</si>
  <si>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</si>
  <si>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</si>
  <si>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</si>
  <si>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</si>
  <si>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</si>
  <si>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</si>
  <si>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</si>
  <si>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</si>
  <si>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</si>
  <si>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</si>
  <si>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</si>
  <si>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</si>
  <si>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</si>
  <si>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</si>
  <si>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</si>
  <si>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</si>
  <si>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</si>
  <si>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</si>
  <si>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</si>
  <si>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</si>
  <si>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</si>
  <si>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</si>
  <si>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</si>
  <si>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</si>
  <si>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</si>
  <si>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</si>
  <si>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</si>
  <si>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</si>
  <si>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</si>
  <si>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</si>
  <si>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</si>
  <si>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</si>
  <si>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</si>
  <si>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</si>
  <si>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</si>
  <si>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</si>
  <si>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</si>
  <si>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</si>
  <si>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</si>
  <si>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</si>
  <si>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</si>
  <si>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</si>
  <si>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</si>
  <si>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</si>
  <si>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</si>
  <si>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</si>
  <si>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Agradecemos su participación en esta encuesta, si tuviera alguna sugerencia para mejorar el servicio, por favor escríbalo en el siguiente espacio.</t>
  </si>
  <si>
    <t>No aplica</t>
  </si>
  <si>
    <t>JCheroPa@agricolachira.com.pe</t>
  </si>
  <si>
    <t>Pedro Alejandro Trigoso Feijoo</t>
  </si>
  <si>
    <t>La contabilidad es muy importante, pero debe alinearse a las necesidades del mercado.  Sus procesos no pueden limitar ventas o solicitudes legalmente validas y sustentadas de nuestros clientes.</t>
  </si>
  <si>
    <t>JArevaloga@agricolachira.com.pe</t>
  </si>
  <si>
    <t>capacitacion continua temas guias de remision remitente</t>
  </si>
  <si>
    <t>Jene Fransheska Gómez Aparicio</t>
  </si>
  <si>
    <t>Son los mejores, eficientes y rápidos, gran reconocimiento para Miroslava y Karol!!!!</t>
  </si>
  <si>
    <t>WCarrascoA@agricolachira.com.pe</t>
  </si>
  <si>
    <t>JIngaF@agricolachira.com.pe</t>
  </si>
  <si>
    <t xml:space="preserve">Muchas gracias a la rápida atención de Karol, lo máximo.
Un excelente equipo.¡¡¡¡¡ </t>
  </si>
  <si>
    <t>Raul Javier Torres Silva</t>
  </si>
  <si>
    <t>CSosaL@agricolachira.com.pe</t>
  </si>
  <si>
    <t>JHidalgoS@agricolachira.com.pe</t>
  </si>
  <si>
    <t>Excelente trabajo, a seguir así constante, muy buen servicio.</t>
  </si>
  <si>
    <t>Buen equipo de trabajo!</t>
  </si>
  <si>
    <t>JLaraMa@agricolachira.com.pe</t>
  </si>
  <si>
    <t xml:space="preserve">Reforzar lineamientos de Ebiz con proveedores. </t>
  </si>
  <si>
    <t>ALachiraP@agricolachira.com.pe</t>
  </si>
  <si>
    <t>-</t>
  </si>
  <si>
    <t>Jose Alexander Jimenez Caceres</t>
  </si>
  <si>
    <t>BGonzalesM@agricolachira.com.pe</t>
  </si>
  <si>
    <t>Héctor Daniel Borja Torres</t>
  </si>
  <si>
    <t>muy buena coordinación</t>
  </si>
  <si>
    <t>Lenin Vasquez Pinday</t>
  </si>
  <si>
    <t>OMontenegroC@agricolachira.com.pe</t>
  </si>
  <si>
    <t>EAmesM@agricolachira.com.pe</t>
  </si>
  <si>
    <t>Buen equipo de trabajo.</t>
  </si>
  <si>
    <t>Deberían prescindir de Ebiz Latin</t>
  </si>
  <si>
    <t>Mayor capacitacion de las responsabilidades del area de contabilidad en la empresa</t>
  </si>
  <si>
    <t>AVasquezM@agricolachira.com.pe</t>
  </si>
  <si>
    <t>VICTOR EXCELENTE SERVICIO 10 DE 10</t>
  </si>
  <si>
    <t>MDiazTa@agricolachira.com.pe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</si>
  <si>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</si>
  <si>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</si>
  <si>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</si>
  <si>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</si>
  <si>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</si>
  <si>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</si>
  <si>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</si>
  <si>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</si>
  <si>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90 personas (96.77%)</t>
  </si>
  <si>
    <t>No completaron 3 personas (3.23%)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</si>
</sst>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6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5" fontId="4" fillId="0" borderId="7" xfId="0" applyNumberFormat="1" applyFont="1" applyBorder="1" applyAlignment="1">
      <alignment horizontal="center"/>
    </xf>
    <xf numFmtId="15" fontId="4" fillId="0" borderId="6" xfId="0" applyNumberFormat="1" applyFont="1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165" fontId="0" fillId="2" borderId="2" xfId="0" quotePrefix="1" applyNumberFormat="1" applyFill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1" xfId="0" applyFill="1" applyBorder="1"/>
    <xf numFmtId="0" fontId="0" fillId="9" borderId="61" xfId="0" applyFill="1" applyBorder="1"/>
    <xf numFmtId="0" fontId="0" fillId="8" borderId="44" xfId="0" applyFill="1" applyBorder="1"/>
    <xf numFmtId="0" fontId="0" fillId="8" borderId="62" xfId="0" applyFill="1" applyBorder="1"/>
    <xf numFmtId="0" fontId="0" fillId="9" borderId="62" xfId="0" applyFill="1" applyBorder="1"/>
    <xf numFmtId="0" fontId="0" fillId="8" borderId="41" xfId="0" applyFill="1" applyBorder="1"/>
    <xf numFmtId="0" fontId="0" fillId="8" borderId="63" xfId="0" applyFill="1" applyBorder="1"/>
    <xf numFmtId="0" fontId="0" fillId="9" borderId="63" xfId="0" applyFill="1" applyBorder="1"/>
    <xf numFmtId="0" fontId="0" fillId="8" borderId="42" xfId="0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93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DataResumen!$A$3:$A$4</c:f>
              <c:strCache>
                <c:ptCount val="2"/>
                <c:pt idx="0">
                  <c:v>Completaron 90 personas (96.77%)</c:v>
                </c:pt>
                <c:pt idx="1">
                  <c:v>No completaron 3 personas (3.23%)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90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B9-4EEC-8F48-AA42D2877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DataResumen!$A$16:$A$20</c:f>
              <c:strCache>
                <c:ptCount val="5"/>
                <c:pt idx="0">
                  <c:v>Entregas a rendir y reembolsos</c:v>
                </c:pt>
                <c:pt idx="1">
                  <c:v>Contabilidad Tributaria</c:v>
                </c:pt>
                <c:pt idx="2">
                  <c:v>Contabilidad Financiera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DataResumen!$B$16:$B$20</c:f>
              <c:numCache>
                <c:formatCode>General</c:formatCode>
                <c:ptCount val="5"/>
                <c:pt idx="0">
                  <c:v>4.508</c:v>
                </c:pt>
                <c:pt idx="1">
                  <c:v>4.4690000000000003</c:v>
                </c:pt>
                <c:pt idx="2">
                  <c:v>4.3819999999999997</c:v>
                </c:pt>
                <c:pt idx="3">
                  <c:v>4.29</c:v>
                </c:pt>
                <c:pt idx="4">
                  <c:v>4.2859999999999996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B-4C42-9EE2-83348DAB0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3697295"/>
        <c:axId val="1763698255"/>
      </c:barChart>
      <c:catAx>
        <c:axId val="17636972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3698255"/>
        <c:crosses val="autoZero"/>
        <c:auto val="1"/>
        <c:lblAlgn val="ctr"/>
        <c:lblOffset val="100"/>
        <c:noMultiLvlLbl val="0"/>
      </c:catAx>
      <c:valAx>
        <c:axId val="176369825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63697295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Gestión Humana y Sostenibilidad</c:v>
                </c:pt>
                <c:pt idx="1">
                  <c:v>Administración y Finanzas</c:v>
                </c:pt>
                <c:pt idx="2">
                  <c:v>Operaciones</c:v>
                </c:pt>
                <c:pt idx="3">
                  <c:v>Agrícola</c:v>
                </c:pt>
                <c:pt idx="4">
                  <c:v>Industrial y de Mantenimiento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4.6109999999999998</c:v>
                </c:pt>
                <c:pt idx="1">
                  <c:v>4.4160000000000004</c:v>
                </c:pt>
                <c:pt idx="2">
                  <c:v>4.3609999999999998</c:v>
                </c:pt>
                <c:pt idx="3">
                  <c:v>4.266</c:v>
                </c:pt>
                <c:pt idx="4">
                  <c:v>4.0869999999999997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8E-4D31-9D15-5D6EA4D1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5415359"/>
        <c:axId val="1015417759"/>
      </c:barChart>
      <c:catAx>
        <c:axId val="1015415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5417759"/>
        <c:crosses val="autoZero"/>
        <c:auto val="1"/>
        <c:lblAlgn val="ctr"/>
        <c:lblOffset val="100"/>
        <c:noMultiLvlLbl val="0"/>
      </c:catAx>
      <c:valAx>
        <c:axId val="10154177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15415359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f>HistoricoAreas!$B$4:$F$4</c:f>
              <c:numCache>
                <c:formatCode>_-* #,##0.000_-;\-* #,##0.000_-;_-* "-"??_-;_-@_-</c:formatCode>
                <c:ptCount val="5"/>
                <c:pt idx="0">
                  <c:v>4.04</c:v>
                </c:pt>
                <c:pt idx="1">
                  <c:v>4.0279999999999996</c:v>
                </c:pt>
                <c:pt idx="2">
                  <c:v>4.1596872565260501</c:v>
                </c:pt>
                <c:pt idx="3">
                  <c:v>4.1929999999999996</c:v>
                </c:pt>
                <c:pt idx="4" formatCode="General">
                  <c:v>4.3869999999999996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3F-48EC-A111-8268AB3BD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8861727"/>
        <c:axId val="1168866527"/>
      </c:barChart>
      <c:catAx>
        <c:axId val="1168861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8866527"/>
        <c:crosses val="autoZero"/>
        <c:auto val="1"/>
        <c:lblAlgn val="ctr"/>
        <c:lblOffset val="100"/>
        <c:noMultiLvlLbl val="0"/>
      </c:catAx>
      <c:valAx>
        <c:axId val="1168866527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16886172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Entregas a rendir y reembolsos</c:v>
                </c:pt>
                <c:pt idx="1">
                  <c:v>Contabilidad Financiera</c:v>
                </c:pt>
                <c:pt idx="2">
                  <c:v>Contabilidad Tributaria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DataResumen!$B$37:$B$41</c:f>
              <c:numCache>
                <c:formatCode>_-* #,##0.000_-;\-* #,##0.000_-;_-* "-"??_-;_-@_-</c:formatCode>
                <c:ptCount val="5"/>
                <c:pt idx="1">
                  <c:v>4.0340909090909092</c:v>
                </c:pt>
                <c:pt idx="2">
                  <c:v>4.2320945945945949</c:v>
                </c:pt>
                <c:pt idx="3">
                  <c:v>3.8463438735177862</c:v>
                </c:pt>
                <c:pt idx="4">
                  <c:v>3.9649122807017543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EB-45EB-B1A9-AB8CC7D33095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Entregas a rendir y reembolsos</c:v>
                </c:pt>
                <c:pt idx="1">
                  <c:v>Contabilidad Financiera</c:v>
                </c:pt>
                <c:pt idx="2">
                  <c:v>Contabilidad Tributaria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DataResumen!$C$37:$C$41</c:f>
              <c:numCache>
                <c:formatCode>0.000</c:formatCode>
                <c:ptCount val="5"/>
                <c:pt idx="0">
                  <c:v>4.1764705882352944</c:v>
                </c:pt>
                <c:pt idx="1">
                  <c:v>4.1862170087976542</c:v>
                </c:pt>
                <c:pt idx="2">
                  <c:v>4.3283208020050132</c:v>
                </c:pt>
                <c:pt idx="3">
                  <c:v>4.0620192307692307</c:v>
                </c:pt>
                <c:pt idx="4">
                  <c:v>4.0443037974683538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EB-45EB-B1A9-AB8CC7D33095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Entregas a rendir y reembolsos</c:v>
                </c:pt>
                <c:pt idx="1">
                  <c:v>Contabilidad Financiera</c:v>
                </c:pt>
                <c:pt idx="2">
                  <c:v>Contabilidad Tributaria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DataResumen!$D$37:$D$41</c:f>
              <c:numCache>
                <c:formatCode>General</c:formatCode>
                <c:ptCount val="5"/>
                <c:pt idx="0">
                  <c:v>4.2169999999999996</c:v>
                </c:pt>
                <c:pt idx="1">
                  <c:v>4.2370000000000001</c:v>
                </c:pt>
                <c:pt idx="2" formatCode="0.000">
                  <c:v>4.32</c:v>
                </c:pt>
                <c:pt idx="3">
                  <c:v>4.0940000000000003</c:v>
                </c:pt>
                <c:pt idx="4">
                  <c:v>4.0949999999999998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EB-45EB-B1A9-AB8CC7D33095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6">
                <a:lumMod val="75000"/>
                <a:alpha val="87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Entregas a rendir y reembolsos</c:v>
                </c:pt>
                <c:pt idx="1">
                  <c:v>Contabilidad Financiera</c:v>
                </c:pt>
                <c:pt idx="2">
                  <c:v>Contabilidad Tributaria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DataResumen!$E$37:$E$41</c:f>
              <c:numCache>
                <c:formatCode>General</c:formatCode>
                <c:ptCount val="5"/>
                <c:pt idx="0">
                  <c:v>4.508</c:v>
                </c:pt>
                <c:pt idx="1">
                  <c:v>4.3819999999999997</c:v>
                </c:pt>
                <c:pt idx="2">
                  <c:v>4.4690000000000003</c:v>
                </c:pt>
                <c:pt idx="3">
                  <c:v>4.29</c:v>
                </c:pt>
                <c:pt idx="4">
                  <c:v>4.2859999999999996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EB-45EB-B1A9-AB8CC7D33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8862687"/>
        <c:axId val="1052198015"/>
      </c:barChart>
      <c:catAx>
        <c:axId val="11688626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2198015"/>
        <c:crosses val="autoZero"/>
        <c:auto val="1"/>
        <c:lblAlgn val="ctr"/>
        <c:lblOffset val="100"/>
        <c:noMultiLvlLbl val="0"/>
      </c:catAx>
      <c:valAx>
        <c:axId val="10521980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88626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PE" sz="1400">
                <a:solidFill>
                  <a:schemeClr val="tx1"/>
                </a:solidFill>
                <a:latin typeface="+mn-lt"/>
              </a:rPr>
              <a:t>Satisfacción Histórica Contabilidad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DataResumen!$C$50:$E$50</c:f>
              <c:strCache>
                <c:ptCount val="3"/>
                <c:pt idx="0">
                  <c:v> 4.028 </c:v>
                </c:pt>
                <c:pt idx="1">
                  <c:v> 4.160 </c:v>
                </c:pt>
                <c:pt idx="2">
                  <c:v> 4.290 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DataResumen!$B$49:$E$49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DataResumen!$B$50:$E$50</c:f>
              <c:numCache>
                <c:formatCode>_-* #,##0.000_-;\-* #,##0.000_-;_-* "-"??_-;_-@_-</c:formatCode>
                <c:ptCount val="4"/>
                <c:pt idx="0">
                  <c:v>4.04</c:v>
                </c:pt>
                <c:pt idx="1">
                  <c:v>4.0279999999999996</c:v>
                </c:pt>
                <c:pt idx="2">
                  <c:v>4.1596872565260501</c:v>
                </c:pt>
                <c:pt idx="3">
                  <c:v>4.2899999999999991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AA6-4E21-9C9F-FF32CC3BA9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6461872"/>
        <c:axId val="863195648"/>
        <c:extLst/>
      </c:lineChart>
      <c:catAx>
        <c:axId val="90646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63195648"/>
        <c:crosses val="autoZero"/>
        <c:auto val="1"/>
        <c:lblAlgn val="ctr"/>
        <c:lblOffset val="100"/>
        <c:noMultiLvlLbl val="0"/>
      </c:catAx>
      <c:valAx>
        <c:axId val="863195648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0646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637540</xdr:colOff>
      <xdr:row>1</xdr:row>
      <xdr:rowOff>101600</xdr:rowOff>
    </xdr:from>
    <xdr:to>
      <xdr:col>8</xdr:col>
      <xdr:colOff>645160</xdr:colOff>
      <xdr:row>17</xdr:row>
      <xdr:rowOff>33020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BD6DC8-40E8-261C-59A7-10712D524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0</xdr:rowOff>
    </xdr:from>
    <xdr:to>
      <xdr:col>9</xdr:col>
      <xdr:colOff>510540</xdr:colOff>
      <xdr:row>35</xdr:row>
      <xdr:rowOff>170180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A792E4-7078-3AD6-3764-B99313AB50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19</xdr:col>
      <xdr:colOff>510540</xdr:colOff>
      <xdr:row>35</xdr:row>
      <xdr:rowOff>170180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AE74BF-671A-EC94-8100-099BBA3DE5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525780</xdr:colOff>
      <xdr:row>41</xdr:row>
      <xdr:rowOff>22860</xdr:rowOff>
    </xdr:from>
    <xdr:to>
      <xdr:col>9</xdr:col>
      <xdr:colOff>58420</xdr:colOff>
      <xdr:row>61</xdr:row>
      <xdr:rowOff>175260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5FD36B-2504-0A45-300D-71422D87AA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42</xdr:row>
      <xdr:rowOff>0</xdr:rowOff>
    </xdr:from>
    <xdr:to>
      <xdr:col>16</xdr:col>
      <xdr:colOff>325120</xdr:colOff>
      <xdr:row>62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A71CCB3-4D18-B4F8-D3CA-B813885B55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15240</xdr:colOff>
      <xdr:row>66</xdr:row>
      <xdr:rowOff>167640</xdr:rowOff>
    </xdr:from>
    <xdr:to>
      <xdr:col>8</xdr:col>
      <xdr:colOff>640080</xdr:colOff>
      <xdr:row>81</xdr:row>
      <xdr:rowOff>149860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945F5C64-48C8-48B5-B12A-BD026E660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AD4324-0ACF-4BB6-947C-3ACABD30C742}" name="TBL_ResulEncuestas" displayName="TBL_ResulEncuestas" ref="A3:K88" totalsRowShown="0">
  <autoFilter ref="A3:K88" xr:uid="{6CAD4324-0ACF-4BB6-947C-3ACABD30C742}"/>
  <tableColumns count="11">
    <tableColumn id="1" xr3:uid="{D2829154-D46C-4283-A5D6-194AB80ABC8B}" name="ID"/>
    <tableColumn id="2" xr3:uid="{C7FD98E6-D8BF-4060-8D9C-0BCA42AA7CC2}" name="Hora de inicio" dataDxfId="20"/>
    <tableColumn id="3" xr3:uid="{1BAEA228-B221-4A65-AE8A-32D3570081AF}" name="Hora de finalización" dataDxfId="19"/>
    <tableColumn id="4" xr3:uid="{0BCD88AB-E53B-4D51-8CFE-12DD729972FB}" name="Correo electrónico"/>
    <tableColumn id="5" xr3:uid="{D7C3E1C9-DCC5-4A56-8D17-3539AA1833CF}" name="Nombre"/>
    <tableColumn id="6" xr3:uid="{C927DAAA-9BBA-4229-868C-AA2007C67720}" name="1"/>
    <tableColumn id="7" xr3:uid="{DF752E58-7CB4-42F3-A701-68A803044EEE}" name="2"/>
    <tableColumn id="8" xr3:uid="{E2E7AFB7-4699-4EBA-8831-85845A68B104}" name="3"/>
    <tableColumn id="9" xr3:uid="{64AC42E6-30AE-438B-82A4-E71446CC7507}" name="4"/>
    <tableColumn id="10" xr3:uid="{CEDBE835-B387-4917-9286-E5B31D23344D}" name="5"/>
    <tableColumn id="11" xr3:uid="{AE356DED-5385-4A02-AEC8-805B20B5A4F2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798DD1-7AD0-4D3D-AB54-A2C2532255AF}" name="Resumen2" displayName="Resumen2" ref="A1:E426" totalsRowShown="0">
  <autoFilter ref="A1:E426" xr:uid="{C8798DD1-7AD0-4D3D-AB54-A2C2532255AF}"/>
  <tableColumns count="5">
    <tableColumn id="1" xr3:uid="{BA5BAA72-A573-4DB6-A461-A70A56C01D4D}" name="Correo electrónico" dataDxfId="1"/>
    <tableColumn id="2" xr3:uid="{A5E15754-F8AE-4A77-A444-5B041233E822}" name="Servicios"/>
    <tableColumn id="3" xr3:uid="{7D33065A-FA19-4A1A-AA77-FDFDEFB18C0C}" name="Nro" dataDxfId="0"/>
    <tableColumn id="4" xr3:uid="{032008B9-1FEA-46DA-AAF2-1FFFF0958870}" name="Gerencia">
      <calculatedColumnFormula>VLOOKUP(A2,DataUsuario!B:D,2,FALSE)</calculatedColumnFormula>
    </tableColumn>
    <tableColumn id="5" xr3:uid="{6DE8D1C0-93C4-47AE-9ECC-9D71B064A035}" name="Area">
      <calculatedColumnFormula>VLOOKUP(A2,DataUsuario!B:D,3,FALSE)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1AA9B1-C6F4-46FE-9C49-0A8807EE5402}" name="PivoteServicios" displayName="PivoteServicios" ref="A15:B20" totalsRowShown="0">
  <autoFilter ref="A15:B20" xr:uid="{361AA9B1-C6F4-46FE-9C49-0A8807EE5402}"/>
  <sortState xmlns:xlrd2="http://schemas.microsoft.com/office/spreadsheetml/2017/richdata2" ref="A16:B20">
    <sortCondition descending="1" ref="B15:B20"/>
  </sortState>
  <tableColumns count="2">
    <tableColumn id="1" xr3:uid="{6FE5CAF5-69A7-4EC5-8DFC-BFA1B459033F}" name="Servicios"/>
    <tableColumn id="2" xr3:uid="{7AB8D00B-1BAD-48F7-A2AC-19FB0EE71A47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F3DC53-1809-4466-9621-C2245567547A}" name="PivoteGerencias" displayName="PivoteGerencias" ref="L15:M20" totalsRowShown="0">
  <autoFilter ref="L15:M20" xr:uid="{D1F3DC53-1809-4466-9621-C2245567547A}"/>
  <sortState xmlns:xlrd2="http://schemas.microsoft.com/office/spreadsheetml/2017/richdata2" ref="L16:M20">
    <sortCondition descending="1" ref="M15:M20"/>
  </sortState>
  <tableColumns count="2">
    <tableColumn id="1" xr3:uid="{7617AC3C-C643-4D2D-B12B-07F34152B860}" name="Gerencias"/>
    <tableColumn id="2" xr3:uid="{5C6A27ED-8CBE-4FBE-B7C5-256AC38D0F1B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49" t="s">
        <v>89</v>
      </c>
      <c r="D89" s="149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60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1"/>
  <sheetViews>
    <sheetView workbookViewId="0">
      <selection activeCell="C44" sqref="C44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9" t="s">
        <v>5</v>
      </c>
      <c r="B1" s="43" t="s">
        <v>6</v>
      </c>
    </row>
    <row r="2" spans="1:2" x14ac:dyDescent="0.3">
      <c r="A2" s="141" t="s">
        <v>442</v>
      </c>
      <c r="B2" s="138" t="s">
        <v>0</v>
      </c>
    </row>
    <row r="3" spans="1:2" x14ac:dyDescent="0.3">
      <c r="A3" s="142" t="s">
        <v>442</v>
      </c>
      <c r="B3" s="138" t="s">
        <v>1</v>
      </c>
    </row>
    <row r="4" spans="1:2" x14ac:dyDescent="0.3">
      <c r="A4" s="142" t="s">
        <v>442</v>
      </c>
      <c r="B4" s="138" t="s">
        <v>2</v>
      </c>
    </row>
    <row r="5" spans="1:2" x14ac:dyDescent="0.3">
      <c r="A5" s="142" t="s">
        <v>442</v>
      </c>
      <c r="B5" s="138" t="s">
        <v>3</v>
      </c>
    </row>
    <row r="6" spans="1:2" ht="15" thickBot="1" x14ac:dyDescent="0.35">
      <c r="A6" s="143" t="s">
        <v>442</v>
      </c>
      <c r="B6" s="144" t="s">
        <v>4</v>
      </c>
    </row>
    <row r="7" spans="1:2" x14ac:dyDescent="0.3">
      <c r="A7" s="142" t="s">
        <v>7</v>
      </c>
      <c r="B7" s="138" t="s">
        <v>8</v>
      </c>
    </row>
    <row r="8" spans="1:2" x14ac:dyDescent="0.3">
      <c r="A8" s="142" t="s">
        <v>7</v>
      </c>
      <c r="B8" s="138" t="s">
        <v>9</v>
      </c>
    </row>
    <row r="9" spans="1:2" x14ac:dyDescent="0.3">
      <c r="A9" s="142" t="s">
        <v>7</v>
      </c>
      <c r="B9" s="138" t="s">
        <v>10</v>
      </c>
    </row>
    <row r="10" spans="1:2" ht="15" thickBot="1" x14ac:dyDescent="0.35">
      <c r="A10" s="158" t="s">
        <v>7</v>
      </c>
      <c r="B10" s="144" t="s">
        <v>11</v>
      </c>
    </row>
    <row r="11" spans="1:2" x14ac:dyDescent="0.3">
      <c r="A11" s="141" t="s">
        <v>12</v>
      </c>
      <c r="B11" s="136" t="s">
        <v>13</v>
      </c>
    </row>
    <row r="12" spans="1:2" x14ac:dyDescent="0.3">
      <c r="A12" s="142" t="s">
        <v>12</v>
      </c>
      <c r="B12" s="138" t="s">
        <v>14</v>
      </c>
    </row>
    <row r="13" spans="1:2" x14ac:dyDescent="0.3">
      <c r="A13" s="142" t="s">
        <v>12</v>
      </c>
      <c r="B13" s="138" t="s">
        <v>15</v>
      </c>
    </row>
    <row r="14" spans="1:2" x14ac:dyDescent="0.3">
      <c r="A14" s="142" t="s">
        <v>12</v>
      </c>
      <c r="B14" s="138" t="s">
        <v>16</v>
      </c>
    </row>
    <row r="15" spans="1:2" ht="15" thickBot="1" x14ac:dyDescent="0.35">
      <c r="A15" s="158" t="s">
        <v>12</v>
      </c>
      <c r="B15" s="144" t="s">
        <v>17</v>
      </c>
    </row>
    <row r="16" spans="1:2" x14ac:dyDescent="0.3">
      <c r="A16" s="141" t="s">
        <v>18</v>
      </c>
      <c r="B16" s="27" t="s">
        <v>19</v>
      </c>
    </row>
    <row r="17" spans="1:2" x14ac:dyDescent="0.3">
      <c r="A17" s="142" t="s">
        <v>18</v>
      </c>
      <c r="B17" s="12" t="s">
        <v>20</v>
      </c>
    </row>
    <row r="18" spans="1:2" x14ac:dyDescent="0.3">
      <c r="A18" s="142" t="s">
        <v>18</v>
      </c>
      <c r="B18" s="12" t="s">
        <v>21</v>
      </c>
    </row>
    <row r="19" spans="1:2" x14ac:dyDescent="0.3">
      <c r="A19" s="142" t="s">
        <v>18</v>
      </c>
      <c r="B19" s="12" t="s">
        <v>22</v>
      </c>
    </row>
    <row r="20" spans="1:2" x14ac:dyDescent="0.3">
      <c r="A20" s="142" t="s">
        <v>18</v>
      </c>
      <c r="B20" s="12" t="s">
        <v>23</v>
      </c>
    </row>
    <row r="21" spans="1:2" x14ac:dyDescent="0.3">
      <c r="A21" s="142" t="s">
        <v>18</v>
      </c>
      <c r="B21" s="12" t="s">
        <v>463</v>
      </c>
    </row>
    <row r="22" spans="1:2" x14ac:dyDescent="0.3">
      <c r="A22" s="142" t="s">
        <v>18</v>
      </c>
      <c r="B22" s="12" t="s">
        <v>464</v>
      </c>
    </row>
    <row r="23" spans="1:2" x14ac:dyDescent="0.3">
      <c r="A23" s="142" t="s">
        <v>18</v>
      </c>
      <c r="B23" s="12" t="s">
        <v>465</v>
      </c>
    </row>
    <row r="24" spans="1:2" ht="15" thickBot="1" x14ac:dyDescent="0.35">
      <c r="A24" s="142" t="s">
        <v>18</v>
      </c>
      <c r="B24" s="34" t="s">
        <v>466</v>
      </c>
    </row>
    <row r="25" spans="1:2" x14ac:dyDescent="0.3">
      <c r="A25" s="50" t="s">
        <v>24</v>
      </c>
      <c r="B25" s="45" t="s">
        <v>25</v>
      </c>
    </row>
    <row r="26" spans="1:2" x14ac:dyDescent="0.3">
      <c r="A26" s="51" t="s">
        <v>24</v>
      </c>
      <c r="B26" s="44" t="s">
        <v>26</v>
      </c>
    </row>
    <row r="27" spans="1:2" x14ac:dyDescent="0.3">
      <c r="A27" s="51" t="s">
        <v>24</v>
      </c>
      <c r="B27" s="44" t="s">
        <v>27</v>
      </c>
    </row>
    <row r="28" spans="1:2" ht="15" thickBot="1" x14ac:dyDescent="0.35">
      <c r="A28" s="52" t="s">
        <v>24</v>
      </c>
      <c r="B28" s="43" t="s">
        <v>28</v>
      </c>
    </row>
    <row r="29" spans="1:2" x14ac:dyDescent="0.3">
      <c r="A29" s="135" t="s">
        <v>29</v>
      </c>
      <c r="B29" s="136" t="s">
        <v>30</v>
      </c>
    </row>
    <row r="30" spans="1:2" x14ac:dyDescent="0.3">
      <c r="A30" s="137" t="s">
        <v>29</v>
      </c>
      <c r="B30" s="138" t="s">
        <v>31</v>
      </c>
    </row>
    <row r="31" spans="1:2" ht="15" thickBot="1" x14ac:dyDescent="0.35">
      <c r="A31" s="137" t="s">
        <v>29</v>
      </c>
      <c r="B31" s="138" t="s">
        <v>533</v>
      </c>
    </row>
    <row r="32" spans="1:2" x14ac:dyDescent="0.3">
      <c r="A32" s="135" t="s">
        <v>32</v>
      </c>
      <c r="B32" s="136" t="s">
        <v>33</v>
      </c>
    </row>
    <row r="33" spans="1:2" x14ac:dyDescent="0.3">
      <c r="A33" s="137" t="s">
        <v>32</v>
      </c>
      <c r="B33" s="138" t="s">
        <v>34</v>
      </c>
    </row>
    <row r="34" spans="1:2" x14ac:dyDescent="0.3">
      <c r="A34" s="137" t="s">
        <v>32</v>
      </c>
      <c r="B34" s="138" t="s">
        <v>35</v>
      </c>
    </row>
    <row r="35" spans="1:2" ht="15" thickBot="1" x14ac:dyDescent="0.35">
      <c r="A35" s="159" t="s">
        <v>32</v>
      </c>
      <c r="B35" s="144" t="s">
        <v>36</v>
      </c>
    </row>
    <row r="36" spans="1:2" x14ac:dyDescent="0.3">
      <c r="A36" s="54" t="s">
        <v>37</v>
      </c>
      <c r="B36" s="45" t="s">
        <v>38</v>
      </c>
    </row>
    <row r="37" spans="1:2" x14ac:dyDescent="0.3">
      <c r="A37" s="54" t="s">
        <v>37</v>
      </c>
      <c r="B37" s="44" t="s">
        <v>39</v>
      </c>
    </row>
    <row r="38" spans="1:2" x14ac:dyDescent="0.3">
      <c r="A38" s="54" t="s">
        <v>37</v>
      </c>
      <c r="B38" s="44" t="s">
        <v>40</v>
      </c>
    </row>
    <row r="39" spans="1:2" x14ac:dyDescent="0.3">
      <c r="A39" s="54" t="s">
        <v>37</v>
      </c>
      <c r="B39" s="44" t="s">
        <v>41</v>
      </c>
    </row>
    <row r="40" spans="1:2" ht="15" thickBot="1" x14ac:dyDescent="0.35">
      <c r="A40" s="55" t="s">
        <v>37</v>
      </c>
      <c r="B40" s="43" t="s">
        <v>42</v>
      </c>
    </row>
    <row r="41" spans="1:2" x14ac:dyDescent="0.3">
      <c r="A41" s="53" t="s">
        <v>43</v>
      </c>
      <c r="B41" s="46" t="s">
        <v>47</v>
      </c>
    </row>
    <row r="42" spans="1:2" x14ac:dyDescent="0.3">
      <c r="A42" s="54" t="s">
        <v>43</v>
      </c>
      <c r="B42" s="47" t="s">
        <v>46</v>
      </c>
    </row>
    <row r="43" spans="1:2" x14ac:dyDescent="0.3">
      <c r="A43" s="54" t="s">
        <v>43</v>
      </c>
      <c r="B43" s="47" t="s">
        <v>48</v>
      </c>
    </row>
    <row r="44" spans="1:2" x14ac:dyDescent="0.3">
      <c r="A44" s="54" t="s">
        <v>43</v>
      </c>
      <c r="B44" s="47" t="s">
        <v>455</v>
      </c>
    </row>
    <row r="45" spans="1:2" x14ac:dyDescent="0.3">
      <c r="A45" s="54" t="s">
        <v>43</v>
      </c>
      <c r="B45" s="47" t="s">
        <v>49</v>
      </c>
    </row>
    <row r="46" spans="1:2" x14ac:dyDescent="0.3">
      <c r="A46" s="54" t="s">
        <v>43</v>
      </c>
      <c r="B46" s="47" t="s">
        <v>50</v>
      </c>
    </row>
    <row r="47" spans="1:2" x14ac:dyDescent="0.3">
      <c r="A47" s="54" t="s">
        <v>43</v>
      </c>
      <c r="B47" s="47" t="s">
        <v>51</v>
      </c>
    </row>
    <row r="48" spans="1:2" ht="15" thickBot="1" x14ac:dyDescent="0.35">
      <c r="A48" s="55" t="s">
        <v>43</v>
      </c>
      <c r="B48" s="48" t="s">
        <v>52</v>
      </c>
    </row>
    <row r="49" spans="1:2" x14ac:dyDescent="0.3">
      <c r="A49" s="53" t="s">
        <v>44</v>
      </c>
      <c r="B49" s="46" t="s">
        <v>443</v>
      </c>
    </row>
    <row r="50" spans="1:2" x14ac:dyDescent="0.3">
      <c r="A50" s="54" t="s">
        <v>44</v>
      </c>
      <c r="B50" s="47" t="s">
        <v>444</v>
      </c>
    </row>
    <row r="51" spans="1:2" x14ac:dyDescent="0.3">
      <c r="A51" s="54" t="s">
        <v>44</v>
      </c>
      <c r="B51" s="47" t="s">
        <v>445</v>
      </c>
    </row>
    <row r="52" spans="1:2" x14ac:dyDescent="0.3">
      <c r="A52" s="54" t="s">
        <v>44</v>
      </c>
      <c r="B52" s="47" t="s">
        <v>446</v>
      </c>
    </row>
    <row r="53" spans="1:2" x14ac:dyDescent="0.3">
      <c r="A53" s="54" t="s">
        <v>44</v>
      </c>
      <c r="B53" s="47" t="s">
        <v>447</v>
      </c>
    </row>
    <row r="54" spans="1:2" x14ac:dyDescent="0.3">
      <c r="A54" s="54" t="s">
        <v>44</v>
      </c>
      <c r="B54" s="47" t="s">
        <v>448</v>
      </c>
    </row>
    <row r="55" spans="1:2" ht="15" thickBot="1" x14ac:dyDescent="0.35">
      <c r="A55" s="55" t="s">
        <v>44</v>
      </c>
      <c r="B55" s="48" t="s">
        <v>449</v>
      </c>
    </row>
    <row r="56" spans="1:2" x14ac:dyDescent="0.3">
      <c r="A56" s="53" t="s">
        <v>45</v>
      </c>
      <c r="B56" s="46" t="s">
        <v>450</v>
      </c>
    </row>
    <row r="57" spans="1:2" x14ac:dyDescent="0.3">
      <c r="A57" s="54" t="s">
        <v>45</v>
      </c>
      <c r="B57" s="47" t="s">
        <v>53</v>
      </c>
    </row>
    <row r="58" spans="1:2" x14ac:dyDescent="0.3">
      <c r="A58" s="54" t="s">
        <v>45</v>
      </c>
      <c r="B58" s="47" t="s">
        <v>54</v>
      </c>
    </row>
    <row r="59" spans="1:2" x14ac:dyDescent="0.3">
      <c r="A59" s="54" t="s">
        <v>45</v>
      </c>
      <c r="B59" s="47" t="s">
        <v>55</v>
      </c>
    </row>
    <row r="60" spans="1:2" ht="15" thickBot="1" x14ac:dyDescent="0.35">
      <c r="A60" s="55" t="s">
        <v>45</v>
      </c>
      <c r="B60" s="48" t="s">
        <v>56</v>
      </c>
    </row>
    <row r="61" spans="1:2" x14ac:dyDescent="0.3">
      <c r="A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1" sqref="A1:F4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6"/>
      <c r="L1" s="176"/>
      <c r="M1" s="176"/>
      <c r="N1" s="176"/>
      <c r="O1" s="176"/>
      <c r="P1" s="176"/>
      <c r="Q1" s="57"/>
    </row>
    <row r="2" spans="1:17" x14ac:dyDescent="0.3">
      <c r="A2" t="s">
        <v>442</v>
      </c>
      <c r="B2" s="35">
        <v>4.08</v>
      </c>
      <c r="C2" s="16">
        <v>4.2089999999999996</v>
      </c>
      <c r="D2" s="16">
        <v>4.1479269326947801</v>
      </c>
      <c r="E2" s="17">
        <v>4.459961334961335</v>
      </c>
      <c r="F2" s="121" t="s">
        <v>506</v>
      </c>
      <c r="K2" s="176"/>
      <c r="L2" s="176"/>
      <c r="M2" s="176"/>
      <c r="N2" s="176"/>
      <c r="O2" s="176"/>
      <c r="P2" s="176"/>
    </row>
    <row r="3" spans="1:17" x14ac:dyDescent="0.3">
      <c r="A3" s="7" t="s">
        <v>7</v>
      </c>
      <c r="B3" s="37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>
        <v>4.3869999999999996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75" t="s">
        <v>510</v>
      </c>
      <c r="N6" s="175"/>
      <c r="O6" s="175"/>
      <c r="P6" s="175"/>
    </row>
    <row r="7" spans="1:17" x14ac:dyDescent="0.3">
      <c r="A7" s="56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24">
        <f>COUNT(B2:J2)+2</f>
        <v>6</v>
      </c>
      <c r="L7" s="122" t="s">
        <v>508</v>
      </c>
      <c r="M7" t="s">
        <v>509</v>
      </c>
    </row>
    <row r="8" spans="1:17" x14ac:dyDescent="0.3">
      <c r="A8" s="56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8">
        <v>2.956</v>
      </c>
      <c r="D11" s="39">
        <v>3.4390229852995589</v>
      </c>
      <c r="E11" s="17">
        <v>3.5390000000000001</v>
      </c>
      <c r="F11" s="6" t="s">
        <v>506</v>
      </c>
    </row>
    <row r="12" spans="1:17" x14ac:dyDescent="0.3">
      <c r="A12" s="56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57" t="s">
        <v>511</v>
      </c>
    </row>
    <row r="13" spans="1:17" x14ac:dyDescent="0.3">
      <c r="M13" s="57" t="s">
        <v>512</v>
      </c>
    </row>
    <row r="14" spans="1:17" x14ac:dyDescent="0.3">
      <c r="M14" s="57" t="s">
        <v>513</v>
      </c>
    </row>
    <row r="16" spans="1:17" x14ac:dyDescent="0.3">
      <c r="K16" s="123" t="s">
        <v>506</v>
      </c>
      <c r="L16" s="122" t="s">
        <v>515</v>
      </c>
      <c r="M16" t="s">
        <v>514</v>
      </c>
    </row>
    <row r="18" spans="1:16" x14ac:dyDescent="0.3">
      <c r="B18" s="174" t="s">
        <v>456</v>
      </c>
    </row>
    <row r="19" spans="1:16" x14ac:dyDescent="0.3">
      <c r="B19" s="174"/>
    </row>
    <row r="26" spans="1:16" x14ac:dyDescent="0.3">
      <c r="K26" t="s">
        <v>507</v>
      </c>
      <c r="M26" s="175" t="s">
        <v>510</v>
      </c>
      <c r="N26" s="175"/>
      <c r="O26" s="175"/>
      <c r="P26" s="175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24">
        <f>COUNT(C28:J28)+2</f>
        <v>5</v>
      </c>
      <c r="L27" s="122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9">
        <v>4.1764705882352944</v>
      </c>
      <c r="E28" s="27">
        <v>4.2169999999999996</v>
      </c>
      <c r="F28" s="19">
        <v>4.508</v>
      </c>
      <c r="M28" t="s">
        <v>516</v>
      </c>
    </row>
    <row r="29" spans="1:16" x14ac:dyDescent="0.3">
      <c r="A29" s="12" t="s">
        <v>12</v>
      </c>
      <c r="B29" s="12" t="s">
        <v>14</v>
      </c>
      <c r="C29" s="33">
        <v>4.0340909090909092</v>
      </c>
      <c r="D29" s="29">
        <v>4.1862170087976542</v>
      </c>
      <c r="E29" s="12">
        <v>4.2370000000000001</v>
      </c>
      <c r="F29">
        <v>4.3819999999999997</v>
      </c>
    </row>
    <row r="30" spans="1:16" x14ac:dyDescent="0.3">
      <c r="A30" s="12" t="s">
        <v>12</v>
      </c>
      <c r="B30" s="12" t="s">
        <v>15</v>
      </c>
      <c r="C30" s="33">
        <v>4.2320945945945949</v>
      </c>
      <c r="D30" s="29">
        <v>4.3283208020050132</v>
      </c>
      <c r="E30" s="29">
        <v>4.32</v>
      </c>
      <c r="F30">
        <v>4.4690000000000003</v>
      </c>
    </row>
    <row r="31" spans="1:16" x14ac:dyDescent="0.3">
      <c r="A31" s="12" t="s">
        <v>12</v>
      </c>
      <c r="B31" s="12" t="s">
        <v>16</v>
      </c>
      <c r="C31" s="33">
        <v>3.8463438735177862</v>
      </c>
      <c r="D31" s="29">
        <v>4.0620192307692307</v>
      </c>
      <c r="E31" s="12">
        <v>4.0940000000000003</v>
      </c>
      <c r="F31">
        <v>4.29</v>
      </c>
    </row>
    <row r="32" spans="1:16" ht="15" thickBot="1" x14ac:dyDescent="0.35">
      <c r="A32" s="34" t="s">
        <v>12</v>
      </c>
      <c r="B32" s="34" t="s">
        <v>17</v>
      </c>
      <c r="C32" s="36">
        <v>3.9649122807017543</v>
      </c>
      <c r="D32" s="31">
        <v>4.0443037974683538</v>
      </c>
      <c r="E32" s="34">
        <v>4.0949999999999998</v>
      </c>
      <c r="F32" s="18">
        <v>4.2859999999999996</v>
      </c>
    </row>
    <row r="33" spans="1:6" x14ac:dyDescent="0.3">
      <c r="A33" s="27" t="s">
        <v>18</v>
      </c>
      <c r="B33" s="27" t="s">
        <v>19</v>
      </c>
      <c r="C33" s="32">
        <v>4.140625</v>
      </c>
      <c r="D33" s="26">
        <v>4.2910256410256409</v>
      </c>
      <c r="E33" s="27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3">
        <v>3.959090909090909</v>
      </c>
      <c r="D34" s="29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3">
        <v>4.0330086580086579</v>
      </c>
      <c r="D35" s="29">
        <v>4.125</v>
      </c>
      <c r="E35" s="29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22"/>
      <c r="D36" s="122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22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22"/>
      <c r="D38" s="122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22"/>
      <c r="D39" s="122"/>
      <c r="E39" s="122"/>
      <c r="F39" t="s">
        <v>506</v>
      </c>
    </row>
    <row r="40" spans="1:6" x14ac:dyDescent="0.3">
      <c r="A40" s="12" t="s">
        <v>18</v>
      </c>
      <c r="B40" s="12" t="s">
        <v>465</v>
      </c>
      <c r="C40" s="122"/>
      <c r="D40" s="122"/>
      <c r="E40" s="122"/>
      <c r="F40" t="s">
        <v>506</v>
      </c>
    </row>
    <row r="41" spans="1:6" ht="15" thickBot="1" x14ac:dyDescent="0.35">
      <c r="A41" s="34" t="s">
        <v>18</v>
      </c>
      <c r="B41" s="34" t="s">
        <v>466</v>
      </c>
      <c r="C41" s="125"/>
      <c r="D41" s="125"/>
      <c r="E41" s="125"/>
      <c r="F41" s="18" t="s">
        <v>506</v>
      </c>
    </row>
    <row r="42" spans="1:6" x14ac:dyDescent="0.3">
      <c r="A42" s="12" t="s">
        <v>442</v>
      </c>
      <c r="B42" s="12" t="s">
        <v>0</v>
      </c>
      <c r="C42" s="33">
        <v>4.2670668953687825</v>
      </c>
      <c r="D42" s="29">
        <v>4.1010101010101003</v>
      </c>
      <c r="E42" s="27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3">
        <v>3.9935141509433962</v>
      </c>
      <c r="D43" s="29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3">
        <v>3.9239926739926738</v>
      </c>
      <c r="D44" s="29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3">
        <v>3.7519181585677748</v>
      </c>
      <c r="D45" s="29">
        <v>4.0061094819159333</v>
      </c>
      <c r="E45" s="12">
        <v>4.327</v>
      </c>
      <c r="F45" t="s">
        <v>506</v>
      </c>
    </row>
    <row r="46" spans="1:6" ht="15" thickBot="1" x14ac:dyDescent="0.35">
      <c r="A46" s="34" t="s">
        <v>442</v>
      </c>
      <c r="B46" s="34" t="s">
        <v>4</v>
      </c>
      <c r="C46" s="36">
        <v>3.7218693284936482</v>
      </c>
      <c r="D46" s="31">
        <v>4.246031746031746</v>
      </c>
      <c r="E46" s="34">
        <v>4.5369999999999999</v>
      </c>
      <c r="F46" s="18" t="s">
        <v>506</v>
      </c>
    </row>
    <row r="47" spans="1:6" x14ac:dyDescent="0.3">
      <c r="A47" s="19" t="s">
        <v>24</v>
      </c>
      <c r="B47" s="19" t="s">
        <v>25</v>
      </c>
      <c r="C47" s="32">
        <v>3.7090077410274453</v>
      </c>
      <c r="D47" s="26">
        <v>3.5793749999999998</v>
      </c>
      <c r="E47" s="26">
        <v>4.3849999999999998</v>
      </c>
      <c r="F47" s="19" t="s">
        <v>506</v>
      </c>
    </row>
    <row r="48" spans="1:6" x14ac:dyDescent="0.3">
      <c r="A48" t="s">
        <v>24</v>
      </c>
      <c r="B48" t="s">
        <v>26</v>
      </c>
      <c r="C48" s="33">
        <v>3.8807977736549164</v>
      </c>
      <c r="D48" s="29">
        <v>3.8450226244343888</v>
      </c>
      <c r="E48" s="29">
        <v>4.2720000000000002</v>
      </c>
      <c r="F48" t="s">
        <v>506</v>
      </c>
    </row>
    <row r="49" spans="1:6" x14ac:dyDescent="0.3">
      <c r="A49" t="s">
        <v>24</v>
      </c>
      <c r="B49" t="s">
        <v>27</v>
      </c>
      <c r="C49" s="122"/>
      <c r="D49" s="29">
        <v>3.8673076923076923</v>
      </c>
      <c r="E49" s="29">
        <v>4.1879999999999997</v>
      </c>
      <c r="F49" t="s">
        <v>506</v>
      </c>
    </row>
    <row r="50" spans="1:6" x14ac:dyDescent="0.3">
      <c r="A50" t="s">
        <v>24</v>
      </c>
      <c r="B50" t="s">
        <v>28</v>
      </c>
      <c r="C50" s="122"/>
      <c r="D50" s="29">
        <v>3.875</v>
      </c>
      <c r="E50" s="29">
        <v>4.1589999999999998</v>
      </c>
      <c r="F50" t="s">
        <v>506</v>
      </c>
    </row>
    <row r="51" spans="1:6" ht="15" thickBot="1" x14ac:dyDescent="0.35">
      <c r="A51" s="18" t="s">
        <v>24</v>
      </c>
      <c r="B51" s="18" t="s">
        <v>458</v>
      </c>
      <c r="C51" s="125"/>
      <c r="D51" s="126"/>
      <c r="E51" s="31">
        <v>4.218</v>
      </c>
      <c r="F51" s="18" t="s">
        <v>506</v>
      </c>
    </row>
    <row r="52" spans="1:6" x14ac:dyDescent="0.3">
      <c r="A52" s="139" t="s">
        <v>29</v>
      </c>
      <c r="B52" s="12" t="s">
        <v>30</v>
      </c>
      <c r="C52" s="12"/>
      <c r="D52" s="29">
        <v>4.2166666666666668</v>
      </c>
      <c r="E52" s="26">
        <v>4.4042553191489358</v>
      </c>
      <c r="F52" s="19" t="s">
        <v>506</v>
      </c>
    </row>
    <row r="53" spans="1:6" x14ac:dyDescent="0.3">
      <c r="A53" s="139" t="s">
        <v>29</v>
      </c>
      <c r="B53" s="12" t="s">
        <v>31</v>
      </c>
      <c r="C53" s="12"/>
      <c r="D53" s="29">
        <v>4.2857142857142856</v>
      </c>
      <c r="E53" s="29">
        <v>4.3493975903614457</v>
      </c>
      <c r="F53" t="s">
        <v>506</v>
      </c>
    </row>
    <row r="54" spans="1:6" ht="15" thickBot="1" x14ac:dyDescent="0.35">
      <c r="A54" s="140" t="s">
        <v>29</v>
      </c>
      <c r="B54" s="34" t="s">
        <v>533</v>
      </c>
      <c r="C54" s="34"/>
      <c r="D54" s="31"/>
      <c r="E54" s="34"/>
      <c r="F54" s="18" t="s">
        <v>506</v>
      </c>
    </row>
    <row r="55" spans="1:6" x14ac:dyDescent="0.3">
      <c r="A55" s="154" t="s">
        <v>32</v>
      </c>
      <c r="B55" s="12" t="s">
        <v>33</v>
      </c>
      <c r="D55" s="29">
        <v>4.2350000000000003</v>
      </c>
      <c r="E55" s="12">
        <v>4.625</v>
      </c>
      <c r="F55" t="s">
        <v>506</v>
      </c>
    </row>
    <row r="56" spans="1:6" x14ac:dyDescent="0.3">
      <c r="A56" s="139" t="s">
        <v>32</v>
      </c>
      <c r="B56" s="12" t="s">
        <v>34</v>
      </c>
      <c r="D56" s="29">
        <v>4.2069999999999999</v>
      </c>
      <c r="E56" s="12">
        <v>4.4619999999999997</v>
      </c>
      <c r="F56" t="s">
        <v>506</v>
      </c>
    </row>
    <row r="57" spans="1:6" x14ac:dyDescent="0.3">
      <c r="A57" s="139" t="s">
        <v>32</v>
      </c>
      <c r="B57" s="12" t="s">
        <v>35</v>
      </c>
      <c r="D57" s="29">
        <v>4.173</v>
      </c>
      <c r="E57" s="12">
        <v>4.556</v>
      </c>
      <c r="F57" t="s">
        <v>506</v>
      </c>
    </row>
    <row r="58" spans="1:6" ht="15" thickBot="1" x14ac:dyDescent="0.35">
      <c r="A58" s="140" t="s">
        <v>32</v>
      </c>
      <c r="B58" s="34" t="s">
        <v>36</v>
      </c>
      <c r="D58" s="31">
        <v>4.3879999999999999</v>
      </c>
      <c r="E58" s="34">
        <v>4.5410000000000004</v>
      </c>
      <c r="F58" s="18" t="s">
        <v>506</v>
      </c>
    </row>
    <row r="59" spans="1:6" x14ac:dyDescent="0.3">
      <c r="A59" s="23" t="s">
        <v>37</v>
      </c>
      <c r="B59" s="19" t="s">
        <v>38</v>
      </c>
      <c r="C59" s="32">
        <v>3.9591836734693877</v>
      </c>
      <c r="D59" s="26">
        <v>4.3045609548167096</v>
      </c>
      <c r="E59" s="29">
        <v>4.218</v>
      </c>
      <c r="F59" t="s">
        <v>506</v>
      </c>
    </row>
    <row r="60" spans="1:6" x14ac:dyDescent="0.3">
      <c r="A60" s="1" t="s">
        <v>37</v>
      </c>
      <c r="B60" t="s">
        <v>39</v>
      </c>
      <c r="C60" s="33">
        <v>4.0238095238095237</v>
      </c>
      <c r="D60" s="29">
        <v>4.2397558849171748</v>
      </c>
      <c r="E60" s="29">
        <v>4.3570000000000002</v>
      </c>
      <c r="F60" t="s">
        <v>506</v>
      </c>
    </row>
    <row r="61" spans="1:6" x14ac:dyDescent="0.3">
      <c r="A61" s="1" t="s">
        <v>37</v>
      </c>
      <c r="B61" t="s">
        <v>40</v>
      </c>
      <c r="C61" s="33">
        <v>3.9565217391304346</v>
      </c>
      <c r="D61" s="29">
        <v>4.2905263157894744</v>
      </c>
      <c r="E61" s="29">
        <v>4.2910000000000004</v>
      </c>
      <c r="F61" t="s">
        <v>506</v>
      </c>
    </row>
    <row r="62" spans="1:6" x14ac:dyDescent="0.3">
      <c r="A62" s="1" t="s">
        <v>37</v>
      </c>
      <c r="B62" t="s">
        <v>41</v>
      </c>
      <c r="C62" s="33">
        <v>4.0548885077186965</v>
      </c>
      <c r="D62" s="29">
        <v>4.3040816326530607</v>
      </c>
      <c r="E62" s="29">
        <v>4.218</v>
      </c>
      <c r="F62" t="s">
        <v>506</v>
      </c>
    </row>
    <row r="63" spans="1:6" ht="15" thickBot="1" x14ac:dyDescent="0.35">
      <c r="A63" s="24" t="s">
        <v>37</v>
      </c>
      <c r="B63" s="18" t="s">
        <v>42</v>
      </c>
      <c r="C63" s="36">
        <v>4.0400962309542905</v>
      </c>
      <c r="D63" s="31">
        <v>4.3516057585825028</v>
      </c>
      <c r="E63" s="34">
        <v>4.1829999999999998</v>
      </c>
      <c r="F63" s="18" t="s">
        <v>506</v>
      </c>
    </row>
    <row r="64" spans="1:6" x14ac:dyDescent="0.3">
      <c r="A64" s="27" t="s">
        <v>7</v>
      </c>
      <c r="B64" s="27" t="s">
        <v>8</v>
      </c>
      <c r="C64" s="32">
        <v>3.888157894736842</v>
      </c>
      <c r="D64" s="29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3">
        <v>4.0453003875968996</v>
      </c>
      <c r="D65" s="29">
        <v>4.1752631578947366</v>
      </c>
      <c r="E65" s="30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3">
        <v>4.1660628019323669</v>
      </c>
      <c r="D66" s="29">
        <v>4.0894298996819183</v>
      </c>
      <c r="E66" s="12">
        <v>4.0380000000000003</v>
      </c>
      <c r="F66" t="s">
        <v>506</v>
      </c>
    </row>
    <row r="67" spans="1:6" ht="15" thickBot="1" x14ac:dyDescent="0.35">
      <c r="A67" s="34" t="s">
        <v>7</v>
      </c>
      <c r="B67" s="34" t="s">
        <v>11</v>
      </c>
      <c r="C67" s="36">
        <v>3.9073836961160904</v>
      </c>
      <c r="D67" s="31">
        <v>3.9592039800995025</v>
      </c>
      <c r="E67" s="34">
        <v>4.1959999999999997</v>
      </c>
      <c r="F67" s="18" t="s">
        <v>506</v>
      </c>
    </row>
    <row r="68" spans="1:6" x14ac:dyDescent="0.3">
      <c r="A68" s="23" t="s">
        <v>43</v>
      </c>
      <c r="B68" s="23" t="s">
        <v>47</v>
      </c>
      <c r="C68" s="25">
        <v>3.9333333333333336</v>
      </c>
      <c r="D68" s="26">
        <v>4.070832279281559</v>
      </c>
      <c r="E68" s="29">
        <v>4.2</v>
      </c>
      <c r="F68" t="s">
        <v>506</v>
      </c>
    </row>
    <row r="69" spans="1:6" x14ac:dyDescent="0.3">
      <c r="A69" s="1" t="s">
        <v>43</v>
      </c>
      <c r="B69" s="1" t="s">
        <v>46</v>
      </c>
      <c r="C69" s="28">
        <v>4.1205837173579107</v>
      </c>
      <c r="D69" s="29">
        <v>4.0563909774436091</v>
      </c>
      <c r="E69" s="12">
        <v>4.1189999999999998</v>
      </c>
      <c r="F69" t="s">
        <v>506</v>
      </c>
    </row>
    <row r="70" spans="1:6" x14ac:dyDescent="0.3">
      <c r="A70" s="1" t="s">
        <v>43</v>
      </c>
      <c r="B70" s="1" t="s">
        <v>48</v>
      </c>
      <c r="C70" s="28">
        <v>3.7540983606557377</v>
      </c>
      <c r="D70" s="29">
        <v>3.9581736909323118</v>
      </c>
      <c r="E70" s="29">
        <v>4.2</v>
      </c>
      <c r="F70" t="s">
        <v>506</v>
      </c>
    </row>
    <row r="71" spans="1:6" x14ac:dyDescent="0.3">
      <c r="A71" s="1" t="s">
        <v>43</v>
      </c>
      <c r="B71" s="1" t="s">
        <v>455</v>
      </c>
      <c r="C71" s="28">
        <v>3.9379310344827587</v>
      </c>
      <c r="D71" s="29">
        <v>3.9106263194933146</v>
      </c>
      <c r="E71" s="122"/>
      <c r="F71" t="s">
        <v>506</v>
      </c>
    </row>
    <row r="72" spans="1:6" x14ac:dyDescent="0.3">
      <c r="A72" s="1" t="s">
        <v>43</v>
      </c>
      <c r="B72" s="1" t="s">
        <v>49</v>
      </c>
      <c r="C72" s="28">
        <v>4.0824999999999996</v>
      </c>
      <c r="D72" s="29">
        <v>4.0674269707883157</v>
      </c>
      <c r="E72" s="122"/>
      <c r="F72" t="s">
        <v>506</v>
      </c>
    </row>
    <row r="73" spans="1:6" x14ac:dyDescent="0.3">
      <c r="A73" s="1" t="s">
        <v>43</v>
      </c>
      <c r="B73" s="1" t="s">
        <v>50</v>
      </c>
      <c r="C73" s="28">
        <v>4.0769230769230766</v>
      </c>
      <c r="D73" s="29">
        <v>4.1345029239766085</v>
      </c>
      <c r="E73" s="122"/>
      <c r="F73" t="s">
        <v>506</v>
      </c>
    </row>
    <row r="74" spans="1:6" x14ac:dyDescent="0.3">
      <c r="A74" s="1" t="s">
        <v>43</v>
      </c>
      <c r="B74" s="1" t="s">
        <v>51</v>
      </c>
      <c r="C74" s="28">
        <v>3.9017996870109548</v>
      </c>
      <c r="D74" s="29">
        <v>4.045528017241379</v>
      </c>
      <c r="E74" s="12">
        <v>3.4470000000000001</v>
      </c>
      <c r="F74" t="s">
        <v>506</v>
      </c>
    </row>
    <row r="75" spans="1:6" x14ac:dyDescent="0.3">
      <c r="A75" s="1" t="s">
        <v>43</v>
      </c>
      <c r="B75" s="1" t="s">
        <v>52</v>
      </c>
      <c r="C75" s="28">
        <v>3.83</v>
      </c>
      <c r="D75" s="29">
        <v>4.0379677182685256</v>
      </c>
      <c r="E75" s="12">
        <v>3.9220000000000002</v>
      </c>
      <c r="F75" t="s">
        <v>506</v>
      </c>
    </row>
    <row r="76" spans="1:6" x14ac:dyDescent="0.3">
      <c r="A76" s="1" t="s">
        <v>43</v>
      </c>
      <c r="B76" s="1" t="s">
        <v>460</v>
      </c>
      <c r="C76" s="122"/>
      <c r="D76" s="122"/>
      <c r="E76" s="12">
        <v>3.3140000000000001</v>
      </c>
      <c r="F76" t="s">
        <v>506</v>
      </c>
    </row>
    <row r="77" spans="1:6" x14ac:dyDescent="0.3">
      <c r="A77" s="1" t="s">
        <v>43</v>
      </c>
      <c r="B77" s="1" t="s">
        <v>461</v>
      </c>
      <c r="C77" s="122"/>
      <c r="D77" s="122"/>
      <c r="E77" s="12">
        <v>3.3140000000000001</v>
      </c>
      <c r="F77" t="s">
        <v>506</v>
      </c>
    </row>
    <row r="78" spans="1:6" ht="15" thickBot="1" x14ac:dyDescent="0.35">
      <c r="A78" s="1" t="s">
        <v>43</v>
      </c>
      <c r="B78" s="1" t="s">
        <v>462</v>
      </c>
      <c r="C78" s="122"/>
      <c r="D78" s="122"/>
      <c r="E78" s="34">
        <v>3.706</v>
      </c>
      <c r="F78" s="18" t="s">
        <v>506</v>
      </c>
    </row>
    <row r="79" spans="1:6" x14ac:dyDescent="0.3">
      <c r="A79" s="23" t="s">
        <v>44</v>
      </c>
      <c r="B79" s="23" t="s">
        <v>443</v>
      </c>
      <c r="C79" s="40">
        <v>2.8540000000000001</v>
      </c>
      <c r="D79" s="26">
        <v>3.407</v>
      </c>
      <c r="E79" s="12">
        <v>3.6459999999999999</v>
      </c>
      <c r="F79" t="s">
        <v>506</v>
      </c>
    </row>
    <row r="80" spans="1:6" x14ac:dyDescent="0.3">
      <c r="A80" s="1" t="s">
        <v>44</v>
      </c>
      <c r="B80" s="1" t="s">
        <v>444</v>
      </c>
      <c r="C80" s="122"/>
      <c r="D80" s="29">
        <v>3.7454507857733663</v>
      </c>
      <c r="E80" s="12">
        <v>3.4289999999999998</v>
      </c>
      <c r="F80" t="s">
        <v>506</v>
      </c>
    </row>
    <row r="81" spans="1:6" x14ac:dyDescent="0.3">
      <c r="A81" s="1" t="s">
        <v>44</v>
      </c>
      <c r="B81" s="1" t="s">
        <v>445</v>
      </c>
      <c r="C81" s="122"/>
      <c r="D81" s="122"/>
      <c r="E81" s="12">
        <v>4.157</v>
      </c>
      <c r="F81" t="s">
        <v>506</v>
      </c>
    </row>
    <row r="82" spans="1:6" x14ac:dyDescent="0.3">
      <c r="A82" s="1" t="s">
        <v>44</v>
      </c>
      <c r="B82" s="1" t="s">
        <v>446</v>
      </c>
      <c r="C82" s="41">
        <v>2.9533542976939202</v>
      </c>
      <c r="D82" s="29">
        <v>3.3125</v>
      </c>
      <c r="E82" s="12">
        <v>3.9860000000000002</v>
      </c>
      <c r="F82" t="s">
        <v>506</v>
      </c>
    </row>
    <row r="83" spans="1:6" x14ac:dyDescent="0.3">
      <c r="A83" s="1" t="s">
        <v>44</v>
      </c>
      <c r="B83" s="1" t="s">
        <v>447</v>
      </c>
      <c r="C83" s="122"/>
      <c r="D83" s="29">
        <v>3.4391771019677995</v>
      </c>
      <c r="E83" s="12">
        <v>4.3970000000000002</v>
      </c>
      <c r="F83" t="s">
        <v>506</v>
      </c>
    </row>
    <row r="84" spans="1:6" x14ac:dyDescent="0.3">
      <c r="A84" s="1" t="s">
        <v>44</v>
      </c>
      <c r="B84" s="1" t="s">
        <v>448</v>
      </c>
      <c r="C84" s="41">
        <v>3.108228511530398</v>
      </c>
      <c r="D84" s="29">
        <v>3.4620151939224311</v>
      </c>
      <c r="E84" s="12">
        <v>3.9830000000000001</v>
      </c>
      <c r="F84" t="s">
        <v>506</v>
      </c>
    </row>
    <row r="85" spans="1:6" ht="15" thickBot="1" x14ac:dyDescent="0.35">
      <c r="A85" s="24" t="s">
        <v>44</v>
      </c>
      <c r="B85" s="24" t="s">
        <v>449</v>
      </c>
      <c r="C85" s="122"/>
      <c r="D85" s="31">
        <v>3.6451612903225805</v>
      </c>
      <c r="E85" s="34">
        <v>4.1109999999999998</v>
      </c>
      <c r="F85" s="18" t="s">
        <v>506</v>
      </c>
    </row>
    <row r="86" spans="1:6" x14ac:dyDescent="0.3">
      <c r="A86" s="1" t="s">
        <v>45</v>
      </c>
      <c r="B86" s="23" t="s">
        <v>450</v>
      </c>
      <c r="C86" s="32">
        <v>3.9935141509433962</v>
      </c>
      <c r="D86" s="26">
        <v>3.8653846153846154</v>
      </c>
      <c r="E86" s="122"/>
      <c r="F86" t="s">
        <v>506</v>
      </c>
    </row>
    <row r="87" spans="1:6" x14ac:dyDescent="0.3">
      <c r="A87" s="1" t="s">
        <v>45</v>
      </c>
      <c r="B87" s="1" t="s">
        <v>53</v>
      </c>
      <c r="C87" s="122"/>
      <c r="D87" s="12">
        <v>3.7320000000000002</v>
      </c>
      <c r="E87" s="122"/>
      <c r="F87" t="s">
        <v>506</v>
      </c>
    </row>
    <row r="88" spans="1:6" x14ac:dyDescent="0.3">
      <c r="A88" s="1" t="s">
        <v>45</v>
      </c>
      <c r="B88" s="1" t="s">
        <v>54</v>
      </c>
      <c r="C88" s="33">
        <v>4.0812082574377655</v>
      </c>
      <c r="D88" s="29">
        <v>3.9607843137254903</v>
      </c>
      <c r="E88" s="122"/>
      <c r="F88" t="s">
        <v>506</v>
      </c>
    </row>
    <row r="89" spans="1:6" x14ac:dyDescent="0.3">
      <c r="A89" s="1" t="s">
        <v>45</v>
      </c>
      <c r="B89" s="1" t="s">
        <v>55</v>
      </c>
      <c r="F89" t="s">
        <v>506</v>
      </c>
    </row>
    <row r="90" spans="1:6" ht="15" thickBot="1" x14ac:dyDescent="0.35">
      <c r="A90" s="24" t="s">
        <v>45</v>
      </c>
      <c r="B90" s="24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A4" sqref="A4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27" t="s">
        <v>442</v>
      </c>
      <c r="B2" s="127">
        <v>128</v>
      </c>
      <c r="C2" s="128" t="s">
        <v>222</v>
      </c>
    </row>
    <row r="3" spans="1:6" x14ac:dyDescent="0.3">
      <c r="A3" s="157" t="s">
        <v>7</v>
      </c>
      <c r="B3" s="127">
        <v>105</v>
      </c>
      <c r="C3" s="157" t="s">
        <v>124</v>
      </c>
    </row>
    <row r="4" spans="1:6" x14ac:dyDescent="0.3">
      <c r="A4" s="127" t="s">
        <v>12</v>
      </c>
      <c r="B4" s="127">
        <v>93</v>
      </c>
      <c r="C4" s="130" t="s">
        <v>15</v>
      </c>
    </row>
    <row r="5" spans="1:6" x14ac:dyDescent="0.3">
      <c r="A5" s="127" t="s">
        <v>18</v>
      </c>
      <c r="B5" s="127">
        <v>70</v>
      </c>
      <c r="C5" s="130" t="s">
        <v>18</v>
      </c>
      <c r="F5" s="12" t="s">
        <v>457</v>
      </c>
    </row>
    <row r="6" spans="1:6" x14ac:dyDescent="0.3">
      <c r="A6" s="6" t="s">
        <v>24</v>
      </c>
      <c r="B6" s="6">
        <v>89</v>
      </c>
      <c r="C6" s="42" t="s">
        <v>67</v>
      </c>
    </row>
    <row r="7" spans="1:6" x14ac:dyDescent="0.3">
      <c r="A7" s="129" t="s">
        <v>29</v>
      </c>
      <c r="B7" s="127">
        <v>78</v>
      </c>
      <c r="C7" s="130" t="s">
        <v>208</v>
      </c>
    </row>
    <row r="8" spans="1:6" x14ac:dyDescent="0.3">
      <c r="A8" s="129" t="s">
        <v>32</v>
      </c>
      <c r="B8" s="127">
        <v>105</v>
      </c>
      <c r="C8" s="130" t="s">
        <v>93</v>
      </c>
    </row>
    <row r="9" spans="1:6" x14ac:dyDescent="0.3">
      <c r="A9" s="8" t="s">
        <v>37</v>
      </c>
      <c r="B9" s="6">
        <v>58</v>
      </c>
      <c r="C9" s="8" t="s">
        <v>37</v>
      </c>
    </row>
    <row r="10" spans="1:6" x14ac:dyDescent="0.3">
      <c r="A10" s="130" t="s">
        <v>43</v>
      </c>
      <c r="B10" s="127">
        <v>73</v>
      </c>
      <c r="C10" s="130" t="s">
        <v>43</v>
      </c>
    </row>
    <row r="11" spans="1:6" x14ac:dyDescent="0.3">
      <c r="A11" s="8" t="s">
        <v>44</v>
      </c>
      <c r="B11" s="6">
        <v>77</v>
      </c>
      <c r="C11" s="8" t="s">
        <v>44</v>
      </c>
    </row>
    <row r="12" spans="1:6" x14ac:dyDescent="0.3">
      <c r="A12" s="162" t="s">
        <v>45</v>
      </c>
      <c r="B12" s="127">
        <v>97</v>
      </c>
      <c r="C12" s="130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L88"/>
  <sheetViews>
    <sheetView workbookViewId="0">
      <pane ySplit="1" topLeftCell="A4" activePane="bottomLeft" state="frozenSplit"/>
      <selection pane="bottomLeft" activeCell="A14" sqref="A14:XFD14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1" width="9.21875" customWidth="1"/>
  </cols>
  <sheetData>
    <row r="1" spans="1:12" ht="15.6" x14ac:dyDescent="0.3">
      <c r="A1" s="177" t="s">
        <v>628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</row>
    <row r="3" spans="1:12" x14ac:dyDescent="0.3">
      <c r="A3" t="s">
        <v>583</v>
      </c>
      <c r="B3" t="s">
        <v>584</v>
      </c>
      <c r="C3" t="s">
        <v>585</v>
      </c>
      <c r="D3" t="s">
        <v>586</v>
      </c>
      <c r="E3" t="s">
        <v>57</v>
      </c>
      <c r="F3" s="122" t="s">
        <v>587</v>
      </c>
      <c r="G3" s="122" t="s">
        <v>588</v>
      </c>
      <c r="H3" s="122" t="s">
        <v>589</v>
      </c>
      <c r="I3" s="122" t="s">
        <v>590</v>
      </c>
      <c r="J3" s="122" t="s">
        <v>591</v>
      </c>
      <c r="K3" t="s">
        <v>592</v>
      </c>
    </row>
    <row r="4" spans="1:12" x14ac:dyDescent="0.3">
      <c r="A4">
        <v>438</v>
      </c>
      <c r="B4" s="164">
        <v>45637.370844907397</v>
      </c>
      <c r="C4" s="164">
        <v>45637.370949074102</v>
      </c>
      <c r="D4" t="s">
        <v>138</v>
      </c>
      <c r="E4" t="s">
        <v>137</v>
      </c>
      <c r="F4" t="s">
        <v>467</v>
      </c>
      <c r="G4" t="s">
        <v>467</v>
      </c>
      <c r="H4" t="s">
        <v>467</v>
      </c>
      <c r="I4" t="s">
        <v>467</v>
      </c>
      <c r="J4" t="s">
        <v>467</v>
      </c>
    </row>
    <row r="5" spans="1:12" x14ac:dyDescent="0.3">
      <c r="A5">
        <v>439</v>
      </c>
      <c r="B5" s="164">
        <v>45637.370752314797</v>
      </c>
      <c r="C5" s="164">
        <v>45637.371331018498</v>
      </c>
      <c r="D5" t="s">
        <v>207</v>
      </c>
      <c r="E5" t="s">
        <v>206</v>
      </c>
      <c r="F5" t="s">
        <v>468</v>
      </c>
      <c r="G5" t="s">
        <v>468</v>
      </c>
      <c r="H5" t="s">
        <v>468</v>
      </c>
      <c r="I5" t="s">
        <v>468</v>
      </c>
      <c r="J5" t="s">
        <v>468</v>
      </c>
      <c r="K5" t="s">
        <v>468</v>
      </c>
    </row>
    <row r="6" spans="1:12" x14ac:dyDescent="0.3">
      <c r="A6">
        <v>440</v>
      </c>
      <c r="B6" s="164">
        <v>45637.375162037002</v>
      </c>
      <c r="C6" s="164">
        <v>45637.375243055598</v>
      </c>
      <c r="D6" t="s">
        <v>322</v>
      </c>
      <c r="E6" t="s">
        <v>321</v>
      </c>
      <c r="F6" t="s">
        <v>469</v>
      </c>
      <c r="G6" t="s">
        <v>469</v>
      </c>
      <c r="H6" t="s">
        <v>469</v>
      </c>
      <c r="I6" t="s">
        <v>469</v>
      </c>
      <c r="J6" t="s">
        <v>469</v>
      </c>
    </row>
    <row r="7" spans="1:12" x14ac:dyDescent="0.3">
      <c r="A7">
        <v>441</v>
      </c>
      <c r="B7" s="164">
        <v>45637.374479166698</v>
      </c>
      <c r="C7" s="164">
        <v>45637.375335648103</v>
      </c>
      <c r="D7" t="s">
        <v>133</v>
      </c>
      <c r="E7" t="s">
        <v>132</v>
      </c>
      <c r="F7" t="s">
        <v>593</v>
      </c>
      <c r="G7" t="s">
        <v>468</v>
      </c>
      <c r="H7" t="s">
        <v>467</v>
      </c>
      <c r="I7" t="s">
        <v>467</v>
      </c>
      <c r="J7" t="s">
        <v>467</v>
      </c>
    </row>
    <row r="8" spans="1:12" x14ac:dyDescent="0.3">
      <c r="A8">
        <v>442</v>
      </c>
      <c r="B8" s="164">
        <v>45637.373888888898</v>
      </c>
      <c r="C8" s="164">
        <v>45637.3758564815</v>
      </c>
      <c r="D8" t="s">
        <v>299</v>
      </c>
      <c r="E8" t="s">
        <v>298</v>
      </c>
      <c r="F8" t="s">
        <v>469</v>
      </c>
      <c r="G8" t="s">
        <v>467</v>
      </c>
      <c r="H8" t="s">
        <v>467</v>
      </c>
      <c r="I8" t="s">
        <v>467</v>
      </c>
      <c r="J8" t="s">
        <v>467</v>
      </c>
    </row>
    <row r="9" spans="1:12" x14ac:dyDescent="0.3">
      <c r="A9">
        <v>443</v>
      </c>
      <c r="B9" s="164">
        <v>45637.378043981502</v>
      </c>
      <c r="C9" s="164">
        <v>45637.378460648099</v>
      </c>
      <c r="D9" t="s">
        <v>421</v>
      </c>
      <c r="E9" t="s">
        <v>420</v>
      </c>
      <c r="F9" t="s">
        <v>467</v>
      </c>
      <c r="G9" t="s">
        <v>467</v>
      </c>
      <c r="H9" t="s">
        <v>467</v>
      </c>
      <c r="I9" t="s">
        <v>467</v>
      </c>
      <c r="J9" t="s">
        <v>467</v>
      </c>
    </row>
    <row r="10" spans="1:12" x14ac:dyDescent="0.3">
      <c r="A10">
        <v>444</v>
      </c>
      <c r="B10" s="164">
        <v>45637.382881944402</v>
      </c>
      <c r="C10" s="164">
        <v>45637.383298611101</v>
      </c>
      <c r="D10" t="s">
        <v>258</v>
      </c>
      <c r="E10" t="s">
        <v>257</v>
      </c>
      <c r="F10" t="s">
        <v>467</v>
      </c>
      <c r="G10" t="s">
        <v>467</v>
      </c>
      <c r="H10" t="s">
        <v>467</v>
      </c>
      <c r="I10" t="s">
        <v>467</v>
      </c>
      <c r="J10" t="s">
        <v>467</v>
      </c>
    </row>
    <row r="11" spans="1:12" x14ac:dyDescent="0.3">
      <c r="A11">
        <v>445</v>
      </c>
      <c r="B11" s="164">
        <v>45637.386643518497</v>
      </c>
      <c r="C11" s="164">
        <v>45637.387141203697</v>
      </c>
      <c r="D11" t="s">
        <v>152</v>
      </c>
      <c r="E11" t="s">
        <v>151</v>
      </c>
      <c r="F11" t="s">
        <v>468</v>
      </c>
      <c r="G11" t="s">
        <v>468</v>
      </c>
      <c r="H11" t="s">
        <v>468</v>
      </c>
      <c r="I11" t="s">
        <v>468</v>
      </c>
      <c r="J11" t="s">
        <v>468</v>
      </c>
    </row>
    <row r="12" spans="1:12" x14ac:dyDescent="0.3">
      <c r="A12">
        <v>446</v>
      </c>
      <c r="B12" s="164">
        <v>45637.387939814798</v>
      </c>
      <c r="C12" s="164">
        <v>45637.388888888898</v>
      </c>
      <c r="D12" t="s">
        <v>77</v>
      </c>
      <c r="E12" t="s">
        <v>76</v>
      </c>
      <c r="F12" t="s">
        <v>468</v>
      </c>
      <c r="G12" t="s">
        <v>468</v>
      </c>
      <c r="H12" t="s">
        <v>468</v>
      </c>
      <c r="I12" t="s">
        <v>468</v>
      </c>
      <c r="J12" t="s">
        <v>467</v>
      </c>
    </row>
    <row r="13" spans="1:12" x14ac:dyDescent="0.3">
      <c r="A13">
        <v>447</v>
      </c>
      <c r="B13" s="164">
        <v>45637.3886458333</v>
      </c>
      <c r="C13" s="164">
        <v>45637.393194444398</v>
      </c>
      <c r="D13" t="s">
        <v>435</v>
      </c>
      <c r="E13" t="s">
        <v>434</v>
      </c>
      <c r="F13" t="s">
        <v>468</v>
      </c>
      <c r="G13" t="s">
        <v>467</v>
      </c>
      <c r="H13" t="s">
        <v>468</v>
      </c>
      <c r="I13" t="s">
        <v>469</v>
      </c>
      <c r="J13" t="s">
        <v>467</v>
      </c>
    </row>
    <row r="14" spans="1:12" x14ac:dyDescent="0.3">
      <c r="A14">
        <v>448</v>
      </c>
      <c r="B14" s="164">
        <v>45637.392893518503</v>
      </c>
      <c r="C14" s="164">
        <v>45637.394201388903</v>
      </c>
      <c r="D14" t="s">
        <v>405</v>
      </c>
      <c r="E14" t="s">
        <v>404</v>
      </c>
      <c r="F14" t="s">
        <v>593</v>
      </c>
      <c r="G14" t="s">
        <v>468</v>
      </c>
      <c r="H14" t="s">
        <v>468</v>
      </c>
      <c r="I14" t="s">
        <v>593</v>
      </c>
      <c r="J14" t="s">
        <v>469</v>
      </c>
    </row>
    <row r="15" spans="1:12" x14ac:dyDescent="0.3">
      <c r="A15">
        <v>449</v>
      </c>
      <c r="B15" s="164">
        <v>45637.388113425899</v>
      </c>
      <c r="C15" s="164">
        <v>45637.398518518501</v>
      </c>
      <c r="D15" t="s">
        <v>594</v>
      </c>
      <c r="E15" t="s">
        <v>295</v>
      </c>
      <c r="F15" t="s">
        <v>593</v>
      </c>
      <c r="G15" t="s">
        <v>593</v>
      </c>
      <c r="H15" t="s">
        <v>593</v>
      </c>
      <c r="I15" t="s">
        <v>467</v>
      </c>
      <c r="J15" t="s">
        <v>467</v>
      </c>
    </row>
    <row r="16" spans="1:12" x14ac:dyDescent="0.3">
      <c r="A16">
        <v>451</v>
      </c>
      <c r="B16" s="164">
        <v>45637.410439814797</v>
      </c>
      <c r="C16" s="164">
        <v>45637.410740740699</v>
      </c>
      <c r="D16" t="s">
        <v>289</v>
      </c>
      <c r="E16" t="s">
        <v>288</v>
      </c>
      <c r="F16" t="s">
        <v>467</v>
      </c>
      <c r="G16" t="s">
        <v>467</v>
      </c>
      <c r="H16" t="s">
        <v>467</v>
      </c>
      <c r="I16" t="s">
        <v>467</v>
      </c>
      <c r="J16" t="s">
        <v>469</v>
      </c>
    </row>
    <row r="17" spans="1:11" x14ac:dyDescent="0.3">
      <c r="A17">
        <v>452</v>
      </c>
      <c r="B17" s="164">
        <v>45637.450416666703</v>
      </c>
      <c r="C17" s="164">
        <v>45637.452893518501</v>
      </c>
      <c r="D17" t="s">
        <v>359</v>
      </c>
      <c r="E17" t="s">
        <v>595</v>
      </c>
      <c r="F17" t="s">
        <v>593</v>
      </c>
      <c r="G17" t="s">
        <v>467</v>
      </c>
      <c r="H17" t="s">
        <v>467</v>
      </c>
      <c r="I17" t="s">
        <v>467</v>
      </c>
      <c r="J17" t="s">
        <v>469</v>
      </c>
      <c r="K17" t="s">
        <v>596</v>
      </c>
    </row>
    <row r="18" spans="1:11" x14ac:dyDescent="0.3">
      <c r="A18">
        <v>453</v>
      </c>
      <c r="B18" s="164">
        <v>45637.476724537002</v>
      </c>
      <c r="C18" s="164">
        <v>45637.477129629602</v>
      </c>
      <c r="D18" t="s">
        <v>145</v>
      </c>
      <c r="E18" t="s">
        <v>144</v>
      </c>
      <c r="F18" t="s">
        <v>467</v>
      </c>
      <c r="G18" t="s">
        <v>593</v>
      </c>
      <c r="H18" t="s">
        <v>593</v>
      </c>
      <c r="I18" t="s">
        <v>593</v>
      </c>
      <c r="J18" t="s">
        <v>593</v>
      </c>
    </row>
    <row r="19" spans="1:11" x14ac:dyDescent="0.3">
      <c r="A19">
        <v>454</v>
      </c>
      <c r="B19" s="164">
        <v>45637.478368055599</v>
      </c>
      <c r="C19" s="164">
        <v>45637.478900463</v>
      </c>
      <c r="D19" t="s">
        <v>597</v>
      </c>
      <c r="E19" t="s">
        <v>239</v>
      </c>
      <c r="F19" t="s">
        <v>468</v>
      </c>
      <c r="G19" t="s">
        <v>467</v>
      </c>
      <c r="H19" t="s">
        <v>593</v>
      </c>
      <c r="I19" t="s">
        <v>468</v>
      </c>
      <c r="J19" t="s">
        <v>468</v>
      </c>
    </row>
    <row r="20" spans="1:11" x14ac:dyDescent="0.3">
      <c r="A20">
        <v>455</v>
      </c>
      <c r="B20" s="164">
        <v>45637.478298611102</v>
      </c>
      <c r="C20" s="164">
        <v>45637.480995370403</v>
      </c>
      <c r="D20" t="s">
        <v>82</v>
      </c>
      <c r="E20" t="s">
        <v>81</v>
      </c>
      <c r="F20" t="s">
        <v>467</v>
      </c>
      <c r="G20" t="s">
        <v>467</v>
      </c>
      <c r="H20" t="s">
        <v>593</v>
      </c>
      <c r="I20" t="s">
        <v>467</v>
      </c>
      <c r="J20" t="s">
        <v>467</v>
      </c>
    </row>
    <row r="21" spans="1:11" x14ac:dyDescent="0.3">
      <c r="A21">
        <v>456</v>
      </c>
      <c r="B21" s="164">
        <v>45637.526608796303</v>
      </c>
      <c r="C21" s="164">
        <v>45637.527430555601</v>
      </c>
      <c r="D21" t="s">
        <v>326</v>
      </c>
      <c r="E21" t="s">
        <v>325</v>
      </c>
      <c r="F21" t="s">
        <v>467</v>
      </c>
      <c r="G21" t="s">
        <v>469</v>
      </c>
      <c r="H21" t="s">
        <v>467</v>
      </c>
      <c r="I21" t="s">
        <v>467</v>
      </c>
      <c r="J21" t="s">
        <v>467</v>
      </c>
    </row>
    <row r="22" spans="1:11" x14ac:dyDescent="0.3">
      <c r="A22">
        <v>457</v>
      </c>
      <c r="B22" s="164">
        <v>45637.528414351902</v>
      </c>
      <c r="C22" s="164">
        <v>45637.528715277796</v>
      </c>
      <c r="D22" t="s">
        <v>318</v>
      </c>
      <c r="E22" t="s">
        <v>317</v>
      </c>
      <c r="F22" t="s">
        <v>593</v>
      </c>
      <c r="G22" t="s">
        <v>593</v>
      </c>
      <c r="H22" t="s">
        <v>593</v>
      </c>
      <c r="I22" t="s">
        <v>469</v>
      </c>
      <c r="J22" t="s">
        <v>467</v>
      </c>
    </row>
    <row r="23" spans="1:11" x14ac:dyDescent="0.3">
      <c r="A23">
        <v>458</v>
      </c>
      <c r="B23" s="164">
        <v>45637.535578703697</v>
      </c>
      <c r="C23" s="164">
        <v>45637.535972222198</v>
      </c>
      <c r="D23" t="s">
        <v>391</v>
      </c>
      <c r="E23" t="s">
        <v>390</v>
      </c>
      <c r="F23" t="s">
        <v>468</v>
      </c>
      <c r="G23" t="s">
        <v>468</v>
      </c>
      <c r="H23" t="s">
        <v>468</v>
      </c>
      <c r="I23" t="s">
        <v>468</v>
      </c>
      <c r="J23" t="s">
        <v>468</v>
      </c>
    </row>
    <row r="24" spans="1:11" x14ac:dyDescent="0.3">
      <c r="A24">
        <v>459</v>
      </c>
      <c r="B24" s="164">
        <v>45637.540520833303</v>
      </c>
      <c r="C24" s="164">
        <v>45637.542268518497</v>
      </c>
      <c r="D24" t="s">
        <v>279</v>
      </c>
      <c r="E24" t="s">
        <v>278</v>
      </c>
      <c r="F24" t="s">
        <v>593</v>
      </c>
      <c r="G24" t="s">
        <v>593</v>
      </c>
      <c r="H24" t="s">
        <v>467</v>
      </c>
      <c r="I24" t="s">
        <v>467</v>
      </c>
      <c r="J24" t="s">
        <v>593</v>
      </c>
      <c r="K24" t="s">
        <v>598</v>
      </c>
    </row>
    <row r="25" spans="1:11" x14ac:dyDescent="0.3">
      <c r="A25">
        <v>460</v>
      </c>
      <c r="B25" s="164">
        <v>45637.580717592602</v>
      </c>
      <c r="C25" s="164">
        <v>45637.581527777802</v>
      </c>
      <c r="D25" t="s">
        <v>431</v>
      </c>
      <c r="E25" t="s">
        <v>430</v>
      </c>
      <c r="F25" t="s">
        <v>593</v>
      </c>
      <c r="G25" t="s">
        <v>593</v>
      </c>
      <c r="H25" t="s">
        <v>467</v>
      </c>
      <c r="I25" t="s">
        <v>593</v>
      </c>
      <c r="J25" t="s">
        <v>467</v>
      </c>
    </row>
    <row r="26" spans="1:11" x14ac:dyDescent="0.3">
      <c r="A26">
        <v>461</v>
      </c>
      <c r="B26" s="164">
        <v>45637.580694444398</v>
      </c>
      <c r="C26" s="164">
        <v>45637.581539351799</v>
      </c>
      <c r="D26" t="s">
        <v>176</v>
      </c>
      <c r="E26" t="s">
        <v>175</v>
      </c>
      <c r="F26" t="s">
        <v>468</v>
      </c>
      <c r="G26" t="s">
        <v>468</v>
      </c>
      <c r="H26" t="s">
        <v>468</v>
      </c>
      <c r="I26" t="s">
        <v>593</v>
      </c>
      <c r="J26" t="s">
        <v>468</v>
      </c>
    </row>
    <row r="27" spans="1:11" x14ac:dyDescent="0.3">
      <c r="A27">
        <v>462</v>
      </c>
      <c r="B27" s="164">
        <v>45637.592418981498</v>
      </c>
      <c r="C27" s="164">
        <v>45637.5930787037</v>
      </c>
      <c r="D27" t="s">
        <v>221</v>
      </c>
      <c r="E27" t="s">
        <v>599</v>
      </c>
      <c r="F27" t="s">
        <v>468</v>
      </c>
      <c r="G27" t="s">
        <v>468</v>
      </c>
      <c r="H27" t="s">
        <v>468</v>
      </c>
      <c r="I27" t="s">
        <v>468</v>
      </c>
      <c r="J27" t="s">
        <v>468</v>
      </c>
      <c r="K27" t="s">
        <v>600</v>
      </c>
    </row>
    <row r="28" spans="1:11" x14ac:dyDescent="0.3">
      <c r="A28">
        <v>463</v>
      </c>
      <c r="B28" s="164">
        <v>45637.595173611102</v>
      </c>
      <c r="C28" s="164">
        <v>45637.595740740697</v>
      </c>
      <c r="D28" t="s">
        <v>249</v>
      </c>
      <c r="E28" t="s">
        <v>248</v>
      </c>
      <c r="F28" t="s">
        <v>468</v>
      </c>
      <c r="G28" t="s">
        <v>468</v>
      </c>
      <c r="H28" t="s">
        <v>468</v>
      </c>
      <c r="I28" t="s">
        <v>468</v>
      </c>
      <c r="J28" t="s">
        <v>468</v>
      </c>
    </row>
    <row r="29" spans="1:11" x14ac:dyDescent="0.3">
      <c r="A29">
        <v>464</v>
      </c>
      <c r="B29" s="164">
        <v>45637.5933912037</v>
      </c>
      <c r="C29" s="164">
        <v>45637.597013888902</v>
      </c>
      <c r="D29" t="s">
        <v>601</v>
      </c>
      <c r="E29" t="s">
        <v>424</v>
      </c>
      <c r="F29" t="s">
        <v>467</v>
      </c>
      <c r="G29" t="s">
        <v>467</v>
      </c>
      <c r="H29" t="s">
        <v>469</v>
      </c>
      <c r="I29" t="s">
        <v>468</v>
      </c>
      <c r="J29" t="s">
        <v>469</v>
      </c>
    </row>
    <row r="30" spans="1:11" x14ac:dyDescent="0.3">
      <c r="A30">
        <v>466</v>
      </c>
      <c r="B30" s="164">
        <v>45637.605694444399</v>
      </c>
      <c r="C30" s="164">
        <v>45637.606284722198</v>
      </c>
      <c r="D30" t="s">
        <v>439</v>
      </c>
      <c r="E30" t="s">
        <v>438</v>
      </c>
      <c r="F30" t="s">
        <v>468</v>
      </c>
      <c r="G30" t="s">
        <v>468</v>
      </c>
      <c r="H30" t="s">
        <v>468</v>
      </c>
      <c r="I30" t="s">
        <v>593</v>
      </c>
      <c r="J30" t="s">
        <v>468</v>
      </c>
    </row>
    <row r="31" spans="1:11" x14ac:dyDescent="0.3">
      <c r="A31">
        <v>467</v>
      </c>
      <c r="B31" s="164">
        <v>45637.613310185203</v>
      </c>
      <c r="C31" s="164">
        <v>45637.6151157407</v>
      </c>
      <c r="D31" t="s">
        <v>320</v>
      </c>
      <c r="E31" t="s">
        <v>319</v>
      </c>
      <c r="F31" t="s">
        <v>468</v>
      </c>
      <c r="G31" t="s">
        <v>467</v>
      </c>
      <c r="H31" t="s">
        <v>468</v>
      </c>
      <c r="I31" t="s">
        <v>468</v>
      </c>
      <c r="J31" t="s">
        <v>468</v>
      </c>
    </row>
    <row r="32" spans="1:11" x14ac:dyDescent="0.3">
      <c r="A32">
        <v>468</v>
      </c>
      <c r="B32" s="164">
        <v>45637.642164351797</v>
      </c>
      <c r="C32" s="164">
        <v>45637.642835648097</v>
      </c>
      <c r="D32" t="s">
        <v>80</v>
      </c>
      <c r="E32" t="s">
        <v>79</v>
      </c>
      <c r="F32" t="s">
        <v>593</v>
      </c>
      <c r="G32" t="s">
        <v>467</v>
      </c>
      <c r="H32" t="s">
        <v>593</v>
      </c>
      <c r="I32" t="s">
        <v>593</v>
      </c>
      <c r="J32" t="s">
        <v>468</v>
      </c>
    </row>
    <row r="33" spans="1:11" x14ac:dyDescent="0.3">
      <c r="A33">
        <v>470</v>
      </c>
      <c r="B33" s="164">
        <v>45637.661111111098</v>
      </c>
      <c r="C33" s="164">
        <v>45637.664641203701</v>
      </c>
      <c r="D33" t="s">
        <v>343</v>
      </c>
      <c r="E33" t="s">
        <v>342</v>
      </c>
      <c r="F33" t="s">
        <v>468</v>
      </c>
      <c r="G33" t="s">
        <v>468</v>
      </c>
      <c r="H33" t="s">
        <v>468</v>
      </c>
      <c r="I33" t="s">
        <v>468</v>
      </c>
      <c r="J33" t="s">
        <v>468</v>
      </c>
    </row>
    <row r="34" spans="1:11" x14ac:dyDescent="0.3">
      <c r="A34">
        <v>471</v>
      </c>
      <c r="B34" s="164">
        <v>45637.666250000002</v>
      </c>
      <c r="C34" s="164">
        <v>45637.667465277802</v>
      </c>
      <c r="D34" t="s">
        <v>236</v>
      </c>
      <c r="E34" t="s">
        <v>235</v>
      </c>
      <c r="F34" t="s">
        <v>468</v>
      </c>
      <c r="G34" t="s">
        <v>467</v>
      </c>
      <c r="H34" t="s">
        <v>467</v>
      </c>
      <c r="I34" t="s">
        <v>467</v>
      </c>
      <c r="J34" t="s">
        <v>469</v>
      </c>
    </row>
    <row r="35" spans="1:11" x14ac:dyDescent="0.3">
      <c r="A35">
        <v>472</v>
      </c>
      <c r="B35" s="164">
        <v>45637.683923611097</v>
      </c>
      <c r="C35" s="164">
        <v>45637.684270833299</v>
      </c>
      <c r="D35" t="s">
        <v>205</v>
      </c>
      <c r="E35" t="s">
        <v>204</v>
      </c>
      <c r="F35" t="s">
        <v>593</v>
      </c>
      <c r="G35" t="s">
        <v>467</v>
      </c>
      <c r="H35" t="s">
        <v>468</v>
      </c>
      <c r="I35" t="s">
        <v>467</v>
      </c>
      <c r="J35" t="s">
        <v>467</v>
      </c>
    </row>
    <row r="36" spans="1:11" x14ac:dyDescent="0.3">
      <c r="A36">
        <v>473</v>
      </c>
      <c r="B36" s="164">
        <v>45637.725138888898</v>
      </c>
      <c r="C36" s="164">
        <v>45637.729895833298</v>
      </c>
      <c r="D36" t="s">
        <v>136</v>
      </c>
      <c r="E36" t="s">
        <v>135</v>
      </c>
      <c r="F36" t="s">
        <v>468</v>
      </c>
      <c r="G36" t="s">
        <v>467</v>
      </c>
      <c r="H36" t="s">
        <v>468</v>
      </c>
      <c r="I36" t="s">
        <v>467</v>
      </c>
      <c r="J36" t="s">
        <v>467</v>
      </c>
    </row>
    <row r="37" spans="1:11" x14ac:dyDescent="0.3">
      <c r="A37">
        <v>474</v>
      </c>
      <c r="B37" s="164">
        <v>45637.746342592603</v>
      </c>
      <c r="C37" s="164">
        <v>45637.747546296298</v>
      </c>
      <c r="D37" t="s">
        <v>602</v>
      </c>
      <c r="E37" t="s">
        <v>282</v>
      </c>
      <c r="F37" t="s">
        <v>468</v>
      </c>
      <c r="G37" t="s">
        <v>468</v>
      </c>
      <c r="H37" t="s">
        <v>468</v>
      </c>
      <c r="I37" t="s">
        <v>468</v>
      </c>
      <c r="J37" t="s">
        <v>468</v>
      </c>
      <c r="K37" t="s">
        <v>603</v>
      </c>
    </row>
    <row r="38" spans="1:11" x14ac:dyDescent="0.3">
      <c r="A38">
        <v>475</v>
      </c>
      <c r="B38" s="164">
        <v>45637.655972222201</v>
      </c>
      <c r="C38" s="164">
        <v>45637.769421296303</v>
      </c>
      <c r="D38" t="s">
        <v>181</v>
      </c>
      <c r="E38" t="s">
        <v>180</v>
      </c>
      <c r="F38" t="s">
        <v>467</v>
      </c>
      <c r="G38" t="s">
        <v>467</v>
      </c>
      <c r="H38" t="s">
        <v>467</v>
      </c>
      <c r="I38" t="s">
        <v>467</v>
      </c>
      <c r="J38" t="s">
        <v>467</v>
      </c>
    </row>
    <row r="39" spans="1:11" x14ac:dyDescent="0.3">
      <c r="A39">
        <v>476</v>
      </c>
      <c r="B39" s="164">
        <v>45638.0363194444</v>
      </c>
      <c r="C39" s="164">
        <v>45638.049884259301</v>
      </c>
      <c r="D39" t="s">
        <v>275</v>
      </c>
      <c r="E39" t="s">
        <v>274</v>
      </c>
      <c r="F39" t="s">
        <v>593</v>
      </c>
      <c r="G39" t="s">
        <v>593</v>
      </c>
      <c r="H39" t="s">
        <v>467</v>
      </c>
      <c r="I39" t="s">
        <v>593</v>
      </c>
      <c r="J39" t="s">
        <v>593</v>
      </c>
    </row>
    <row r="40" spans="1:11" x14ac:dyDescent="0.3">
      <c r="A40">
        <v>477</v>
      </c>
      <c r="B40" s="164">
        <v>45638.351793981499</v>
      </c>
      <c r="C40" s="164">
        <v>45638.352974537003</v>
      </c>
      <c r="D40" t="s">
        <v>61</v>
      </c>
      <c r="E40" t="s">
        <v>60</v>
      </c>
      <c r="F40" t="s">
        <v>467</v>
      </c>
      <c r="G40" t="s">
        <v>467</v>
      </c>
      <c r="H40" t="s">
        <v>467</v>
      </c>
      <c r="I40" t="s">
        <v>467</v>
      </c>
      <c r="J40" t="s">
        <v>467</v>
      </c>
    </row>
    <row r="41" spans="1:11" x14ac:dyDescent="0.3">
      <c r="A41">
        <v>478</v>
      </c>
      <c r="B41" s="164">
        <v>45638.361099537004</v>
      </c>
      <c r="C41" s="164">
        <v>45638.361377314803</v>
      </c>
      <c r="D41" t="s">
        <v>374</v>
      </c>
      <c r="E41" t="s">
        <v>604</v>
      </c>
      <c r="F41" t="s">
        <v>467</v>
      </c>
      <c r="G41" t="s">
        <v>467</v>
      </c>
      <c r="H41" t="s">
        <v>467</v>
      </c>
      <c r="I41" t="s">
        <v>467</v>
      </c>
      <c r="J41" t="s">
        <v>467</v>
      </c>
    </row>
    <row r="42" spans="1:11" x14ac:dyDescent="0.3">
      <c r="A42">
        <v>479</v>
      </c>
      <c r="B42" s="164">
        <v>45638.362881944398</v>
      </c>
      <c r="C42" s="164">
        <v>45638.364513888897</v>
      </c>
      <c r="D42" t="s">
        <v>605</v>
      </c>
      <c r="E42" t="s">
        <v>140</v>
      </c>
      <c r="F42" t="s">
        <v>593</v>
      </c>
      <c r="G42" t="s">
        <v>593</v>
      </c>
      <c r="H42" t="s">
        <v>468</v>
      </c>
      <c r="I42" t="s">
        <v>467</v>
      </c>
      <c r="J42" t="s">
        <v>467</v>
      </c>
    </row>
    <row r="43" spans="1:11" x14ac:dyDescent="0.3">
      <c r="A43">
        <v>480</v>
      </c>
      <c r="B43" s="164">
        <v>45638.358761574098</v>
      </c>
      <c r="C43" s="164">
        <v>45638.387800925899</v>
      </c>
      <c r="D43" t="s">
        <v>92</v>
      </c>
      <c r="E43" t="s">
        <v>91</v>
      </c>
      <c r="F43" t="s">
        <v>593</v>
      </c>
      <c r="G43" t="s">
        <v>593</v>
      </c>
      <c r="H43" t="s">
        <v>593</v>
      </c>
      <c r="I43" t="s">
        <v>467</v>
      </c>
      <c r="J43" t="s">
        <v>467</v>
      </c>
    </row>
    <row r="44" spans="1:11" x14ac:dyDescent="0.3">
      <c r="A44">
        <v>481</v>
      </c>
      <c r="B44" s="164">
        <v>45638.436574074098</v>
      </c>
      <c r="C44" s="164">
        <v>45638.437071759297</v>
      </c>
      <c r="D44" t="s">
        <v>217</v>
      </c>
      <c r="E44" t="s">
        <v>216</v>
      </c>
      <c r="F44" t="s">
        <v>467</v>
      </c>
      <c r="G44" t="s">
        <v>467</v>
      </c>
      <c r="H44" t="s">
        <v>467</v>
      </c>
      <c r="I44" t="s">
        <v>467</v>
      </c>
      <c r="J44" t="s">
        <v>467</v>
      </c>
    </row>
    <row r="45" spans="1:11" x14ac:dyDescent="0.3">
      <c r="A45">
        <v>482</v>
      </c>
      <c r="B45" s="164">
        <v>45638.442650463003</v>
      </c>
      <c r="C45" s="164">
        <v>45638.444745370398</v>
      </c>
      <c r="D45" t="s">
        <v>606</v>
      </c>
      <c r="E45" t="s">
        <v>293</v>
      </c>
      <c r="F45" t="s">
        <v>467</v>
      </c>
      <c r="G45" t="s">
        <v>468</v>
      </c>
      <c r="H45" t="s">
        <v>468</v>
      </c>
      <c r="I45" t="s">
        <v>467</v>
      </c>
      <c r="J45" t="s">
        <v>468</v>
      </c>
      <c r="K45" t="s">
        <v>607</v>
      </c>
    </row>
    <row r="46" spans="1:11" x14ac:dyDescent="0.3">
      <c r="A46">
        <v>483</v>
      </c>
      <c r="B46" s="164">
        <v>45638.465763888897</v>
      </c>
      <c r="C46" s="164">
        <v>45638.468043981498</v>
      </c>
      <c r="D46" t="s">
        <v>210</v>
      </c>
      <c r="E46" t="s">
        <v>562</v>
      </c>
      <c r="F46" t="s">
        <v>468</v>
      </c>
      <c r="G46" t="s">
        <v>467</v>
      </c>
      <c r="H46" t="s">
        <v>467</v>
      </c>
      <c r="I46" t="s">
        <v>467</v>
      </c>
      <c r="J46" t="s">
        <v>467</v>
      </c>
    </row>
    <row r="47" spans="1:11" x14ac:dyDescent="0.3">
      <c r="A47">
        <v>484</v>
      </c>
      <c r="B47" s="164">
        <v>45638.471006944397</v>
      </c>
      <c r="C47" s="164">
        <v>45638.472210648099</v>
      </c>
      <c r="D47" t="s">
        <v>254</v>
      </c>
      <c r="E47" t="s">
        <v>253</v>
      </c>
      <c r="F47" t="s">
        <v>467</v>
      </c>
      <c r="G47" t="s">
        <v>467</v>
      </c>
      <c r="H47" t="s">
        <v>593</v>
      </c>
      <c r="I47" t="s">
        <v>467</v>
      </c>
      <c r="J47" t="s">
        <v>467</v>
      </c>
      <c r="K47" t="s">
        <v>467</v>
      </c>
    </row>
    <row r="48" spans="1:11" x14ac:dyDescent="0.3">
      <c r="A48">
        <v>485</v>
      </c>
      <c r="B48" s="164">
        <v>45638.475023148101</v>
      </c>
      <c r="C48" s="164">
        <v>45638.475740740701</v>
      </c>
      <c r="D48" t="s">
        <v>403</v>
      </c>
      <c r="E48" t="s">
        <v>402</v>
      </c>
      <c r="F48" t="s">
        <v>467</v>
      </c>
      <c r="G48" t="s">
        <v>467</v>
      </c>
      <c r="H48" t="s">
        <v>467</v>
      </c>
      <c r="I48" t="s">
        <v>467</v>
      </c>
      <c r="J48" t="s">
        <v>593</v>
      </c>
    </row>
    <row r="49" spans="1:11" x14ac:dyDescent="0.3">
      <c r="A49">
        <v>486</v>
      </c>
      <c r="B49" s="164">
        <v>45638.475914351897</v>
      </c>
      <c r="C49" s="164">
        <v>45638.476689814801</v>
      </c>
      <c r="D49" t="s">
        <v>170</v>
      </c>
      <c r="E49" t="s">
        <v>169</v>
      </c>
      <c r="F49" t="s">
        <v>468</v>
      </c>
      <c r="G49" t="s">
        <v>468</v>
      </c>
      <c r="H49" t="s">
        <v>593</v>
      </c>
      <c r="I49" t="s">
        <v>468</v>
      </c>
      <c r="J49" t="s">
        <v>468</v>
      </c>
    </row>
    <row r="50" spans="1:11" x14ac:dyDescent="0.3">
      <c r="A50">
        <v>487</v>
      </c>
      <c r="B50" s="164">
        <v>45638.4760648148</v>
      </c>
      <c r="C50" s="164">
        <v>45638.476817129602</v>
      </c>
      <c r="D50" t="s">
        <v>88</v>
      </c>
      <c r="E50" t="s">
        <v>87</v>
      </c>
      <c r="F50" t="s">
        <v>593</v>
      </c>
      <c r="G50" t="s">
        <v>468</v>
      </c>
      <c r="H50" t="s">
        <v>468</v>
      </c>
      <c r="I50" t="s">
        <v>468</v>
      </c>
      <c r="J50" t="s">
        <v>467</v>
      </c>
    </row>
    <row r="51" spans="1:11" x14ac:dyDescent="0.3">
      <c r="A51">
        <v>488</v>
      </c>
      <c r="B51" s="164">
        <v>45638.477199074099</v>
      </c>
      <c r="C51" s="164">
        <v>45638.477673611102</v>
      </c>
      <c r="D51" t="s">
        <v>242</v>
      </c>
      <c r="E51" t="s">
        <v>241</v>
      </c>
      <c r="F51" t="s">
        <v>593</v>
      </c>
      <c r="G51" t="s">
        <v>467</v>
      </c>
      <c r="H51" t="s">
        <v>593</v>
      </c>
      <c r="I51" t="s">
        <v>467</v>
      </c>
      <c r="J51" t="s">
        <v>593</v>
      </c>
    </row>
    <row r="52" spans="1:11" x14ac:dyDescent="0.3">
      <c r="A52">
        <v>489</v>
      </c>
      <c r="B52" s="164">
        <v>45638.478981481501</v>
      </c>
      <c r="C52" s="164">
        <v>45638.479594907403</v>
      </c>
      <c r="D52" t="s">
        <v>65</v>
      </c>
      <c r="E52" t="s">
        <v>64</v>
      </c>
      <c r="F52" t="s">
        <v>468</v>
      </c>
      <c r="G52" t="s">
        <v>468</v>
      </c>
      <c r="H52" t="s">
        <v>468</v>
      </c>
      <c r="I52" t="s">
        <v>468</v>
      </c>
      <c r="J52" t="s">
        <v>468</v>
      </c>
      <c r="K52" t="s">
        <v>608</v>
      </c>
    </row>
    <row r="53" spans="1:11" x14ac:dyDescent="0.3">
      <c r="A53">
        <v>490</v>
      </c>
      <c r="B53" s="164">
        <v>45638.478831018503</v>
      </c>
      <c r="C53" s="164">
        <v>45638.479710648098</v>
      </c>
      <c r="D53" t="s">
        <v>609</v>
      </c>
      <c r="E53" t="s">
        <v>233</v>
      </c>
      <c r="F53" t="s">
        <v>593</v>
      </c>
      <c r="G53" t="s">
        <v>593</v>
      </c>
      <c r="H53" t="s">
        <v>467</v>
      </c>
      <c r="I53" t="s">
        <v>467</v>
      </c>
      <c r="J53" t="s">
        <v>470</v>
      </c>
      <c r="K53" t="s">
        <v>610</v>
      </c>
    </row>
    <row r="54" spans="1:11" x14ac:dyDescent="0.3">
      <c r="A54">
        <v>491</v>
      </c>
      <c r="B54" s="164">
        <v>45638.487835648099</v>
      </c>
      <c r="C54" s="164">
        <v>45638.488055555601</v>
      </c>
      <c r="D54" t="s">
        <v>85</v>
      </c>
      <c r="E54" t="s">
        <v>84</v>
      </c>
      <c r="F54" t="s">
        <v>468</v>
      </c>
      <c r="G54" t="s">
        <v>468</v>
      </c>
      <c r="H54" t="s">
        <v>468</v>
      </c>
      <c r="I54" t="s">
        <v>468</v>
      </c>
      <c r="J54" t="s">
        <v>468</v>
      </c>
    </row>
    <row r="55" spans="1:11" x14ac:dyDescent="0.3">
      <c r="A55">
        <v>492</v>
      </c>
      <c r="B55" s="164">
        <v>45638.488912036999</v>
      </c>
      <c r="C55" s="164">
        <v>45638.490775462997</v>
      </c>
      <c r="D55" t="s">
        <v>256</v>
      </c>
      <c r="E55" t="s">
        <v>255</v>
      </c>
      <c r="F55" t="s">
        <v>469</v>
      </c>
      <c r="G55" t="s">
        <v>467</v>
      </c>
      <c r="H55" t="s">
        <v>593</v>
      </c>
      <c r="I55" t="s">
        <v>467</v>
      </c>
      <c r="J55" t="s">
        <v>467</v>
      </c>
    </row>
    <row r="56" spans="1:11" x14ac:dyDescent="0.3">
      <c r="A56">
        <v>493</v>
      </c>
      <c r="B56" s="164">
        <v>45638.498171296298</v>
      </c>
      <c r="C56" s="164">
        <v>45638.498344907399</v>
      </c>
      <c r="D56" t="s">
        <v>611</v>
      </c>
      <c r="E56" t="s">
        <v>68</v>
      </c>
      <c r="F56" t="s">
        <v>467</v>
      </c>
      <c r="G56" t="s">
        <v>467</v>
      </c>
      <c r="H56" t="s">
        <v>467</v>
      </c>
      <c r="I56" t="s">
        <v>467</v>
      </c>
      <c r="J56" t="s">
        <v>467</v>
      </c>
      <c r="K56" s="122" t="s">
        <v>612</v>
      </c>
    </row>
    <row r="57" spans="1:11" x14ac:dyDescent="0.3">
      <c r="A57">
        <v>494</v>
      </c>
      <c r="B57" s="164">
        <v>45638.498807870397</v>
      </c>
      <c r="C57" s="164">
        <v>45638.499675925901</v>
      </c>
      <c r="D57" t="s">
        <v>267</v>
      </c>
      <c r="E57" t="s">
        <v>613</v>
      </c>
      <c r="F57" t="s">
        <v>468</v>
      </c>
      <c r="G57" t="s">
        <v>468</v>
      </c>
      <c r="H57" t="s">
        <v>468</v>
      </c>
      <c r="I57" t="s">
        <v>468</v>
      </c>
      <c r="J57" t="s">
        <v>468</v>
      </c>
    </row>
    <row r="58" spans="1:11" x14ac:dyDescent="0.3">
      <c r="A58">
        <v>495</v>
      </c>
      <c r="B58" s="164">
        <v>45638.513078703698</v>
      </c>
      <c r="C58" s="164">
        <v>45638.513888888898</v>
      </c>
      <c r="D58" t="s">
        <v>614</v>
      </c>
      <c r="E58" t="s">
        <v>106</v>
      </c>
      <c r="F58" t="s">
        <v>468</v>
      </c>
      <c r="G58" t="s">
        <v>467</v>
      </c>
      <c r="H58" t="s">
        <v>593</v>
      </c>
      <c r="I58" t="s">
        <v>467</v>
      </c>
      <c r="J58" t="s">
        <v>468</v>
      </c>
    </row>
    <row r="59" spans="1:11" x14ac:dyDescent="0.3">
      <c r="A59">
        <v>496</v>
      </c>
      <c r="B59" s="164">
        <v>45638.5140046296</v>
      </c>
      <c r="C59" s="164">
        <v>45638.514733796299</v>
      </c>
      <c r="D59" t="s">
        <v>415</v>
      </c>
      <c r="E59" t="s">
        <v>414</v>
      </c>
      <c r="F59" t="s">
        <v>468</v>
      </c>
      <c r="G59" t="s">
        <v>593</v>
      </c>
      <c r="H59" t="s">
        <v>593</v>
      </c>
      <c r="I59" t="s">
        <v>468</v>
      </c>
      <c r="J59" t="s">
        <v>468</v>
      </c>
      <c r="K59" s="122" t="s">
        <v>612</v>
      </c>
    </row>
    <row r="60" spans="1:11" x14ac:dyDescent="0.3">
      <c r="A60">
        <v>497</v>
      </c>
      <c r="B60" s="164">
        <v>45638.519270833298</v>
      </c>
      <c r="C60" s="164">
        <v>45638.520034722198</v>
      </c>
      <c r="D60" t="s">
        <v>200</v>
      </c>
      <c r="E60" t="s">
        <v>615</v>
      </c>
      <c r="F60" t="s">
        <v>593</v>
      </c>
      <c r="G60" t="s">
        <v>467</v>
      </c>
      <c r="H60" t="s">
        <v>593</v>
      </c>
      <c r="I60" t="s">
        <v>593</v>
      </c>
      <c r="J60" t="s">
        <v>467</v>
      </c>
    </row>
    <row r="61" spans="1:11" x14ac:dyDescent="0.3">
      <c r="A61">
        <v>499</v>
      </c>
      <c r="B61" s="164">
        <v>45638.576689814799</v>
      </c>
      <c r="C61" s="164">
        <v>45638.577187499999</v>
      </c>
      <c r="D61" t="s">
        <v>198</v>
      </c>
      <c r="E61" t="s">
        <v>197</v>
      </c>
      <c r="F61" t="s">
        <v>468</v>
      </c>
      <c r="G61" t="s">
        <v>468</v>
      </c>
      <c r="H61" t="s">
        <v>468</v>
      </c>
      <c r="I61" t="s">
        <v>468</v>
      </c>
      <c r="J61" t="s">
        <v>468</v>
      </c>
      <c r="K61" t="s">
        <v>616</v>
      </c>
    </row>
    <row r="62" spans="1:11" x14ac:dyDescent="0.3">
      <c r="A62">
        <v>500</v>
      </c>
      <c r="B62" s="164">
        <v>45638.579988425903</v>
      </c>
      <c r="C62" s="164">
        <v>45638.580694444398</v>
      </c>
      <c r="D62" t="s">
        <v>350</v>
      </c>
      <c r="E62" t="s">
        <v>617</v>
      </c>
      <c r="F62" t="s">
        <v>593</v>
      </c>
      <c r="G62" t="s">
        <v>468</v>
      </c>
      <c r="H62" t="s">
        <v>467</v>
      </c>
      <c r="I62" t="s">
        <v>467</v>
      </c>
      <c r="J62" t="s">
        <v>468</v>
      </c>
    </row>
    <row r="63" spans="1:11" x14ac:dyDescent="0.3">
      <c r="A63">
        <v>501</v>
      </c>
      <c r="B63" s="164">
        <v>45638.587453703702</v>
      </c>
      <c r="C63" s="164">
        <v>45638.587615740696</v>
      </c>
      <c r="D63" t="s">
        <v>345</v>
      </c>
      <c r="E63" t="s">
        <v>344</v>
      </c>
      <c r="F63" t="s">
        <v>593</v>
      </c>
      <c r="G63" t="s">
        <v>467</v>
      </c>
      <c r="H63" t="s">
        <v>593</v>
      </c>
      <c r="I63" t="s">
        <v>467</v>
      </c>
      <c r="J63" t="s">
        <v>593</v>
      </c>
    </row>
    <row r="64" spans="1:11" x14ac:dyDescent="0.3">
      <c r="A64">
        <v>502</v>
      </c>
      <c r="B64" s="164">
        <v>45638.596296296302</v>
      </c>
      <c r="C64" s="164">
        <v>45638.596793981502</v>
      </c>
      <c r="D64" t="s">
        <v>314</v>
      </c>
      <c r="E64" t="s">
        <v>313</v>
      </c>
      <c r="F64" t="s">
        <v>467</v>
      </c>
      <c r="G64" t="s">
        <v>467</v>
      </c>
      <c r="H64" t="s">
        <v>467</v>
      </c>
      <c r="I64" t="s">
        <v>467</v>
      </c>
      <c r="J64" t="s">
        <v>467</v>
      </c>
    </row>
    <row r="65" spans="1:11" x14ac:dyDescent="0.3">
      <c r="A65">
        <v>503</v>
      </c>
      <c r="B65" s="164">
        <v>45638.598749999997</v>
      </c>
      <c r="C65" s="164">
        <v>45638.599016203698</v>
      </c>
      <c r="D65" t="s">
        <v>150</v>
      </c>
      <c r="E65" t="s">
        <v>149</v>
      </c>
      <c r="F65" t="s">
        <v>593</v>
      </c>
      <c r="G65" t="s">
        <v>467</v>
      </c>
      <c r="H65" t="s">
        <v>467</v>
      </c>
      <c r="I65" t="s">
        <v>593</v>
      </c>
      <c r="J65" t="s">
        <v>467</v>
      </c>
    </row>
    <row r="66" spans="1:11" x14ac:dyDescent="0.3">
      <c r="A66">
        <v>504</v>
      </c>
      <c r="B66" s="164">
        <v>45638.612673611096</v>
      </c>
      <c r="C66" s="164">
        <v>45638.619756944398</v>
      </c>
      <c r="D66" t="s">
        <v>271</v>
      </c>
      <c r="E66" t="s">
        <v>270</v>
      </c>
      <c r="F66" t="s">
        <v>467</v>
      </c>
      <c r="G66" t="s">
        <v>467</v>
      </c>
      <c r="H66" t="s">
        <v>467</v>
      </c>
      <c r="I66" t="s">
        <v>467</v>
      </c>
      <c r="J66" t="s">
        <v>467</v>
      </c>
    </row>
    <row r="67" spans="1:11" x14ac:dyDescent="0.3">
      <c r="A67">
        <v>505</v>
      </c>
      <c r="B67" s="164">
        <v>45638.621689814798</v>
      </c>
      <c r="C67" s="164">
        <v>45638.622187499997</v>
      </c>
      <c r="D67" t="s">
        <v>156</v>
      </c>
      <c r="E67" t="s">
        <v>155</v>
      </c>
      <c r="F67" t="s">
        <v>593</v>
      </c>
      <c r="G67" t="s">
        <v>593</v>
      </c>
      <c r="H67" t="s">
        <v>593</v>
      </c>
      <c r="I67" t="s">
        <v>593</v>
      </c>
      <c r="J67" t="s">
        <v>468</v>
      </c>
    </row>
    <row r="68" spans="1:11" x14ac:dyDescent="0.3">
      <c r="A68">
        <v>506</v>
      </c>
      <c r="B68" s="164">
        <v>45638.647881944402</v>
      </c>
      <c r="C68" s="164">
        <v>45638.648379629602</v>
      </c>
      <c r="D68" t="s">
        <v>369</v>
      </c>
      <c r="E68" t="s">
        <v>368</v>
      </c>
      <c r="F68" t="s">
        <v>467</v>
      </c>
      <c r="G68" t="s">
        <v>593</v>
      </c>
      <c r="H68" t="s">
        <v>467</v>
      </c>
      <c r="I68" t="s">
        <v>467</v>
      </c>
      <c r="J68" t="s">
        <v>467</v>
      </c>
    </row>
    <row r="69" spans="1:11" x14ac:dyDescent="0.3">
      <c r="A69">
        <v>507</v>
      </c>
      <c r="B69" s="164">
        <v>45638.683506944399</v>
      </c>
      <c r="C69" s="164">
        <v>45638.683935185203</v>
      </c>
      <c r="D69" t="s">
        <v>224</v>
      </c>
      <c r="E69" t="s">
        <v>223</v>
      </c>
      <c r="F69" t="s">
        <v>467</v>
      </c>
      <c r="G69" t="s">
        <v>468</v>
      </c>
      <c r="H69" t="s">
        <v>467</v>
      </c>
      <c r="I69" t="s">
        <v>467</v>
      </c>
      <c r="J69" t="s">
        <v>593</v>
      </c>
    </row>
    <row r="70" spans="1:11" x14ac:dyDescent="0.3">
      <c r="A70">
        <v>508</v>
      </c>
      <c r="B70" s="164">
        <v>45638.713738425897</v>
      </c>
      <c r="C70" s="164">
        <v>45638.714108796303</v>
      </c>
      <c r="D70" t="s">
        <v>618</v>
      </c>
      <c r="E70" t="s">
        <v>348</v>
      </c>
      <c r="F70" t="s">
        <v>468</v>
      </c>
      <c r="G70" t="s">
        <v>468</v>
      </c>
      <c r="H70" t="s">
        <v>468</v>
      </c>
      <c r="I70" t="s">
        <v>468</v>
      </c>
      <c r="J70" t="s">
        <v>468</v>
      </c>
    </row>
    <row r="71" spans="1:11" x14ac:dyDescent="0.3">
      <c r="A71">
        <v>509</v>
      </c>
      <c r="B71" s="164">
        <v>45638.7178472222</v>
      </c>
      <c r="C71" s="164">
        <v>45638.719432870399</v>
      </c>
      <c r="D71" t="s">
        <v>397</v>
      </c>
      <c r="E71" t="s">
        <v>396</v>
      </c>
      <c r="F71" t="s">
        <v>468</v>
      </c>
      <c r="G71" t="s">
        <v>467</v>
      </c>
      <c r="H71" t="s">
        <v>468</v>
      </c>
      <c r="I71" t="s">
        <v>467</v>
      </c>
      <c r="J71" t="s">
        <v>467</v>
      </c>
    </row>
    <row r="72" spans="1:11" x14ac:dyDescent="0.3">
      <c r="A72">
        <v>510</v>
      </c>
      <c r="B72" s="164">
        <v>45638.7907291667</v>
      </c>
      <c r="C72" s="164">
        <v>45638.791203703702</v>
      </c>
      <c r="D72" t="s">
        <v>619</v>
      </c>
      <c r="E72" t="s">
        <v>523</v>
      </c>
      <c r="F72" t="s">
        <v>467</v>
      </c>
      <c r="G72" t="s">
        <v>467</v>
      </c>
      <c r="H72" t="s">
        <v>593</v>
      </c>
      <c r="I72" t="s">
        <v>593</v>
      </c>
      <c r="J72" t="s">
        <v>468</v>
      </c>
    </row>
    <row r="73" spans="1:11" x14ac:dyDescent="0.3">
      <c r="A73">
        <v>511</v>
      </c>
      <c r="B73" s="164">
        <v>45638.8919328704</v>
      </c>
      <c r="C73" s="164">
        <v>45638.894108796303</v>
      </c>
      <c r="D73" t="s">
        <v>215</v>
      </c>
      <c r="E73" t="s">
        <v>214</v>
      </c>
      <c r="F73" t="s">
        <v>468</v>
      </c>
      <c r="G73" t="s">
        <v>468</v>
      </c>
      <c r="H73" t="s">
        <v>468</v>
      </c>
      <c r="I73" t="s">
        <v>468</v>
      </c>
      <c r="J73" t="s">
        <v>468</v>
      </c>
      <c r="K73" t="s">
        <v>620</v>
      </c>
    </row>
    <row r="74" spans="1:11" x14ac:dyDescent="0.3">
      <c r="A74">
        <v>512</v>
      </c>
      <c r="B74" s="164">
        <v>45639.357222222199</v>
      </c>
      <c r="C74" s="164">
        <v>45639.358483796299</v>
      </c>
      <c r="D74" t="s">
        <v>307</v>
      </c>
      <c r="E74" t="s">
        <v>306</v>
      </c>
      <c r="F74" t="s">
        <v>468</v>
      </c>
      <c r="G74" t="s">
        <v>593</v>
      </c>
      <c r="H74" t="s">
        <v>593</v>
      </c>
      <c r="I74" t="s">
        <v>593</v>
      </c>
      <c r="J74" t="s">
        <v>468</v>
      </c>
    </row>
    <row r="75" spans="1:11" x14ac:dyDescent="0.3">
      <c r="A75">
        <v>513</v>
      </c>
      <c r="B75" s="164">
        <v>45639.361886574101</v>
      </c>
      <c r="C75" s="164">
        <v>45639.362314814804</v>
      </c>
      <c r="D75" t="s">
        <v>285</v>
      </c>
      <c r="E75" t="s">
        <v>284</v>
      </c>
      <c r="F75" t="s">
        <v>468</v>
      </c>
      <c r="G75" t="s">
        <v>467</v>
      </c>
      <c r="H75" t="s">
        <v>467</v>
      </c>
      <c r="I75" t="s">
        <v>593</v>
      </c>
      <c r="J75" t="s">
        <v>470</v>
      </c>
    </row>
    <row r="76" spans="1:11" x14ac:dyDescent="0.3">
      <c r="A76">
        <v>514</v>
      </c>
      <c r="B76" s="164">
        <v>45639.360578703701</v>
      </c>
      <c r="C76" s="164">
        <v>45639.362384259301</v>
      </c>
      <c r="D76" t="s">
        <v>316</v>
      </c>
      <c r="E76" t="s">
        <v>315</v>
      </c>
      <c r="F76" t="s">
        <v>467</v>
      </c>
      <c r="G76" t="s">
        <v>593</v>
      </c>
      <c r="H76" t="s">
        <v>468</v>
      </c>
      <c r="I76" t="s">
        <v>467</v>
      </c>
      <c r="J76" t="s">
        <v>468</v>
      </c>
      <c r="K76" t="s">
        <v>621</v>
      </c>
    </row>
    <row r="77" spans="1:11" x14ac:dyDescent="0.3">
      <c r="A77">
        <v>515</v>
      </c>
      <c r="B77" s="164">
        <v>45639.3917013889</v>
      </c>
      <c r="C77" s="164">
        <v>45639.392442129603</v>
      </c>
      <c r="D77" t="s">
        <v>372</v>
      </c>
      <c r="E77" t="s">
        <v>371</v>
      </c>
      <c r="F77" t="s">
        <v>468</v>
      </c>
      <c r="G77" t="s">
        <v>593</v>
      </c>
      <c r="H77" t="s">
        <v>593</v>
      </c>
      <c r="I77" t="s">
        <v>593</v>
      </c>
      <c r="J77" t="s">
        <v>468</v>
      </c>
    </row>
    <row r="78" spans="1:11" x14ac:dyDescent="0.3">
      <c r="A78">
        <v>516</v>
      </c>
      <c r="B78" s="164">
        <v>45639.395763888897</v>
      </c>
      <c r="C78" s="164">
        <v>45639.396620370397</v>
      </c>
      <c r="D78" t="s">
        <v>328</v>
      </c>
      <c r="E78" t="s">
        <v>327</v>
      </c>
      <c r="F78" t="s">
        <v>468</v>
      </c>
      <c r="G78" t="s">
        <v>468</v>
      </c>
      <c r="H78" t="s">
        <v>468</v>
      </c>
      <c r="I78" t="s">
        <v>468</v>
      </c>
      <c r="J78" t="s">
        <v>467</v>
      </c>
    </row>
    <row r="79" spans="1:11" x14ac:dyDescent="0.3">
      <c r="A79">
        <v>517</v>
      </c>
      <c r="B79" s="164">
        <v>45639.3989814815</v>
      </c>
      <c r="C79" s="164">
        <v>45639.399178240703</v>
      </c>
      <c r="D79" t="s">
        <v>376</v>
      </c>
      <c r="E79" t="s">
        <v>375</v>
      </c>
      <c r="F79" t="s">
        <v>468</v>
      </c>
      <c r="G79" t="s">
        <v>468</v>
      </c>
      <c r="H79" t="s">
        <v>468</v>
      </c>
      <c r="I79" t="s">
        <v>468</v>
      </c>
      <c r="J79" t="s">
        <v>468</v>
      </c>
    </row>
    <row r="80" spans="1:11" x14ac:dyDescent="0.3">
      <c r="A80">
        <v>518</v>
      </c>
      <c r="B80" s="164">
        <v>45639.433020833298</v>
      </c>
      <c r="C80" s="164">
        <v>45639.433645833298</v>
      </c>
      <c r="D80" t="s">
        <v>238</v>
      </c>
      <c r="E80" t="s">
        <v>237</v>
      </c>
      <c r="F80" t="s">
        <v>467</v>
      </c>
      <c r="G80" t="s">
        <v>593</v>
      </c>
      <c r="H80" t="s">
        <v>593</v>
      </c>
      <c r="I80" t="s">
        <v>593</v>
      </c>
      <c r="J80" t="s">
        <v>469</v>
      </c>
      <c r="K80" t="s">
        <v>622</v>
      </c>
    </row>
    <row r="81" spans="1:11" x14ac:dyDescent="0.3">
      <c r="A81">
        <v>519</v>
      </c>
      <c r="B81" s="164">
        <v>45639.4190856481</v>
      </c>
      <c r="C81" s="164">
        <v>45639.443854166697</v>
      </c>
      <c r="D81" t="s">
        <v>623</v>
      </c>
      <c r="E81" t="s">
        <v>72</v>
      </c>
      <c r="F81" t="s">
        <v>593</v>
      </c>
      <c r="G81" t="s">
        <v>593</v>
      </c>
      <c r="H81" t="s">
        <v>593</v>
      </c>
      <c r="I81" t="s">
        <v>468</v>
      </c>
      <c r="J81" t="s">
        <v>593</v>
      </c>
    </row>
    <row r="82" spans="1:11" x14ac:dyDescent="0.3">
      <c r="A82">
        <v>522</v>
      </c>
      <c r="B82" s="164">
        <v>45639.464398148099</v>
      </c>
      <c r="C82" s="164">
        <v>45639.465057870402</v>
      </c>
      <c r="D82" t="s">
        <v>97</v>
      </c>
      <c r="E82" t="s">
        <v>96</v>
      </c>
      <c r="F82" t="s">
        <v>468</v>
      </c>
      <c r="G82" t="s">
        <v>468</v>
      </c>
      <c r="H82" t="s">
        <v>468</v>
      </c>
      <c r="I82" t="s">
        <v>468</v>
      </c>
      <c r="J82" t="s">
        <v>468</v>
      </c>
      <c r="K82" t="s">
        <v>624</v>
      </c>
    </row>
    <row r="83" spans="1:11" x14ac:dyDescent="0.3">
      <c r="A83">
        <v>523</v>
      </c>
      <c r="B83" s="164">
        <v>45639.466342592597</v>
      </c>
      <c r="C83" s="164">
        <v>45639.468275462998</v>
      </c>
      <c r="D83" t="s">
        <v>352</v>
      </c>
      <c r="E83" t="s">
        <v>351</v>
      </c>
      <c r="F83" t="s">
        <v>468</v>
      </c>
      <c r="G83" t="s">
        <v>468</v>
      </c>
      <c r="H83" t="s">
        <v>468</v>
      </c>
      <c r="I83" t="s">
        <v>468</v>
      </c>
      <c r="J83" t="s">
        <v>468</v>
      </c>
    </row>
    <row r="84" spans="1:11" x14ac:dyDescent="0.3">
      <c r="A84">
        <v>524</v>
      </c>
      <c r="B84" s="164">
        <v>45639.517962963</v>
      </c>
      <c r="C84" s="164">
        <v>45639.518356481502</v>
      </c>
      <c r="D84" t="s">
        <v>128</v>
      </c>
      <c r="E84" t="s">
        <v>127</v>
      </c>
      <c r="F84" t="s">
        <v>468</v>
      </c>
      <c r="G84" t="s">
        <v>468</v>
      </c>
      <c r="H84" t="s">
        <v>467</v>
      </c>
      <c r="I84" t="s">
        <v>593</v>
      </c>
      <c r="J84" t="s">
        <v>468</v>
      </c>
    </row>
    <row r="85" spans="1:11" x14ac:dyDescent="0.3">
      <c r="A85">
        <v>525</v>
      </c>
      <c r="B85" s="164">
        <v>45639.686655092599</v>
      </c>
      <c r="C85" s="164">
        <v>45639.688425925902</v>
      </c>
      <c r="D85" t="s">
        <v>625</v>
      </c>
      <c r="E85" t="s">
        <v>323</v>
      </c>
      <c r="F85" t="s">
        <v>468</v>
      </c>
      <c r="G85" t="s">
        <v>468</v>
      </c>
      <c r="H85" t="s">
        <v>468</v>
      </c>
      <c r="I85" t="s">
        <v>468</v>
      </c>
      <c r="J85" t="s">
        <v>468</v>
      </c>
    </row>
    <row r="86" spans="1:11" x14ac:dyDescent="0.3">
      <c r="A86">
        <v>526</v>
      </c>
      <c r="B86" s="164">
        <v>45639.8129513889</v>
      </c>
      <c r="C86" s="164">
        <v>45639.813148148103</v>
      </c>
      <c r="D86" t="s">
        <v>303</v>
      </c>
      <c r="E86" t="s">
        <v>302</v>
      </c>
      <c r="F86" t="s">
        <v>467</v>
      </c>
      <c r="G86" t="s">
        <v>467</v>
      </c>
      <c r="H86" t="s">
        <v>468</v>
      </c>
      <c r="I86" t="s">
        <v>469</v>
      </c>
      <c r="J86" t="s">
        <v>467</v>
      </c>
    </row>
    <row r="87" spans="1:11" x14ac:dyDescent="0.3">
      <c r="A87">
        <v>527</v>
      </c>
      <c r="B87" s="164">
        <v>45642.414722222202</v>
      </c>
      <c r="C87" s="164">
        <v>45642.4151851852</v>
      </c>
      <c r="D87" t="s">
        <v>115</v>
      </c>
      <c r="E87" t="s">
        <v>114</v>
      </c>
      <c r="F87" t="s">
        <v>593</v>
      </c>
      <c r="G87" t="s">
        <v>467</v>
      </c>
      <c r="H87" t="s">
        <v>467</v>
      </c>
      <c r="I87" t="s">
        <v>467</v>
      </c>
      <c r="J87" t="s">
        <v>467</v>
      </c>
    </row>
    <row r="88" spans="1:11" x14ac:dyDescent="0.3">
      <c r="A88">
        <v>528</v>
      </c>
      <c r="B88" s="164">
        <v>45642.608078703699</v>
      </c>
      <c r="C88" s="164">
        <v>45642.608333333301</v>
      </c>
      <c r="D88" t="s">
        <v>123</v>
      </c>
      <c r="E88" t="s">
        <v>122</v>
      </c>
      <c r="F88" t="s">
        <v>467</v>
      </c>
      <c r="G88" t="s">
        <v>469</v>
      </c>
      <c r="H88" t="s">
        <v>467</v>
      </c>
      <c r="I88" t="s">
        <v>470</v>
      </c>
      <c r="J88" t="s">
        <v>467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zoomScale="86" workbookViewId="0">
      <selection activeCell="J12" sqref="J12:AI17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9" t="s">
        <v>474</v>
      </c>
      <c r="C4" s="179" t="s">
        <v>5</v>
      </c>
      <c r="D4" s="179" t="s">
        <v>475</v>
      </c>
      <c r="E4" s="178" t="s">
        <v>476</v>
      </c>
      <c r="F4" s="178"/>
      <c r="G4" s="178"/>
      <c r="H4" s="178"/>
      <c r="I4" s="195" t="s">
        <v>477</v>
      </c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194"/>
      <c r="AM4" s="194"/>
      <c r="AN4" s="194"/>
      <c r="AO4" s="194"/>
      <c r="AP4" s="194"/>
      <c r="AQ4" s="194"/>
      <c r="AR4" s="194"/>
      <c r="AS4" s="194"/>
      <c r="AT4" s="194"/>
      <c r="AU4" s="194"/>
      <c r="AV4" s="194"/>
      <c r="AW4" s="194"/>
      <c r="AX4" s="194"/>
      <c r="AY4" s="194"/>
      <c r="AZ4" s="194"/>
      <c r="BA4" s="194"/>
      <c r="BB4" s="194"/>
      <c r="BC4" s="194"/>
      <c r="BD4" s="194"/>
      <c r="BE4" s="194"/>
      <c r="BF4" s="194"/>
      <c r="BG4" s="194"/>
      <c r="BH4" s="194"/>
      <c r="BI4" s="194"/>
      <c r="BJ4" s="194"/>
      <c r="BK4" s="194"/>
      <c r="BL4" s="194"/>
      <c r="BM4" s="194"/>
      <c r="BN4" s="194"/>
      <c r="BO4" s="194"/>
      <c r="BP4" s="194"/>
      <c r="BQ4" s="194"/>
      <c r="BR4" s="194"/>
      <c r="BS4" s="194"/>
      <c r="BT4" s="194"/>
      <c r="BU4" s="194"/>
      <c r="BV4" s="194"/>
      <c r="BW4" s="194"/>
    </row>
    <row r="5" spans="2:83" x14ac:dyDescent="0.3">
      <c r="B5" s="179"/>
      <c r="C5" s="179"/>
      <c r="D5" s="179"/>
      <c r="E5" s="178" t="s">
        <v>478</v>
      </c>
      <c r="F5" s="178"/>
      <c r="G5" s="59" t="s">
        <v>479</v>
      </c>
      <c r="H5" s="59"/>
      <c r="I5" s="181" t="s">
        <v>480</v>
      </c>
      <c r="J5" s="182" t="s">
        <v>481</v>
      </c>
      <c r="K5" s="183"/>
      <c r="L5" s="183"/>
      <c r="M5" s="183"/>
      <c r="N5" s="183"/>
      <c r="O5" s="183"/>
      <c r="P5" s="183" t="s">
        <v>482</v>
      </c>
      <c r="Q5" s="183"/>
      <c r="R5" s="183"/>
      <c r="S5" s="183"/>
      <c r="T5" s="183"/>
      <c r="U5" s="183"/>
      <c r="V5" s="183" t="s">
        <v>483</v>
      </c>
      <c r="W5" s="183"/>
      <c r="X5" s="183"/>
      <c r="Y5" s="183"/>
      <c r="Z5" s="183"/>
      <c r="AA5" s="183"/>
      <c r="AB5" s="183" t="s">
        <v>484</v>
      </c>
      <c r="AC5" s="183"/>
      <c r="AD5" s="183"/>
      <c r="AE5" s="183"/>
      <c r="AF5" s="183"/>
      <c r="AG5" s="183"/>
      <c r="AH5" s="183" t="s">
        <v>485</v>
      </c>
      <c r="AI5" s="183"/>
      <c r="AJ5" s="183"/>
      <c r="AK5" s="183"/>
      <c r="AL5" s="183"/>
      <c r="AM5" s="183"/>
      <c r="AN5" s="183" t="s">
        <v>486</v>
      </c>
      <c r="AO5" s="183"/>
      <c r="AP5" s="183"/>
      <c r="AQ5" s="183"/>
      <c r="AR5" s="183"/>
      <c r="AS5" s="183"/>
      <c r="AT5" s="183" t="s">
        <v>487</v>
      </c>
      <c r="AU5" s="183"/>
      <c r="AV5" s="183"/>
      <c r="AW5" s="183"/>
      <c r="AX5" s="183"/>
      <c r="AY5" s="183"/>
      <c r="AZ5" s="183" t="s">
        <v>488</v>
      </c>
      <c r="BA5" s="183"/>
      <c r="BB5" s="183"/>
      <c r="BC5" s="183"/>
      <c r="BD5" s="183"/>
      <c r="BE5" s="184"/>
      <c r="BF5" s="183" t="s">
        <v>517</v>
      </c>
      <c r="BG5" s="183"/>
      <c r="BH5" s="183"/>
      <c r="BI5" s="183"/>
      <c r="BJ5" s="183"/>
      <c r="BK5" s="184"/>
      <c r="BL5" s="183" t="s">
        <v>518</v>
      </c>
      <c r="BM5" s="183"/>
      <c r="BN5" s="183"/>
      <c r="BO5" s="183"/>
      <c r="BP5" s="183"/>
      <c r="BQ5" s="184"/>
      <c r="BR5" s="183" t="s">
        <v>519</v>
      </c>
      <c r="BS5" s="183"/>
      <c r="BT5" s="183"/>
      <c r="BU5" s="183"/>
      <c r="BV5" s="183"/>
      <c r="BW5" s="184"/>
      <c r="CC5" s="178" t="s">
        <v>489</v>
      </c>
      <c r="CD5" s="178"/>
      <c r="CE5" s="178"/>
    </row>
    <row r="6" spans="2:83" x14ac:dyDescent="0.3">
      <c r="B6" s="180"/>
      <c r="C6" s="180"/>
      <c r="D6" s="180"/>
      <c r="E6" s="60" t="s">
        <v>480</v>
      </c>
      <c r="F6" s="60" t="s">
        <v>490</v>
      </c>
      <c r="G6" s="60" t="s">
        <v>480</v>
      </c>
      <c r="H6" s="60" t="s">
        <v>490</v>
      </c>
      <c r="I6" s="181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66" t="s">
        <v>442</v>
      </c>
      <c r="D7" s="133">
        <v>128</v>
      </c>
      <c r="E7" s="134">
        <v>125</v>
      </c>
      <c r="F7" s="68">
        <f>E7/$D7</f>
        <v>0.9765625</v>
      </c>
      <c r="G7" s="67">
        <f>D7-E7</f>
        <v>3</v>
      </c>
      <c r="H7" s="68">
        <f>G7/$D7</f>
        <v>2.34375E-2</v>
      </c>
      <c r="I7" s="152">
        <v>5</v>
      </c>
      <c r="J7" s="70"/>
      <c r="P7" s="70"/>
      <c r="U7" s="71"/>
      <c r="V7" s="70"/>
      <c r="AA7" s="71"/>
      <c r="AB7" s="70"/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t="s">
        <v>45</v>
      </c>
      <c r="D8" s="76">
        <f>51+89</f>
        <v>140</v>
      </c>
      <c r="E8" s="77">
        <v>89</v>
      </c>
      <c r="F8" s="78">
        <f t="shared" ref="F8:H18" si="0">E8/$D8</f>
        <v>0.63571428571428568</v>
      </c>
      <c r="G8" s="77">
        <f t="shared" ref="G8:G17" si="1">D8-E8</f>
        <v>51</v>
      </c>
      <c r="H8" s="78">
        <f t="shared" si="0"/>
        <v>0.36428571428571427</v>
      </c>
      <c r="I8" s="69">
        <v>5</v>
      </c>
      <c r="J8" s="70"/>
      <c r="P8" s="70"/>
      <c r="U8" s="71"/>
      <c r="V8" s="70"/>
      <c r="AA8" s="71"/>
      <c r="AB8" s="70"/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t="s">
        <v>24</v>
      </c>
      <c r="D9" s="76">
        <v>75</v>
      </c>
      <c r="E9" s="77">
        <v>75</v>
      </c>
      <c r="F9" s="78">
        <f t="shared" si="0"/>
        <v>1</v>
      </c>
      <c r="G9" s="77">
        <f t="shared" si="1"/>
        <v>0</v>
      </c>
      <c r="H9" s="78">
        <f t="shared" si="0"/>
        <v>0</v>
      </c>
      <c r="I9" s="69">
        <v>4</v>
      </c>
      <c r="J9" s="70"/>
      <c r="P9" s="70"/>
      <c r="U9" s="71"/>
      <c r="V9" s="70"/>
      <c r="AA9" s="71"/>
      <c r="AB9" s="70"/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t="s">
        <v>43</v>
      </c>
      <c r="D10" s="76">
        <f>7+64</f>
        <v>71</v>
      </c>
      <c r="E10" s="77">
        <v>64</v>
      </c>
      <c r="F10" s="78">
        <f t="shared" si="0"/>
        <v>0.90140845070422537</v>
      </c>
      <c r="G10" s="77">
        <f t="shared" si="1"/>
        <v>7</v>
      </c>
      <c r="H10" s="78">
        <f t="shared" si="0"/>
        <v>9.8591549295774641E-2</v>
      </c>
      <c r="I10" s="69">
        <v>8</v>
      </c>
      <c r="J10" s="70"/>
      <c r="P10" s="70"/>
      <c r="U10" s="71"/>
      <c r="V10" s="70"/>
      <c r="AA10" s="71"/>
      <c r="AB10" s="70"/>
      <c r="AG10" s="71"/>
      <c r="AH10" s="70"/>
      <c r="AM10" s="71"/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t="s">
        <v>37</v>
      </c>
      <c r="D11" s="76">
        <f>7+51</f>
        <v>58</v>
      </c>
      <c r="E11" s="77">
        <v>51</v>
      </c>
      <c r="F11" s="78">
        <f t="shared" si="0"/>
        <v>0.87931034482758619</v>
      </c>
      <c r="G11" s="77">
        <f t="shared" si="1"/>
        <v>7</v>
      </c>
      <c r="H11" s="78">
        <f t="shared" si="0"/>
        <v>0.1206896551724138</v>
      </c>
      <c r="I11" s="69">
        <v>5</v>
      </c>
      <c r="J11" s="70"/>
      <c r="P11" s="70"/>
      <c r="U11" s="71"/>
      <c r="V11" s="70"/>
      <c r="AA11" s="71"/>
      <c r="AB11" s="70"/>
      <c r="AG11" s="71"/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B12" s="74">
        <v>6</v>
      </c>
      <c r="C12" t="s">
        <v>18</v>
      </c>
      <c r="D12" s="150">
        <v>70</v>
      </c>
      <c r="E12" s="151">
        <v>49</v>
      </c>
      <c r="F12" s="78">
        <f t="shared" si="0"/>
        <v>0.7</v>
      </c>
      <c r="G12" s="77">
        <f t="shared" si="1"/>
        <v>21</v>
      </c>
      <c r="H12" s="78">
        <f t="shared" si="0"/>
        <v>0.3</v>
      </c>
      <c r="I12" s="152">
        <v>9</v>
      </c>
      <c r="J12" s="70"/>
      <c r="P12" s="70"/>
      <c r="U12" s="71"/>
      <c r="V12" s="70"/>
      <c r="AA12" s="71"/>
      <c r="AB12" s="70"/>
      <c r="AG12" s="71"/>
      <c r="AH12" s="70"/>
      <c r="AM12" s="71"/>
      <c r="AN12" s="70"/>
      <c r="AS12" s="71"/>
      <c r="AT12" s="70"/>
      <c r="AY12" s="71"/>
      <c r="AZ12" s="70"/>
      <c r="BE12" s="71"/>
      <c r="BF12" s="70"/>
      <c r="BK12" s="71"/>
      <c r="BL12" s="70"/>
      <c r="BQ12" s="71"/>
      <c r="BR12" s="70"/>
      <c r="BW12" s="71"/>
      <c r="CC12" s="72" t="s">
        <v>496</v>
      </c>
      <c r="CD12" s="72" t="s">
        <v>473</v>
      </c>
      <c r="CE12" s="73">
        <v>0</v>
      </c>
    </row>
    <row r="13" spans="2:83" x14ac:dyDescent="0.3">
      <c r="B13" s="74">
        <v>7</v>
      </c>
      <c r="C13" t="s">
        <v>7</v>
      </c>
      <c r="D13" s="76">
        <f>10+88</f>
        <v>98</v>
      </c>
      <c r="E13" s="77">
        <v>88</v>
      </c>
      <c r="F13" s="78">
        <f t="shared" si="0"/>
        <v>0.89795918367346939</v>
      </c>
      <c r="G13" s="77">
        <f t="shared" si="1"/>
        <v>10</v>
      </c>
      <c r="H13" s="78">
        <f t="shared" si="0"/>
        <v>0.10204081632653061</v>
      </c>
      <c r="I13" s="69">
        <v>4</v>
      </c>
      <c r="J13" s="70"/>
      <c r="P13" s="70"/>
      <c r="U13" s="71"/>
      <c r="V13" s="70"/>
      <c r="AA13" s="71"/>
      <c r="AB13" s="70"/>
      <c r="AG13" s="71"/>
      <c r="AH13" s="70"/>
      <c r="AM13" s="71"/>
      <c r="AN13" s="70"/>
      <c r="AS13" s="71"/>
      <c r="AT13" s="70"/>
      <c r="AY13" s="71"/>
      <c r="AZ13" s="70"/>
      <c r="BE13" s="71"/>
      <c r="BF13" s="70"/>
      <c r="BK13" s="71"/>
      <c r="BL13" s="70"/>
      <c r="BQ13" s="71"/>
      <c r="BR13" s="70"/>
      <c r="BW13" s="71"/>
    </row>
    <row r="14" spans="2:83" x14ac:dyDescent="0.3">
      <c r="B14" s="74">
        <v>8</v>
      </c>
      <c r="C14" t="s">
        <v>12</v>
      </c>
      <c r="D14" s="76">
        <f>42+80</f>
        <v>122</v>
      </c>
      <c r="E14" s="77">
        <v>80</v>
      </c>
      <c r="F14" s="78">
        <f t="shared" si="0"/>
        <v>0.65573770491803274</v>
      </c>
      <c r="G14" s="77">
        <f t="shared" si="1"/>
        <v>42</v>
      </c>
      <c r="H14" s="78">
        <f t="shared" si="0"/>
        <v>0.34426229508196721</v>
      </c>
      <c r="I14" s="69">
        <v>5</v>
      </c>
      <c r="J14" s="70"/>
      <c r="L14">
        <v>3</v>
      </c>
      <c r="M14">
        <v>25</v>
      </c>
      <c r="N14">
        <v>35</v>
      </c>
      <c r="O14">
        <v>22</v>
      </c>
      <c r="P14" s="70"/>
      <c r="R14">
        <v>3</v>
      </c>
      <c r="S14">
        <v>36</v>
      </c>
      <c r="T14">
        <v>29</v>
      </c>
      <c r="U14" s="71">
        <v>17</v>
      </c>
      <c r="V14" s="70"/>
      <c r="X14">
        <v>2</v>
      </c>
      <c r="Y14">
        <v>30</v>
      </c>
      <c r="Z14">
        <v>32</v>
      </c>
      <c r="AA14" s="71">
        <v>21</v>
      </c>
      <c r="AB14" s="70"/>
      <c r="AC14">
        <v>1</v>
      </c>
      <c r="AD14">
        <v>4</v>
      </c>
      <c r="AE14">
        <v>38</v>
      </c>
      <c r="AF14">
        <v>26</v>
      </c>
      <c r="AG14" s="71">
        <v>16</v>
      </c>
      <c r="AH14" s="70"/>
      <c r="AI14">
        <v>2</v>
      </c>
      <c r="AJ14">
        <v>7</v>
      </c>
      <c r="AK14">
        <v>35</v>
      </c>
      <c r="AL14">
        <v>33</v>
      </c>
      <c r="AM14" s="71">
        <v>8</v>
      </c>
      <c r="AN14" s="70"/>
      <c r="AS14" s="71"/>
      <c r="AT14" s="70"/>
      <c r="AY14" s="71"/>
      <c r="AZ14" s="70"/>
      <c r="BE14" s="71"/>
      <c r="BF14" s="70"/>
      <c r="BK14" s="71"/>
      <c r="BL14" s="70"/>
      <c r="BQ14" s="71"/>
      <c r="BR14" s="70"/>
      <c r="BW14" s="71"/>
    </row>
    <row r="15" spans="2:83" x14ac:dyDescent="0.3">
      <c r="B15" s="74">
        <v>9</v>
      </c>
      <c r="C15" t="s">
        <v>32</v>
      </c>
      <c r="D15" s="150">
        <v>105</v>
      </c>
      <c r="E15" s="151">
        <v>93</v>
      </c>
      <c r="F15" s="78">
        <f t="shared" si="0"/>
        <v>0.88571428571428568</v>
      </c>
      <c r="G15" s="77">
        <f t="shared" si="1"/>
        <v>12</v>
      </c>
      <c r="H15" s="78">
        <f t="shared" si="0"/>
        <v>0.11428571428571428</v>
      </c>
      <c r="I15" s="152">
        <v>4</v>
      </c>
      <c r="J15" s="70"/>
      <c r="P15" s="70"/>
      <c r="U15" s="71"/>
      <c r="V15" s="70"/>
      <c r="AA15" s="71"/>
      <c r="AB15" s="70"/>
      <c r="AG15" s="71"/>
      <c r="AH15" s="70"/>
      <c r="AM15" s="71"/>
      <c r="AN15" s="70"/>
      <c r="AS15" s="71"/>
      <c r="AT15" s="70"/>
      <c r="AY15" s="71"/>
      <c r="AZ15" s="70"/>
      <c r="BE15" s="71"/>
      <c r="BF15" s="70"/>
      <c r="BK15" s="71"/>
      <c r="BL15" s="70"/>
      <c r="BQ15" s="71"/>
      <c r="BR15" s="70"/>
      <c r="BW15" s="71"/>
    </row>
    <row r="16" spans="2:83" x14ac:dyDescent="0.3">
      <c r="B16" s="74">
        <v>10</v>
      </c>
      <c r="C16" t="s">
        <v>44</v>
      </c>
      <c r="D16" s="76">
        <f>23+54</f>
        <v>77</v>
      </c>
      <c r="E16" s="77">
        <v>54</v>
      </c>
      <c r="F16" s="78">
        <f t="shared" si="0"/>
        <v>0.70129870129870131</v>
      </c>
      <c r="G16" s="77">
        <f t="shared" si="1"/>
        <v>23</v>
      </c>
      <c r="H16" s="78">
        <f t="shared" si="0"/>
        <v>0.29870129870129869</v>
      </c>
      <c r="I16" s="69">
        <v>7</v>
      </c>
      <c r="J16" s="70"/>
      <c r="P16" s="70"/>
      <c r="U16" s="71"/>
      <c r="V16" s="70"/>
      <c r="AA16" s="71"/>
      <c r="AB16" s="70"/>
      <c r="AG16" s="71"/>
      <c r="AH16" s="70"/>
      <c r="AM16" s="71"/>
      <c r="AN16" s="70"/>
      <c r="AS16" s="71"/>
      <c r="AT16" s="70"/>
      <c r="AY16" s="71"/>
      <c r="AZ16" s="70"/>
      <c r="BE16" s="71"/>
      <c r="BF16" s="70"/>
      <c r="BK16" s="71"/>
      <c r="BL16" s="70"/>
      <c r="BQ16" s="71"/>
      <c r="BR16" s="70"/>
      <c r="BW16" s="71"/>
    </row>
    <row r="17" spans="2:75" x14ac:dyDescent="0.3">
      <c r="B17" s="79">
        <v>11</v>
      </c>
      <c r="C17" t="s">
        <v>29</v>
      </c>
      <c r="D17" s="131">
        <v>78</v>
      </c>
      <c r="E17" s="132">
        <v>73</v>
      </c>
      <c r="F17" s="81">
        <f t="shared" si="0"/>
        <v>0.9358974358974359</v>
      </c>
      <c r="G17" s="80">
        <f t="shared" si="1"/>
        <v>5</v>
      </c>
      <c r="H17" s="81">
        <f t="shared" si="0"/>
        <v>6.4102564102564097E-2</v>
      </c>
      <c r="I17" s="153">
        <v>3</v>
      </c>
      <c r="J17" s="82"/>
      <c r="K17" s="83"/>
      <c r="L17" s="83"/>
      <c r="M17" s="83"/>
      <c r="N17" s="83"/>
      <c r="O17" s="83"/>
      <c r="P17" s="82"/>
      <c r="Q17" s="83"/>
      <c r="R17" s="83"/>
      <c r="S17" s="83"/>
      <c r="T17" s="83"/>
      <c r="U17" s="84"/>
      <c r="V17" s="82"/>
      <c r="W17" s="83"/>
      <c r="X17" s="83"/>
      <c r="Y17" s="83"/>
      <c r="Z17" s="83"/>
      <c r="AA17" s="71"/>
      <c r="AB17" s="82"/>
      <c r="AC17" s="83"/>
      <c r="AD17" s="83"/>
      <c r="AE17" s="83"/>
      <c r="AF17" s="83"/>
      <c r="AG17" s="84"/>
      <c r="AH17" s="82"/>
      <c r="AI17" s="83"/>
      <c r="AJ17" s="83"/>
      <c r="AK17" s="83"/>
      <c r="AL17" s="83"/>
      <c r="AM17" s="84"/>
      <c r="AN17" s="82"/>
      <c r="AO17" s="83"/>
      <c r="AP17" s="83"/>
      <c r="AQ17" s="83"/>
      <c r="AR17" s="83"/>
      <c r="AS17" s="84"/>
      <c r="AT17" s="82"/>
      <c r="AU17" s="83"/>
      <c r="AV17" s="83"/>
      <c r="AW17" s="83"/>
      <c r="AX17" s="83"/>
      <c r="AY17" s="84"/>
      <c r="AZ17" s="82"/>
      <c r="BA17" s="83"/>
      <c r="BB17" s="83"/>
      <c r="BC17" s="83"/>
      <c r="BD17" s="83"/>
      <c r="BE17" s="84"/>
      <c r="BF17" s="82"/>
      <c r="BG17" s="83"/>
      <c r="BH17" s="83"/>
      <c r="BI17" s="83"/>
      <c r="BJ17" s="83"/>
      <c r="BK17" s="84"/>
      <c r="BL17" s="82"/>
      <c r="BM17" s="83"/>
      <c r="BN17" s="83"/>
      <c r="BO17" s="83"/>
      <c r="BP17" s="83"/>
      <c r="BQ17" s="84"/>
      <c r="BR17" s="82"/>
      <c r="BS17" s="83"/>
      <c r="BT17" s="83"/>
      <c r="BU17" s="83"/>
      <c r="BV17" s="83"/>
      <c r="BW17" s="84"/>
    </row>
    <row r="18" spans="2:75" x14ac:dyDescent="0.3">
      <c r="D18" s="85">
        <f>SUM(D7:D17)</f>
        <v>1022</v>
      </c>
      <c r="E18" s="85">
        <f>SUM(E7:E17)</f>
        <v>841</v>
      </c>
      <c r="F18" s="86">
        <f t="shared" si="0"/>
        <v>0.82289628180039143</v>
      </c>
      <c r="G18" s="85">
        <f>SUM(G7:G17)</f>
        <v>181</v>
      </c>
      <c r="H18" s="86">
        <f t="shared" si="0"/>
        <v>0.1771037181996086</v>
      </c>
      <c r="I18" s="85">
        <f>SUM(I7:I17)</f>
        <v>59</v>
      </c>
    </row>
    <row r="19" spans="2:75" x14ac:dyDescent="0.3">
      <c r="D19" s="85"/>
      <c r="E19" s="85"/>
      <c r="F19" s="86"/>
      <c r="G19" s="85"/>
      <c r="H19" s="86"/>
      <c r="I19" s="85"/>
    </row>
    <row r="20" spans="2:75" ht="15.6" x14ac:dyDescent="0.3">
      <c r="B20" s="87" t="s">
        <v>501</v>
      </c>
      <c r="C20" s="88"/>
      <c r="E20" s="86"/>
      <c r="F20" s="86"/>
      <c r="G20" s="86"/>
      <c r="H20" s="86"/>
    </row>
    <row r="22" spans="2:75" x14ac:dyDescent="0.3">
      <c r="B22" s="179" t="s">
        <v>474</v>
      </c>
      <c r="C22" s="179" t="s">
        <v>5</v>
      </c>
      <c r="D22" s="179" t="s">
        <v>475</v>
      </c>
      <c r="E22" s="178" t="s">
        <v>476</v>
      </c>
      <c r="F22" s="178"/>
      <c r="G22" s="178"/>
      <c r="H22" s="178"/>
      <c r="I22" s="195" t="s">
        <v>477</v>
      </c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</row>
    <row r="23" spans="2:75" x14ac:dyDescent="0.3">
      <c r="B23" s="179"/>
      <c r="C23" s="179"/>
      <c r="D23" s="179"/>
      <c r="E23" s="178" t="s">
        <v>478</v>
      </c>
      <c r="F23" s="178"/>
      <c r="G23" s="59" t="s">
        <v>479</v>
      </c>
      <c r="H23" s="59"/>
      <c r="I23" s="181" t="s">
        <v>480</v>
      </c>
      <c r="J23" s="182" t="s">
        <v>481</v>
      </c>
      <c r="K23" s="183"/>
      <c r="L23" s="183"/>
      <c r="M23" s="183"/>
      <c r="N23" s="183"/>
      <c r="O23" s="183"/>
      <c r="P23" s="183" t="s">
        <v>482</v>
      </c>
      <c r="Q23" s="183"/>
      <c r="R23" s="183"/>
      <c r="S23" s="183"/>
      <c r="T23" s="183"/>
      <c r="U23" s="183"/>
      <c r="V23" s="183" t="s">
        <v>483</v>
      </c>
      <c r="W23" s="183"/>
      <c r="X23" s="183"/>
      <c r="Y23" s="183"/>
      <c r="Z23" s="183"/>
      <c r="AA23" s="183"/>
      <c r="AB23" s="183" t="s">
        <v>484</v>
      </c>
      <c r="AC23" s="183"/>
      <c r="AD23" s="183"/>
      <c r="AE23" s="183"/>
      <c r="AF23" s="183"/>
      <c r="AG23" s="183"/>
      <c r="AH23" s="183" t="s">
        <v>485</v>
      </c>
      <c r="AI23" s="183"/>
      <c r="AJ23" s="183"/>
      <c r="AK23" s="183"/>
      <c r="AL23" s="183"/>
      <c r="AM23" s="183"/>
      <c r="AN23" s="183" t="s">
        <v>486</v>
      </c>
      <c r="AO23" s="183"/>
      <c r="AP23" s="183"/>
      <c r="AQ23" s="183"/>
      <c r="AR23" s="183"/>
      <c r="AS23" s="183"/>
      <c r="AT23" s="183" t="s">
        <v>487</v>
      </c>
      <c r="AU23" s="183"/>
      <c r="AV23" s="183"/>
      <c r="AW23" s="183"/>
      <c r="AX23" s="183"/>
      <c r="AY23" s="183"/>
      <c r="AZ23" s="183" t="s">
        <v>488</v>
      </c>
      <c r="BA23" s="183"/>
      <c r="BB23" s="183"/>
      <c r="BC23" s="183"/>
      <c r="BD23" s="183"/>
      <c r="BE23" s="184"/>
      <c r="BF23" s="183" t="s">
        <v>517</v>
      </c>
      <c r="BG23" s="183"/>
      <c r="BH23" s="183"/>
      <c r="BI23" s="183"/>
      <c r="BJ23" s="183"/>
      <c r="BK23" s="184"/>
      <c r="BL23" s="183" t="s">
        <v>518</v>
      </c>
      <c r="BM23" s="183"/>
      <c r="BN23" s="183"/>
      <c r="BO23" s="183"/>
      <c r="BP23" s="183"/>
      <c r="BQ23" s="184"/>
      <c r="BR23" s="183" t="s">
        <v>519</v>
      </c>
      <c r="BS23" s="183"/>
      <c r="BT23" s="183"/>
      <c r="BU23" s="183"/>
      <c r="BV23" s="183"/>
      <c r="BW23" s="184"/>
    </row>
    <row r="24" spans="2:75" x14ac:dyDescent="0.3">
      <c r="B24" s="180"/>
      <c r="C24" s="180"/>
      <c r="D24" s="180"/>
      <c r="E24" s="60" t="s">
        <v>480</v>
      </c>
      <c r="F24" s="60" t="s">
        <v>490</v>
      </c>
      <c r="G24" s="60" t="s">
        <v>480</v>
      </c>
      <c r="H24" s="60" t="s">
        <v>490</v>
      </c>
      <c r="I24" s="181"/>
      <c r="J24" s="89" t="s">
        <v>491</v>
      </c>
      <c r="K24" s="90" t="s">
        <v>492</v>
      </c>
      <c r="L24" s="90" t="s">
        <v>493</v>
      </c>
      <c r="M24" s="90" t="s">
        <v>494</v>
      </c>
      <c r="N24" s="90" t="s">
        <v>495</v>
      </c>
      <c r="O24" s="90" t="s">
        <v>496</v>
      </c>
      <c r="P24" s="62" t="s">
        <v>491</v>
      </c>
      <c r="Q24" s="62" t="s">
        <v>492</v>
      </c>
      <c r="R24" s="62" t="s">
        <v>493</v>
      </c>
      <c r="S24" s="62" t="s">
        <v>494</v>
      </c>
      <c r="T24" s="62" t="s">
        <v>495</v>
      </c>
      <c r="U24" s="62" t="s">
        <v>496</v>
      </c>
      <c r="V24" s="62" t="s">
        <v>491</v>
      </c>
      <c r="W24" s="62" t="s">
        <v>492</v>
      </c>
      <c r="X24" s="62" t="s">
        <v>493</v>
      </c>
      <c r="Y24" s="62" t="s">
        <v>494</v>
      </c>
      <c r="Z24" s="62" t="s">
        <v>495</v>
      </c>
      <c r="AA24" s="62" t="s">
        <v>496</v>
      </c>
      <c r="AB24" s="62" t="s">
        <v>491</v>
      </c>
      <c r="AC24" s="62" t="s">
        <v>492</v>
      </c>
      <c r="AD24" s="62" t="s">
        <v>493</v>
      </c>
      <c r="AE24" s="62" t="s">
        <v>494</v>
      </c>
      <c r="AF24" s="62" t="s">
        <v>495</v>
      </c>
      <c r="AG24" s="62" t="s">
        <v>496</v>
      </c>
      <c r="AH24" s="62" t="s">
        <v>491</v>
      </c>
      <c r="AI24" s="62" t="s">
        <v>492</v>
      </c>
      <c r="AJ24" s="62" t="s">
        <v>493</v>
      </c>
      <c r="AK24" s="62" t="s">
        <v>494</v>
      </c>
      <c r="AL24" s="62" t="s">
        <v>495</v>
      </c>
      <c r="AM24" s="62" t="s">
        <v>496</v>
      </c>
      <c r="AN24" s="62" t="s">
        <v>491</v>
      </c>
      <c r="AO24" s="62" t="s">
        <v>492</v>
      </c>
      <c r="AP24" s="62" t="s">
        <v>493</v>
      </c>
      <c r="AQ24" s="62" t="s">
        <v>494</v>
      </c>
      <c r="AR24" s="62" t="s">
        <v>495</v>
      </c>
      <c r="AS24" s="62" t="s">
        <v>496</v>
      </c>
      <c r="AT24" s="62" t="s">
        <v>491</v>
      </c>
      <c r="AU24" s="62" t="s">
        <v>492</v>
      </c>
      <c r="AV24" s="62" t="s">
        <v>493</v>
      </c>
      <c r="AW24" s="62" t="s">
        <v>494</v>
      </c>
      <c r="AX24" s="62" t="s">
        <v>495</v>
      </c>
      <c r="AY24" s="62" t="s">
        <v>496</v>
      </c>
      <c r="AZ24" s="62" t="s">
        <v>491</v>
      </c>
      <c r="BA24" s="62" t="s">
        <v>492</v>
      </c>
      <c r="BB24" s="62" t="s">
        <v>493</v>
      </c>
      <c r="BC24" s="62" t="s">
        <v>494</v>
      </c>
      <c r="BD24" s="62" t="s">
        <v>495</v>
      </c>
      <c r="BE24" s="63" t="s">
        <v>496</v>
      </c>
      <c r="BF24" s="62" t="s">
        <v>491</v>
      </c>
      <c r="BG24" s="62" t="s">
        <v>492</v>
      </c>
      <c r="BH24" s="62" t="s">
        <v>493</v>
      </c>
      <c r="BI24" s="62" t="s">
        <v>494</v>
      </c>
      <c r="BJ24" s="62" t="s">
        <v>495</v>
      </c>
      <c r="BK24" s="63" t="s">
        <v>496</v>
      </c>
      <c r="BL24" s="62" t="s">
        <v>491</v>
      </c>
      <c r="BM24" s="62" t="s">
        <v>492</v>
      </c>
      <c r="BN24" s="62" t="s">
        <v>493</v>
      </c>
      <c r="BO24" s="62" t="s">
        <v>494</v>
      </c>
      <c r="BP24" s="62" t="s">
        <v>495</v>
      </c>
      <c r="BQ24" s="63" t="s">
        <v>496</v>
      </c>
      <c r="BR24" s="62" t="s">
        <v>491</v>
      </c>
      <c r="BS24" s="62" t="s">
        <v>492</v>
      </c>
      <c r="BT24" s="62" t="s">
        <v>493</v>
      </c>
      <c r="BU24" s="62" t="s">
        <v>494</v>
      </c>
      <c r="BV24" s="62" t="s">
        <v>495</v>
      </c>
      <c r="BW24" s="63" t="s">
        <v>496</v>
      </c>
    </row>
    <row r="25" spans="2:75" x14ac:dyDescent="0.3">
      <c r="B25" s="65">
        <v>1</v>
      </c>
      <c r="C25" s="66" t="str">
        <f>C7</f>
        <v>SistemasTI</v>
      </c>
      <c r="D25" s="145">
        <f>D7</f>
        <v>128</v>
      </c>
      <c r="E25" s="146">
        <f>E7</f>
        <v>125</v>
      </c>
      <c r="F25" s="68">
        <f t="shared" ref="F25:I25" si="2">F7</f>
        <v>0.9765625</v>
      </c>
      <c r="G25" s="67">
        <f t="shared" si="2"/>
        <v>3</v>
      </c>
      <c r="H25" s="68">
        <f t="shared" si="2"/>
        <v>2.34375E-2</v>
      </c>
      <c r="I25" s="152">
        <f t="shared" si="2"/>
        <v>5</v>
      </c>
      <c r="J25" s="91">
        <f t="shared" ref="J25:O35" si="3">IF(AND(J7&lt;&gt;"",J7&gt;0),(VLOOKUP(J$6,$CC$6:$CE$12,3,0)*J7)/SUM($J7:$N7),0)</f>
        <v>0</v>
      </c>
      <c r="K25" s="92">
        <f t="shared" si="3"/>
        <v>0</v>
      </c>
      <c r="L25" s="92">
        <f t="shared" si="3"/>
        <v>0</v>
      </c>
      <c r="M25" s="92">
        <f t="shared" si="3"/>
        <v>0</v>
      </c>
      <c r="N25" s="92">
        <f t="shared" si="3"/>
        <v>0</v>
      </c>
      <c r="O25" s="92">
        <f t="shared" si="3"/>
        <v>0</v>
      </c>
      <c r="P25" s="91">
        <f t="shared" ref="P25:U35" si="4">IF(AND(P7&lt;&gt;"",P7&gt;0),(VLOOKUP(P$6,$CC$6:$CE$12,3,0)*P7)/SUM($P7:$T7),0)</f>
        <v>0</v>
      </c>
      <c r="Q25" s="92">
        <f t="shared" si="4"/>
        <v>0</v>
      </c>
      <c r="R25" s="92">
        <f t="shared" si="4"/>
        <v>0</v>
      </c>
      <c r="S25" s="92">
        <f>IF(AND(S7&lt;&gt;"",S7&gt;0),(VLOOKUP(S$6,$CC$6:$CE$12,3,0)*S7)/SUM($P7:$T7),0)</f>
        <v>0</v>
      </c>
      <c r="T25" s="92">
        <f t="shared" si="4"/>
        <v>0</v>
      </c>
      <c r="U25" s="92">
        <f t="shared" si="4"/>
        <v>0</v>
      </c>
      <c r="V25" s="91">
        <f t="shared" ref="V25:AA35" si="5">IF(AND(V7&lt;&gt;"",V7&gt;0),(VLOOKUP(V$6,$CC$6:$CE$12,3,0)*V7)/SUM($V7:$Z7),0)</f>
        <v>0</v>
      </c>
      <c r="W25" s="92">
        <f t="shared" si="5"/>
        <v>0</v>
      </c>
      <c r="X25" s="92">
        <f t="shared" si="5"/>
        <v>0</v>
      </c>
      <c r="Y25" s="92">
        <f t="shared" si="5"/>
        <v>0</v>
      </c>
      <c r="Z25" s="92">
        <f t="shared" si="5"/>
        <v>0</v>
      </c>
      <c r="AA25" s="92">
        <f t="shared" si="5"/>
        <v>0</v>
      </c>
      <c r="AB25" s="91">
        <f t="shared" ref="AB25:AG26" si="6">IF(AND(AB7&lt;&gt;"",AB7&gt;0),(VLOOKUP(AB$6,$CC$6:$CE$12,3,0)*AB7)/SUM($AB7:$AF7),0)</f>
        <v>0</v>
      </c>
      <c r="AC25" s="92">
        <f t="shared" si="6"/>
        <v>0</v>
      </c>
      <c r="AD25" s="92">
        <f t="shared" si="6"/>
        <v>0</v>
      </c>
      <c r="AE25" s="92">
        <f t="shared" si="6"/>
        <v>0</v>
      </c>
      <c r="AF25" s="92">
        <f t="shared" si="6"/>
        <v>0</v>
      </c>
      <c r="AG25" s="92">
        <f t="shared" si="6"/>
        <v>0</v>
      </c>
      <c r="AH25" s="91">
        <f t="shared" ref="AH25:AM27" si="7">IF(AND(AH7&lt;&gt;"",AH7&gt;0),(VLOOKUP(AH$6,$CC$6:$CE$12,3,0)*AH7)/SUM($AH7:$AL7),0)</f>
        <v>0</v>
      </c>
      <c r="AI25" s="92">
        <f t="shared" si="7"/>
        <v>0</v>
      </c>
      <c r="AJ25" s="92">
        <f t="shared" si="7"/>
        <v>0</v>
      </c>
      <c r="AK25" s="92">
        <f t="shared" si="7"/>
        <v>0</v>
      </c>
      <c r="AL25" s="92">
        <f t="shared" si="7"/>
        <v>0</v>
      </c>
      <c r="AM25" s="92">
        <f t="shared" si="7"/>
        <v>0</v>
      </c>
      <c r="AN25" s="91">
        <f t="shared" ref="AN25:AS35" si="8">IF(AND(AN7&lt;&gt;"",AN7&gt;0),(VLOOKUP(AN$6,$CC$6:$CE$12,3,0)*AN7)/SUM($AN7:$AR7),0)</f>
        <v>0</v>
      </c>
      <c r="AO25" s="92">
        <f t="shared" si="8"/>
        <v>0</v>
      </c>
      <c r="AP25" s="92">
        <f t="shared" si="8"/>
        <v>0</v>
      </c>
      <c r="AQ25" s="92">
        <f t="shared" si="8"/>
        <v>0</v>
      </c>
      <c r="AR25" s="92">
        <f t="shared" si="8"/>
        <v>0</v>
      </c>
      <c r="AS25" s="92">
        <f t="shared" si="8"/>
        <v>0</v>
      </c>
      <c r="AT25" s="91">
        <f t="shared" ref="AT25:AY35" si="9">IF(AND(AT7&lt;&gt;"",AT7&gt;0),(VLOOKUP(AT$6,$CC$6:$CE$12,3,0)*AT7)/SUM($AT7:$AX7),0)</f>
        <v>0</v>
      </c>
      <c r="AU25" s="92">
        <f t="shared" si="9"/>
        <v>0</v>
      </c>
      <c r="AV25" s="92">
        <f t="shared" si="9"/>
        <v>0</v>
      </c>
      <c r="AW25" s="92">
        <f t="shared" si="9"/>
        <v>0</v>
      </c>
      <c r="AX25" s="92">
        <f t="shared" si="9"/>
        <v>0</v>
      </c>
      <c r="AY25" s="92">
        <f t="shared" si="9"/>
        <v>0</v>
      </c>
      <c r="AZ25" s="91">
        <f>IF(AND(AZ7&lt;&gt;"",AZ7&gt;0),(VLOOKUP(AZ$6,$CC$6:$CE$12,3,0)*AZ7)/SUM($AZ7:$BD7),0)</f>
        <v>0</v>
      </c>
      <c r="BA25" s="92">
        <f t="shared" ref="AZ25:BE35" si="10">IF(AND(BA7&lt;&gt;"",BA7&gt;0),(VLOOKUP(BA$6,$CC$6:$CE$12,3,0)*BA7)/SUM($AZ7:$BD7),0)</f>
        <v>0</v>
      </c>
      <c r="BB25" s="92">
        <f t="shared" si="10"/>
        <v>0</v>
      </c>
      <c r="BC25" s="92">
        <f t="shared" si="10"/>
        <v>0</v>
      </c>
      <c r="BD25" s="92">
        <f t="shared" si="10"/>
        <v>0</v>
      </c>
      <c r="BE25" s="92">
        <f>IF(AND(BE7&lt;&gt;"",BE7&gt;0),(VLOOKUP(BE$6,$CC$6:$CE$12,3,0)*BE7)/SUM($AZ7:$BD7),0)</f>
        <v>0</v>
      </c>
      <c r="BF25" s="92">
        <f>IF(AND(BF7&lt;&gt;"",BF7&gt;0),(VLOOKUP(BF$6,$CC$6:$CE$12,3,0)*BF7)/SUM($BF7:$BJ7),0)</f>
        <v>0</v>
      </c>
      <c r="BG25" s="92">
        <f t="shared" ref="BG25:BK25" si="11">IF(AND(BG7&lt;&gt;"",BG7&gt;0),(VLOOKUP(BG$6,$CC$6:$CE$12,3,0)*BG7)/SUM($BF7:$BJ7),0)</f>
        <v>0</v>
      </c>
      <c r="BH25" s="92">
        <f t="shared" si="11"/>
        <v>0</v>
      </c>
      <c r="BI25" s="92">
        <f t="shared" si="11"/>
        <v>0</v>
      </c>
      <c r="BJ25" s="92">
        <f t="shared" si="11"/>
        <v>0</v>
      </c>
      <c r="BK25" s="92">
        <f t="shared" si="11"/>
        <v>0</v>
      </c>
      <c r="BL25" s="91">
        <f>IF(AND(BL7&lt;&gt;"",BL7&gt;0),(VLOOKUP(BL$6,$CC$6:$CE$12,3,0)*BL7)/SUM($BL7:$BP7),0)</f>
        <v>0</v>
      </c>
      <c r="BM25" s="91">
        <f t="shared" ref="BM25:BQ25" si="12">IF(AND(BM7&lt;&gt;"",BM7&gt;0),(VLOOKUP(BM$6,$CC$6:$CE$12,3,0)*BM7)/SUM($BL7:$BP7),0)</f>
        <v>0</v>
      </c>
      <c r="BN25" s="91">
        <f t="shared" si="12"/>
        <v>0</v>
      </c>
      <c r="BO25" s="91">
        <f t="shared" si="12"/>
        <v>0</v>
      </c>
      <c r="BP25" s="91">
        <f>IF(AND(BP7&lt;&gt;"",BP7&gt;0),(VLOOKUP(BP$6,$CC$6:$CE$12,3,0)*BP7)/SUM($BL7:$BP7),0)</f>
        <v>0</v>
      </c>
      <c r="BQ25" s="91">
        <f t="shared" si="12"/>
        <v>0</v>
      </c>
      <c r="BR25" s="91">
        <f>IF(AND(BR7&lt;&gt;"",BR7&gt;0),(VLOOKUP(BR$6,$CC$6:$CE$12,3,0)*BR7)/SUM($BR7:$BV7),0)</f>
        <v>0</v>
      </c>
      <c r="BS25" s="91">
        <f t="shared" ref="BS25:BW25" si="13">IF(AND(BS7&lt;&gt;"",BS7&gt;0),(VLOOKUP(BS$6,$CC$6:$CE$12,3,0)*BS7)/SUM($BR7:$BV7),0)</f>
        <v>0</v>
      </c>
      <c r="BT25" s="91">
        <f t="shared" si="13"/>
        <v>0</v>
      </c>
      <c r="BU25" s="91">
        <f t="shared" si="13"/>
        <v>0</v>
      </c>
      <c r="BV25" s="91">
        <f t="shared" si="13"/>
        <v>0</v>
      </c>
      <c r="BW25" s="91">
        <f t="shared" si="13"/>
        <v>0</v>
      </c>
    </row>
    <row r="26" spans="2:75" x14ac:dyDescent="0.3">
      <c r="B26" s="74">
        <v>2</v>
      </c>
      <c r="C26" s="75" t="str">
        <f>C8</f>
        <v>Sistema integrado de gestión</v>
      </c>
      <c r="D26" s="145">
        <f t="shared" ref="D26:E35" si="14">D8</f>
        <v>140</v>
      </c>
      <c r="E26" s="146">
        <f t="shared" si="14"/>
        <v>89</v>
      </c>
      <c r="F26" s="78">
        <f t="shared" ref="E26:I36" si="15">F8</f>
        <v>0.63571428571428568</v>
      </c>
      <c r="G26" s="77">
        <f t="shared" si="15"/>
        <v>51</v>
      </c>
      <c r="H26" s="78">
        <f t="shared" si="15"/>
        <v>0.36428571428571427</v>
      </c>
      <c r="I26" s="69">
        <f t="shared" si="15"/>
        <v>5</v>
      </c>
      <c r="J26" s="91">
        <f t="shared" si="3"/>
        <v>0</v>
      </c>
      <c r="K26" s="92">
        <f t="shared" si="3"/>
        <v>0</v>
      </c>
      <c r="L26" s="92">
        <f t="shared" si="3"/>
        <v>0</v>
      </c>
      <c r="M26" s="92">
        <f t="shared" si="3"/>
        <v>0</v>
      </c>
      <c r="N26" s="92">
        <f t="shared" si="3"/>
        <v>0</v>
      </c>
      <c r="O26" s="92">
        <f t="shared" si="3"/>
        <v>0</v>
      </c>
      <c r="P26" s="91">
        <f t="shared" si="4"/>
        <v>0</v>
      </c>
      <c r="Q26" s="92">
        <f t="shared" si="4"/>
        <v>0</v>
      </c>
      <c r="R26" s="92">
        <f t="shared" si="4"/>
        <v>0</v>
      </c>
      <c r="S26" s="92">
        <f t="shared" si="4"/>
        <v>0</v>
      </c>
      <c r="T26" s="92">
        <f t="shared" si="4"/>
        <v>0</v>
      </c>
      <c r="U26" s="92">
        <f t="shared" si="4"/>
        <v>0</v>
      </c>
      <c r="V26" s="91">
        <f t="shared" si="5"/>
        <v>0</v>
      </c>
      <c r="W26" s="92">
        <f t="shared" si="5"/>
        <v>0</v>
      </c>
      <c r="X26" s="92">
        <f t="shared" si="5"/>
        <v>0</v>
      </c>
      <c r="Y26" s="92">
        <f t="shared" si="5"/>
        <v>0</v>
      </c>
      <c r="Z26" s="92">
        <f t="shared" si="5"/>
        <v>0</v>
      </c>
      <c r="AA26" s="92">
        <f t="shared" si="5"/>
        <v>0</v>
      </c>
      <c r="AB26" s="91">
        <f t="shared" si="6"/>
        <v>0</v>
      </c>
      <c r="AC26" s="92">
        <f t="shared" si="6"/>
        <v>0</v>
      </c>
      <c r="AD26" s="92">
        <f t="shared" si="6"/>
        <v>0</v>
      </c>
      <c r="AE26" s="92">
        <f t="shared" si="6"/>
        <v>0</v>
      </c>
      <c r="AF26" s="92">
        <f t="shared" si="6"/>
        <v>0</v>
      </c>
      <c r="AG26" s="92">
        <f t="shared" si="6"/>
        <v>0</v>
      </c>
      <c r="AH26" s="91">
        <f t="shared" si="7"/>
        <v>0</v>
      </c>
      <c r="AI26" s="92">
        <f t="shared" si="7"/>
        <v>0</v>
      </c>
      <c r="AJ26" s="92">
        <f t="shared" si="7"/>
        <v>0</v>
      </c>
      <c r="AK26" s="92">
        <f t="shared" si="7"/>
        <v>0</v>
      </c>
      <c r="AL26" s="92">
        <f t="shared" si="7"/>
        <v>0</v>
      </c>
      <c r="AM26" s="92">
        <f t="shared" si="7"/>
        <v>0</v>
      </c>
      <c r="AN26" s="91">
        <f t="shared" si="8"/>
        <v>0</v>
      </c>
      <c r="AO26" s="92">
        <f t="shared" si="8"/>
        <v>0</v>
      </c>
      <c r="AP26" s="92">
        <f t="shared" si="8"/>
        <v>0</v>
      </c>
      <c r="AQ26" s="92">
        <f t="shared" si="8"/>
        <v>0</v>
      </c>
      <c r="AR26" s="92">
        <f t="shared" si="8"/>
        <v>0</v>
      </c>
      <c r="AS26" s="92">
        <f t="shared" si="8"/>
        <v>0</v>
      </c>
      <c r="AT26" s="91">
        <f t="shared" si="9"/>
        <v>0</v>
      </c>
      <c r="AU26" s="92">
        <f t="shared" si="9"/>
        <v>0</v>
      </c>
      <c r="AV26" s="92">
        <f>IF(AND(AV8&lt;&gt;"",AV8&gt;0),(VLOOKUP(AV$6,$CC$6:$CE$12,3,0)*AV8)/SUM($AT8:$AX8),0)</f>
        <v>0</v>
      </c>
      <c r="AW26" s="92">
        <f t="shared" si="9"/>
        <v>0</v>
      </c>
      <c r="AX26" s="92">
        <f t="shared" si="9"/>
        <v>0</v>
      </c>
      <c r="AY26" s="92">
        <f t="shared" si="9"/>
        <v>0</v>
      </c>
      <c r="AZ26" s="91">
        <f t="shared" si="10"/>
        <v>0</v>
      </c>
      <c r="BA26" s="92">
        <f t="shared" si="10"/>
        <v>0</v>
      </c>
      <c r="BB26" s="92">
        <f t="shared" si="10"/>
        <v>0</v>
      </c>
      <c r="BC26" s="92">
        <f t="shared" si="10"/>
        <v>0</v>
      </c>
      <c r="BD26" s="92">
        <f t="shared" si="10"/>
        <v>0</v>
      </c>
      <c r="BE26" s="92">
        <f t="shared" si="10"/>
        <v>0</v>
      </c>
      <c r="BF26" s="92">
        <f t="shared" ref="BF26:BK26" si="16">IF(AND(BF8&lt;&gt;"",BF8&gt;0),(VLOOKUP(BF$6,$CC$6:$CE$12,3,0)*BF8)/SUM($BF8:$BJ8),0)</f>
        <v>0</v>
      </c>
      <c r="BG26" s="92">
        <f t="shared" si="16"/>
        <v>0</v>
      </c>
      <c r="BH26" s="92">
        <f t="shared" si="16"/>
        <v>0</v>
      </c>
      <c r="BI26" s="92">
        <f t="shared" si="16"/>
        <v>0</v>
      </c>
      <c r="BJ26" s="92">
        <f t="shared" si="16"/>
        <v>0</v>
      </c>
      <c r="BK26" s="92">
        <f t="shared" si="16"/>
        <v>0</v>
      </c>
      <c r="BL26" s="91">
        <f t="shared" ref="BL26:BO26" si="17">IF(AND(BL8&lt;&gt;"",BL8&gt;0),(VLOOKUP(BL$6,$CC$6:$CE$12,3,0)*BL8)/SUM($BL8:$BP8),0)</f>
        <v>0</v>
      </c>
      <c r="BM26" s="91">
        <f t="shared" si="17"/>
        <v>0</v>
      </c>
      <c r="BN26" s="91">
        <f t="shared" si="17"/>
        <v>0</v>
      </c>
      <c r="BO26" s="91">
        <f t="shared" si="17"/>
        <v>0</v>
      </c>
      <c r="BP26" s="91">
        <f>IF(AND(BP8&lt;&gt;"",BP8&gt;0),(VLOOKUP(BP$6,$CC$6:$CE$12,3,0)*BP8)/SUM($BL8:$BP8),0)</f>
        <v>0</v>
      </c>
      <c r="BQ26" s="91">
        <f>IF(AND(BQ8&lt;&gt;"",BQ8&gt;0),(VLOOKUP(BQ$6,$CC$6:$CE$12,3,0)*BQ8)/SUM($BL8:$BP8),0)</f>
        <v>0</v>
      </c>
      <c r="BR26" s="91">
        <f t="shared" ref="BR26:BW26" si="18">IF(AND(BR8&lt;&gt;"",BR8&gt;0),(VLOOKUP(BR$6,$CC$6:$CE$12,3,0)*BR8)/SUM($BR8:$BV8),0)</f>
        <v>0</v>
      </c>
      <c r="BS26" s="91">
        <f t="shared" si="18"/>
        <v>0</v>
      </c>
      <c r="BT26" s="91">
        <f t="shared" si="18"/>
        <v>0</v>
      </c>
      <c r="BU26" s="91">
        <f t="shared" si="18"/>
        <v>0</v>
      </c>
      <c r="BV26" s="91">
        <f>IF(AND(BV8&lt;&gt;"",BV8&gt;0),(VLOOKUP(BV$6,$CC$6:$CE$12,3,0)*BV8)/SUM($BR8:$BV8),0)</f>
        <v>0</v>
      </c>
      <c r="BW26" s="91">
        <f t="shared" si="18"/>
        <v>0</v>
      </c>
    </row>
    <row r="27" spans="2:75" x14ac:dyDescent="0.3">
      <c r="B27" s="74">
        <v>3</v>
      </c>
      <c r="C27" s="75" t="str">
        <f>C9</f>
        <v>FinanzasYTesorería</v>
      </c>
      <c r="D27" s="145">
        <f t="shared" si="14"/>
        <v>75</v>
      </c>
      <c r="E27" s="146">
        <f t="shared" si="14"/>
        <v>75</v>
      </c>
      <c r="F27" s="78">
        <f t="shared" si="15"/>
        <v>1</v>
      </c>
      <c r="G27" s="77">
        <f t="shared" si="15"/>
        <v>0</v>
      </c>
      <c r="H27" s="78">
        <f t="shared" si="15"/>
        <v>0</v>
      </c>
      <c r="I27" s="69">
        <f t="shared" si="15"/>
        <v>4</v>
      </c>
      <c r="J27" s="91">
        <f t="shared" si="3"/>
        <v>0</v>
      </c>
      <c r="K27" s="92">
        <f t="shared" si="3"/>
        <v>0</v>
      </c>
      <c r="L27" s="92">
        <f t="shared" si="3"/>
        <v>0</v>
      </c>
      <c r="M27" s="92">
        <f t="shared" si="3"/>
        <v>0</v>
      </c>
      <c r="N27" s="92">
        <f t="shared" si="3"/>
        <v>0</v>
      </c>
      <c r="O27" s="92">
        <f t="shared" si="3"/>
        <v>0</v>
      </c>
      <c r="P27" s="91">
        <f t="shared" si="4"/>
        <v>0</v>
      </c>
      <c r="Q27" s="92">
        <f t="shared" si="4"/>
        <v>0</v>
      </c>
      <c r="R27" s="92">
        <f t="shared" si="4"/>
        <v>0</v>
      </c>
      <c r="S27" s="92">
        <f t="shared" si="4"/>
        <v>0</v>
      </c>
      <c r="T27" s="92">
        <f t="shared" si="4"/>
        <v>0</v>
      </c>
      <c r="U27" s="92">
        <f t="shared" si="4"/>
        <v>0</v>
      </c>
      <c r="V27" s="91">
        <f t="shared" ref="V27:AA32" si="19">IF(AND(V9&lt;&gt;"",V9&gt;0),(VLOOKUP(V$6,$CC$6:$CE$12,3,0)*V9)/SUM($V9:$Z9),0)</f>
        <v>0</v>
      </c>
      <c r="W27" s="92">
        <f t="shared" si="19"/>
        <v>0</v>
      </c>
      <c r="X27" s="92">
        <f t="shared" si="19"/>
        <v>0</v>
      </c>
      <c r="Y27" s="92">
        <f t="shared" si="19"/>
        <v>0</v>
      </c>
      <c r="Z27" s="92">
        <f t="shared" si="19"/>
        <v>0</v>
      </c>
      <c r="AA27" s="92">
        <f t="shared" si="19"/>
        <v>0</v>
      </c>
      <c r="AB27" s="91">
        <f t="shared" ref="AB27:AG35" si="20">IF(AND(AB9&lt;&gt;"",AB9&gt;0),(VLOOKUP(AB$6,$CC$6:$CE$12,3,0)*AB9)/SUM($AB9:$AF9),0)</f>
        <v>0</v>
      </c>
      <c r="AC27" s="92">
        <f t="shared" si="20"/>
        <v>0</v>
      </c>
      <c r="AD27" s="92">
        <f t="shared" si="20"/>
        <v>0</v>
      </c>
      <c r="AE27" s="92">
        <f t="shared" si="20"/>
        <v>0</v>
      </c>
      <c r="AF27" s="92">
        <f t="shared" si="20"/>
        <v>0</v>
      </c>
      <c r="AG27" s="92">
        <f t="shared" si="20"/>
        <v>0</v>
      </c>
      <c r="AH27" s="91">
        <f t="shared" si="7"/>
        <v>0</v>
      </c>
      <c r="AI27" s="92">
        <f t="shared" si="7"/>
        <v>0</v>
      </c>
      <c r="AJ27" s="92">
        <f t="shared" si="7"/>
        <v>0</v>
      </c>
      <c r="AK27" s="92">
        <f t="shared" si="7"/>
        <v>0</v>
      </c>
      <c r="AL27" s="92">
        <f t="shared" si="7"/>
        <v>0</v>
      </c>
      <c r="AM27" s="92">
        <f t="shared" si="7"/>
        <v>0</v>
      </c>
      <c r="AN27" s="91">
        <f t="shared" si="8"/>
        <v>0</v>
      </c>
      <c r="AO27" s="92">
        <f t="shared" si="8"/>
        <v>0</v>
      </c>
      <c r="AP27" s="92">
        <f t="shared" si="8"/>
        <v>0</v>
      </c>
      <c r="AQ27" s="92">
        <f t="shared" si="8"/>
        <v>0</v>
      </c>
      <c r="AR27" s="92">
        <f t="shared" si="8"/>
        <v>0</v>
      </c>
      <c r="AS27" s="92">
        <f t="shared" si="8"/>
        <v>0</v>
      </c>
      <c r="AT27" s="91">
        <f t="shared" si="9"/>
        <v>0</v>
      </c>
      <c r="AU27" s="92">
        <f t="shared" si="9"/>
        <v>0</v>
      </c>
      <c r="AV27" s="92">
        <f t="shared" si="9"/>
        <v>0</v>
      </c>
      <c r="AW27" s="92">
        <f t="shared" si="9"/>
        <v>0</v>
      </c>
      <c r="AX27" s="92">
        <f t="shared" si="9"/>
        <v>0</v>
      </c>
      <c r="AY27" s="92">
        <f t="shared" si="9"/>
        <v>0</v>
      </c>
      <c r="AZ27" s="91">
        <f>IF(AND(AZ9&lt;&gt;"",AZ9&gt;0),(VLOOKUP(AZ$6,$CC$6:$CE$12,3,0)*AZ9)/SUM($AZ9:$BD9),0)</f>
        <v>0</v>
      </c>
      <c r="BA27" s="92">
        <f t="shared" si="10"/>
        <v>0</v>
      </c>
      <c r="BB27" s="92">
        <f t="shared" si="10"/>
        <v>0</v>
      </c>
      <c r="BC27" s="92">
        <f>IF(AND(BC9&lt;&gt;"",BC9&gt;0),(VLOOKUP(BC$6,$CC$6:$CE$12,3,0)*BC9)/SUM($AZ9:$BD9),0)</f>
        <v>0</v>
      </c>
      <c r="BD27" s="92">
        <f t="shared" si="10"/>
        <v>0</v>
      </c>
      <c r="BE27" s="92">
        <f>IF(AND(BE9&lt;&gt;"",BE9&gt;0),(VLOOKUP(BE$6,$CC$6:$CE$12,3,0)*BE9)/SUM($AZ9:$BD9),0)</f>
        <v>0</v>
      </c>
      <c r="BF27" s="92">
        <f t="shared" ref="BF27:BK27" si="21">IF(AND(BF9&lt;&gt;"",BF9&gt;0),(VLOOKUP(BF$6,$CC$6:$CE$12,3,0)*BF9)/SUM($BF9:$BJ9),0)</f>
        <v>0</v>
      </c>
      <c r="BG27" s="92">
        <f t="shared" si="21"/>
        <v>0</v>
      </c>
      <c r="BH27" s="92">
        <f t="shared" si="21"/>
        <v>0</v>
      </c>
      <c r="BI27" s="92">
        <f t="shared" si="21"/>
        <v>0</v>
      </c>
      <c r="BJ27" s="92">
        <f t="shared" si="21"/>
        <v>0</v>
      </c>
      <c r="BK27" s="92">
        <f t="shared" si="21"/>
        <v>0</v>
      </c>
      <c r="BL27" s="91">
        <f t="shared" ref="BL27:BQ27" si="22">IF(AND(BL9&lt;&gt;"",BL9&gt;0),(VLOOKUP(BL$6,$CC$6:$CE$12,3,0)*BL9)/SUM($BL9:$BP9),0)</f>
        <v>0</v>
      </c>
      <c r="BM27" s="91">
        <f t="shared" si="22"/>
        <v>0</v>
      </c>
      <c r="BN27" s="91">
        <f t="shared" si="22"/>
        <v>0</v>
      </c>
      <c r="BO27" s="91">
        <f t="shared" si="22"/>
        <v>0</v>
      </c>
      <c r="BP27" s="91">
        <f t="shared" si="22"/>
        <v>0</v>
      </c>
      <c r="BQ27" s="91">
        <f t="shared" si="22"/>
        <v>0</v>
      </c>
      <c r="BR27" s="91">
        <f t="shared" ref="BR27:BW27" si="23">IF(AND(BR9&lt;&gt;"",BR9&gt;0),(VLOOKUP(BR$6,$CC$6:$CE$12,3,0)*BR9)/SUM($BR9:$BV9),0)</f>
        <v>0</v>
      </c>
      <c r="BS27" s="91">
        <f t="shared" si="23"/>
        <v>0</v>
      </c>
      <c r="BT27" s="91">
        <f t="shared" si="23"/>
        <v>0</v>
      </c>
      <c r="BU27" s="91">
        <f t="shared" si="23"/>
        <v>0</v>
      </c>
      <c r="BV27" s="91">
        <f t="shared" si="23"/>
        <v>0</v>
      </c>
      <c r="BW27" s="91">
        <f t="shared" si="23"/>
        <v>0</v>
      </c>
    </row>
    <row r="28" spans="2:75" x14ac:dyDescent="0.3">
      <c r="B28" s="74">
        <v>4</v>
      </c>
      <c r="C28" s="75" t="str">
        <f>C10</f>
        <v>Seguridad</v>
      </c>
      <c r="D28" s="145">
        <f t="shared" si="14"/>
        <v>71</v>
      </c>
      <c r="E28" s="146">
        <f t="shared" si="14"/>
        <v>64</v>
      </c>
      <c r="F28" s="78">
        <f t="shared" si="15"/>
        <v>0.90140845070422537</v>
      </c>
      <c r="G28" s="77">
        <f t="shared" si="15"/>
        <v>7</v>
      </c>
      <c r="H28" s="78">
        <f t="shared" si="15"/>
        <v>9.8591549295774641E-2</v>
      </c>
      <c r="I28" s="69">
        <f t="shared" si="15"/>
        <v>8</v>
      </c>
      <c r="J28" s="91">
        <f t="shared" si="3"/>
        <v>0</v>
      </c>
      <c r="K28" s="92">
        <f t="shared" si="3"/>
        <v>0</v>
      </c>
      <c r="L28" s="92">
        <f t="shared" si="3"/>
        <v>0</v>
      </c>
      <c r="M28" s="92">
        <f t="shared" si="3"/>
        <v>0</v>
      </c>
      <c r="N28" s="92">
        <f t="shared" si="3"/>
        <v>0</v>
      </c>
      <c r="O28" s="92">
        <f t="shared" si="3"/>
        <v>0</v>
      </c>
      <c r="P28" s="91">
        <f t="shared" si="4"/>
        <v>0</v>
      </c>
      <c r="Q28" s="92">
        <f t="shared" si="4"/>
        <v>0</v>
      </c>
      <c r="R28" s="92">
        <f t="shared" si="4"/>
        <v>0</v>
      </c>
      <c r="S28" s="92">
        <f t="shared" si="4"/>
        <v>0</v>
      </c>
      <c r="T28" s="92">
        <f t="shared" si="4"/>
        <v>0</v>
      </c>
      <c r="U28" s="92">
        <f t="shared" si="4"/>
        <v>0</v>
      </c>
      <c r="V28" s="91">
        <f t="shared" si="19"/>
        <v>0</v>
      </c>
      <c r="W28" s="92">
        <f t="shared" si="19"/>
        <v>0</v>
      </c>
      <c r="X28" s="92">
        <f t="shared" si="19"/>
        <v>0</v>
      </c>
      <c r="Y28" s="92">
        <f t="shared" si="19"/>
        <v>0</v>
      </c>
      <c r="Z28" s="92">
        <f t="shared" si="19"/>
        <v>0</v>
      </c>
      <c r="AA28" s="92">
        <f t="shared" si="19"/>
        <v>0</v>
      </c>
      <c r="AB28" s="91">
        <f t="shared" si="20"/>
        <v>0</v>
      </c>
      <c r="AC28" s="92">
        <f t="shared" si="20"/>
        <v>0</v>
      </c>
      <c r="AD28" s="92">
        <f t="shared" si="20"/>
        <v>0</v>
      </c>
      <c r="AE28" s="92">
        <f t="shared" si="20"/>
        <v>0</v>
      </c>
      <c r="AF28" s="92">
        <f t="shared" si="20"/>
        <v>0</v>
      </c>
      <c r="AG28" s="92">
        <f t="shared" si="20"/>
        <v>0</v>
      </c>
      <c r="AH28" s="91">
        <f t="shared" ref="AH28:AM35" si="24">IF(AND(AH10&lt;&gt;"",AH10&gt;0),(VLOOKUP(AH$6,$CC$6:$CE$12,3,0)*AH10)/SUM($AH10:$AL10),0)</f>
        <v>0</v>
      </c>
      <c r="AI28" s="92">
        <f t="shared" si="24"/>
        <v>0</v>
      </c>
      <c r="AJ28" s="92">
        <f t="shared" si="24"/>
        <v>0</v>
      </c>
      <c r="AK28" s="92">
        <f t="shared" si="24"/>
        <v>0</v>
      </c>
      <c r="AL28" s="92">
        <f t="shared" si="24"/>
        <v>0</v>
      </c>
      <c r="AM28" s="92">
        <f t="shared" si="24"/>
        <v>0</v>
      </c>
      <c r="AN28" s="91">
        <f t="shared" si="8"/>
        <v>0</v>
      </c>
      <c r="AO28" s="92">
        <f t="shared" si="8"/>
        <v>0</v>
      </c>
      <c r="AP28" s="92">
        <f t="shared" si="8"/>
        <v>0</v>
      </c>
      <c r="AQ28" s="92">
        <f t="shared" si="8"/>
        <v>0</v>
      </c>
      <c r="AR28" s="92">
        <f t="shared" si="8"/>
        <v>0</v>
      </c>
      <c r="AS28" s="92">
        <f t="shared" si="8"/>
        <v>0</v>
      </c>
      <c r="AT28" s="91">
        <f t="shared" si="9"/>
        <v>0</v>
      </c>
      <c r="AU28" s="92">
        <f t="shared" si="9"/>
        <v>0</v>
      </c>
      <c r="AV28" s="92">
        <f t="shared" si="9"/>
        <v>0</v>
      </c>
      <c r="AW28" s="92">
        <f t="shared" si="9"/>
        <v>0</v>
      </c>
      <c r="AX28" s="92">
        <f t="shared" si="9"/>
        <v>0</v>
      </c>
      <c r="AY28" s="92">
        <f t="shared" si="9"/>
        <v>0</v>
      </c>
      <c r="AZ28" s="91">
        <f t="shared" si="10"/>
        <v>0</v>
      </c>
      <c r="BA28" s="92">
        <f t="shared" si="10"/>
        <v>0</v>
      </c>
      <c r="BB28" s="92">
        <f t="shared" si="10"/>
        <v>0</v>
      </c>
      <c r="BC28" s="92">
        <f t="shared" si="10"/>
        <v>0</v>
      </c>
      <c r="BD28" s="92">
        <f t="shared" si="10"/>
        <v>0</v>
      </c>
      <c r="BE28" s="92">
        <f t="shared" si="10"/>
        <v>0</v>
      </c>
      <c r="BF28" s="92">
        <f t="shared" ref="BF28:BK28" si="25">IF(AND(BF10&lt;&gt;"",BF10&gt;0),(VLOOKUP(BF$6,$CC$6:$CE$12,3,0)*BF10)/SUM($BF10:$BJ10),0)</f>
        <v>0</v>
      </c>
      <c r="BG28" s="92">
        <f t="shared" si="25"/>
        <v>0</v>
      </c>
      <c r="BH28" s="92">
        <f t="shared" si="25"/>
        <v>0</v>
      </c>
      <c r="BI28" s="92">
        <f t="shared" si="25"/>
        <v>0</v>
      </c>
      <c r="BJ28" s="92">
        <f t="shared" si="25"/>
        <v>0</v>
      </c>
      <c r="BK28" s="92">
        <f t="shared" si="25"/>
        <v>0</v>
      </c>
      <c r="BL28" s="91">
        <f t="shared" ref="BL28:BN28" si="26">IF(AND(BL10&lt;&gt;"",BL10&gt;0),(VLOOKUP(BL$6,$CC$6:$CE$12,3,0)*BL10)/SUM($BL10:$BP10),0)</f>
        <v>0</v>
      </c>
      <c r="BM28" s="91">
        <f t="shared" si="26"/>
        <v>0</v>
      </c>
      <c r="BN28" s="91">
        <f t="shared" si="26"/>
        <v>0</v>
      </c>
      <c r="BO28" s="91">
        <f>IF(AND(BO10&lt;&gt;"",BO10&gt;0),(VLOOKUP(BO$6,$CC$6:$CE$12,3,0)*BO10)/SUM($BL10:$BP10),0)</f>
        <v>0</v>
      </c>
      <c r="BP28" s="91">
        <f>IF(AND(BP10&lt;&gt;"",BP10&gt;0),(VLOOKUP(BP$6,$CC$6:$CE$12,3,0)*BP10)/SUM($BL10:$BP10),0)</f>
        <v>0</v>
      </c>
      <c r="BQ28" s="91">
        <f>IF(AND(BQ10&lt;&gt;"",BQ10&gt;0),(VLOOKUP(BQ$6,$CC$6:$CE$12,3,0)*BQ10)/SUM($BL10:$BP10),0)</f>
        <v>0</v>
      </c>
      <c r="BR28" s="91">
        <f t="shared" ref="BR28:BW28" si="27">IF(AND(BR10&lt;&gt;"",BR10&gt;0),(VLOOKUP(BR$6,$CC$6:$CE$12,3,0)*BR10)/SUM($BR10:$BV10),0)</f>
        <v>0</v>
      </c>
      <c r="BS28" s="91">
        <f t="shared" si="27"/>
        <v>0</v>
      </c>
      <c r="BT28" s="91">
        <f t="shared" si="27"/>
        <v>0</v>
      </c>
      <c r="BU28" s="91">
        <f t="shared" si="27"/>
        <v>0</v>
      </c>
      <c r="BV28" s="91">
        <f t="shared" si="27"/>
        <v>0</v>
      </c>
      <c r="BW28" s="91">
        <f t="shared" si="27"/>
        <v>0</v>
      </c>
    </row>
    <row r="29" spans="2:75" x14ac:dyDescent="0.3">
      <c r="B29" s="74">
        <v>5</v>
      </c>
      <c r="C29" s="75" t="str">
        <f>C11</f>
        <v>Legal</v>
      </c>
      <c r="D29" s="145">
        <f t="shared" si="14"/>
        <v>58</v>
      </c>
      <c r="E29" s="146">
        <f t="shared" si="14"/>
        <v>51</v>
      </c>
      <c r="F29" s="78">
        <f t="shared" si="15"/>
        <v>0.87931034482758619</v>
      </c>
      <c r="G29" s="77">
        <f t="shared" si="15"/>
        <v>7</v>
      </c>
      <c r="H29" s="78">
        <f t="shared" si="15"/>
        <v>0.1206896551724138</v>
      </c>
      <c r="I29" s="69">
        <f t="shared" si="15"/>
        <v>5</v>
      </c>
      <c r="J29" s="91">
        <f t="shared" si="3"/>
        <v>0</v>
      </c>
      <c r="K29" s="92">
        <f t="shared" si="3"/>
        <v>0</v>
      </c>
      <c r="L29" s="92">
        <f t="shared" si="3"/>
        <v>0</v>
      </c>
      <c r="M29" s="92">
        <f t="shared" si="3"/>
        <v>0</v>
      </c>
      <c r="N29" s="92">
        <f t="shared" si="3"/>
        <v>0</v>
      </c>
      <c r="O29" s="92">
        <f t="shared" si="3"/>
        <v>0</v>
      </c>
      <c r="P29" s="91">
        <f t="shared" si="4"/>
        <v>0</v>
      </c>
      <c r="Q29" s="92">
        <f t="shared" si="4"/>
        <v>0</v>
      </c>
      <c r="R29" s="92">
        <f t="shared" si="4"/>
        <v>0</v>
      </c>
      <c r="S29" s="92">
        <f t="shared" si="4"/>
        <v>0</v>
      </c>
      <c r="T29" s="92">
        <f t="shared" si="4"/>
        <v>0</v>
      </c>
      <c r="U29" s="92">
        <f t="shared" si="4"/>
        <v>0</v>
      </c>
      <c r="V29" s="91">
        <f t="shared" si="19"/>
        <v>0</v>
      </c>
      <c r="W29" s="92">
        <f t="shared" si="19"/>
        <v>0</v>
      </c>
      <c r="X29" s="92">
        <f t="shared" si="19"/>
        <v>0</v>
      </c>
      <c r="Y29" s="92">
        <f t="shared" si="19"/>
        <v>0</v>
      </c>
      <c r="Z29" s="92">
        <f t="shared" si="19"/>
        <v>0</v>
      </c>
      <c r="AA29" s="92">
        <f t="shared" si="19"/>
        <v>0</v>
      </c>
      <c r="AB29" s="91">
        <f t="shared" si="20"/>
        <v>0</v>
      </c>
      <c r="AC29" s="92">
        <f t="shared" si="20"/>
        <v>0</v>
      </c>
      <c r="AD29" s="92">
        <f t="shared" si="20"/>
        <v>0</v>
      </c>
      <c r="AE29" s="92">
        <f t="shared" si="20"/>
        <v>0</v>
      </c>
      <c r="AF29" s="92">
        <f t="shared" si="20"/>
        <v>0</v>
      </c>
      <c r="AG29" s="92">
        <f t="shared" si="20"/>
        <v>0</v>
      </c>
      <c r="AH29" s="91">
        <f t="shared" si="24"/>
        <v>0</v>
      </c>
      <c r="AI29" s="92">
        <f t="shared" si="24"/>
        <v>0</v>
      </c>
      <c r="AJ29" s="92">
        <f t="shared" si="24"/>
        <v>0</v>
      </c>
      <c r="AK29" s="92">
        <f t="shared" si="24"/>
        <v>0</v>
      </c>
      <c r="AL29" s="92">
        <f t="shared" si="24"/>
        <v>0</v>
      </c>
      <c r="AM29" s="92">
        <f t="shared" si="24"/>
        <v>0</v>
      </c>
      <c r="AN29" s="91">
        <f t="shared" si="8"/>
        <v>0</v>
      </c>
      <c r="AO29" s="92">
        <f t="shared" si="8"/>
        <v>0</v>
      </c>
      <c r="AP29" s="92">
        <f t="shared" si="8"/>
        <v>0</v>
      </c>
      <c r="AQ29" s="92">
        <f t="shared" si="8"/>
        <v>0</v>
      </c>
      <c r="AR29" s="92">
        <f t="shared" si="8"/>
        <v>0</v>
      </c>
      <c r="AS29" s="92">
        <f t="shared" si="8"/>
        <v>0</v>
      </c>
      <c r="AT29" s="91">
        <f t="shared" si="9"/>
        <v>0</v>
      </c>
      <c r="AU29" s="92">
        <f t="shared" si="9"/>
        <v>0</v>
      </c>
      <c r="AV29" s="92">
        <f t="shared" si="9"/>
        <v>0</v>
      </c>
      <c r="AW29" s="92">
        <f t="shared" si="9"/>
        <v>0</v>
      </c>
      <c r="AX29" s="92">
        <f t="shared" si="9"/>
        <v>0</v>
      </c>
      <c r="AY29" s="92">
        <f t="shared" si="9"/>
        <v>0</v>
      </c>
      <c r="AZ29" s="91">
        <f t="shared" si="10"/>
        <v>0</v>
      </c>
      <c r="BA29" s="92">
        <f t="shared" si="10"/>
        <v>0</v>
      </c>
      <c r="BB29" s="92">
        <f t="shared" si="10"/>
        <v>0</v>
      </c>
      <c r="BC29" s="92">
        <f t="shared" si="10"/>
        <v>0</v>
      </c>
      <c r="BD29" s="92">
        <f t="shared" si="10"/>
        <v>0</v>
      </c>
      <c r="BE29" s="92">
        <f t="shared" si="10"/>
        <v>0</v>
      </c>
      <c r="BF29" s="92">
        <f t="shared" ref="BF29:BK29" si="28">IF(AND(BF11&lt;&gt;"",BF11&gt;0),(VLOOKUP(BF$6,$CC$6:$CE$12,3,0)*BF11)/SUM($BF11:$BJ11),0)</f>
        <v>0</v>
      </c>
      <c r="BG29" s="92">
        <f t="shared" si="28"/>
        <v>0</v>
      </c>
      <c r="BH29" s="92">
        <f t="shared" si="28"/>
        <v>0</v>
      </c>
      <c r="BI29" s="92">
        <f t="shared" si="28"/>
        <v>0</v>
      </c>
      <c r="BJ29" s="92">
        <f t="shared" si="28"/>
        <v>0</v>
      </c>
      <c r="BK29" s="92">
        <f t="shared" si="28"/>
        <v>0</v>
      </c>
      <c r="BL29" s="91">
        <f t="shared" ref="BL29:BQ29" si="29">IF(AND(BL11&lt;&gt;"",BL11&gt;0),(VLOOKUP(BL$6,$CC$6:$CE$12,3,0)*BL11)/SUM($BL11:$BP11),0)</f>
        <v>0</v>
      </c>
      <c r="BM29" s="91">
        <f t="shared" si="29"/>
        <v>0</v>
      </c>
      <c r="BN29" s="91">
        <f t="shared" si="29"/>
        <v>0</v>
      </c>
      <c r="BO29" s="91">
        <f t="shared" si="29"/>
        <v>0</v>
      </c>
      <c r="BP29" s="91">
        <f t="shared" si="29"/>
        <v>0</v>
      </c>
      <c r="BQ29" s="91">
        <f t="shared" si="29"/>
        <v>0</v>
      </c>
      <c r="BR29" s="91">
        <f t="shared" ref="BR29:BW29" si="30">IF(AND(BR11&lt;&gt;"",BR11&gt;0),(VLOOKUP(BR$6,$CC$6:$CE$12,3,0)*BR11)/SUM($BR11:$BV11),0)</f>
        <v>0</v>
      </c>
      <c r="BS29" s="91">
        <f t="shared" si="30"/>
        <v>0</v>
      </c>
      <c r="BT29" s="91">
        <f t="shared" si="30"/>
        <v>0</v>
      </c>
      <c r="BU29" s="91">
        <f t="shared" si="30"/>
        <v>0</v>
      </c>
      <c r="BV29" s="91">
        <f t="shared" si="30"/>
        <v>0</v>
      </c>
      <c r="BW29" s="91">
        <f t="shared" si="30"/>
        <v>0</v>
      </c>
    </row>
    <row r="30" spans="2:75" x14ac:dyDescent="0.3">
      <c r="B30" s="74">
        <v>6</v>
      </c>
      <c r="C30" s="75" t="str">
        <f t="shared" ref="C30:C35" si="31">C12</f>
        <v>Calidad</v>
      </c>
      <c r="D30" s="145">
        <f>D12</f>
        <v>70</v>
      </c>
      <c r="E30" s="146">
        <f t="shared" ref="E30:E35" si="32">E12</f>
        <v>49</v>
      </c>
      <c r="F30" s="78">
        <f t="shared" si="15"/>
        <v>0.7</v>
      </c>
      <c r="G30" s="77">
        <f t="shared" si="15"/>
        <v>21</v>
      </c>
      <c r="H30" s="78">
        <f t="shared" si="15"/>
        <v>0.3</v>
      </c>
      <c r="I30" s="152">
        <f t="shared" si="15"/>
        <v>9</v>
      </c>
      <c r="J30" s="91">
        <f t="shared" si="3"/>
        <v>0</v>
      </c>
      <c r="K30" s="92">
        <f t="shared" si="3"/>
        <v>0</v>
      </c>
      <c r="L30" s="92">
        <f t="shared" si="3"/>
        <v>0</v>
      </c>
      <c r="M30" s="92">
        <f t="shared" si="3"/>
        <v>0</v>
      </c>
      <c r="N30" s="92">
        <f t="shared" si="3"/>
        <v>0</v>
      </c>
      <c r="O30" s="92">
        <f t="shared" si="3"/>
        <v>0</v>
      </c>
      <c r="P30" s="91">
        <f t="shared" si="4"/>
        <v>0</v>
      </c>
      <c r="Q30" s="92">
        <f t="shared" si="4"/>
        <v>0</v>
      </c>
      <c r="R30" s="92">
        <f t="shared" si="4"/>
        <v>0</v>
      </c>
      <c r="S30" s="92">
        <f t="shared" si="4"/>
        <v>0</v>
      </c>
      <c r="T30" s="92">
        <f t="shared" si="4"/>
        <v>0</v>
      </c>
      <c r="U30" s="92">
        <f t="shared" si="4"/>
        <v>0</v>
      </c>
      <c r="V30" s="91">
        <f t="shared" si="19"/>
        <v>0</v>
      </c>
      <c r="W30" s="92">
        <f t="shared" si="19"/>
        <v>0</v>
      </c>
      <c r="X30" s="92">
        <f t="shared" si="19"/>
        <v>0</v>
      </c>
      <c r="Y30" s="92">
        <f t="shared" si="19"/>
        <v>0</v>
      </c>
      <c r="Z30" s="92">
        <f t="shared" si="19"/>
        <v>0</v>
      </c>
      <c r="AA30" s="92">
        <f t="shared" si="19"/>
        <v>0</v>
      </c>
      <c r="AB30" s="91">
        <f t="shared" si="20"/>
        <v>0</v>
      </c>
      <c r="AC30" s="92">
        <f t="shared" si="20"/>
        <v>0</v>
      </c>
      <c r="AD30" s="92">
        <f t="shared" si="20"/>
        <v>0</v>
      </c>
      <c r="AE30" s="92">
        <f t="shared" si="20"/>
        <v>0</v>
      </c>
      <c r="AF30" s="92">
        <f t="shared" si="20"/>
        <v>0</v>
      </c>
      <c r="AG30" s="92">
        <f t="shared" si="20"/>
        <v>0</v>
      </c>
      <c r="AH30" s="91">
        <f t="shared" si="24"/>
        <v>0</v>
      </c>
      <c r="AI30" s="92">
        <f t="shared" si="24"/>
        <v>0</v>
      </c>
      <c r="AJ30" s="92">
        <f t="shared" si="24"/>
        <v>0</v>
      </c>
      <c r="AK30" s="92">
        <f t="shared" si="24"/>
        <v>0</v>
      </c>
      <c r="AL30" s="92">
        <f t="shared" si="24"/>
        <v>0</v>
      </c>
      <c r="AM30" s="92">
        <f t="shared" si="24"/>
        <v>0</v>
      </c>
      <c r="AN30" s="91">
        <f t="shared" si="8"/>
        <v>0</v>
      </c>
      <c r="AO30" s="92">
        <f t="shared" si="8"/>
        <v>0</v>
      </c>
      <c r="AP30" s="92">
        <f t="shared" si="8"/>
        <v>0</v>
      </c>
      <c r="AQ30" s="92">
        <f>IF(AND(AQ12&lt;&gt;"",AQ12&gt;0),(VLOOKUP(AQ$6,$CC$6:$CE$12,3,0)*AQ12)/SUM($AN12:$AR12),0)</f>
        <v>0</v>
      </c>
      <c r="AR30" s="92">
        <f t="shared" si="8"/>
        <v>0</v>
      </c>
      <c r="AS30" s="92">
        <f t="shared" si="8"/>
        <v>0</v>
      </c>
      <c r="AT30" s="91">
        <f t="shared" si="9"/>
        <v>0</v>
      </c>
      <c r="AU30" s="92">
        <f t="shared" si="9"/>
        <v>0</v>
      </c>
      <c r="AV30" s="92">
        <f t="shared" si="9"/>
        <v>0</v>
      </c>
      <c r="AW30" s="92">
        <f t="shared" si="9"/>
        <v>0</v>
      </c>
      <c r="AX30" s="92">
        <f t="shared" si="9"/>
        <v>0</v>
      </c>
      <c r="AY30" s="92">
        <f t="shared" si="9"/>
        <v>0</v>
      </c>
      <c r="AZ30" s="91">
        <f t="shared" si="10"/>
        <v>0</v>
      </c>
      <c r="BA30" s="92">
        <f t="shared" si="10"/>
        <v>0</v>
      </c>
      <c r="BB30" s="92">
        <f t="shared" si="10"/>
        <v>0</v>
      </c>
      <c r="BC30" s="92">
        <f t="shared" si="10"/>
        <v>0</v>
      </c>
      <c r="BD30" s="92">
        <f t="shared" si="10"/>
        <v>0</v>
      </c>
      <c r="BE30" s="92">
        <f t="shared" si="10"/>
        <v>0</v>
      </c>
      <c r="BF30" s="92">
        <f t="shared" ref="BF30:BK30" si="33">IF(AND(BF12&lt;&gt;"",BF12&gt;0),(VLOOKUP(BF$6,$CC$6:$CE$12,3,0)*BF12)/SUM($BF12:$BJ12),0)</f>
        <v>0</v>
      </c>
      <c r="BG30" s="92">
        <f t="shared" si="33"/>
        <v>0</v>
      </c>
      <c r="BH30" s="92">
        <f t="shared" si="33"/>
        <v>0</v>
      </c>
      <c r="BI30" s="92">
        <f t="shared" si="33"/>
        <v>0</v>
      </c>
      <c r="BJ30" s="92">
        <f>IF(AND(BJ12&lt;&gt;"",BJ12&gt;0),(VLOOKUP(BJ$6,$CC$6:$CE$12,3,0)*BJ12)/SUM($BF12:$BJ12),0)</f>
        <v>0</v>
      </c>
      <c r="BK30" s="92">
        <f t="shared" si="33"/>
        <v>0</v>
      </c>
      <c r="BL30" s="91">
        <f t="shared" ref="BL30:BQ30" si="34">IF(AND(BL12&lt;&gt;"",BL12&gt;0),(VLOOKUP(BL$6,$CC$6:$CE$12,3,0)*BL12)/SUM($BL12:$BP12),0)</f>
        <v>0</v>
      </c>
      <c r="BM30" s="91">
        <f t="shared" si="34"/>
        <v>0</v>
      </c>
      <c r="BN30" s="91">
        <f t="shared" si="34"/>
        <v>0</v>
      </c>
      <c r="BO30" s="91">
        <f t="shared" si="34"/>
        <v>0</v>
      </c>
      <c r="BP30" s="91">
        <f t="shared" si="34"/>
        <v>0</v>
      </c>
      <c r="BQ30" s="91">
        <f t="shared" si="34"/>
        <v>0</v>
      </c>
      <c r="BR30" s="91">
        <f t="shared" ref="BR30:BW30" si="35">IF(AND(BR12&lt;&gt;"",BR12&gt;0),(VLOOKUP(BR$6,$CC$6:$CE$12,3,0)*BR12)/SUM($BR12:$BV12),0)</f>
        <v>0</v>
      </c>
      <c r="BS30" s="91">
        <f t="shared" si="35"/>
        <v>0</v>
      </c>
      <c r="BT30" s="91">
        <f>IF(AND(BT12&lt;&gt;"",BT12&gt;0),(VLOOKUP(BT$6,$CC$6:$CE$12,3,0)*BT12)/SUM($BR12:$BV12),0)</f>
        <v>0</v>
      </c>
      <c r="BU30" s="91">
        <f t="shared" si="35"/>
        <v>0</v>
      </c>
      <c r="BV30" s="91">
        <f t="shared" si="35"/>
        <v>0</v>
      </c>
      <c r="BW30" s="91">
        <f t="shared" si="35"/>
        <v>0</v>
      </c>
    </row>
    <row r="31" spans="2:75" x14ac:dyDescent="0.3">
      <c r="B31" s="74">
        <v>7</v>
      </c>
      <c r="C31" s="75" t="str">
        <f t="shared" si="31"/>
        <v>Administración</v>
      </c>
      <c r="D31" s="145">
        <f t="shared" si="14"/>
        <v>98</v>
      </c>
      <c r="E31" s="146">
        <f t="shared" si="32"/>
        <v>88</v>
      </c>
      <c r="F31" s="78">
        <f t="shared" si="15"/>
        <v>0.89795918367346939</v>
      </c>
      <c r="G31" s="77">
        <f t="shared" si="15"/>
        <v>10</v>
      </c>
      <c r="H31" s="78">
        <f t="shared" si="15"/>
        <v>0.10204081632653061</v>
      </c>
      <c r="I31" s="69">
        <f t="shared" si="15"/>
        <v>4</v>
      </c>
      <c r="J31" s="91">
        <f t="shared" si="3"/>
        <v>0</v>
      </c>
      <c r="K31" s="92">
        <f t="shared" si="3"/>
        <v>0</v>
      </c>
      <c r="L31" s="92">
        <f t="shared" si="3"/>
        <v>0</v>
      </c>
      <c r="M31" s="92">
        <f t="shared" si="3"/>
        <v>0</v>
      </c>
      <c r="N31" s="92">
        <f t="shared" si="3"/>
        <v>0</v>
      </c>
      <c r="O31" s="92">
        <f t="shared" si="3"/>
        <v>0</v>
      </c>
      <c r="P31" s="91">
        <f t="shared" si="4"/>
        <v>0</v>
      </c>
      <c r="Q31" s="92">
        <f t="shared" si="4"/>
        <v>0</v>
      </c>
      <c r="R31" s="92">
        <f t="shared" si="4"/>
        <v>0</v>
      </c>
      <c r="S31" s="92">
        <f t="shared" si="4"/>
        <v>0</v>
      </c>
      <c r="T31" s="92">
        <f t="shared" si="4"/>
        <v>0</v>
      </c>
      <c r="U31" s="92">
        <f>IF(AND(U13&lt;&gt;"",U13&gt;0),(VLOOKUP(U$6,$CC$6:$CE$12,3,0)*U13)/SUM($P13:$T13),0)</f>
        <v>0</v>
      </c>
      <c r="V31" s="91">
        <f t="shared" si="19"/>
        <v>0</v>
      </c>
      <c r="W31" s="92">
        <f t="shared" si="19"/>
        <v>0</v>
      </c>
      <c r="X31" s="92">
        <f t="shared" si="19"/>
        <v>0</v>
      </c>
      <c r="Y31" s="92">
        <f t="shared" si="19"/>
        <v>0</v>
      </c>
      <c r="Z31" s="92">
        <f t="shared" si="19"/>
        <v>0</v>
      </c>
      <c r="AA31" s="92">
        <f t="shared" si="19"/>
        <v>0</v>
      </c>
      <c r="AB31" s="91">
        <f t="shared" si="20"/>
        <v>0</v>
      </c>
      <c r="AC31" s="92">
        <f t="shared" si="20"/>
        <v>0</v>
      </c>
      <c r="AD31" s="92">
        <f t="shared" si="20"/>
        <v>0</v>
      </c>
      <c r="AE31" s="92">
        <f t="shared" si="20"/>
        <v>0</v>
      </c>
      <c r="AF31" s="92">
        <f t="shared" si="20"/>
        <v>0</v>
      </c>
      <c r="AG31" s="92">
        <f t="shared" si="20"/>
        <v>0</v>
      </c>
      <c r="AH31" s="91">
        <f t="shared" si="24"/>
        <v>0</v>
      </c>
      <c r="AI31" s="92">
        <f t="shared" si="24"/>
        <v>0</v>
      </c>
      <c r="AJ31" s="92">
        <f t="shared" si="24"/>
        <v>0</v>
      </c>
      <c r="AK31" s="92">
        <f t="shared" si="24"/>
        <v>0</v>
      </c>
      <c r="AL31" s="92">
        <f t="shared" si="24"/>
        <v>0</v>
      </c>
      <c r="AM31" s="92">
        <f t="shared" si="24"/>
        <v>0</v>
      </c>
      <c r="AN31" s="91">
        <f t="shared" si="8"/>
        <v>0</v>
      </c>
      <c r="AO31" s="92">
        <f t="shared" si="8"/>
        <v>0</v>
      </c>
      <c r="AP31" s="92">
        <f t="shared" si="8"/>
        <v>0</v>
      </c>
      <c r="AQ31" s="92">
        <f t="shared" si="8"/>
        <v>0</v>
      </c>
      <c r="AR31" s="92">
        <f>IF(AND(AR13&lt;&gt;"",AR13&gt;0),(VLOOKUP(AR$6,$CC$6:$CE$12,3,0)*AR13)/SUM($AN13:$AR13),0)</f>
        <v>0</v>
      </c>
      <c r="AS31" s="92">
        <f t="shared" si="8"/>
        <v>0</v>
      </c>
      <c r="AT31" s="91">
        <f t="shared" si="9"/>
        <v>0</v>
      </c>
      <c r="AU31" s="92">
        <f t="shared" si="9"/>
        <v>0</v>
      </c>
      <c r="AV31" s="92">
        <f t="shared" si="9"/>
        <v>0</v>
      </c>
      <c r="AW31" s="92">
        <f t="shared" si="9"/>
        <v>0</v>
      </c>
      <c r="AX31" s="92">
        <f>IF(AND(AX13&lt;&gt;"",AX13&gt;0),(VLOOKUP(AX$6,$CC$6:$CE$12,3,0)*AX13)/SUM($AT13:$AX13),0)</f>
        <v>0</v>
      </c>
      <c r="AY31" s="92">
        <f t="shared" si="9"/>
        <v>0</v>
      </c>
      <c r="AZ31" s="91">
        <f t="shared" si="10"/>
        <v>0</v>
      </c>
      <c r="BA31" s="92">
        <f t="shared" si="10"/>
        <v>0</v>
      </c>
      <c r="BB31" s="92">
        <f t="shared" si="10"/>
        <v>0</v>
      </c>
      <c r="BC31" s="92">
        <f t="shared" si="10"/>
        <v>0</v>
      </c>
      <c r="BD31" s="92">
        <f t="shared" si="10"/>
        <v>0</v>
      </c>
      <c r="BE31" s="92">
        <f t="shared" si="10"/>
        <v>0</v>
      </c>
      <c r="BF31" s="92">
        <f t="shared" ref="BF31:BK31" si="36">IF(AND(BF13&lt;&gt;"",BF13&gt;0),(VLOOKUP(BF$6,$CC$6:$CE$12,3,0)*BF13)/SUM($BF13:$BJ13),0)</f>
        <v>0</v>
      </c>
      <c r="BG31" s="92">
        <f t="shared" si="36"/>
        <v>0</v>
      </c>
      <c r="BH31" s="92">
        <f t="shared" si="36"/>
        <v>0</v>
      </c>
      <c r="BI31" s="92">
        <f t="shared" si="36"/>
        <v>0</v>
      </c>
      <c r="BJ31" s="92">
        <f t="shared" si="36"/>
        <v>0</v>
      </c>
      <c r="BK31" s="92">
        <f t="shared" si="36"/>
        <v>0</v>
      </c>
      <c r="BL31" s="91">
        <f t="shared" ref="BL31:BQ31" si="37">IF(AND(BL13&lt;&gt;"",BL13&gt;0),(VLOOKUP(BL$6,$CC$6:$CE$12,3,0)*BL13)/SUM($BL13:$BP13),0)</f>
        <v>0</v>
      </c>
      <c r="BM31" s="91">
        <f t="shared" si="37"/>
        <v>0</v>
      </c>
      <c r="BN31" s="91">
        <f t="shared" si="37"/>
        <v>0</v>
      </c>
      <c r="BO31" s="91">
        <f t="shared" si="37"/>
        <v>0</v>
      </c>
      <c r="BP31" s="91">
        <f t="shared" si="37"/>
        <v>0</v>
      </c>
      <c r="BQ31" s="91">
        <f t="shared" si="37"/>
        <v>0</v>
      </c>
      <c r="BR31" s="91">
        <f t="shared" ref="BR31:BV31" si="38">IF(AND(BR13&lt;&gt;"",BR13&gt;0),(VLOOKUP(BR$6,$CC$6:$CE$12,3,0)*BR13)/SUM($BR13:$BV13),0)</f>
        <v>0</v>
      </c>
      <c r="BS31" s="91">
        <f t="shared" si="38"/>
        <v>0</v>
      </c>
      <c r="BT31" s="91">
        <f t="shared" si="38"/>
        <v>0</v>
      </c>
      <c r="BU31" s="91">
        <f t="shared" si="38"/>
        <v>0</v>
      </c>
      <c r="BV31" s="91">
        <f t="shared" si="38"/>
        <v>0</v>
      </c>
      <c r="BW31" s="91">
        <f>IF(AND(BW13&lt;&gt;"",BW13&gt;0),(VLOOKUP(BW$6,$CC$6:$CE$12,3,0)*BW13)/SUM($BR13:$BV13),0)</f>
        <v>0</v>
      </c>
    </row>
    <row r="32" spans="2:75" x14ac:dyDescent="0.3">
      <c r="B32" s="74">
        <v>8</v>
      </c>
      <c r="C32" s="75" t="str">
        <f t="shared" si="31"/>
        <v>Contabilidad</v>
      </c>
      <c r="D32" s="145">
        <f t="shared" si="14"/>
        <v>122</v>
      </c>
      <c r="E32" s="146">
        <f t="shared" si="32"/>
        <v>80</v>
      </c>
      <c r="F32" s="78">
        <f t="shared" si="15"/>
        <v>0.65573770491803274</v>
      </c>
      <c r="G32" s="77">
        <f t="shared" si="15"/>
        <v>42</v>
      </c>
      <c r="H32" s="78">
        <f t="shared" si="15"/>
        <v>0.34426229508196721</v>
      </c>
      <c r="I32" s="69">
        <f t="shared" si="15"/>
        <v>5</v>
      </c>
      <c r="J32" s="91">
        <f t="shared" si="3"/>
        <v>0</v>
      </c>
      <c r="K32" s="92">
        <f t="shared" si="3"/>
        <v>0</v>
      </c>
      <c r="L32" s="92">
        <f t="shared" si="3"/>
        <v>0.14285714285714285</v>
      </c>
      <c r="M32" s="92">
        <f t="shared" si="3"/>
        <v>1.5873015873015872</v>
      </c>
      <c r="N32" s="92">
        <f t="shared" si="3"/>
        <v>2.7777777777777777</v>
      </c>
      <c r="O32" s="92">
        <f t="shared" si="3"/>
        <v>0</v>
      </c>
      <c r="P32" s="91">
        <f t="shared" si="4"/>
        <v>0</v>
      </c>
      <c r="Q32" s="92">
        <f t="shared" si="4"/>
        <v>0</v>
      </c>
      <c r="R32" s="92">
        <f t="shared" si="4"/>
        <v>0.13235294117647059</v>
      </c>
      <c r="S32" s="92">
        <f t="shared" si="4"/>
        <v>2.1176470588235294</v>
      </c>
      <c r="T32" s="92">
        <f t="shared" si="4"/>
        <v>2.1323529411764706</v>
      </c>
      <c r="U32" s="92">
        <f t="shared" si="4"/>
        <v>0</v>
      </c>
      <c r="V32" s="91">
        <f t="shared" si="19"/>
        <v>0</v>
      </c>
      <c r="W32" s="92">
        <f t="shared" si="19"/>
        <v>0</v>
      </c>
      <c r="X32" s="92">
        <f t="shared" si="19"/>
        <v>9.375E-2</v>
      </c>
      <c r="Y32" s="92">
        <f t="shared" si="19"/>
        <v>1.875</v>
      </c>
      <c r="Z32" s="92">
        <f t="shared" si="19"/>
        <v>2.5</v>
      </c>
      <c r="AA32" s="92">
        <f t="shared" si="19"/>
        <v>0</v>
      </c>
      <c r="AB32" s="91">
        <f t="shared" si="20"/>
        <v>0</v>
      </c>
      <c r="AC32" s="92">
        <f t="shared" si="20"/>
        <v>2.8985507246376812E-2</v>
      </c>
      <c r="AD32" s="92">
        <f t="shared" si="20"/>
        <v>0.17391304347826086</v>
      </c>
      <c r="AE32" s="92">
        <f t="shared" si="20"/>
        <v>2.2028985507246377</v>
      </c>
      <c r="AF32" s="92">
        <f t="shared" si="20"/>
        <v>1.8840579710144927</v>
      </c>
      <c r="AG32" s="92">
        <f t="shared" si="20"/>
        <v>0</v>
      </c>
      <c r="AH32" s="91">
        <f t="shared" si="24"/>
        <v>0</v>
      </c>
      <c r="AI32" s="92">
        <f t="shared" si="24"/>
        <v>5.1948051948051951E-2</v>
      </c>
      <c r="AJ32" s="92">
        <f t="shared" si="24"/>
        <v>0.27272727272727271</v>
      </c>
      <c r="AK32" s="92">
        <f t="shared" si="24"/>
        <v>1.8181818181818181</v>
      </c>
      <c r="AL32" s="92">
        <f t="shared" si="24"/>
        <v>2.1428571428571428</v>
      </c>
      <c r="AM32" s="92">
        <f t="shared" si="24"/>
        <v>0</v>
      </c>
      <c r="AN32" s="91">
        <f t="shared" si="8"/>
        <v>0</v>
      </c>
      <c r="AO32" s="92">
        <f t="shared" si="8"/>
        <v>0</v>
      </c>
      <c r="AP32" s="92">
        <f t="shared" si="8"/>
        <v>0</v>
      </c>
      <c r="AQ32" s="92">
        <f t="shared" si="8"/>
        <v>0</v>
      </c>
      <c r="AR32" s="92">
        <f t="shared" si="8"/>
        <v>0</v>
      </c>
      <c r="AS32" s="92">
        <f>IF(AND(AS14&lt;&gt;"",AS14&gt;0),(VLOOKUP(AS$6,$CC$6:$CE$12,3,0)*AS14)/SUM($AN14:$AR14),0)</f>
        <v>0</v>
      </c>
      <c r="AT32" s="91">
        <f t="shared" si="9"/>
        <v>0</v>
      </c>
      <c r="AU32" s="92">
        <f t="shared" si="9"/>
        <v>0</v>
      </c>
      <c r="AV32" s="92">
        <f t="shared" si="9"/>
        <v>0</v>
      </c>
      <c r="AW32" s="92">
        <f t="shared" si="9"/>
        <v>0</v>
      </c>
      <c r="AX32" s="92">
        <f t="shared" si="9"/>
        <v>0</v>
      </c>
      <c r="AY32" s="92">
        <f t="shared" si="9"/>
        <v>0</v>
      </c>
      <c r="AZ32" s="91">
        <f t="shared" si="10"/>
        <v>0</v>
      </c>
      <c r="BA32" s="92">
        <f t="shared" si="10"/>
        <v>0</v>
      </c>
      <c r="BB32" s="92">
        <f t="shared" si="10"/>
        <v>0</v>
      </c>
      <c r="BC32" s="92">
        <f t="shared" si="10"/>
        <v>0</v>
      </c>
      <c r="BD32" s="92">
        <f t="shared" si="10"/>
        <v>0</v>
      </c>
      <c r="BE32" s="92">
        <f t="shared" si="10"/>
        <v>0</v>
      </c>
      <c r="BF32" s="92">
        <f t="shared" ref="BF32:BJ32" si="39">IF(AND(BF14&lt;&gt;"",BF14&gt;0),(VLOOKUP(BF$6,$CC$6:$CE$12,3,0)*BF14)/SUM($BF14:$BJ14),0)</f>
        <v>0</v>
      </c>
      <c r="BG32" s="92">
        <f t="shared" si="39"/>
        <v>0</v>
      </c>
      <c r="BH32" s="92">
        <f t="shared" si="39"/>
        <v>0</v>
      </c>
      <c r="BI32" s="92">
        <f t="shared" si="39"/>
        <v>0</v>
      </c>
      <c r="BJ32" s="92">
        <f t="shared" si="39"/>
        <v>0</v>
      </c>
      <c r="BK32" s="92">
        <f>IF(AND(BK14&lt;&gt;"",BK14&gt;0),(VLOOKUP(BK$6,$CC$6:$CE$12,3,0)*BK14)/SUM($BF14:$BJ14),0)</f>
        <v>0</v>
      </c>
      <c r="BL32" s="91">
        <f t="shared" ref="BL32:BQ32" si="40">IF(AND(BL14&lt;&gt;"",BL14&gt;0),(VLOOKUP(BL$6,$CC$6:$CE$12,3,0)*BL14)/SUM($BL14:$BP14),0)</f>
        <v>0</v>
      </c>
      <c r="BM32" s="91">
        <f t="shared" si="40"/>
        <v>0</v>
      </c>
      <c r="BN32" s="91">
        <f t="shared" si="40"/>
        <v>0</v>
      </c>
      <c r="BO32" s="91">
        <f t="shared" si="40"/>
        <v>0</v>
      </c>
      <c r="BP32" s="91">
        <f t="shared" si="40"/>
        <v>0</v>
      </c>
      <c r="BQ32" s="91">
        <f t="shared" si="40"/>
        <v>0</v>
      </c>
      <c r="BR32" s="91">
        <f t="shared" ref="BR32:BW32" si="41">IF(AND(BR14&lt;&gt;"",BR14&gt;0),(VLOOKUP(BR$6,$CC$6:$CE$12,3,0)*BR14)/SUM($BR14:$BV14),0)</f>
        <v>0</v>
      </c>
      <c r="BS32" s="91">
        <f>IF(AND(BS14&lt;&gt;"",BS14&gt;0),(VLOOKUP(BS$6,$CC$6:$CE$12,3,0)*BS14)/SUM($BR14:$BV14),0)</f>
        <v>0</v>
      </c>
      <c r="BT32" s="91">
        <f t="shared" si="41"/>
        <v>0</v>
      </c>
      <c r="BU32" s="91">
        <f t="shared" si="41"/>
        <v>0</v>
      </c>
      <c r="BV32" s="91">
        <f t="shared" si="41"/>
        <v>0</v>
      </c>
      <c r="BW32" s="91">
        <f t="shared" si="41"/>
        <v>0</v>
      </c>
    </row>
    <row r="33" spans="2:75" x14ac:dyDescent="0.3">
      <c r="B33" s="74">
        <v>9</v>
      </c>
      <c r="C33" s="75" t="str">
        <f t="shared" si="31"/>
        <v>ControlDeGestión</v>
      </c>
      <c r="D33" s="145">
        <f t="shared" si="14"/>
        <v>105</v>
      </c>
      <c r="E33" s="146">
        <f t="shared" si="32"/>
        <v>93</v>
      </c>
      <c r="F33" s="78">
        <f t="shared" si="15"/>
        <v>0.88571428571428568</v>
      </c>
      <c r="G33" s="77">
        <f t="shared" si="15"/>
        <v>12</v>
      </c>
      <c r="H33" s="78">
        <f t="shared" si="15"/>
        <v>0.11428571428571428</v>
      </c>
      <c r="I33" s="152">
        <f t="shared" si="15"/>
        <v>4</v>
      </c>
      <c r="J33" s="91">
        <f t="shared" si="3"/>
        <v>0</v>
      </c>
      <c r="K33" s="92">
        <f t="shared" si="3"/>
        <v>0</v>
      </c>
      <c r="L33" s="92">
        <f t="shared" si="3"/>
        <v>0</v>
      </c>
      <c r="M33" s="92">
        <f t="shared" si="3"/>
        <v>0</v>
      </c>
      <c r="N33" s="92">
        <f t="shared" si="3"/>
        <v>0</v>
      </c>
      <c r="O33" s="92">
        <f t="shared" si="3"/>
        <v>0</v>
      </c>
      <c r="P33" s="91">
        <f t="shared" si="4"/>
        <v>0</v>
      </c>
      <c r="Q33" s="92">
        <f t="shared" si="4"/>
        <v>0</v>
      </c>
      <c r="R33" s="92">
        <f t="shared" si="4"/>
        <v>0</v>
      </c>
      <c r="S33" s="92">
        <f t="shared" si="4"/>
        <v>0</v>
      </c>
      <c r="T33" s="92">
        <f t="shared" si="4"/>
        <v>0</v>
      </c>
      <c r="U33" s="92">
        <f t="shared" si="4"/>
        <v>0</v>
      </c>
      <c r="V33" s="91">
        <f t="shared" si="5"/>
        <v>0</v>
      </c>
      <c r="W33" s="92">
        <f t="shared" si="5"/>
        <v>0</v>
      </c>
      <c r="X33" s="92">
        <f t="shared" si="5"/>
        <v>0</v>
      </c>
      <c r="Y33" s="92">
        <f t="shared" si="5"/>
        <v>0</v>
      </c>
      <c r="Z33" s="92">
        <f t="shared" si="5"/>
        <v>0</v>
      </c>
      <c r="AA33" s="92">
        <f t="shared" si="5"/>
        <v>0</v>
      </c>
      <c r="AB33" s="91">
        <f t="shared" si="20"/>
        <v>0</v>
      </c>
      <c r="AC33" s="92">
        <f t="shared" si="20"/>
        <v>0</v>
      </c>
      <c r="AD33" s="92">
        <f t="shared" si="20"/>
        <v>0</v>
      </c>
      <c r="AE33" s="92">
        <f t="shared" si="20"/>
        <v>0</v>
      </c>
      <c r="AF33" s="92">
        <f t="shared" si="20"/>
        <v>0</v>
      </c>
      <c r="AG33" s="92">
        <f t="shared" si="20"/>
        <v>0</v>
      </c>
      <c r="AH33" s="91">
        <f t="shared" si="24"/>
        <v>0</v>
      </c>
      <c r="AI33" s="92">
        <f t="shared" si="24"/>
        <v>0</v>
      </c>
      <c r="AJ33" s="92">
        <f t="shared" si="24"/>
        <v>0</v>
      </c>
      <c r="AK33" s="92">
        <f t="shared" si="24"/>
        <v>0</v>
      </c>
      <c r="AL33" s="92">
        <f t="shared" si="24"/>
        <v>0</v>
      </c>
      <c r="AM33" s="92">
        <f t="shared" si="24"/>
        <v>0</v>
      </c>
      <c r="AN33" s="91">
        <f t="shared" si="8"/>
        <v>0</v>
      </c>
      <c r="AO33" s="92">
        <f t="shared" si="8"/>
        <v>0</v>
      </c>
      <c r="AP33" s="92">
        <f t="shared" si="8"/>
        <v>0</v>
      </c>
      <c r="AQ33" s="92">
        <f t="shared" si="8"/>
        <v>0</v>
      </c>
      <c r="AR33" s="92">
        <f t="shared" si="8"/>
        <v>0</v>
      </c>
      <c r="AS33" s="92">
        <f t="shared" si="8"/>
        <v>0</v>
      </c>
      <c r="AT33" s="91">
        <f t="shared" si="9"/>
        <v>0</v>
      </c>
      <c r="AU33" s="92">
        <f t="shared" si="9"/>
        <v>0</v>
      </c>
      <c r="AV33" s="92">
        <f t="shared" si="9"/>
        <v>0</v>
      </c>
      <c r="AW33" s="92">
        <f t="shared" si="9"/>
        <v>0</v>
      </c>
      <c r="AX33" s="92">
        <f t="shared" si="9"/>
        <v>0</v>
      </c>
      <c r="AY33" s="92">
        <f t="shared" si="9"/>
        <v>0</v>
      </c>
      <c r="AZ33" s="91">
        <f t="shared" si="10"/>
        <v>0</v>
      </c>
      <c r="BA33" s="92">
        <f t="shared" si="10"/>
        <v>0</v>
      </c>
      <c r="BB33" s="92">
        <f t="shared" si="10"/>
        <v>0</v>
      </c>
      <c r="BC33" s="92">
        <f t="shared" si="10"/>
        <v>0</v>
      </c>
      <c r="BD33" s="92">
        <f t="shared" si="10"/>
        <v>0</v>
      </c>
      <c r="BE33" s="92">
        <f t="shared" si="10"/>
        <v>0</v>
      </c>
      <c r="BF33" s="92">
        <f t="shared" ref="BF33:BK33" si="42">IF(AND(BF15&lt;&gt;"",BF15&gt;0),(VLOOKUP(BF$6,$CC$6:$CE$12,3,0)*BF15)/SUM($BF15:$BJ15),0)</f>
        <v>0</v>
      </c>
      <c r="BG33" s="92">
        <f t="shared" si="42"/>
        <v>0</v>
      </c>
      <c r="BH33" s="92">
        <f t="shared" si="42"/>
        <v>0</v>
      </c>
      <c r="BI33" s="92">
        <f t="shared" si="42"/>
        <v>0</v>
      </c>
      <c r="BJ33" s="92">
        <f>IF(AND(BJ15&lt;&gt;"",BJ15&gt;0),(VLOOKUP(BJ$6,$CC$6:$CE$12,3,0)*BJ15)/SUM($BF15:$BJ15),0)</f>
        <v>0</v>
      </c>
      <c r="BK33" s="92">
        <f t="shared" si="42"/>
        <v>0</v>
      </c>
      <c r="BL33" s="91">
        <f t="shared" ref="BL33:BP33" si="43">IF(AND(BL15&lt;&gt;"",BL15&gt;0),(VLOOKUP(BL$6,$CC$6:$CE$12,3,0)*BL15)/SUM($BL15:$BP15),0)</f>
        <v>0</v>
      </c>
      <c r="BM33" s="91">
        <f t="shared" si="43"/>
        <v>0</v>
      </c>
      <c r="BN33" s="91">
        <f t="shared" si="43"/>
        <v>0</v>
      </c>
      <c r="BO33" s="91">
        <f t="shared" si="43"/>
        <v>0</v>
      </c>
      <c r="BP33" s="91">
        <f t="shared" si="43"/>
        <v>0</v>
      </c>
      <c r="BQ33" s="91">
        <f>IF(AND(BQ15&lt;&gt;"",BQ15&gt;0),(VLOOKUP(BQ$6,$CC$6:$CE$12,3,0)*BQ15)/SUM($BL15:$BP15),0)</f>
        <v>0</v>
      </c>
      <c r="BR33" s="91">
        <f t="shared" ref="BR33:BW33" si="44">IF(AND(BR15&lt;&gt;"",BR15&gt;0),(VLOOKUP(BR$6,$CC$6:$CE$12,3,0)*BR15)/SUM($BR15:$BV15),0)</f>
        <v>0</v>
      </c>
      <c r="BS33" s="91">
        <f t="shared" si="44"/>
        <v>0</v>
      </c>
      <c r="BT33" s="91">
        <f t="shared" si="44"/>
        <v>0</v>
      </c>
      <c r="BU33" s="91">
        <f t="shared" si="44"/>
        <v>0</v>
      </c>
      <c r="BV33" s="91">
        <f t="shared" si="44"/>
        <v>0</v>
      </c>
      <c r="BW33" s="91">
        <f t="shared" si="44"/>
        <v>0</v>
      </c>
    </row>
    <row r="34" spans="2:75" x14ac:dyDescent="0.3">
      <c r="B34" s="74">
        <v>10</v>
      </c>
      <c r="C34" s="75" t="str">
        <f t="shared" si="31"/>
        <v>Compras</v>
      </c>
      <c r="D34" s="145">
        <f t="shared" si="14"/>
        <v>77</v>
      </c>
      <c r="E34" s="146">
        <f t="shared" si="32"/>
        <v>54</v>
      </c>
      <c r="F34" s="78">
        <f t="shared" si="15"/>
        <v>0.70129870129870131</v>
      </c>
      <c r="G34" s="77">
        <f t="shared" si="15"/>
        <v>23</v>
      </c>
      <c r="H34" s="78">
        <f t="shared" si="15"/>
        <v>0.29870129870129869</v>
      </c>
      <c r="I34" s="69">
        <f>I16</f>
        <v>7</v>
      </c>
      <c r="J34" s="91">
        <f t="shared" si="3"/>
        <v>0</v>
      </c>
      <c r="K34" s="92">
        <f t="shared" si="3"/>
        <v>0</v>
      </c>
      <c r="L34" s="92">
        <f t="shared" si="3"/>
        <v>0</v>
      </c>
      <c r="M34" s="92">
        <f t="shared" si="3"/>
        <v>0</v>
      </c>
      <c r="N34" s="92">
        <f t="shared" si="3"/>
        <v>0</v>
      </c>
      <c r="O34" s="92">
        <f t="shared" si="3"/>
        <v>0</v>
      </c>
      <c r="P34" s="91">
        <f t="shared" si="4"/>
        <v>0</v>
      </c>
      <c r="Q34" s="92">
        <f t="shared" si="4"/>
        <v>0</v>
      </c>
      <c r="R34" s="92">
        <f t="shared" si="4"/>
        <v>0</v>
      </c>
      <c r="S34" s="92">
        <f t="shared" si="4"/>
        <v>0</v>
      </c>
      <c r="T34" s="92">
        <f t="shared" si="4"/>
        <v>0</v>
      </c>
      <c r="U34" s="92">
        <f t="shared" si="4"/>
        <v>0</v>
      </c>
      <c r="V34" s="91">
        <f t="shared" si="5"/>
        <v>0</v>
      </c>
      <c r="W34" s="92">
        <f t="shared" si="5"/>
        <v>0</v>
      </c>
      <c r="X34" s="92">
        <f t="shared" si="5"/>
        <v>0</v>
      </c>
      <c r="Y34" s="92">
        <f t="shared" si="5"/>
        <v>0</v>
      </c>
      <c r="Z34" s="92">
        <f t="shared" si="5"/>
        <v>0</v>
      </c>
      <c r="AA34" s="92">
        <f t="shared" si="5"/>
        <v>0</v>
      </c>
      <c r="AB34" s="91">
        <f t="shared" si="20"/>
        <v>0</v>
      </c>
      <c r="AC34" s="92">
        <f t="shared" si="20"/>
        <v>0</v>
      </c>
      <c r="AD34" s="92">
        <f t="shared" si="20"/>
        <v>0</v>
      </c>
      <c r="AE34" s="92">
        <f t="shared" si="20"/>
        <v>0</v>
      </c>
      <c r="AF34" s="92">
        <f t="shared" si="20"/>
        <v>0</v>
      </c>
      <c r="AG34" s="92">
        <f t="shared" si="20"/>
        <v>0</v>
      </c>
      <c r="AH34" s="91">
        <f t="shared" si="24"/>
        <v>0</v>
      </c>
      <c r="AI34" s="92">
        <f t="shared" si="24"/>
        <v>0</v>
      </c>
      <c r="AJ34" s="92">
        <f t="shared" si="24"/>
        <v>0</v>
      </c>
      <c r="AK34" s="92">
        <f t="shared" si="24"/>
        <v>0</v>
      </c>
      <c r="AL34" s="92">
        <f t="shared" si="24"/>
        <v>0</v>
      </c>
      <c r="AM34" s="92">
        <f t="shared" si="24"/>
        <v>0</v>
      </c>
      <c r="AN34" s="91">
        <f t="shared" si="8"/>
        <v>0</v>
      </c>
      <c r="AO34" s="92">
        <f t="shared" si="8"/>
        <v>0</v>
      </c>
      <c r="AP34" s="92">
        <f t="shared" si="8"/>
        <v>0</v>
      </c>
      <c r="AQ34" s="92">
        <f t="shared" si="8"/>
        <v>0</v>
      </c>
      <c r="AR34" s="92">
        <f t="shared" si="8"/>
        <v>0</v>
      </c>
      <c r="AS34" s="92">
        <f t="shared" si="8"/>
        <v>0</v>
      </c>
      <c r="AT34" s="91">
        <f t="shared" si="9"/>
        <v>0</v>
      </c>
      <c r="AU34" s="92">
        <f t="shared" si="9"/>
        <v>0</v>
      </c>
      <c r="AV34" s="92">
        <f t="shared" si="9"/>
        <v>0</v>
      </c>
      <c r="AW34" s="92">
        <f t="shared" si="9"/>
        <v>0</v>
      </c>
      <c r="AX34" s="92">
        <f t="shared" si="9"/>
        <v>0</v>
      </c>
      <c r="AY34" s="92">
        <f t="shared" si="9"/>
        <v>0</v>
      </c>
      <c r="AZ34" s="91">
        <f t="shared" si="10"/>
        <v>0</v>
      </c>
      <c r="BA34" s="92">
        <f t="shared" si="10"/>
        <v>0</v>
      </c>
      <c r="BB34" s="92">
        <f t="shared" si="10"/>
        <v>0</v>
      </c>
      <c r="BC34" s="92">
        <f t="shared" si="10"/>
        <v>0</v>
      </c>
      <c r="BD34" s="92">
        <f t="shared" si="10"/>
        <v>0</v>
      </c>
      <c r="BE34" s="92">
        <f t="shared" si="10"/>
        <v>0</v>
      </c>
      <c r="BF34" s="92">
        <f t="shared" ref="BF34:BK34" si="45">IF(AND(BF16&lt;&gt;"",BF16&gt;0),(VLOOKUP(BF$6,$CC$6:$CE$12,3,0)*BF16)/SUM($BF16:$BJ16),0)</f>
        <v>0</v>
      </c>
      <c r="BG34" s="92">
        <f t="shared" si="45"/>
        <v>0</v>
      </c>
      <c r="BH34" s="92">
        <f>IF(AND(BH16&lt;&gt;"",BH16&gt;0),(VLOOKUP(BH$6,$CC$6:$CE$12,3,0)*BH16)/SUM($BF16:$BJ16),0)</f>
        <v>0</v>
      </c>
      <c r="BI34" s="92">
        <f>IF(AND(BI16&lt;&gt;"",BI16&gt;0),(VLOOKUP(BI$6,$CC$6:$CE$12,3,0)*BI16)/SUM($BF16:$BJ16),0)</f>
        <v>0</v>
      </c>
      <c r="BJ34" s="92">
        <f t="shared" si="45"/>
        <v>0</v>
      </c>
      <c r="BK34" s="92">
        <f t="shared" si="45"/>
        <v>0</v>
      </c>
      <c r="BL34" s="91">
        <f t="shared" ref="BL34:BQ34" si="46">IF(AND(BL16&lt;&gt;"",BL16&gt;0),(VLOOKUP(BL$6,$CC$6:$CE$12,3,0)*BL16)/SUM($BL16:$BP16),0)</f>
        <v>0</v>
      </c>
      <c r="BM34" s="91">
        <f>IF(AND(BM16&lt;&gt;"",BM16&gt;0),(VLOOKUP(BM$6,$CC$6:$CE$12,3,0)*BM16)/SUM($BL16:$BP16),0)</f>
        <v>0</v>
      </c>
      <c r="BN34" s="91">
        <f t="shared" si="46"/>
        <v>0</v>
      </c>
      <c r="BO34" s="91">
        <f t="shared" si="46"/>
        <v>0</v>
      </c>
      <c r="BP34" s="91">
        <f t="shared" si="46"/>
        <v>0</v>
      </c>
      <c r="BQ34" s="91">
        <f t="shared" si="46"/>
        <v>0</v>
      </c>
      <c r="BR34" s="91">
        <f>IF(AND(BR16&lt;&gt;"",BR16&gt;0),(VLOOKUP(BR$6,$CC$6:$CE$12,3,0)*BR16)/SUM($BR16:$BV16),0)</f>
        <v>0</v>
      </c>
      <c r="BS34" s="91">
        <f t="shared" ref="BS34:BW34" si="47">IF(AND(BS16&lt;&gt;"",BS16&gt;0),(VLOOKUP(BS$6,$CC$6:$CE$12,3,0)*BS16)/SUM($BR16:$BV16),0)</f>
        <v>0</v>
      </c>
      <c r="BT34" s="91">
        <f>IF(AND(BT16&lt;&gt;"",BT16&gt;0),(VLOOKUP(BT$6,$CC$6:$CE$12,3,0)*BT16)/SUM($BR16:$BV16),0)</f>
        <v>0</v>
      </c>
      <c r="BU34" s="91">
        <f t="shared" si="47"/>
        <v>0</v>
      </c>
      <c r="BV34" s="91">
        <f t="shared" si="47"/>
        <v>0</v>
      </c>
      <c r="BW34" s="91">
        <f t="shared" si="47"/>
        <v>0</v>
      </c>
    </row>
    <row r="35" spans="2:75" x14ac:dyDescent="0.3">
      <c r="B35" s="79">
        <v>11</v>
      </c>
      <c r="C35" s="75" t="str">
        <f t="shared" si="31"/>
        <v>RiesgosYCumplimiento</v>
      </c>
      <c r="D35" s="145">
        <f t="shared" si="14"/>
        <v>78</v>
      </c>
      <c r="E35" s="146">
        <f t="shared" si="32"/>
        <v>73</v>
      </c>
      <c r="F35" s="81">
        <f t="shared" si="15"/>
        <v>0.9358974358974359</v>
      </c>
      <c r="G35" s="80">
        <f t="shared" si="15"/>
        <v>5</v>
      </c>
      <c r="H35" s="81">
        <f t="shared" si="15"/>
        <v>6.4102564102564097E-2</v>
      </c>
      <c r="I35" s="153">
        <f t="shared" si="15"/>
        <v>3</v>
      </c>
      <c r="J35" s="93">
        <f t="shared" si="3"/>
        <v>0</v>
      </c>
      <c r="K35" s="94">
        <f t="shared" si="3"/>
        <v>0</v>
      </c>
      <c r="L35" s="94">
        <f t="shared" si="3"/>
        <v>0</v>
      </c>
      <c r="M35" s="94">
        <f t="shared" si="3"/>
        <v>0</v>
      </c>
      <c r="N35" s="94">
        <f t="shared" si="3"/>
        <v>0</v>
      </c>
      <c r="O35" s="94">
        <f t="shared" si="3"/>
        <v>0</v>
      </c>
      <c r="P35" s="93">
        <f t="shared" si="4"/>
        <v>0</v>
      </c>
      <c r="Q35" s="94">
        <f t="shared" si="4"/>
        <v>0</v>
      </c>
      <c r="R35" s="94">
        <f t="shared" si="4"/>
        <v>0</v>
      </c>
      <c r="S35" s="94">
        <f t="shared" si="4"/>
        <v>0</v>
      </c>
      <c r="T35" s="94">
        <f t="shared" si="4"/>
        <v>0</v>
      </c>
      <c r="U35" s="95">
        <f t="shared" si="4"/>
        <v>0</v>
      </c>
      <c r="V35" s="93">
        <f t="shared" si="5"/>
        <v>0</v>
      </c>
      <c r="W35" s="94">
        <f t="shared" si="5"/>
        <v>0</v>
      </c>
      <c r="X35" s="94">
        <f t="shared" si="5"/>
        <v>0</v>
      </c>
      <c r="Y35" s="94">
        <f t="shared" si="5"/>
        <v>0</v>
      </c>
      <c r="Z35" s="94">
        <f t="shared" si="5"/>
        <v>0</v>
      </c>
      <c r="AA35" s="95">
        <f t="shared" si="5"/>
        <v>0</v>
      </c>
      <c r="AB35" s="93">
        <f t="shared" si="20"/>
        <v>0</v>
      </c>
      <c r="AC35" s="94">
        <f t="shared" si="20"/>
        <v>0</v>
      </c>
      <c r="AD35" s="94">
        <f t="shared" si="20"/>
        <v>0</v>
      </c>
      <c r="AE35" s="94">
        <f t="shared" si="20"/>
        <v>0</v>
      </c>
      <c r="AF35" s="94">
        <f t="shared" si="20"/>
        <v>0</v>
      </c>
      <c r="AG35" s="95">
        <f t="shared" si="20"/>
        <v>0</v>
      </c>
      <c r="AH35" s="93">
        <f t="shared" si="24"/>
        <v>0</v>
      </c>
      <c r="AI35" s="94">
        <f t="shared" si="24"/>
        <v>0</v>
      </c>
      <c r="AJ35" s="94">
        <f t="shared" si="24"/>
        <v>0</v>
      </c>
      <c r="AK35" s="94">
        <f t="shared" si="24"/>
        <v>0</v>
      </c>
      <c r="AL35" s="94">
        <f t="shared" si="24"/>
        <v>0</v>
      </c>
      <c r="AM35" s="95">
        <f t="shared" si="24"/>
        <v>0</v>
      </c>
      <c r="AN35" s="93">
        <f t="shared" si="8"/>
        <v>0</v>
      </c>
      <c r="AO35" s="94">
        <f t="shared" si="8"/>
        <v>0</v>
      </c>
      <c r="AP35" s="94">
        <f t="shared" si="8"/>
        <v>0</v>
      </c>
      <c r="AQ35" s="94">
        <f t="shared" si="8"/>
        <v>0</v>
      </c>
      <c r="AR35" s="94">
        <f t="shared" si="8"/>
        <v>0</v>
      </c>
      <c r="AS35" s="95">
        <f t="shared" si="8"/>
        <v>0</v>
      </c>
      <c r="AT35" s="93">
        <f t="shared" si="9"/>
        <v>0</v>
      </c>
      <c r="AU35" s="94">
        <f t="shared" si="9"/>
        <v>0</v>
      </c>
      <c r="AV35" s="94">
        <f t="shared" si="9"/>
        <v>0</v>
      </c>
      <c r="AW35" s="94">
        <f t="shared" si="9"/>
        <v>0</v>
      </c>
      <c r="AX35" s="94">
        <f t="shared" si="9"/>
        <v>0</v>
      </c>
      <c r="AY35" s="95">
        <f t="shared" si="9"/>
        <v>0</v>
      </c>
      <c r="AZ35" s="93">
        <f t="shared" si="10"/>
        <v>0</v>
      </c>
      <c r="BA35" s="94">
        <f t="shared" si="10"/>
        <v>0</v>
      </c>
      <c r="BB35" s="94">
        <f t="shared" si="10"/>
        <v>0</v>
      </c>
      <c r="BC35" s="94">
        <f t="shared" si="10"/>
        <v>0</v>
      </c>
      <c r="BD35" s="94">
        <f t="shared" si="10"/>
        <v>0</v>
      </c>
      <c r="BE35" s="95">
        <f t="shared" si="10"/>
        <v>0</v>
      </c>
      <c r="BF35" s="92">
        <f t="shared" ref="BF35:BK35" si="48">IF(AND(BF17&lt;&gt;"",BF17&gt;0),(VLOOKUP(BF$6,$CC$6:$CE$12,3,0)*BF17)/SUM($BF17:$BJ17),0)</f>
        <v>0</v>
      </c>
      <c r="BG35" s="92">
        <f t="shared" si="48"/>
        <v>0</v>
      </c>
      <c r="BH35" s="92">
        <f t="shared" si="48"/>
        <v>0</v>
      </c>
      <c r="BI35" s="92">
        <f t="shared" si="48"/>
        <v>0</v>
      </c>
      <c r="BJ35" s="92">
        <f t="shared" si="48"/>
        <v>0</v>
      </c>
      <c r="BK35" s="92">
        <f t="shared" si="48"/>
        <v>0</v>
      </c>
      <c r="BL35" s="91">
        <f>IF(AND(BL17&lt;&gt;"",BL17&gt;0),(VLOOKUP(BL$6,$CC$6:$CE$12,3,0)*BL17)/SUM($BL17:$BP17),0)</f>
        <v>0</v>
      </c>
      <c r="BM35" s="91">
        <f t="shared" ref="BM35:BQ35" si="49">IF(AND(BM17&lt;&gt;"",BM17&gt;0),(VLOOKUP(BM$6,$CC$6:$CE$12,3,0)*BM17)/SUM($BL17:$BP17),0)</f>
        <v>0</v>
      </c>
      <c r="BN35" s="91">
        <f t="shared" si="49"/>
        <v>0</v>
      </c>
      <c r="BO35" s="91">
        <f t="shared" si="49"/>
        <v>0</v>
      </c>
      <c r="BP35" s="91">
        <f t="shared" si="49"/>
        <v>0</v>
      </c>
      <c r="BQ35" s="91">
        <f t="shared" si="49"/>
        <v>0</v>
      </c>
      <c r="BR35" s="91">
        <f t="shared" ref="BR35:BV35" si="50">IF(AND(BR17&lt;&gt;"",BR17&gt;0),(VLOOKUP(BR$6,$CC$6:$CE$12,3,0)*BR17)/SUM($BR17:$BV17),0)</f>
        <v>0</v>
      </c>
      <c r="BS35" s="91">
        <f t="shared" si="50"/>
        <v>0</v>
      </c>
      <c r="BT35" s="91">
        <f t="shared" si="50"/>
        <v>0</v>
      </c>
      <c r="BU35" s="91">
        <f>IF(AND(BU17&lt;&gt;"",BU17&gt;0),(VLOOKUP(BU$6,$CC$6:$CE$12,3,0)*BU17)/SUM($BR17:$BV17),0)</f>
        <v>0</v>
      </c>
      <c r="BV35" s="91">
        <f t="shared" si="50"/>
        <v>0</v>
      </c>
      <c r="BW35" s="91">
        <f>IF(AND(BW17&lt;&gt;"",BW17&gt;0),(VLOOKUP(BW$6,$CC$6:$CE$12,3,0)*BW17)/SUM($BR17:$BV17),0)</f>
        <v>0</v>
      </c>
    </row>
    <row r="36" spans="2:75" x14ac:dyDescent="0.3">
      <c r="D36" s="85">
        <f>SUM(D25:D35)</f>
        <v>1022</v>
      </c>
      <c r="E36" s="85">
        <f t="shared" si="15"/>
        <v>841</v>
      </c>
      <c r="F36" s="86">
        <f t="shared" si="15"/>
        <v>0.82289628180039143</v>
      </c>
      <c r="G36" s="85">
        <f t="shared" si="15"/>
        <v>181</v>
      </c>
      <c r="H36" s="86">
        <f t="shared" si="15"/>
        <v>0.1771037181996086</v>
      </c>
      <c r="I36" s="85">
        <f t="shared" si="15"/>
        <v>59</v>
      </c>
    </row>
    <row r="37" spans="2:75" x14ac:dyDescent="0.3">
      <c r="D37" s="85"/>
      <c r="E37" s="85"/>
      <c r="F37" s="86"/>
      <c r="G37" s="85"/>
      <c r="H37" s="86"/>
      <c r="I37" s="85"/>
    </row>
    <row r="38" spans="2:75" x14ac:dyDescent="0.3">
      <c r="D38" s="85"/>
      <c r="E38" s="85"/>
      <c r="F38" s="86"/>
      <c r="G38" s="85"/>
      <c r="H38" s="86"/>
      <c r="I38" s="85"/>
      <c r="J38" s="96"/>
    </row>
    <row r="39" spans="2:75" ht="15.6" x14ac:dyDescent="0.3">
      <c r="D39" s="85"/>
      <c r="E39" s="85"/>
      <c r="F39" s="86"/>
      <c r="G39" s="85"/>
      <c r="H39" s="86"/>
      <c r="I39" s="85"/>
      <c r="K39" s="97" t="s">
        <v>502</v>
      </c>
    </row>
    <row r="40" spans="2:75" x14ac:dyDescent="0.3">
      <c r="D40" s="85"/>
      <c r="E40" s="85"/>
      <c r="F40" s="86"/>
      <c r="G40" s="85"/>
      <c r="H40" s="86"/>
      <c r="I40" s="85"/>
    </row>
    <row r="41" spans="2:75" x14ac:dyDescent="0.3">
      <c r="D41" s="85"/>
      <c r="E41" s="85"/>
      <c r="F41" s="86"/>
      <c r="G41" s="85"/>
      <c r="H41" s="86"/>
      <c r="I41" s="85"/>
    </row>
    <row r="42" spans="2:75" x14ac:dyDescent="0.3">
      <c r="U42" s="98"/>
    </row>
    <row r="43" spans="2:75" x14ac:dyDescent="0.3">
      <c r="E43" s="185" t="s">
        <v>474</v>
      </c>
      <c r="F43" s="187" t="s">
        <v>5</v>
      </c>
      <c r="G43" s="188"/>
      <c r="H43" s="188"/>
      <c r="I43" s="189"/>
      <c r="J43" s="193" t="s">
        <v>503</v>
      </c>
      <c r="K43" s="194"/>
      <c r="L43" s="194"/>
      <c r="M43" s="194"/>
      <c r="N43" s="194"/>
      <c r="O43" s="194"/>
      <c r="P43" s="194"/>
      <c r="Q43" s="194"/>
      <c r="R43" s="194"/>
      <c r="S43" s="194"/>
      <c r="T43" s="194"/>
    </row>
    <row r="44" spans="2:75" x14ac:dyDescent="0.3">
      <c r="E44" s="186"/>
      <c r="F44" s="190"/>
      <c r="G44" s="191"/>
      <c r="H44" s="191"/>
      <c r="I44" s="192"/>
      <c r="J44" s="99">
        <v>1</v>
      </c>
      <c r="K44" s="100">
        <v>2</v>
      </c>
      <c r="L44" s="100">
        <v>3</v>
      </c>
      <c r="M44" s="100">
        <v>4</v>
      </c>
      <c r="N44" s="100">
        <v>5</v>
      </c>
      <c r="O44" s="100">
        <v>6</v>
      </c>
      <c r="P44" s="100">
        <v>7</v>
      </c>
      <c r="Q44" s="100">
        <v>8</v>
      </c>
      <c r="R44" s="155">
        <v>9</v>
      </c>
      <c r="S44" s="155">
        <v>10</v>
      </c>
      <c r="T44" s="155">
        <v>11</v>
      </c>
      <c r="U44" s="101" t="s">
        <v>504</v>
      </c>
      <c r="W44" s="101" t="s">
        <v>454</v>
      </c>
    </row>
    <row r="45" spans="2:75" x14ac:dyDescent="0.3">
      <c r="E45" s="65">
        <v>1</v>
      </c>
      <c r="F45" s="102" t="s">
        <v>442</v>
      </c>
      <c r="G45" s="103"/>
      <c r="H45" s="103"/>
      <c r="I45" s="104"/>
      <c r="J45" s="105">
        <f t="shared" ref="J45:J55" si="51">SUM(J25:O25)</f>
        <v>0</v>
      </c>
      <c r="K45" s="105">
        <f t="shared" ref="K45:K55" si="52">SUM(P25:U25)</f>
        <v>0</v>
      </c>
      <c r="L45" s="105">
        <f t="shared" ref="L45:L55" si="53">SUM(V25:AA25)</f>
        <v>0</v>
      </c>
      <c r="M45" s="105">
        <f t="shared" ref="M45:M55" si="54">SUM(AB25:AG25)</f>
        <v>0</v>
      </c>
      <c r="N45" s="105">
        <f t="shared" ref="N45:N55" si="55">SUM(AH25:AM25)</f>
        <v>0</v>
      </c>
      <c r="O45" s="105">
        <f t="shared" ref="O45:O55" si="56">SUM(AN25:AS25)</f>
        <v>0</v>
      </c>
      <c r="P45" s="105">
        <f t="shared" ref="P45:P55" si="57">SUM(AT25:AY25)</f>
        <v>0</v>
      </c>
      <c r="Q45" s="105">
        <f>SUM(AZ25:BE25)</f>
        <v>0</v>
      </c>
      <c r="R45" s="156">
        <f>SUM(BF25:BK25)</f>
        <v>0</v>
      </c>
      <c r="S45" s="156">
        <f>SUM(BL25:BQ25)</f>
        <v>0</v>
      </c>
      <c r="T45" s="156">
        <f>SUM(BR25:BW25)</f>
        <v>0</v>
      </c>
      <c r="U45" s="106">
        <f t="shared" ref="U45:U55" si="58">IFERROR(AVERAGEIF(J45:Q45,"&gt;0",J45:Q45),0)</f>
        <v>0</v>
      </c>
      <c r="V45" s="107"/>
      <c r="W45" s="106">
        <v>4.4600389863547756</v>
      </c>
    </row>
    <row r="46" spans="2:75" x14ac:dyDescent="0.3">
      <c r="E46" s="74">
        <v>2</v>
      </c>
      <c r="F46" s="108" t="s">
        <v>500</v>
      </c>
      <c r="I46" s="109"/>
      <c r="J46" s="110">
        <f t="shared" si="51"/>
        <v>0</v>
      </c>
      <c r="K46" s="110">
        <f t="shared" si="52"/>
        <v>0</v>
      </c>
      <c r="L46" s="110">
        <f t="shared" si="53"/>
        <v>0</v>
      </c>
      <c r="M46" s="110">
        <f t="shared" si="54"/>
        <v>0</v>
      </c>
      <c r="N46" s="110">
        <f t="shared" si="55"/>
        <v>0</v>
      </c>
      <c r="O46" s="110">
        <f t="shared" si="56"/>
        <v>0</v>
      </c>
      <c r="P46" s="110">
        <f t="shared" si="57"/>
        <v>0</v>
      </c>
      <c r="Q46" s="110">
        <f t="shared" ref="Q46:Q55" si="59">SUM(AZ26:BE26)</f>
        <v>0</v>
      </c>
      <c r="R46" s="156">
        <f t="shared" ref="R46:R55" si="60">SUM(BF26:BK26)</f>
        <v>0</v>
      </c>
      <c r="S46" s="156">
        <f t="shared" ref="S46:S55" si="61">SUM(BL26:BQ26)</f>
        <v>0</v>
      </c>
      <c r="T46" s="156">
        <f t="shared" ref="T46:T55" si="62">SUM(BR26:BW26)</f>
        <v>0</v>
      </c>
      <c r="U46" s="111">
        <f t="shared" si="58"/>
        <v>0</v>
      </c>
      <c r="V46" s="107"/>
      <c r="W46" s="112">
        <v>4.1269999999999998</v>
      </c>
    </row>
    <row r="47" spans="2:75" x14ac:dyDescent="0.3">
      <c r="E47" s="74">
        <v>3</v>
      </c>
      <c r="F47" s="108" t="s">
        <v>67</v>
      </c>
      <c r="I47" s="109"/>
      <c r="J47" s="110">
        <f t="shared" si="51"/>
        <v>0</v>
      </c>
      <c r="K47" s="110">
        <f t="shared" si="52"/>
        <v>0</v>
      </c>
      <c r="L47" s="110">
        <f t="shared" si="53"/>
        <v>0</v>
      </c>
      <c r="M47" s="110">
        <f t="shared" si="54"/>
        <v>0</v>
      </c>
      <c r="N47" s="110">
        <f t="shared" si="55"/>
        <v>0</v>
      </c>
      <c r="O47" s="110">
        <f t="shared" si="56"/>
        <v>0</v>
      </c>
      <c r="P47" s="110">
        <f t="shared" si="57"/>
        <v>0</v>
      </c>
      <c r="Q47" s="110">
        <f t="shared" si="59"/>
        <v>0</v>
      </c>
      <c r="R47" s="156">
        <f t="shared" si="60"/>
        <v>0</v>
      </c>
      <c r="S47" s="156">
        <f t="shared" si="61"/>
        <v>0</v>
      </c>
      <c r="T47" s="156">
        <f t="shared" si="62"/>
        <v>0</v>
      </c>
      <c r="U47" s="111">
        <f t="shared" si="58"/>
        <v>0</v>
      </c>
      <c r="V47" s="107"/>
      <c r="W47" s="112">
        <v>4.0410000000000004</v>
      </c>
    </row>
    <row r="48" spans="2:75" x14ac:dyDescent="0.3">
      <c r="E48" s="74">
        <v>4</v>
      </c>
      <c r="F48" s="108" t="s">
        <v>43</v>
      </c>
      <c r="I48" s="109"/>
      <c r="J48" s="110">
        <f t="shared" si="51"/>
        <v>0</v>
      </c>
      <c r="K48" s="110">
        <f t="shared" si="52"/>
        <v>0</v>
      </c>
      <c r="L48" s="110">
        <f t="shared" si="53"/>
        <v>0</v>
      </c>
      <c r="M48" s="110">
        <f t="shared" si="54"/>
        <v>0</v>
      </c>
      <c r="N48" s="110">
        <f t="shared" si="55"/>
        <v>0</v>
      </c>
      <c r="O48" s="110">
        <f t="shared" si="56"/>
        <v>0</v>
      </c>
      <c r="P48" s="110">
        <f t="shared" si="57"/>
        <v>0</v>
      </c>
      <c r="Q48" s="110">
        <f t="shared" si="59"/>
        <v>0</v>
      </c>
      <c r="R48" s="156">
        <f t="shared" si="60"/>
        <v>0</v>
      </c>
      <c r="S48" s="156">
        <f t="shared" si="61"/>
        <v>0</v>
      </c>
      <c r="T48" s="156">
        <f t="shared" si="62"/>
        <v>0</v>
      </c>
      <c r="U48" s="111">
        <f t="shared" si="58"/>
        <v>0</v>
      </c>
      <c r="V48" s="107"/>
      <c r="W48" s="112">
        <v>4.1500000000000004</v>
      </c>
    </row>
    <row r="49" spans="5:25" x14ac:dyDescent="0.3">
      <c r="E49" s="74">
        <v>5</v>
      </c>
      <c r="F49" s="108" t="s">
        <v>37</v>
      </c>
      <c r="I49" s="109"/>
      <c r="J49" s="110">
        <f t="shared" si="51"/>
        <v>0</v>
      </c>
      <c r="K49" s="110">
        <f t="shared" si="52"/>
        <v>0</v>
      </c>
      <c r="L49" s="110">
        <f t="shared" si="53"/>
        <v>0</v>
      </c>
      <c r="M49" s="110">
        <f t="shared" si="54"/>
        <v>0</v>
      </c>
      <c r="N49" s="110">
        <f t="shared" si="55"/>
        <v>0</v>
      </c>
      <c r="O49" s="110">
        <f t="shared" si="56"/>
        <v>0</v>
      </c>
      <c r="P49" s="110">
        <f t="shared" si="57"/>
        <v>0</v>
      </c>
      <c r="Q49" s="110">
        <f t="shared" si="59"/>
        <v>0</v>
      </c>
      <c r="R49" s="156">
        <f>SUM(BF29:BK29)</f>
        <v>0</v>
      </c>
      <c r="S49" s="156">
        <f t="shared" si="61"/>
        <v>0</v>
      </c>
      <c r="T49" s="156">
        <f t="shared" si="62"/>
        <v>0</v>
      </c>
      <c r="U49" s="113">
        <f t="shared" si="58"/>
        <v>0</v>
      </c>
      <c r="V49" s="107"/>
      <c r="W49" s="113">
        <v>4.5289999999999999</v>
      </c>
      <c r="Y49" s="161"/>
    </row>
    <row r="50" spans="5:25" x14ac:dyDescent="0.3">
      <c r="E50" s="74">
        <v>6</v>
      </c>
      <c r="F50" s="108" t="s">
        <v>18</v>
      </c>
      <c r="I50" s="109"/>
      <c r="J50" s="110">
        <f t="shared" si="51"/>
        <v>0</v>
      </c>
      <c r="K50" s="110">
        <f t="shared" si="52"/>
        <v>0</v>
      </c>
      <c r="L50" s="110">
        <f t="shared" si="53"/>
        <v>0</v>
      </c>
      <c r="M50" s="110">
        <f t="shared" si="54"/>
        <v>0</v>
      </c>
      <c r="N50" s="110">
        <f t="shared" si="55"/>
        <v>0</v>
      </c>
      <c r="O50" s="110">
        <f t="shared" si="56"/>
        <v>0</v>
      </c>
      <c r="P50" s="110">
        <f t="shared" si="57"/>
        <v>0</v>
      </c>
      <c r="Q50" s="110">
        <f t="shared" si="59"/>
        <v>0</v>
      </c>
      <c r="R50" s="156">
        <f t="shared" si="60"/>
        <v>0</v>
      </c>
      <c r="S50" s="156">
        <f>SUM(BL30:BQ30)</f>
        <v>0</v>
      </c>
      <c r="T50" s="156">
        <f t="shared" si="62"/>
        <v>0</v>
      </c>
      <c r="U50" s="111">
        <f t="shared" si="58"/>
        <v>0</v>
      </c>
      <c r="V50" s="107"/>
      <c r="W50" s="112">
        <v>4.0529999999999999</v>
      </c>
      <c r="Y50" s="161"/>
    </row>
    <row r="51" spans="5:25" x14ac:dyDescent="0.3">
      <c r="E51" s="74">
        <v>7</v>
      </c>
      <c r="F51" s="108" t="s">
        <v>7</v>
      </c>
      <c r="I51" s="109"/>
      <c r="J51" s="110">
        <f t="shared" si="51"/>
        <v>0</v>
      </c>
      <c r="K51" s="110">
        <f t="shared" si="52"/>
        <v>0</v>
      </c>
      <c r="L51" s="110">
        <f t="shared" si="53"/>
        <v>0</v>
      </c>
      <c r="M51" s="110">
        <f t="shared" si="54"/>
        <v>0</v>
      </c>
      <c r="N51" s="110">
        <f t="shared" si="55"/>
        <v>0</v>
      </c>
      <c r="O51" s="110">
        <f t="shared" si="56"/>
        <v>0</v>
      </c>
      <c r="P51" s="110">
        <f t="shared" si="57"/>
        <v>0</v>
      </c>
      <c r="Q51" s="110">
        <f t="shared" si="59"/>
        <v>0</v>
      </c>
      <c r="R51" s="156">
        <f t="shared" si="60"/>
        <v>0</v>
      </c>
      <c r="S51" s="156">
        <f t="shared" si="61"/>
        <v>0</v>
      </c>
      <c r="T51" s="156">
        <f t="shared" si="62"/>
        <v>0</v>
      </c>
      <c r="U51" s="111">
        <f t="shared" si="58"/>
        <v>0</v>
      </c>
      <c r="V51" s="107"/>
      <c r="W51" s="112">
        <v>4.2709999999999999</v>
      </c>
      <c r="Y51" s="161"/>
    </row>
    <row r="52" spans="5:25" x14ac:dyDescent="0.3">
      <c r="E52" s="74">
        <v>8</v>
      </c>
      <c r="F52" s="108" t="s">
        <v>12</v>
      </c>
      <c r="I52" s="109"/>
      <c r="J52" s="114">
        <f t="shared" si="51"/>
        <v>4.5079365079365079</v>
      </c>
      <c r="K52" s="114">
        <f t="shared" si="52"/>
        <v>4.382352941176471</v>
      </c>
      <c r="L52" s="114">
        <f t="shared" si="53"/>
        <v>4.46875</v>
      </c>
      <c r="M52" s="114">
        <f t="shared" si="54"/>
        <v>4.2898550724637676</v>
      </c>
      <c r="N52" s="114">
        <f t="shared" si="55"/>
        <v>4.2857142857142856</v>
      </c>
      <c r="O52" s="114">
        <f t="shared" si="56"/>
        <v>0</v>
      </c>
      <c r="P52" s="114">
        <f t="shared" si="57"/>
        <v>0</v>
      </c>
      <c r="Q52" s="114">
        <f t="shared" si="59"/>
        <v>0</v>
      </c>
      <c r="R52" s="156">
        <f t="shared" si="60"/>
        <v>0</v>
      </c>
      <c r="S52" s="156">
        <f t="shared" si="61"/>
        <v>0</v>
      </c>
      <c r="T52" s="156">
        <f t="shared" si="62"/>
        <v>0</v>
      </c>
      <c r="U52" s="111">
        <f t="shared" si="58"/>
        <v>4.3869217614582059</v>
      </c>
      <c r="V52" s="107"/>
      <c r="W52" s="112">
        <v>4.1929999999999996</v>
      </c>
      <c r="Y52" s="161"/>
    </row>
    <row r="53" spans="5:25" x14ac:dyDescent="0.3">
      <c r="E53" s="74">
        <v>9</v>
      </c>
      <c r="F53" s="108" t="s">
        <v>32</v>
      </c>
      <c r="I53" s="109"/>
      <c r="J53" s="110">
        <f t="shared" si="51"/>
        <v>0</v>
      </c>
      <c r="K53" s="110">
        <f t="shared" si="52"/>
        <v>0</v>
      </c>
      <c r="L53" s="110">
        <f t="shared" si="53"/>
        <v>0</v>
      </c>
      <c r="M53" s="110">
        <f t="shared" si="54"/>
        <v>0</v>
      </c>
      <c r="N53" s="110">
        <f t="shared" si="55"/>
        <v>0</v>
      </c>
      <c r="O53" s="110">
        <f t="shared" si="56"/>
        <v>0</v>
      </c>
      <c r="P53" s="110">
        <f t="shared" si="57"/>
        <v>0</v>
      </c>
      <c r="Q53" s="110">
        <f t="shared" si="59"/>
        <v>0</v>
      </c>
      <c r="R53" s="156">
        <f>SUM(BF33:BK33)</f>
        <v>0</v>
      </c>
      <c r="S53" s="156">
        <f t="shared" si="61"/>
        <v>0</v>
      </c>
      <c r="T53" s="156">
        <f t="shared" si="62"/>
        <v>0</v>
      </c>
      <c r="U53" s="113">
        <f t="shared" si="58"/>
        <v>0</v>
      </c>
      <c r="V53" s="107"/>
      <c r="W53" s="113">
        <v>4.407</v>
      </c>
    </row>
    <row r="54" spans="5:25" x14ac:dyDescent="0.3">
      <c r="E54" s="74">
        <v>10</v>
      </c>
      <c r="F54" s="108" t="s">
        <v>44</v>
      </c>
      <c r="I54" s="109"/>
      <c r="J54" s="110">
        <f t="shared" si="51"/>
        <v>0</v>
      </c>
      <c r="K54" s="110">
        <f t="shared" si="52"/>
        <v>0</v>
      </c>
      <c r="L54" s="110">
        <f t="shared" si="53"/>
        <v>0</v>
      </c>
      <c r="M54" s="110">
        <f t="shared" si="54"/>
        <v>0</v>
      </c>
      <c r="N54" s="110">
        <f t="shared" si="55"/>
        <v>0</v>
      </c>
      <c r="O54" s="110">
        <f t="shared" si="56"/>
        <v>0</v>
      </c>
      <c r="P54" s="110">
        <f t="shared" si="57"/>
        <v>0</v>
      </c>
      <c r="Q54" s="110">
        <f t="shared" si="59"/>
        <v>0</v>
      </c>
      <c r="R54" s="156">
        <f t="shared" si="60"/>
        <v>0</v>
      </c>
      <c r="S54" s="156">
        <f t="shared" si="61"/>
        <v>0</v>
      </c>
      <c r="T54" s="156">
        <f t="shared" si="62"/>
        <v>0</v>
      </c>
      <c r="U54" s="111">
        <f t="shared" si="58"/>
        <v>0</v>
      </c>
      <c r="V54" s="107"/>
      <c r="W54" s="112">
        <v>3.5390000000000001</v>
      </c>
    </row>
    <row r="55" spans="5:25" x14ac:dyDescent="0.3">
      <c r="E55" s="79">
        <v>11</v>
      </c>
      <c r="F55" s="115" t="s">
        <v>29</v>
      </c>
      <c r="G55" s="116"/>
      <c r="H55" s="116"/>
      <c r="I55" s="117"/>
      <c r="J55" s="118">
        <f t="shared" si="51"/>
        <v>0</v>
      </c>
      <c r="K55" s="118">
        <f t="shared" si="52"/>
        <v>0</v>
      </c>
      <c r="L55" s="118">
        <f t="shared" si="53"/>
        <v>0</v>
      </c>
      <c r="M55" s="118">
        <f t="shared" si="54"/>
        <v>0</v>
      </c>
      <c r="N55" s="118">
        <f t="shared" si="55"/>
        <v>0</v>
      </c>
      <c r="O55" s="118">
        <f t="shared" si="56"/>
        <v>0</v>
      </c>
      <c r="P55" s="118">
        <f t="shared" si="57"/>
        <v>0</v>
      </c>
      <c r="Q55" s="118">
        <f t="shared" si="59"/>
        <v>0</v>
      </c>
      <c r="R55" s="156">
        <f t="shared" si="60"/>
        <v>0</v>
      </c>
      <c r="S55" s="156">
        <f t="shared" si="61"/>
        <v>0</v>
      </c>
      <c r="T55" s="156">
        <f t="shared" si="62"/>
        <v>0</v>
      </c>
      <c r="U55" s="119">
        <f t="shared" si="58"/>
        <v>0</v>
      </c>
      <c r="V55" s="107"/>
      <c r="W55" s="120">
        <v>4.2439999999999998</v>
      </c>
    </row>
    <row r="57" spans="5:25" ht="15.6" x14ac:dyDescent="0.3">
      <c r="J57" s="178" t="s">
        <v>489</v>
      </c>
      <c r="K57" s="178"/>
      <c r="L57" s="178"/>
      <c r="O57" s="97"/>
    </row>
    <row r="58" spans="5:25" x14ac:dyDescent="0.3">
      <c r="J58" s="64" t="s">
        <v>497</v>
      </c>
      <c r="K58" s="64" t="s">
        <v>498</v>
      </c>
      <c r="L58" s="64" t="s">
        <v>499</v>
      </c>
    </row>
    <row r="59" spans="5:25" x14ac:dyDescent="0.3">
      <c r="J59" s="72" t="s">
        <v>491</v>
      </c>
      <c r="K59" s="72" t="s">
        <v>471</v>
      </c>
      <c r="L59" s="73">
        <v>1</v>
      </c>
    </row>
    <row r="60" spans="5:25" x14ac:dyDescent="0.3">
      <c r="J60" s="72" t="s">
        <v>492</v>
      </c>
      <c r="K60" s="72" t="s">
        <v>470</v>
      </c>
      <c r="L60" s="73">
        <v>2</v>
      </c>
    </row>
    <row r="61" spans="5:25" x14ac:dyDescent="0.3">
      <c r="J61" s="72" t="s">
        <v>493</v>
      </c>
      <c r="K61" s="72" t="s">
        <v>469</v>
      </c>
      <c r="L61" s="73">
        <v>3</v>
      </c>
    </row>
    <row r="62" spans="5:25" x14ac:dyDescent="0.3">
      <c r="J62" s="72" t="s">
        <v>494</v>
      </c>
      <c r="K62" s="72" t="s">
        <v>467</v>
      </c>
      <c r="L62" s="73">
        <v>4</v>
      </c>
    </row>
    <row r="63" spans="5:25" x14ac:dyDescent="0.3">
      <c r="J63" s="72" t="s">
        <v>495</v>
      </c>
      <c r="K63" s="72" t="s">
        <v>468</v>
      </c>
      <c r="L63" s="73">
        <v>5</v>
      </c>
    </row>
    <row r="64" spans="5:25" x14ac:dyDescent="0.3">
      <c r="J64" s="72" t="s">
        <v>496</v>
      </c>
      <c r="K64" s="72" t="s">
        <v>473</v>
      </c>
      <c r="L64" s="73">
        <v>0</v>
      </c>
    </row>
    <row r="72" spans="10:10" ht="18" x14ac:dyDescent="0.4">
      <c r="J72" t="s">
        <v>505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8" priority="9">
      <formula>J7=""</formula>
    </cfRule>
  </conditionalFormatting>
  <conditionalFormatting sqref="J25:BE35">
    <cfRule type="expression" dxfId="17" priority="8">
      <formula>J25=0</formula>
    </cfRule>
  </conditionalFormatting>
  <conditionalFormatting sqref="BF7:BK17">
    <cfRule type="expression" dxfId="16" priority="7">
      <formula>BF7=""</formula>
    </cfRule>
  </conditionalFormatting>
  <conditionalFormatting sqref="BL7:BQ17">
    <cfRule type="expression" dxfId="15" priority="6">
      <formula>BL7=""</formula>
    </cfRule>
  </conditionalFormatting>
  <conditionalFormatting sqref="BR7:BW17">
    <cfRule type="expression" dxfId="14" priority="5">
      <formula>BR7=""</formula>
    </cfRule>
  </conditionalFormatting>
  <conditionalFormatting sqref="BL25:BQ35">
    <cfRule type="expression" dxfId="13" priority="3">
      <formula>BL25=0</formula>
    </cfRule>
  </conditionalFormatting>
  <conditionalFormatting sqref="BR25:BW35">
    <cfRule type="expression" dxfId="12" priority="2">
      <formula>BR25=0</formula>
    </cfRule>
  </conditionalFormatting>
  <conditionalFormatting sqref="BF25:BK35">
    <cfRule type="expression" dxfId="11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:BF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9" t="s">
        <v>474</v>
      </c>
      <c r="C4" s="179" t="s">
        <v>5</v>
      </c>
      <c r="D4" s="179" t="s">
        <v>475</v>
      </c>
      <c r="E4" s="178" t="s">
        <v>476</v>
      </c>
      <c r="F4" s="178"/>
      <c r="G4" s="178"/>
      <c r="H4" s="178"/>
      <c r="I4" s="195" t="s">
        <v>477</v>
      </c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194"/>
      <c r="AM4" s="194"/>
      <c r="AN4" s="194"/>
      <c r="AO4" s="194"/>
      <c r="AP4" s="194"/>
      <c r="AQ4" s="194"/>
      <c r="AR4" s="194"/>
      <c r="AS4" s="194"/>
      <c r="AT4" s="194"/>
      <c r="AU4" s="194"/>
      <c r="AV4" s="194"/>
      <c r="AW4" s="194"/>
      <c r="AX4" s="194"/>
      <c r="AY4" s="194"/>
      <c r="AZ4" s="194"/>
      <c r="BA4" s="194"/>
      <c r="BB4" s="194"/>
      <c r="BC4" s="194"/>
      <c r="BD4" s="194"/>
      <c r="BE4" s="194"/>
      <c r="BF4" s="194"/>
      <c r="BG4" s="194"/>
      <c r="BH4" s="194"/>
      <c r="BI4" s="194"/>
      <c r="BJ4" s="194"/>
      <c r="BK4" s="194"/>
      <c r="BL4" s="194"/>
      <c r="BM4" s="194"/>
      <c r="BN4" s="194"/>
      <c r="BO4" s="194"/>
      <c r="BP4" s="194"/>
      <c r="BQ4" s="194"/>
      <c r="BR4" s="194"/>
      <c r="BS4" s="194"/>
      <c r="BT4" s="194"/>
      <c r="BU4" s="194"/>
      <c r="BV4" s="194"/>
      <c r="BW4" s="194"/>
    </row>
    <row r="5" spans="2:83" x14ac:dyDescent="0.3">
      <c r="B5" s="179"/>
      <c r="C5" s="179"/>
      <c r="D5" s="179"/>
      <c r="E5" s="178" t="s">
        <v>478</v>
      </c>
      <c r="F5" s="178"/>
      <c r="G5" s="59" t="s">
        <v>479</v>
      </c>
      <c r="H5" s="59"/>
      <c r="I5" s="181" t="s">
        <v>480</v>
      </c>
      <c r="J5" s="182" t="s">
        <v>481</v>
      </c>
      <c r="K5" s="183"/>
      <c r="L5" s="183"/>
      <c r="M5" s="183"/>
      <c r="N5" s="183"/>
      <c r="O5" s="183"/>
      <c r="P5" s="183" t="s">
        <v>482</v>
      </c>
      <c r="Q5" s="183"/>
      <c r="R5" s="183"/>
      <c r="S5" s="183"/>
      <c r="T5" s="183"/>
      <c r="U5" s="183"/>
      <c r="V5" s="183" t="s">
        <v>483</v>
      </c>
      <c r="W5" s="183"/>
      <c r="X5" s="183"/>
      <c r="Y5" s="183"/>
      <c r="Z5" s="183"/>
      <c r="AA5" s="183"/>
      <c r="AB5" s="183" t="s">
        <v>484</v>
      </c>
      <c r="AC5" s="183"/>
      <c r="AD5" s="183"/>
      <c r="AE5" s="183"/>
      <c r="AF5" s="183"/>
      <c r="AG5" s="183"/>
      <c r="AH5" s="183" t="s">
        <v>485</v>
      </c>
      <c r="AI5" s="183"/>
      <c r="AJ5" s="183"/>
      <c r="AK5" s="183"/>
      <c r="AL5" s="183"/>
      <c r="AM5" s="183"/>
      <c r="AN5" s="183" t="s">
        <v>486</v>
      </c>
      <c r="AO5" s="183"/>
      <c r="AP5" s="183"/>
      <c r="AQ5" s="183"/>
      <c r="AR5" s="183"/>
      <c r="AS5" s="183"/>
      <c r="AT5" s="183" t="s">
        <v>487</v>
      </c>
      <c r="AU5" s="183"/>
      <c r="AV5" s="183"/>
      <c r="AW5" s="183"/>
      <c r="AX5" s="183"/>
      <c r="AY5" s="183"/>
      <c r="AZ5" s="183" t="s">
        <v>488</v>
      </c>
      <c r="BA5" s="183"/>
      <c r="BB5" s="183"/>
      <c r="BC5" s="183"/>
      <c r="BD5" s="183"/>
      <c r="BE5" s="184"/>
      <c r="BF5" s="183" t="s">
        <v>517</v>
      </c>
      <c r="BG5" s="183"/>
      <c r="BH5" s="183"/>
      <c r="BI5" s="183"/>
      <c r="BJ5" s="183"/>
      <c r="BK5" s="184"/>
      <c r="BL5" s="183" t="s">
        <v>518</v>
      </c>
      <c r="BM5" s="183"/>
      <c r="BN5" s="183"/>
      <c r="BO5" s="183"/>
      <c r="BP5" s="183"/>
      <c r="BQ5" s="184"/>
      <c r="BR5" s="183" t="s">
        <v>519</v>
      </c>
      <c r="BS5" s="183"/>
      <c r="BT5" s="183"/>
      <c r="BU5" s="183"/>
      <c r="BV5" s="183"/>
      <c r="BW5" s="184"/>
      <c r="CC5" s="178" t="s">
        <v>489</v>
      </c>
      <c r="CD5" s="178"/>
      <c r="CE5" s="178"/>
    </row>
    <row r="6" spans="2:83" x14ac:dyDescent="0.3">
      <c r="B6" s="180"/>
      <c r="C6" s="180"/>
      <c r="D6" s="180"/>
      <c r="E6" s="60" t="s">
        <v>480</v>
      </c>
      <c r="F6" s="60" t="s">
        <v>490</v>
      </c>
      <c r="G6" s="60" t="s">
        <v>480</v>
      </c>
      <c r="H6" s="60" t="s">
        <v>490</v>
      </c>
      <c r="I6" s="181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147" t="s">
        <v>66</v>
      </c>
      <c r="D7" s="133"/>
      <c r="E7" s="134"/>
      <c r="F7" s="68"/>
      <c r="G7" s="67"/>
      <c r="H7" s="68"/>
      <c r="I7" s="69"/>
      <c r="J7" s="70"/>
      <c r="L7">
        <v>2</v>
      </c>
      <c r="M7">
        <v>8</v>
      </c>
      <c r="N7">
        <v>13</v>
      </c>
      <c r="O7">
        <v>8</v>
      </c>
      <c r="P7" s="70"/>
      <c r="R7">
        <v>2</v>
      </c>
      <c r="S7">
        <v>8</v>
      </c>
      <c r="T7">
        <v>12</v>
      </c>
      <c r="U7" s="71">
        <v>9</v>
      </c>
      <c r="V7" s="70"/>
      <c r="X7">
        <v>2</v>
      </c>
      <c r="Y7">
        <v>6</v>
      </c>
      <c r="Z7">
        <v>16</v>
      </c>
      <c r="AA7" s="71">
        <v>7</v>
      </c>
      <c r="AB7" s="70"/>
      <c r="AC7">
        <v>1</v>
      </c>
      <c r="AD7">
        <v>2</v>
      </c>
      <c r="AE7">
        <v>11</v>
      </c>
      <c r="AF7">
        <v>11</v>
      </c>
      <c r="AG7" s="71">
        <v>6</v>
      </c>
      <c r="AH7" s="70"/>
      <c r="AI7">
        <v>1</v>
      </c>
      <c r="AJ7">
        <v>4</v>
      </c>
      <c r="AK7">
        <v>9</v>
      </c>
      <c r="AL7">
        <v>14</v>
      </c>
      <c r="AM7" s="71">
        <v>3</v>
      </c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s="147" t="s">
        <v>70</v>
      </c>
      <c r="D8" s="76"/>
      <c r="E8" s="77"/>
      <c r="F8" s="78"/>
      <c r="G8" s="77"/>
      <c r="H8" s="78"/>
      <c r="I8" s="69"/>
      <c r="J8" s="70"/>
      <c r="M8">
        <v>5</v>
      </c>
      <c r="N8">
        <v>10</v>
      </c>
      <c r="O8">
        <v>4</v>
      </c>
      <c r="P8" s="70"/>
      <c r="R8">
        <v>1</v>
      </c>
      <c r="S8">
        <v>10</v>
      </c>
      <c r="T8">
        <v>6</v>
      </c>
      <c r="U8" s="71">
        <v>2</v>
      </c>
      <c r="V8" s="70"/>
      <c r="Y8">
        <v>8</v>
      </c>
      <c r="Z8">
        <v>8</v>
      </c>
      <c r="AA8" s="71">
        <v>3</v>
      </c>
      <c r="AB8" s="70"/>
      <c r="AD8">
        <v>2</v>
      </c>
      <c r="AE8">
        <v>10</v>
      </c>
      <c r="AF8">
        <v>5</v>
      </c>
      <c r="AG8" s="71">
        <v>2</v>
      </c>
      <c r="AH8" s="70"/>
      <c r="AI8">
        <v>1</v>
      </c>
      <c r="AJ8">
        <v>1</v>
      </c>
      <c r="AK8">
        <v>10</v>
      </c>
      <c r="AL8">
        <v>6</v>
      </c>
      <c r="AM8" s="71">
        <v>1</v>
      </c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s="148" t="s">
        <v>62</v>
      </c>
      <c r="D9" s="76"/>
      <c r="E9" s="77"/>
      <c r="F9" s="78"/>
      <c r="G9" s="77"/>
      <c r="H9" s="78"/>
      <c r="I9" s="69"/>
      <c r="J9" s="70"/>
      <c r="M9">
        <v>4</v>
      </c>
      <c r="N9">
        <v>7</v>
      </c>
      <c r="P9" s="70"/>
      <c r="S9">
        <v>6</v>
      </c>
      <c r="T9">
        <v>4</v>
      </c>
      <c r="U9" s="71">
        <v>1</v>
      </c>
      <c r="V9" s="70"/>
      <c r="Y9">
        <v>3</v>
      </c>
      <c r="Z9">
        <v>5</v>
      </c>
      <c r="AA9" s="71">
        <v>3</v>
      </c>
      <c r="AB9" s="70"/>
      <c r="AE9">
        <v>3</v>
      </c>
      <c r="AF9">
        <v>6</v>
      </c>
      <c r="AG9" s="71">
        <v>2</v>
      </c>
      <c r="AH9" s="70"/>
      <c r="AK9">
        <v>3</v>
      </c>
      <c r="AL9">
        <v>8</v>
      </c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s="147" t="s">
        <v>74</v>
      </c>
      <c r="D10" s="76"/>
      <c r="E10" s="77"/>
      <c r="F10" s="78"/>
      <c r="G10" s="77"/>
      <c r="H10" s="78"/>
      <c r="I10" s="69"/>
      <c r="J10" s="70"/>
      <c r="M10">
        <v>3</v>
      </c>
      <c r="N10">
        <v>1</v>
      </c>
      <c r="O10">
        <v>5</v>
      </c>
      <c r="P10" s="70"/>
      <c r="S10">
        <v>6</v>
      </c>
      <c r="T10">
        <v>1</v>
      </c>
      <c r="U10" s="71">
        <v>2</v>
      </c>
      <c r="V10" s="70"/>
      <c r="Y10">
        <v>5</v>
      </c>
      <c r="AA10" s="71">
        <v>4</v>
      </c>
      <c r="AB10" s="70"/>
      <c r="AE10">
        <v>5</v>
      </c>
      <c r="AF10">
        <v>1</v>
      </c>
      <c r="AG10" s="71">
        <v>3</v>
      </c>
      <c r="AH10" s="70"/>
      <c r="AJ10">
        <v>1</v>
      </c>
      <c r="AK10">
        <v>7</v>
      </c>
      <c r="AM10" s="71">
        <v>1</v>
      </c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s="147" t="s">
        <v>89</v>
      </c>
      <c r="D11" s="76"/>
      <c r="E11" s="77"/>
      <c r="F11" s="78"/>
      <c r="G11" s="77"/>
      <c r="H11" s="78"/>
      <c r="I11" s="69"/>
      <c r="J11" s="70"/>
      <c r="L11">
        <v>1</v>
      </c>
      <c r="M11">
        <v>5</v>
      </c>
      <c r="N11">
        <v>3</v>
      </c>
      <c r="O11">
        <v>5</v>
      </c>
      <c r="P11" s="70"/>
      <c r="S11">
        <v>6</v>
      </c>
      <c r="T11">
        <v>5</v>
      </c>
      <c r="U11" s="71">
        <v>3</v>
      </c>
      <c r="V11" s="70"/>
      <c r="Y11">
        <v>8</v>
      </c>
      <c r="Z11">
        <v>2</v>
      </c>
      <c r="AA11" s="71">
        <v>4</v>
      </c>
      <c r="AB11" s="70"/>
      <c r="AE11">
        <v>9</v>
      </c>
      <c r="AF11">
        <v>2</v>
      </c>
      <c r="AG11" s="71">
        <v>3</v>
      </c>
      <c r="AH11" s="70"/>
      <c r="AJ11">
        <v>1</v>
      </c>
      <c r="AK11">
        <v>6</v>
      </c>
      <c r="AL11">
        <v>4</v>
      </c>
      <c r="AM11" s="71">
        <v>3</v>
      </c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D12" s="85"/>
      <c r="E12" s="85"/>
      <c r="F12" s="86"/>
      <c r="G12" s="85"/>
      <c r="H12" s="86"/>
      <c r="I12" s="85">
        <f>SUM(I7:I11)</f>
        <v>0</v>
      </c>
      <c r="CC12" s="72" t="s">
        <v>496</v>
      </c>
      <c r="CD12" s="72" t="s">
        <v>473</v>
      </c>
      <c r="CE12" s="73">
        <v>0</v>
      </c>
    </row>
    <row r="13" spans="2:83" x14ac:dyDescent="0.3">
      <c r="D13" s="85"/>
      <c r="E13" s="85"/>
      <c r="F13" s="86"/>
      <c r="G13" s="85"/>
      <c r="H13" s="86"/>
      <c r="I13" s="85"/>
    </row>
    <row r="14" spans="2:83" ht="15.6" x14ac:dyDescent="0.3">
      <c r="B14" s="97" t="s">
        <v>580</v>
      </c>
      <c r="C14" s="88"/>
      <c r="E14" s="86"/>
      <c r="F14" s="86"/>
      <c r="G14" s="86"/>
      <c r="H14" s="86"/>
    </row>
    <row r="16" spans="2:83" x14ac:dyDescent="0.3">
      <c r="B16" s="179" t="s">
        <v>474</v>
      </c>
      <c r="C16" s="179" t="s">
        <v>5</v>
      </c>
      <c r="D16" s="179" t="s">
        <v>475</v>
      </c>
      <c r="E16" s="178" t="s">
        <v>476</v>
      </c>
      <c r="F16" s="178"/>
      <c r="G16" s="178"/>
      <c r="H16" s="178"/>
      <c r="I16" s="195" t="s">
        <v>477</v>
      </c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</row>
    <row r="17" spans="2:75" x14ac:dyDescent="0.3">
      <c r="B17" s="179"/>
      <c r="C17" s="179"/>
      <c r="D17" s="179"/>
      <c r="E17" s="178" t="s">
        <v>478</v>
      </c>
      <c r="F17" s="178"/>
      <c r="G17" s="59" t="s">
        <v>479</v>
      </c>
      <c r="H17" s="59"/>
      <c r="I17" s="181" t="s">
        <v>480</v>
      </c>
      <c r="J17" s="182" t="s">
        <v>481</v>
      </c>
      <c r="K17" s="183"/>
      <c r="L17" s="183"/>
      <c r="M17" s="183"/>
      <c r="N17" s="183"/>
      <c r="O17" s="183"/>
      <c r="P17" s="183" t="s">
        <v>482</v>
      </c>
      <c r="Q17" s="183"/>
      <c r="R17" s="183"/>
      <c r="S17" s="183"/>
      <c r="T17" s="183"/>
      <c r="U17" s="183"/>
      <c r="V17" s="183" t="s">
        <v>483</v>
      </c>
      <c r="W17" s="183"/>
      <c r="X17" s="183"/>
      <c r="Y17" s="183"/>
      <c r="Z17" s="183"/>
      <c r="AA17" s="183"/>
      <c r="AB17" s="183" t="s">
        <v>484</v>
      </c>
      <c r="AC17" s="183"/>
      <c r="AD17" s="183"/>
      <c r="AE17" s="183"/>
      <c r="AF17" s="183"/>
      <c r="AG17" s="183"/>
      <c r="AH17" s="183" t="s">
        <v>485</v>
      </c>
      <c r="AI17" s="183"/>
      <c r="AJ17" s="183"/>
      <c r="AK17" s="183"/>
      <c r="AL17" s="183"/>
      <c r="AM17" s="183"/>
      <c r="AN17" s="183" t="s">
        <v>486</v>
      </c>
      <c r="AO17" s="183"/>
      <c r="AP17" s="183"/>
      <c r="AQ17" s="183"/>
      <c r="AR17" s="183"/>
      <c r="AS17" s="183"/>
      <c r="AT17" s="183" t="s">
        <v>487</v>
      </c>
      <c r="AU17" s="183"/>
      <c r="AV17" s="183"/>
      <c r="AW17" s="183"/>
      <c r="AX17" s="183"/>
      <c r="AY17" s="183"/>
      <c r="AZ17" s="183" t="s">
        <v>488</v>
      </c>
      <c r="BA17" s="183"/>
      <c r="BB17" s="183"/>
      <c r="BC17" s="183"/>
      <c r="BD17" s="183"/>
      <c r="BE17" s="184"/>
      <c r="BF17" s="183" t="s">
        <v>517</v>
      </c>
      <c r="BG17" s="183"/>
      <c r="BH17" s="183"/>
      <c r="BI17" s="183"/>
      <c r="BJ17" s="183"/>
      <c r="BK17" s="184"/>
      <c r="BL17" s="183" t="s">
        <v>518</v>
      </c>
      <c r="BM17" s="183"/>
      <c r="BN17" s="183"/>
      <c r="BO17" s="183"/>
      <c r="BP17" s="183"/>
      <c r="BQ17" s="184"/>
      <c r="BR17" s="183" t="s">
        <v>519</v>
      </c>
      <c r="BS17" s="183"/>
      <c r="BT17" s="183"/>
      <c r="BU17" s="183"/>
      <c r="BV17" s="183"/>
      <c r="BW17" s="184"/>
    </row>
    <row r="18" spans="2:75" x14ac:dyDescent="0.3">
      <c r="B18" s="180"/>
      <c r="C18" s="180"/>
      <c r="D18" s="180"/>
      <c r="E18" s="60" t="s">
        <v>480</v>
      </c>
      <c r="F18" s="60" t="s">
        <v>490</v>
      </c>
      <c r="G18" s="60" t="s">
        <v>480</v>
      </c>
      <c r="H18" s="60" t="s">
        <v>490</v>
      </c>
      <c r="I18" s="181"/>
      <c r="J18" s="89" t="s">
        <v>491</v>
      </c>
      <c r="K18" s="90" t="s">
        <v>492</v>
      </c>
      <c r="L18" s="90" t="s">
        <v>493</v>
      </c>
      <c r="M18" s="90" t="s">
        <v>494</v>
      </c>
      <c r="N18" s="90" t="s">
        <v>495</v>
      </c>
      <c r="O18" s="90" t="s">
        <v>496</v>
      </c>
      <c r="P18" s="62" t="s">
        <v>491</v>
      </c>
      <c r="Q18" s="62" t="s">
        <v>492</v>
      </c>
      <c r="R18" s="62" t="s">
        <v>493</v>
      </c>
      <c r="S18" s="62" t="s">
        <v>494</v>
      </c>
      <c r="T18" s="62" t="s">
        <v>495</v>
      </c>
      <c r="U18" s="62" t="s">
        <v>496</v>
      </c>
      <c r="V18" s="62" t="s">
        <v>491</v>
      </c>
      <c r="W18" s="62" t="s">
        <v>492</v>
      </c>
      <c r="X18" s="62" t="s">
        <v>493</v>
      </c>
      <c r="Y18" s="62" t="s">
        <v>494</v>
      </c>
      <c r="Z18" s="62" t="s">
        <v>495</v>
      </c>
      <c r="AA18" s="62" t="s">
        <v>496</v>
      </c>
      <c r="AB18" s="62" t="s">
        <v>491</v>
      </c>
      <c r="AC18" s="62" t="s">
        <v>492</v>
      </c>
      <c r="AD18" s="62" t="s">
        <v>493</v>
      </c>
      <c r="AE18" s="62" t="s">
        <v>494</v>
      </c>
      <c r="AF18" s="62" t="s">
        <v>495</v>
      </c>
      <c r="AG18" s="62" t="s">
        <v>496</v>
      </c>
      <c r="AH18" s="62" t="s">
        <v>491</v>
      </c>
      <c r="AI18" s="62" t="s">
        <v>492</v>
      </c>
      <c r="AJ18" s="62" t="s">
        <v>493</v>
      </c>
      <c r="AK18" s="62" t="s">
        <v>494</v>
      </c>
      <c r="AL18" s="62" t="s">
        <v>495</v>
      </c>
      <c r="AM18" s="62" t="s">
        <v>496</v>
      </c>
      <c r="AN18" s="62" t="s">
        <v>491</v>
      </c>
      <c r="AO18" s="62" t="s">
        <v>492</v>
      </c>
      <c r="AP18" s="62" t="s">
        <v>493</v>
      </c>
      <c r="AQ18" s="62" t="s">
        <v>494</v>
      </c>
      <c r="AR18" s="62" t="s">
        <v>495</v>
      </c>
      <c r="AS18" s="62" t="s">
        <v>496</v>
      </c>
      <c r="AT18" s="62" t="s">
        <v>491</v>
      </c>
      <c r="AU18" s="62" t="s">
        <v>492</v>
      </c>
      <c r="AV18" s="62" t="s">
        <v>493</v>
      </c>
      <c r="AW18" s="62" t="s">
        <v>494</v>
      </c>
      <c r="AX18" s="62" t="s">
        <v>495</v>
      </c>
      <c r="AY18" s="62" t="s">
        <v>496</v>
      </c>
      <c r="AZ18" s="62" t="s">
        <v>491</v>
      </c>
      <c r="BA18" s="62" t="s">
        <v>492</v>
      </c>
      <c r="BB18" s="62" t="s">
        <v>493</v>
      </c>
      <c r="BC18" s="62" t="s">
        <v>494</v>
      </c>
      <c r="BD18" s="62" t="s">
        <v>495</v>
      </c>
      <c r="BE18" s="63" t="s">
        <v>496</v>
      </c>
      <c r="BF18" s="62" t="s">
        <v>491</v>
      </c>
      <c r="BG18" s="62" t="s">
        <v>492</v>
      </c>
      <c r="BH18" s="62" t="s">
        <v>493</v>
      </c>
      <c r="BI18" s="62" t="s">
        <v>494</v>
      </c>
      <c r="BJ18" s="62" t="s">
        <v>495</v>
      </c>
      <c r="BK18" s="63" t="s">
        <v>496</v>
      </c>
      <c r="BL18" s="62" t="s">
        <v>491</v>
      </c>
      <c r="BM18" s="62" t="s">
        <v>492</v>
      </c>
      <c r="BN18" s="62" t="s">
        <v>493</v>
      </c>
      <c r="BO18" s="62" t="s">
        <v>494</v>
      </c>
      <c r="BP18" s="62" t="s">
        <v>495</v>
      </c>
      <c r="BQ18" s="63" t="s">
        <v>496</v>
      </c>
      <c r="BR18" s="62" t="s">
        <v>491</v>
      </c>
      <c r="BS18" s="62" t="s">
        <v>492</v>
      </c>
      <c r="BT18" s="62" t="s">
        <v>493</v>
      </c>
      <c r="BU18" s="62" t="s">
        <v>494</v>
      </c>
      <c r="BV18" s="62" t="s">
        <v>495</v>
      </c>
      <c r="BW18" s="63" t="s">
        <v>496</v>
      </c>
    </row>
    <row r="19" spans="2:75" x14ac:dyDescent="0.3">
      <c r="B19" s="65">
        <v>1</v>
      </c>
      <c r="C19" s="147" t="s">
        <v>66</v>
      </c>
      <c r="D19" s="145"/>
      <c r="E19" s="146"/>
      <c r="F19" s="68">
        <f t="shared" ref="F19:I24" si="0">F7</f>
        <v>0</v>
      </c>
      <c r="G19" s="67">
        <f t="shared" si="0"/>
        <v>0</v>
      </c>
      <c r="H19" s="68">
        <f t="shared" si="0"/>
        <v>0</v>
      </c>
      <c r="I19" s="69">
        <f t="shared" si="0"/>
        <v>0</v>
      </c>
      <c r="J19" s="91">
        <f>IF(AND(J7&lt;&gt;"",J7&gt;0),(VLOOKUP(J$6,$CC$6:$CE$11,3,0)*J7)/SUM($J7:$N7),0)</f>
        <v>0</v>
      </c>
      <c r="K19" s="92">
        <f t="shared" ref="J19:L23" si="1">IF(AND(K7&lt;&gt;"",K7&gt;0),(VLOOKUP(K$6,$CC$6:$CE$11,3,0)*K7)/SUM($J7:$N7),0)</f>
        <v>0</v>
      </c>
      <c r="L19" s="92">
        <f t="shared" si="1"/>
        <v>0.2608695652173913</v>
      </c>
      <c r="M19" s="92">
        <f>IF(AND(M7&lt;&gt;"",M7&gt;0),(VLOOKUP(M$6,$CC$6:$CE$12,3,0)*M7)/SUM($J7:$N7),0)</f>
        <v>1.3913043478260869</v>
      </c>
      <c r="N19" s="92">
        <f>IF(AND(N7&lt;&gt;"",N7&gt;0),(VLOOKUP(N$6,$CC$6:$CE$12,3,0)*N7)/SUM($J7:$N7),0)</f>
        <v>2.8260869565217392</v>
      </c>
      <c r="O19" s="92">
        <f>IF(AND(O7&lt;&gt;"",O7&gt;0),(VLOOKUP(O$6,$CC$6:$CE$12,3,0)*O7)/SUM($J7:$N7),0)</f>
        <v>0</v>
      </c>
      <c r="P19" s="91">
        <f t="shared" ref="P19:T23" si="2">IF(AND(P7&lt;&gt;"",P7&gt;0),(VLOOKUP(P$6,$CC$6:$CE$11,3,0)*P7)/SUM($P7:$T7),0)</f>
        <v>0</v>
      </c>
      <c r="Q19" s="92">
        <f t="shared" si="2"/>
        <v>0</v>
      </c>
      <c r="R19" s="92">
        <f t="shared" si="2"/>
        <v>0.27272727272727271</v>
      </c>
      <c r="S19" s="92">
        <f t="shared" si="2"/>
        <v>1.4545454545454546</v>
      </c>
      <c r="T19" s="92">
        <f t="shared" si="2"/>
        <v>2.7272727272727271</v>
      </c>
      <c r="U19" s="92">
        <f t="shared" ref="U19:U23" si="3">IF(AND(U7&lt;&gt;"",U7&gt;0),(VLOOKUP(U$6,$CC$6:$CE$12,3,0)*U7)/SUM($P7:$T7),0)</f>
        <v>0</v>
      </c>
      <c r="V19" s="91">
        <f t="shared" ref="V19:Z23" si="4">IF(AND(V7&lt;&gt;"",V7&gt;0),(VLOOKUP(V$6,$CC$6:$CE$11,3,0)*V7)/SUM($V7:$Z7),0)</f>
        <v>0</v>
      </c>
      <c r="W19" s="92">
        <f t="shared" si="4"/>
        <v>0</v>
      </c>
      <c r="X19" s="92">
        <f t="shared" si="4"/>
        <v>0.25</v>
      </c>
      <c r="Y19" s="92">
        <f t="shared" si="4"/>
        <v>1</v>
      </c>
      <c r="Z19" s="92">
        <f t="shared" si="4"/>
        <v>3.3333333333333335</v>
      </c>
      <c r="AA19" s="92">
        <f>IF(AND(AA7&lt;&gt;"",AA7&gt;0),(VLOOKUP(AA$6,$CC$6:$CE$12,3,0)*AA7)/SUM($V7:$Z7),0)</f>
        <v>0</v>
      </c>
      <c r="AB19" s="91">
        <f t="shared" ref="AB19:AF23" si="5">IF(AND(AB7&lt;&gt;"",AB7&gt;0),(VLOOKUP(AB$6,$CC$6:$CE$11,3,0)*AB7)/SUM($AB7:$AF7),0)</f>
        <v>0</v>
      </c>
      <c r="AC19" s="92">
        <f t="shared" si="5"/>
        <v>0.08</v>
      </c>
      <c r="AD19" s="92">
        <f t="shared" si="5"/>
        <v>0.24</v>
      </c>
      <c r="AE19" s="92">
        <f t="shared" si="5"/>
        <v>1.76</v>
      </c>
      <c r="AF19" s="92">
        <f t="shared" si="5"/>
        <v>2.2000000000000002</v>
      </c>
      <c r="AG19" s="92">
        <f>IF(AND(AG7&lt;&gt;"",AG7&gt;0),(VLOOKUP(AG$6,$CC$6:$CE$12,3,0)*AG7)/SUM($AB7:$AF7),0)</f>
        <v>0</v>
      </c>
      <c r="AH19" s="91">
        <f t="shared" ref="AH19:AL23" si="6">IF(AND(AH7&lt;&gt;"",AH7&gt;0),(VLOOKUP(AH$6,$CC$6:$CE$11,3,0)*AH7)/SUM($AH7:$AL7),0)</f>
        <v>0</v>
      </c>
      <c r="AI19" s="92">
        <f t="shared" si="6"/>
        <v>7.1428571428571425E-2</v>
      </c>
      <c r="AJ19" s="92">
        <f t="shared" si="6"/>
        <v>0.42857142857142855</v>
      </c>
      <c r="AK19" s="92">
        <f t="shared" si="6"/>
        <v>1.2857142857142858</v>
      </c>
      <c r="AL19" s="92">
        <f t="shared" si="6"/>
        <v>2.5</v>
      </c>
      <c r="AM19" s="92">
        <f>IF(AND(AM7&lt;&gt;"",AM7&gt;0),(VLOOKUP(AM$6,$CC$6:$CE$12,3,0)*AM7)/SUM($AH7:$AL7),0)</f>
        <v>0</v>
      </c>
      <c r="AN19" s="91">
        <f t="shared" ref="AN19:AR23" si="7">IF(AND(AN7&lt;&gt;"",AN7&gt;0),(VLOOKUP(AN$6,$CC$6:$CE$11,3,0)*AN7)/SUM($AN7:$AR7),0)</f>
        <v>0</v>
      </c>
      <c r="AO19" s="92">
        <f t="shared" si="7"/>
        <v>0</v>
      </c>
      <c r="AP19" s="92">
        <f t="shared" si="7"/>
        <v>0</v>
      </c>
      <c r="AQ19" s="92">
        <f t="shared" si="7"/>
        <v>0</v>
      </c>
      <c r="AR19" s="92">
        <f t="shared" si="7"/>
        <v>0</v>
      </c>
      <c r="AS19" s="92">
        <f>IF(AND(AS7&lt;&gt;"",AS7&gt;0),(VLOOKUP(AS$6,$CC$6:$CE$12,3,0)*AS7)/SUM($AN7:$AR7),0)</f>
        <v>0</v>
      </c>
      <c r="AT19" s="91">
        <f t="shared" ref="AT19:AX23" si="8">IF(AND(AT7&lt;&gt;"",AT7&gt;0),(VLOOKUP(AT$6,$CC$6:$CE$11,3,0)*AT7)/SUM($AT7:$AX7),0)</f>
        <v>0</v>
      </c>
      <c r="AU19" s="92">
        <f t="shared" si="8"/>
        <v>0</v>
      </c>
      <c r="AV19" s="92">
        <f t="shared" si="8"/>
        <v>0</v>
      </c>
      <c r="AW19" s="92">
        <f t="shared" si="8"/>
        <v>0</v>
      </c>
      <c r="AX19" s="92">
        <f t="shared" si="8"/>
        <v>0</v>
      </c>
      <c r="AY19" s="92">
        <f>IF(AND(AY7&lt;&gt;"",AY7&gt;0),(VLOOKUP(AY$6,$CC$6:$CE$12,3,0)*AY7)/SUM($AT7:$AX7),0)</f>
        <v>0</v>
      </c>
      <c r="AZ19" s="91">
        <f t="shared" ref="AZ19:BD23" si="9">IF(AND(AZ7&lt;&gt;"",AZ7&gt;0),(VLOOKUP(AZ$6,$CC$6:$CE$11,3,0)*AZ7)/SUM($AZ7:$BD7),0)</f>
        <v>0</v>
      </c>
      <c r="BA19" s="92">
        <f t="shared" si="9"/>
        <v>0</v>
      </c>
      <c r="BB19" s="92">
        <f t="shared" si="9"/>
        <v>0</v>
      </c>
      <c r="BC19" s="92">
        <f t="shared" si="9"/>
        <v>0</v>
      </c>
      <c r="BD19" s="92">
        <f t="shared" si="9"/>
        <v>0</v>
      </c>
      <c r="BE19" s="92">
        <f>IF(AND(BE7&lt;&gt;"",BE7&gt;0),(VLOOKUP(BE$6,$CC$6:$CE$12,3,0)*BE7)/SUM($AZ7:$BD7),0)</f>
        <v>0</v>
      </c>
      <c r="BF19" s="92">
        <f>IF(AND(BF7&lt;&gt;"",BF7&gt;0),(VLOOKUP(BF$6,$CC$6:$CE$12,3,0)*BF7)/SUM($BF7:$BJ7),0)</f>
        <v>0</v>
      </c>
      <c r="BG19" s="92">
        <f t="shared" ref="BG19:BJ19" si="10">IF(AND(BG7&lt;&gt;"",BG7&gt;0),(VLOOKUP(BG$6,$CC$6:$CE$12,3,0)*BG7)/SUM($BF7:$BJ7),0)</f>
        <v>0</v>
      </c>
      <c r="BH19" s="92">
        <f t="shared" si="10"/>
        <v>0</v>
      </c>
      <c r="BI19" s="92">
        <f t="shared" si="10"/>
        <v>0</v>
      </c>
      <c r="BJ19" s="92">
        <f t="shared" si="10"/>
        <v>0</v>
      </c>
      <c r="BK19" s="92">
        <f>IF(AND(BK7&lt;&gt;"",BK7&gt;0),(VLOOKUP(BK$6,$CC$6:$CE$12,3,0)*BK7)/SUM($BF7:$BJ7),0)</f>
        <v>0</v>
      </c>
      <c r="BL19" s="92">
        <f>IF(AND(BL7&lt;&gt;"",BL7&gt;0),(VLOOKUP(BL$6,$CC$6:$CE$12,3,0)*BL7)/SUM($BL7:$BP7),0)</f>
        <v>0</v>
      </c>
      <c r="BM19" s="92">
        <f t="shared" ref="BM19:BQ19" si="11">IF(AND(BM7&lt;&gt;"",BM7&gt;0),(VLOOKUP(BM$6,$CC$6:$CE$12,3,0)*BM7)/SUM($BL7:$BP7),0)</f>
        <v>0</v>
      </c>
      <c r="BN19" s="92">
        <f t="shared" si="11"/>
        <v>0</v>
      </c>
      <c r="BO19" s="92">
        <f t="shared" si="11"/>
        <v>0</v>
      </c>
      <c r="BP19" s="92">
        <f t="shared" si="11"/>
        <v>0</v>
      </c>
      <c r="BQ19" s="92">
        <f t="shared" si="11"/>
        <v>0</v>
      </c>
      <c r="BR19" s="92">
        <f>IF(AND(BR7&lt;&gt;"",BR7&gt;0),(VLOOKUP(BR$6,$CC$6:$CE$12,3,0)*BR7)/SUM($BR7:$BV7),0)</f>
        <v>0</v>
      </c>
      <c r="BS19" s="92">
        <f t="shared" ref="BS19:BW19" si="12">IF(AND(BS7&lt;&gt;"",BS7&gt;0),(VLOOKUP(BS$6,$CC$6:$CE$12,3,0)*BS7)/SUM($BR7:$BV7),0)</f>
        <v>0</v>
      </c>
      <c r="BT19" s="92">
        <f t="shared" si="12"/>
        <v>0</v>
      </c>
      <c r="BU19" s="92">
        <f t="shared" si="12"/>
        <v>0</v>
      </c>
      <c r="BV19" s="92">
        <f t="shared" si="12"/>
        <v>0</v>
      </c>
      <c r="BW19" s="92">
        <f t="shared" si="12"/>
        <v>0</v>
      </c>
    </row>
    <row r="20" spans="2:75" x14ac:dyDescent="0.3">
      <c r="B20" s="74">
        <v>2</v>
      </c>
      <c r="C20" s="147" t="s">
        <v>70</v>
      </c>
      <c r="D20" s="76"/>
      <c r="E20" s="77"/>
      <c r="F20" s="78">
        <f t="shared" si="0"/>
        <v>0</v>
      </c>
      <c r="G20" s="77">
        <f t="shared" si="0"/>
        <v>0</v>
      </c>
      <c r="H20" s="78">
        <f t="shared" si="0"/>
        <v>0</v>
      </c>
      <c r="I20" s="69">
        <f t="shared" si="0"/>
        <v>0</v>
      </c>
      <c r="J20" s="91">
        <f t="shared" si="1"/>
        <v>0</v>
      </c>
      <c r="K20" s="92">
        <f t="shared" si="1"/>
        <v>0</v>
      </c>
      <c r="L20" s="92">
        <f t="shared" si="1"/>
        <v>0</v>
      </c>
      <c r="M20" s="92">
        <f>IF(AND(M8&lt;&gt;"",M8&gt;0),(VLOOKUP(M$6,$CC$6:$CE$12,3,0)*M8)/SUM($J8:$N8),0)</f>
        <v>1.3333333333333333</v>
      </c>
      <c r="N20" s="92">
        <f t="shared" ref="N20" si="13">IF(AND(N8&lt;&gt;"",N8&gt;0),(VLOOKUP(N$6,$CC$6:$CE$12,3,0)*N8)/SUM($J8:$N8),0)</f>
        <v>3.3333333333333335</v>
      </c>
      <c r="O20" s="92">
        <f t="shared" ref="O20:O23" si="14">IF(AND(O8&lt;&gt;"",O8&gt;0),(VLOOKUP(O$6,$CC$6:$CE$12,3,0)*O8)/SUM($J8:$N8),0)</f>
        <v>0</v>
      </c>
      <c r="P20" s="91">
        <f t="shared" si="2"/>
        <v>0</v>
      </c>
      <c r="Q20" s="92">
        <f t="shared" si="2"/>
        <v>0</v>
      </c>
      <c r="R20" s="92">
        <f t="shared" si="2"/>
        <v>0.17647058823529413</v>
      </c>
      <c r="S20" s="92">
        <f t="shared" si="2"/>
        <v>2.3529411764705883</v>
      </c>
      <c r="T20" s="92">
        <f t="shared" si="2"/>
        <v>1.7647058823529411</v>
      </c>
      <c r="U20" s="92">
        <f t="shared" si="3"/>
        <v>0</v>
      </c>
      <c r="V20" s="91">
        <f t="shared" si="4"/>
        <v>0</v>
      </c>
      <c r="W20" s="92">
        <f t="shared" si="4"/>
        <v>0</v>
      </c>
      <c r="X20" s="92">
        <f t="shared" si="4"/>
        <v>0</v>
      </c>
      <c r="Y20" s="92">
        <f t="shared" si="4"/>
        <v>2</v>
      </c>
      <c r="Z20" s="92">
        <f t="shared" si="4"/>
        <v>2.5</v>
      </c>
      <c r="AA20" s="92">
        <f t="shared" ref="AA20:AA23" si="15">IF(AND(AA8&lt;&gt;"",AA8&gt;0),(VLOOKUP(AA$6,$CC$6:$CE$12,3,0)*AA8)/SUM($V8:$Z8),0)</f>
        <v>0</v>
      </c>
      <c r="AB20" s="91">
        <f t="shared" si="5"/>
        <v>0</v>
      </c>
      <c r="AC20" s="92">
        <f t="shared" si="5"/>
        <v>0</v>
      </c>
      <c r="AD20" s="92">
        <f t="shared" si="5"/>
        <v>0.35294117647058826</v>
      </c>
      <c r="AE20" s="92">
        <f t="shared" si="5"/>
        <v>2.3529411764705883</v>
      </c>
      <c r="AF20" s="92">
        <f t="shared" si="5"/>
        <v>1.4705882352941178</v>
      </c>
      <c r="AG20" s="92">
        <f>IF(AND(AG8&lt;&gt;"",AG8&gt;0),(VLOOKUP(AG$6,$CC$6:$CE$12,3,0)*AG8)/SUM($AB8:$AF8),0)</f>
        <v>0</v>
      </c>
      <c r="AH20" s="91">
        <f t="shared" si="6"/>
        <v>0</v>
      </c>
      <c r="AI20" s="92">
        <f t="shared" si="6"/>
        <v>0.1111111111111111</v>
      </c>
      <c r="AJ20" s="92">
        <f t="shared" si="6"/>
        <v>0.16666666666666666</v>
      </c>
      <c r="AK20" s="92">
        <f t="shared" si="6"/>
        <v>2.2222222222222223</v>
      </c>
      <c r="AL20" s="92">
        <f t="shared" si="6"/>
        <v>1.6666666666666667</v>
      </c>
      <c r="AM20" s="92">
        <f t="shared" ref="AM20:AM23" si="16">IF(AND(AM8&lt;&gt;"",AM8&gt;0),(VLOOKUP(AM$6,$CC$6:$CE$12,3,0)*AM8)/SUM($AH8:$AL8),0)</f>
        <v>0</v>
      </c>
      <c r="AN20" s="91">
        <f t="shared" si="7"/>
        <v>0</v>
      </c>
      <c r="AO20" s="92">
        <f t="shared" si="7"/>
        <v>0</v>
      </c>
      <c r="AP20" s="92">
        <f t="shared" si="7"/>
        <v>0</v>
      </c>
      <c r="AQ20" s="92">
        <f t="shared" si="7"/>
        <v>0</v>
      </c>
      <c r="AR20" s="92">
        <f t="shared" si="7"/>
        <v>0</v>
      </c>
      <c r="AS20" s="92">
        <f t="shared" ref="AS20:AS23" si="17">IF(AND(AS8&lt;&gt;"",AS8&gt;0),(VLOOKUP(AS$6,$CC$6:$CE$12,3,0)*AS8)/SUM($AN8:$AR8),0)</f>
        <v>0</v>
      </c>
      <c r="AT20" s="91">
        <f t="shared" si="8"/>
        <v>0</v>
      </c>
      <c r="AU20" s="92">
        <f t="shared" si="8"/>
        <v>0</v>
      </c>
      <c r="AV20" s="92">
        <f>IF(AND(AV8&lt;&gt;"",AV8&gt;0),(VLOOKUP(AV$6,$CC$6:$CE$11,3,0)*AV8)/SUM($AT8:$AX8),0)</f>
        <v>0</v>
      </c>
      <c r="AW20" s="92">
        <f t="shared" si="8"/>
        <v>0</v>
      </c>
      <c r="AX20" s="92">
        <f>IF(AND(AX8&lt;&gt;"",AX8&gt;0),(VLOOKUP(AX$6,$CC$6:$CE$11,3,0)*AX8)/SUM($AT8:$AX8),0)</f>
        <v>0</v>
      </c>
      <c r="AY20" s="92">
        <f t="shared" ref="AY20:AY22" si="18">IF(AND(AY8&lt;&gt;"",AY8&gt;0),(VLOOKUP(AY$6,$CC$6:$CE$12,3,0)*AY8)/SUM($AT8:$AX8),0)</f>
        <v>0</v>
      </c>
      <c r="AZ20" s="91">
        <f>IF(AND(AZ8&lt;&gt;"",AZ8&gt;0),(VLOOKUP(AZ$6,$CC$6:$CE$11,3,0)*AZ8)/SUM($AZ8:$BD8),0)</f>
        <v>0</v>
      </c>
      <c r="BA20" s="92">
        <f t="shared" si="9"/>
        <v>0</v>
      </c>
      <c r="BB20" s="92">
        <f t="shared" si="9"/>
        <v>0</v>
      </c>
      <c r="BC20" s="92">
        <f t="shared" si="9"/>
        <v>0</v>
      </c>
      <c r="BD20" s="92">
        <f t="shared" si="9"/>
        <v>0</v>
      </c>
      <c r="BE20" s="92">
        <f t="shared" ref="BE20:BE23" si="19">IF(AND(BE8&lt;&gt;"",BE8&gt;0),(VLOOKUP(BE$6,$CC$6:$CE$12,3,0)*BE8)/SUM($AZ8:$BD8),0)</f>
        <v>0</v>
      </c>
      <c r="BF20" s="92">
        <f t="shared" ref="BF20:BK23" si="20">IF(AND(BF8&lt;&gt;"",BF8&gt;0),(VLOOKUP(BF$6,$CC$6:$CE$12,3,0)*BF8)/SUM($BF8:$BJ8),0)</f>
        <v>0</v>
      </c>
      <c r="BG20" s="92">
        <f t="shared" si="20"/>
        <v>0</v>
      </c>
      <c r="BH20" s="92">
        <f t="shared" si="20"/>
        <v>0</v>
      </c>
      <c r="BI20" s="92">
        <f t="shared" si="20"/>
        <v>0</v>
      </c>
      <c r="BJ20" s="92">
        <f>IF(AND(BJ8&lt;&gt;"",BJ8&gt;0),(VLOOKUP(BJ$6,$CC$6:$CE$12,3,0)*BJ8)/SUM($BF8:$BJ8),0)</f>
        <v>0</v>
      </c>
      <c r="BK20" s="92">
        <f t="shared" si="20"/>
        <v>0</v>
      </c>
      <c r="BL20" s="92">
        <f t="shared" ref="BL20:BQ20" si="21">IF(AND(BL8&lt;&gt;"",BL8&gt;0),(VLOOKUP(BL$6,$CC$6:$CE$12,3,0)*BL8)/SUM($BL8:$BP8),0)</f>
        <v>0</v>
      </c>
      <c r="BM20" s="92">
        <f>IF(AND(BM8&lt;&gt;"",BM8&gt;0),(VLOOKUP(BM$6,$CC$6:$CE$12,3,0)*BM8)/SUM($BL8:$BP8),0)</f>
        <v>0</v>
      </c>
      <c r="BN20" s="92">
        <f t="shared" si="21"/>
        <v>0</v>
      </c>
      <c r="BO20" s="92">
        <f t="shared" si="21"/>
        <v>0</v>
      </c>
      <c r="BP20" s="92">
        <f>IF(AND(BP8&lt;&gt;"",BP8&gt;0),(VLOOKUP(BP$6,$CC$6:$CE$12,3,0)*BP8)/SUM($BL8:$BP8),0)</f>
        <v>0</v>
      </c>
      <c r="BQ20" s="92">
        <f t="shared" si="21"/>
        <v>0</v>
      </c>
      <c r="BR20" s="92">
        <f t="shared" ref="BR20:BW20" si="22">IF(AND(BR8&lt;&gt;"",BR8&gt;0),(VLOOKUP(BR$6,$CC$6:$CE$12,3,0)*BR8)/SUM($BR8:$BV8),0)</f>
        <v>0</v>
      </c>
      <c r="BS20" s="92">
        <f t="shared" si="22"/>
        <v>0</v>
      </c>
      <c r="BT20" s="92">
        <f t="shared" si="22"/>
        <v>0</v>
      </c>
      <c r="BU20" s="92">
        <f t="shared" si="22"/>
        <v>0</v>
      </c>
      <c r="BV20" s="92">
        <f t="shared" si="22"/>
        <v>0</v>
      </c>
      <c r="BW20" s="92">
        <f t="shared" si="22"/>
        <v>0</v>
      </c>
    </row>
    <row r="21" spans="2:75" x14ac:dyDescent="0.3">
      <c r="B21" s="74">
        <v>3</v>
      </c>
      <c r="C21" s="148" t="s">
        <v>62</v>
      </c>
      <c r="D21" s="76"/>
      <c r="E21" s="77"/>
      <c r="F21" s="78">
        <f t="shared" si="0"/>
        <v>0</v>
      </c>
      <c r="G21" s="77">
        <f t="shared" si="0"/>
        <v>0</v>
      </c>
      <c r="H21" s="78">
        <f t="shared" si="0"/>
        <v>0</v>
      </c>
      <c r="I21" s="69">
        <f t="shared" si="0"/>
        <v>0</v>
      </c>
      <c r="J21" s="91">
        <f t="shared" si="1"/>
        <v>0</v>
      </c>
      <c r="K21" s="92">
        <f t="shared" si="1"/>
        <v>0</v>
      </c>
      <c r="L21" s="92">
        <f t="shared" si="1"/>
        <v>0</v>
      </c>
      <c r="M21" s="92">
        <f t="shared" ref="M21:N21" si="23">IF(AND(M9&lt;&gt;"",M9&gt;0),(VLOOKUP(M$6,$CC$6:$CE$12,3,0)*M9)/SUM($J9:$N9),0)</f>
        <v>1.4545454545454546</v>
      </c>
      <c r="N21" s="92">
        <f t="shared" si="23"/>
        <v>3.1818181818181817</v>
      </c>
      <c r="O21" s="92">
        <f>IF(AND(O9&lt;&gt;"",O9&gt;0),(VLOOKUP(O$6,$CC$6:$CE$12,3,0)*O9)/SUM($J9:$N9),0)</f>
        <v>0</v>
      </c>
      <c r="P21" s="91">
        <f t="shared" si="2"/>
        <v>0</v>
      </c>
      <c r="Q21" s="92">
        <f t="shared" si="2"/>
        <v>0</v>
      </c>
      <c r="R21" s="92">
        <f t="shared" si="2"/>
        <v>0</v>
      </c>
      <c r="S21" s="92">
        <f t="shared" si="2"/>
        <v>2.4</v>
      </c>
      <c r="T21" s="92">
        <f t="shared" si="2"/>
        <v>2</v>
      </c>
      <c r="U21" s="92">
        <f t="shared" si="3"/>
        <v>0</v>
      </c>
      <c r="V21" s="91">
        <f t="shared" si="4"/>
        <v>0</v>
      </c>
      <c r="W21" s="92">
        <f t="shared" si="4"/>
        <v>0</v>
      </c>
      <c r="X21" s="92">
        <f t="shared" si="4"/>
        <v>0</v>
      </c>
      <c r="Y21" s="92">
        <f t="shared" si="4"/>
        <v>1.5</v>
      </c>
      <c r="Z21" s="92">
        <f t="shared" si="4"/>
        <v>3.125</v>
      </c>
      <c r="AA21" s="92">
        <f t="shared" si="15"/>
        <v>0</v>
      </c>
      <c r="AB21" s="91">
        <f t="shared" si="5"/>
        <v>0</v>
      </c>
      <c r="AC21" s="92">
        <f t="shared" si="5"/>
        <v>0</v>
      </c>
      <c r="AD21" s="92">
        <f t="shared" si="5"/>
        <v>0</v>
      </c>
      <c r="AE21" s="92">
        <f t="shared" si="5"/>
        <v>1.3333333333333333</v>
      </c>
      <c r="AF21" s="92">
        <f t="shared" si="5"/>
        <v>3.3333333333333335</v>
      </c>
      <c r="AG21" s="92">
        <f t="shared" ref="AG21:AG23" si="24">IF(AND(AG9&lt;&gt;"",AG9&gt;0),(VLOOKUP(AG$6,$CC$6:$CE$12,3,0)*AG9)/SUM($AB9:$AF9),0)</f>
        <v>0</v>
      </c>
      <c r="AH21" s="91">
        <f t="shared" si="6"/>
        <v>0</v>
      </c>
      <c r="AI21" s="92">
        <f t="shared" si="6"/>
        <v>0</v>
      </c>
      <c r="AJ21" s="92">
        <f t="shared" si="6"/>
        <v>0</v>
      </c>
      <c r="AK21" s="92">
        <f t="shared" si="6"/>
        <v>1.0909090909090908</v>
      </c>
      <c r="AL21" s="92">
        <f t="shared" si="6"/>
        <v>3.6363636363636362</v>
      </c>
      <c r="AM21" s="92">
        <f t="shared" si="16"/>
        <v>0</v>
      </c>
      <c r="AN21" s="91">
        <f t="shared" si="7"/>
        <v>0</v>
      </c>
      <c r="AO21" s="92">
        <f t="shared" si="7"/>
        <v>0</v>
      </c>
      <c r="AP21" s="92">
        <f t="shared" si="7"/>
        <v>0</v>
      </c>
      <c r="AQ21" s="92">
        <f t="shared" si="7"/>
        <v>0</v>
      </c>
      <c r="AR21" s="92">
        <f t="shared" si="7"/>
        <v>0</v>
      </c>
      <c r="AS21" s="92">
        <f t="shared" si="17"/>
        <v>0</v>
      </c>
      <c r="AT21" s="91">
        <f t="shared" si="8"/>
        <v>0</v>
      </c>
      <c r="AU21" s="92">
        <f t="shared" si="8"/>
        <v>0</v>
      </c>
      <c r="AV21" s="92">
        <f t="shared" si="8"/>
        <v>0</v>
      </c>
      <c r="AW21" s="92">
        <f t="shared" si="8"/>
        <v>0</v>
      </c>
      <c r="AX21" s="92">
        <f t="shared" si="8"/>
        <v>0</v>
      </c>
      <c r="AY21" s="92">
        <f t="shared" si="18"/>
        <v>0</v>
      </c>
      <c r="AZ21" s="91">
        <f t="shared" si="9"/>
        <v>0</v>
      </c>
      <c r="BA21" s="92">
        <f t="shared" si="9"/>
        <v>0</v>
      </c>
      <c r="BB21" s="92">
        <f t="shared" si="9"/>
        <v>0</v>
      </c>
      <c r="BC21" s="92">
        <f>IF(AND(BC9&lt;&gt;"",BC9&gt;0),(VLOOKUP(BC$6,$CC$6:$CE$11,3,0)*BC9)/SUM($AZ9:$BD9),0)</f>
        <v>0</v>
      </c>
      <c r="BD21" s="92">
        <f t="shared" si="9"/>
        <v>0</v>
      </c>
      <c r="BE21" s="92">
        <f t="shared" si="19"/>
        <v>0</v>
      </c>
      <c r="BF21" s="92">
        <f t="shared" si="20"/>
        <v>0</v>
      </c>
      <c r="BG21" s="92">
        <f t="shared" si="20"/>
        <v>0</v>
      </c>
      <c r="BH21" s="92">
        <f t="shared" si="20"/>
        <v>0</v>
      </c>
      <c r="BI21" s="92">
        <f t="shared" si="20"/>
        <v>0</v>
      </c>
      <c r="BJ21" s="92">
        <f>IF(AND(BJ9&lt;&gt;"",BJ9&gt;0),(VLOOKUP(BJ$6,$CC$6:$CE$12,3,0)*BJ9)/SUM($BF9:$BJ9),0)</f>
        <v>0</v>
      </c>
      <c r="BK21" s="92">
        <f t="shared" si="20"/>
        <v>0</v>
      </c>
      <c r="BL21" s="92">
        <f t="shared" ref="BL21:BO21" si="25">IF(AND(BL9&lt;&gt;"",BL9&gt;0),(VLOOKUP(BL$6,$CC$6:$CE$12,3,0)*BL9)/SUM($BL9:$BP9),0)</f>
        <v>0</v>
      </c>
      <c r="BM21" s="92">
        <f t="shared" si="25"/>
        <v>0</v>
      </c>
      <c r="BN21" s="92">
        <f t="shared" si="25"/>
        <v>0</v>
      </c>
      <c r="BO21" s="92">
        <f t="shared" si="25"/>
        <v>0</v>
      </c>
      <c r="BP21" s="92">
        <f>IF(AND(BP9&lt;&gt;"",BP9&gt;0),(VLOOKUP(BP$6,$CC$6:$CE$12,3,0)*BP9)/SUM($BL9:$BP9),0)</f>
        <v>0</v>
      </c>
      <c r="BQ21" s="92">
        <f>IF(AND(BQ9&lt;&gt;"",BQ9&gt;0),(VLOOKUP(BQ$6,$CC$6:$CE$12,3,0)*BQ9)/SUM($BL9:$BP9),0)</f>
        <v>0</v>
      </c>
      <c r="BR21" s="92">
        <f t="shared" ref="BR21:BW21" si="26">IF(AND(BR9&lt;&gt;"",BR9&gt;0),(VLOOKUP(BR$6,$CC$6:$CE$12,3,0)*BR9)/SUM($BR9:$BV9),0)</f>
        <v>0</v>
      </c>
      <c r="BS21" s="92">
        <f t="shared" si="26"/>
        <v>0</v>
      </c>
      <c r="BT21" s="92">
        <f t="shared" si="26"/>
        <v>0</v>
      </c>
      <c r="BU21" s="92">
        <f t="shared" si="26"/>
        <v>0</v>
      </c>
      <c r="BV21" s="92">
        <f t="shared" si="26"/>
        <v>0</v>
      </c>
      <c r="BW21" s="92">
        <f t="shared" si="26"/>
        <v>0</v>
      </c>
    </row>
    <row r="22" spans="2:75" x14ac:dyDescent="0.3">
      <c r="B22" s="74">
        <v>4</v>
      </c>
      <c r="C22" s="147" t="s">
        <v>74</v>
      </c>
      <c r="D22" s="76"/>
      <c r="E22" s="77"/>
      <c r="F22" s="78">
        <f t="shared" si="0"/>
        <v>0</v>
      </c>
      <c r="G22" s="77">
        <f t="shared" si="0"/>
        <v>0</v>
      </c>
      <c r="H22" s="78">
        <f t="shared" si="0"/>
        <v>0</v>
      </c>
      <c r="I22" s="69">
        <f t="shared" si="0"/>
        <v>0</v>
      </c>
      <c r="J22" s="91">
        <f t="shared" si="1"/>
        <v>0</v>
      </c>
      <c r="K22" s="92">
        <f t="shared" si="1"/>
        <v>0</v>
      </c>
      <c r="L22" s="92">
        <f t="shared" si="1"/>
        <v>0</v>
      </c>
      <c r="M22" s="92">
        <f t="shared" ref="M22:N22" si="27">IF(AND(M10&lt;&gt;"",M10&gt;0),(VLOOKUP(M$6,$CC$6:$CE$12,3,0)*M10)/SUM($J10:$N10),0)</f>
        <v>3</v>
      </c>
      <c r="N22" s="92">
        <f t="shared" si="27"/>
        <v>1.25</v>
      </c>
      <c r="O22" s="92">
        <f>IF(AND(O10&lt;&gt;"",O10&gt;0),(VLOOKUP(O$6,$CC$6:$CE$12,3,0)*O10)/SUM($J10:$N10),0)</f>
        <v>0</v>
      </c>
      <c r="P22" s="91">
        <f t="shared" si="2"/>
        <v>0</v>
      </c>
      <c r="Q22" s="92">
        <f t="shared" si="2"/>
        <v>0</v>
      </c>
      <c r="R22" s="92">
        <f t="shared" si="2"/>
        <v>0</v>
      </c>
      <c r="S22" s="92">
        <f t="shared" si="2"/>
        <v>3.4285714285714284</v>
      </c>
      <c r="T22" s="92">
        <f t="shared" si="2"/>
        <v>0.7142857142857143</v>
      </c>
      <c r="U22" s="92">
        <f t="shared" si="3"/>
        <v>0</v>
      </c>
      <c r="V22" s="91">
        <f t="shared" si="4"/>
        <v>0</v>
      </c>
      <c r="W22" s="92">
        <f t="shared" si="4"/>
        <v>0</v>
      </c>
      <c r="X22" s="92">
        <f t="shared" si="4"/>
        <v>0</v>
      </c>
      <c r="Y22" s="92">
        <f t="shared" si="4"/>
        <v>4</v>
      </c>
      <c r="Z22" s="92">
        <f t="shared" si="4"/>
        <v>0</v>
      </c>
      <c r="AA22" s="92">
        <f t="shared" si="15"/>
        <v>0</v>
      </c>
      <c r="AB22" s="91">
        <f t="shared" si="5"/>
        <v>0</v>
      </c>
      <c r="AC22" s="92">
        <f t="shared" si="5"/>
        <v>0</v>
      </c>
      <c r="AD22" s="92">
        <f t="shared" si="5"/>
        <v>0</v>
      </c>
      <c r="AE22" s="92">
        <f t="shared" si="5"/>
        <v>3.3333333333333335</v>
      </c>
      <c r="AF22" s="92">
        <f t="shared" si="5"/>
        <v>0.83333333333333337</v>
      </c>
      <c r="AG22" s="92">
        <f t="shared" si="24"/>
        <v>0</v>
      </c>
      <c r="AH22" s="91">
        <f t="shared" si="6"/>
        <v>0</v>
      </c>
      <c r="AI22" s="92">
        <f t="shared" si="6"/>
        <v>0</v>
      </c>
      <c r="AJ22" s="92">
        <f t="shared" si="6"/>
        <v>0.375</v>
      </c>
      <c r="AK22" s="92">
        <f t="shared" si="6"/>
        <v>3.5</v>
      </c>
      <c r="AL22" s="92">
        <f t="shared" si="6"/>
        <v>0</v>
      </c>
      <c r="AM22" s="92">
        <f t="shared" si="16"/>
        <v>0</v>
      </c>
      <c r="AN22" s="91">
        <f t="shared" si="7"/>
        <v>0</v>
      </c>
      <c r="AO22" s="92">
        <f t="shared" si="7"/>
        <v>0</v>
      </c>
      <c r="AP22" s="92">
        <f t="shared" si="7"/>
        <v>0</v>
      </c>
      <c r="AQ22" s="92">
        <f t="shared" si="7"/>
        <v>0</v>
      </c>
      <c r="AR22" s="92">
        <f t="shared" si="7"/>
        <v>0</v>
      </c>
      <c r="AS22" s="92">
        <f t="shared" si="17"/>
        <v>0</v>
      </c>
      <c r="AT22" s="91">
        <f t="shared" si="8"/>
        <v>0</v>
      </c>
      <c r="AU22" s="92">
        <f t="shared" si="8"/>
        <v>0</v>
      </c>
      <c r="AV22" s="92">
        <f t="shared" si="8"/>
        <v>0</v>
      </c>
      <c r="AW22" s="92">
        <f t="shared" si="8"/>
        <v>0</v>
      </c>
      <c r="AX22" s="92">
        <f t="shared" si="8"/>
        <v>0</v>
      </c>
      <c r="AY22" s="92">
        <f t="shared" si="18"/>
        <v>0</v>
      </c>
      <c r="AZ22" s="91">
        <f t="shared" si="9"/>
        <v>0</v>
      </c>
      <c r="BA22" s="92">
        <f t="shared" si="9"/>
        <v>0</v>
      </c>
      <c r="BB22" s="92">
        <f t="shared" si="9"/>
        <v>0</v>
      </c>
      <c r="BC22" s="92">
        <f t="shared" si="9"/>
        <v>0</v>
      </c>
      <c r="BD22" s="92">
        <f t="shared" si="9"/>
        <v>0</v>
      </c>
      <c r="BE22" s="92">
        <f t="shared" si="19"/>
        <v>0</v>
      </c>
      <c r="BF22" s="92">
        <f t="shared" si="20"/>
        <v>0</v>
      </c>
      <c r="BG22" s="92">
        <f t="shared" si="20"/>
        <v>0</v>
      </c>
      <c r="BH22" s="92">
        <f t="shared" si="20"/>
        <v>0</v>
      </c>
      <c r="BI22" s="92">
        <f t="shared" si="20"/>
        <v>0</v>
      </c>
      <c r="BJ22" s="92">
        <f>IF(AND(BJ10&lt;&gt;"",BJ10&gt;0),(VLOOKUP(BJ$6,$CC$6:$CE$12,3,0)*BJ10)/SUM($BF10:$BJ10),0)</f>
        <v>0</v>
      </c>
      <c r="BK22" s="92">
        <f>IF(AND(BK10&lt;&gt;"",BK10&gt;0),(VLOOKUP(BK$6,$CC$6:$CE$12,3,0)*BK10)/SUM($BF10:$BJ10),0)</f>
        <v>0</v>
      </c>
      <c r="BL22" s="92">
        <f t="shared" ref="BL22:BQ22" si="28">IF(AND(BL10&lt;&gt;"",BL10&gt;0),(VLOOKUP(BL$6,$CC$6:$CE$12,3,0)*BL10)/SUM($BL10:$BP10),0)</f>
        <v>0</v>
      </c>
      <c r="BM22" s="92">
        <f t="shared" si="28"/>
        <v>0</v>
      </c>
      <c r="BN22" s="92">
        <f t="shared" si="28"/>
        <v>0</v>
      </c>
      <c r="BO22" s="92">
        <f t="shared" si="28"/>
        <v>0</v>
      </c>
      <c r="BP22" s="92">
        <f t="shared" si="28"/>
        <v>0</v>
      </c>
      <c r="BQ22" s="92">
        <f t="shared" si="28"/>
        <v>0</v>
      </c>
      <c r="BR22" s="92">
        <f t="shared" ref="BR22:BW22" si="29">IF(AND(BR10&lt;&gt;"",BR10&gt;0),(VLOOKUP(BR$6,$CC$6:$CE$12,3,0)*BR10)/SUM($BR10:$BV10),0)</f>
        <v>0</v>
      </c>
      <c r="BS22" s="92">
        <f t="shared" si="29"/>
        <v>0</v>
      </c>
      <c r="BT22" s="92">
        <f t="shared" si="29"/>
        <v>0</v>
      </c>
      <c r="BU22" s="92">
        <f t="shared" si="29"/>
        <v>0</v>
      </c>
      <c r="BV22" s="92">
        <f t="shared" si="29"/>
        <v>0</v>
      </c>
      <c r="BW22" s="92">
        <f t="shared" si="29"/>
        <v>0</v>
      </c>
    </row>
    <row r="23" spans="2:75" x14ac:dyDescent="0.3">
      <c r="B23" s="74">
        <v>5</v>
      </c>
      <c r="C23" s="147" t="s">
        <v>89</v>
      </c>
      <c r="D23" s="76"/>
      <c r="E23" s="77"/>
      <c r="F23" s="78">
        <f t="shared" si="0"/>
        <v>0</v>
      </c>
      <c r="G23" s="77">
        <f t="shared" si="0"/>
        <v>0</v>
      </c>
      <c r="H23" s="78">
        <f t="shared" si="0"/>
        <v>0</v>
      </c>
      <c r="I23" s="69">
        <f t="shared" si="0"/>
        <v>0</v>
      </c>
      <c r="J23" s="91">
        <f t="shared" si="1"/>
        <v>0</v>
      </c>
      <c r="K23" s="92">
        <f t="shared" si="1"/>
        <v>0</v>
      </c>
      <c r="L23" s="92">
        <f t="shared" si="1"/>
        <v>0.33333333333333331</v>
      </c>
      <c r="M23" s="92">
        <f t="shared" ref="M23:N23" si="30">IF(AND(M11&lt;&gt;"",M11&gt;0),(VLOOKUP(M$6,$CC$6:$CE$12,3,0)*M11)/SUM($J11:$N11),0)</f>
        <v>2.2222222222222223</v>
      </c>
      <c r="N23" s="92">
        <f t="shared" si="30"/>
        <v>1.6666666666666667</v>
      </c>
      <c r="O23" s="92">
        <f t="shared" si="14"/>
        <v>0</v>
      </c>
      <c r="P23" s="91">
        <f t="shared" si="2"/>
        <v>0</v>
      </c>
      <c r="Q23" s="92">
        <f t="shared" si="2"/>
        <v>0</v>
      </c>
      <c r="R23" s="92">
        <f t="shared" si="2"/>
        <v>0</v>
      </c>
      <c r="S23" s="92">
        <f t="shared" si="2"/>
        <v>2.1818181818181817</v>
      </c>
      <c r="T23" s="92">
        <f t="shared" si="2"/>
        <v>2.2727272727272729</v>
      </c>
      <c r="U23" s="92">
        <f t="shared" si="3"/>
        <v>0</v>
      </c>
      <c r="V23" s="91">
        <f t="shared" si="4"/>
        <v>0</v>
      </c>
      <c r="W23" s="92">
        <f t="shared" si="4"/>
        <v>0</v>
      </c>
      <c r="X23" s="92">
        <f t="shared" si="4"/>
        <v>0</v>
      </c>
      <c r="Y23" s="92">
        <f t="shared" si="4"/>
        <v>3.2</v>
      </c>
      <c r="Z23" s="92">
        <f t="shared" si="4"/>
        <v>1</v>
      </c>
      <c r="AA23" s="92">
        <f t="shared" si="15"/>
        <v>0</v>
      </c>
      <c r="AB23" s="91">
        <f t="shared" si="5"/>
        <v>0</v>
      </c>
      <c r="AC23" s="92">
        <f t="shared" si="5"/>
        <v>0</v>
      </c>
      <c r="AD23" s="92">
        <f t="shared" si="5"/>
        <v>0</v>
      </c>
      <c r="AE23" s="92">
        <f t="shared" si="5"/>
        <v>3.2727272727272729</v>
      </c>
      <c r="AF23" s="92">
        <f t="shared" si="5"/>
        <v>0.90909090909090906</v>
      </c>
      <c r="AG23" s="92">
        <f t="shared" si="24"/>
        <v>0</v>
      </c>
      <c r="AH23" s="91">
        <f t="shared" si="6"/>
        <v>0</v>
      </c>
      <c r="AI23" s="92">
        <f t="shared" si="6"/>
        <v>0</v>
      </c>
      <c r="AJ23" s="92">
        <f t="shared" si="6"/>
        <v>0.27272727272727271</v>
      </c>
      <c r="AK23" s="92">
        <f t="shared" si="6"/>
        <v>2.1818181818181817</v>
      </c>
      <c r="AL23" s="92">
        <f t="shared" si="6"/>
        <v>1.8181818181818181</v>
      </c>
      <c r="AM23" s="92">
        <f t="shared" si="16"/>
        <v>0</v>
      </c>
      <c r="AN23" s="91">
        <f t="shared" si="7"/>
        <v>0</v>
      </c>
      <c r="AO23" s="92">
        <f t="shared" si="7"/>
        <v>0</v>
      </c>
      <c r="AP23" s="92">
        <f t="shared" si="7"/>
        <v>0</v>
      </c>
      <c r="AQ23" s="92">
        <f t="shared" si="7"/>
        <v>0</v>
      </c>
      <c r="AR23" s="92">
        <f t="shared" si="7"/>
        <v>0</v>
      </c>
      <c r="AS23" s="92">
        <f t="shared" si="17"/>
        <v>0</v>
      </c>
      <c r="AT23" s="91">
        <f t="shared" si="8"/>
        <v>0</v>
      </c>
      <c r="AU23" s="92">
        <f t="shared" si="8"/>
        <v>0</v>
      </c>
      <c r="AV23" s="92">
        <f t="shared" si="8"/>
        <v>0</v>
      </c>
      <c r="AW23" s="92">
        <f t="shared" si="8"/>
        <v>0</v>
      </c>
      <c r="AX23" s="92">
        <f t="shared" si="8"/>
        <v>0</v>
      </c>
      <c r="AY23" s="92">
        <f>IF(AND(AY11&lt;&gt;"",AY11&gt;0),(VLOOKUP(AY$6,$CC$6:$CE$12,3,0)*AY11)/SUM($AT11:$AX11),0)</f>
        <v>0</v>
      </c>
      <c r="AZ23" s="91">
        <f t="shared" si="9"/>
        <v>0</v>
      </c>
      <c r="BA23" s="92">
        <f t="shared" si="9"/>
        <v>0</v>
      </c>
      <c r="BB23" s="92">
        <f t="shared" si="9"/>
        <v>0</v>
      </c>
      <c r="BC23" s="92">
        <f t="shared" si="9"/>
        <v>0</v>
      </c>
      <c r="BD23" s="92">
        <f>IF(AND(BD11&lt;&gt;"",BD11&gt;0),(VLOOKUP(BD$6,$CC$6:$CE$11,3,0)*BD11)/SUM($AZ11:$BD11),0)</f>
        <v>0</v>
      </c>
      <c r="BE23" s="92">
        <f t="shared" si="19"/>
        <v>0</v>
      </c>
      <c r="BF23" s="92">
        <f t="shared" si="20"/>
        <v>0</v>
      </c>
      <c r="BG23" s="92">
        <f t="shared" si="20"/>
        <v>0</v>
      </c>
      <c r="BH23" s="92">
        <f t="shared" si="20"/>
        <v>0</v>
      </c>
      <c r="BI23" s="92">
        <f t="shared" si="20"/>
        <v>0</v>
      </c>
      <c r="BJ23" s="92">
        <f t="shared" si="20"/>
        <v>0</v>
      </c>
      <c r="BK23" s="92">
        <f>IF(AND(BK11&lt;&gt;"",BK11&gt;0),(VLOOKUP(BK$6,$CC$6:$CE$12,3,0)*BK11)/SUM($BF11:$BJ11),0)</f>
        <v>0</v>
      </c>
      <c r="BL23" s="92">
        <f t="shared" ref="BL23:BQ23" si="31">IF(AND(BL11&lt;&gt;"",BL11&gt;0),(VLOOKUP(BL$6,$CC$6:$CE$12,3,0)*BL11)/SUM($BL11:$BP11),0)</f>
        <v>0</v>
      </c>
      <c r="BM23" s="92">
        <f t="shared" si="31"/>
        <v>0</v>
      </c>
      <c r="BN23" s="92">
        <f t="shared" si="31"/>
        <v>0</v>
      </c>
      <c r="BO23" s="92">
        <f t="shared" si="31"/>
        <v>0</v>
      </c>
      <c r="BP23" s="92">
        <f t="shared" si="31"/>
        <v>0</v>
      </c>
      <c r="BQ23" s="92">
        <f t="shared" si="31"/>
        <v>0</v>
      </c>
      <c r="BR23" s="92">
        <f t="shared" ref="BR23:BW23" si="32">IF(AND(BR11&lt;&gt;"",BR11&gt;0),(VLOOKUP(BR$6,$CC$6:$CE$12,3,0)*BR11)/SUM($BR11:$BV11),0)</f>
        <v>0</v>
      </c>
      <c r="BS23" s="92">
        <f t="shared" si="32"/>
        <v>0</v>
      </c>
      <c r="BT23" s="92">
        <f t="shared" si="32"/>
        <v>0</v>
      </c>
      <c r="BU23" s="92">
        <f t="shared" si="32"/>
        <v>0</v>
      </c>
      <c r="BV23" s="92">
        <f t="shared" si="32"/>
        <v>0</v>
      </c>
      <c r="BW23" s="92">
        <f t="shared" si="32"/>
        <v>0</v>
      </c>
    </row>
    <row r="24" spans="2:75" x14ac:dyDescent="0.3">
      <c r="D24" s="85"/>
      <c r="E24" s="85"/>
      <c r="F24" s="86">
        <f t="shared" si="0"/>
        <v>0</v>
      </c>
      <c r="G24" s="85">
        <f t="shared" si="0"/>
        <v>0</v>
      </c>
      <c r="H24" s="86">
        <f t="shared" si="0"/>
        <v>0</v>
      </c>
      <c r="I24" s="85">
        <f t="shared" si="0"/>
        <v>0</v>
      </c>
    </row>
    <row r="25" spans="2:75" x14ac:dyDescent="0.3">
      <c r="D25" s="85"/>
      <c r="E25" s="85"/>
      <c r="F25" s="86"/>
      <c r="G25" s="85"/>
      <c r="H25" s="86"/>
      <c r="I25" s="85"/>
    </row>
    <row r="26" spans="2:75" x14ac:dyDescent="0.3">
      <c r="D26" s="85"/>
      <c r="E26" s="85"/>
      <c r="F26" s="86"/>
      <c r="G26" s="85"/>
      <c r="H26" s="86"/>
      <c r="I26" s="85"/>
      <c r="J26" s="96"/>
    </row>
    <row r="27" spans="2:75" ht="15.6" x14ac:dyDescent="0.3">
      <c r="D27" s="85"/>
      <c r="E27" s="85"/>
      <c r="F27" s="86"/>
      <c r="G27" s="85"/>
      <c r="H27" s="86"/>
      <c r="I27" s="85"/>
      <c r="K27" s="97" t="s">
        <v>502</v>
      </c>
    </row>
    <row r="28" spans="2:75" x14ac:dyDescent="0.3">
      <c r="D28" s="85"/>
      <c r="E28" s="85"/>
      <c r="F28" s="86"/>
      <c r="G28" s="85"/>
      <c r="H28" s="86"/>
      <c r="I28" s="85"/>
    </row>
    <row r="29" spans="2:75" x14ac:dyDescent="0.3">
      <c r="D29" s="85"/>
      <c r="E29" s="85"/>
      <c r="F29" s="86"/>
      <c r="G29" s="85"/>
      <c r="H29" s="86"/>
      <c r="I29" s="85"/>
    </row>
    <row r="30" spans="2:75" x14ac:dyDescent="0.3">
      <c r="U30" s="98"/>
    </row>
    <row r="31" spans="2:75" x14ac:dyDescent="0.3">
      <c r="E31" s="185" t="s">
        <v>474</v>
      </c>
      <c r="F31" s="187" t="s">
        <v>5</v>
      </c>
      <c r="G31" s="188"/>
      <c r="H31" s="188"/>
      <c r="I31" s="189"/>
      <c r="J31" s="193" t="s">
        <v>503</v>
      </c>
      <c r="K31" s="194"/>
      <c r="L31" s="194"/>
      <c r="M31" s="194"/>
      <c r="N31" s="194"/>
      <c r="O31" s="194"/>
      <c r="P31" s="194"/>
      <c r="Q31" s="194"/>
      <c r="R31" s="194"/>
      <c r="S31" s="194"/>
      <c r="T31" s="194"/>
    </row>
    <row r="32" spans="2:75" x14ac:dyDescent="0.3">
      <c r="E32" s="186"/>
      <c r="F32" s="190"/>
      <c r="G32" s="191"/>
      <c r="H32" s="191"/>
      <c r="I32" s="192"/>
      <c r="J32" s="99">
        <v>1</v>
      </c>
      <c r="K32" s="100">
        <v>2</v>
      </c>
      <c r="L32" s="100">
        <v>3</v>
      </c>
      <c r="M32" s="100">
        <v>4</v>
      </c>
      <c r="N32" s="100">
        <v>5</v>
      </c>
      <c r="O32" s="100">
        <v>6</v>
      </c>
      <c r="P32" s="100">
        <v>7</v>
      </c>
      <c r="Q32" s="100">
        <v>8</v>
      </c>
      <c r="R32" s="155">
        <v>9</v>
      </c>
      <c r="S32" s="155">
        <v>10</v>
      </c>
      <c r="T32" s="155">
        <v>11</v>
      </c>
      <c r="U32" s="101" t="s">
        <v>504</v>
      </c>
      <c r="X32" s="101" t="s">
        <v>454</v>
      </c>
    </row>
    <row r="33" spans="5:24" x14ac:dyDescent="0.3">
      <c r="E33" s="65">
        <v>1</v>
      </c>
      <c r="F33" s="102" t="s">
        <v>66</v>
      </c>
      <c r="G33" s="103"/>
      <c r="H33" s="103"/>
      <c r="I33" s="104"/>
      <c r="J33" s="105">
        <f>SUM(J19:O19)</f>
        <v>4.4782608695652177</v>
      </c>
      <c r="K33" s="105">
        <f>SUM(P19:U19)</f>
        <v>4.4545454545454541</v>
      </c>
      <c r="L33" s="105">
        <f>SUM(V19:AA19)</f>
        <v>4.5833333333333339</v>
      </c>
      <c r="M33" s="105">
        <f>SUM(AB19:AG19)</f>
        <v>4.28</v>
      </c>
      <c r="N33" s="105">
        <f>SUM(AH19:AM19)</f>
        <v>4.2857142857142856</v>
      </c>
      <c r="O33" s="105">
        <f>SUM(AN19:AS19)</f>
        <v>0</v>
      </c>
      <c r="P33" s="105">
        <f>SUM(AT19:AY19)</f>
        <v>0</v>
      </c>
      <c r="Q33" s="105">
        <f>SUM(AZ19:BE19)</f>
        <v>0</v>
      </c>
      <c r="R33" s="105">
        <f>SUM(BF19:BK19)</f>
        <v>0</v>
      </c>
      <c r="S33" s="156">
        <f>SUM(BL19:BQ19)</f>
        <v>0</v>
      </c>
      <c r="T33" s="156">
        <f>SUM(BR19:BW19)</f>
        <v>0</v>
      </c>
      <c r="U33" s="106">
        <f>IFERROR(AVERAGEIF(J33:Q33,"&gt;0",J33:Q33),0)</f>
        <v>4.4163707886316583</v>
      </c>
      <c r="V33" s="107"/>
      <c r="X33" s="106">
        <v>4.4600389863547756</v>
      </c>
    </row>
    <row r="34" spans="5:24" x14ac:dyDescent="0.3">
      <c r="E34" s="74">
        <v>2</v>
      </c>
      <c r="F34" s="108" t="s">
        <v>70</v>
      </c>
      <c r="I34" s="109"/>
      <c r="J34" s="110">
        <f>SUM(J20:O20)</f>
        <v>4.666666666666667</v>
      </c>
      <c r="K34" s="110">
        <f>SUM(P20:U20)</f>
        <v>4.2941176470588234</v>
      </c>
      <c r="L34" s="110">
        <f>SUM(V20:AA20)</f>
        <v>4.5</v>
      </c>
      <c r="M34" s="110">
        <f>SUM(AB20:AG20)</f>
        <v>4.1764705882352944</v>
      </c>
      <c r="N34" s="110">
        <f>SUM(AH20:AM20)</f>
        <v>4.166666666666667</v>
      </c>
      <c r="O34" s="110">
        <f>SUM(AN20:AS20)</f>
        <v>0</v>
      </c>
      <c r="P34" s="110">
        <f>SUM(AT20:AY20)</f>
        <v>0</v>
      </c>
      <c r="Q34" s="110">
        <f>SUM(AZ20:BE20)</f>
        <v>0</v>
      </c>
      <c r="R34" s="105">
        <f t="shared" ref="R34:R37" si="33">SUM(BF20:BK20)</f>
        <v>0</v>
      </c>
      <c r="S34" s="156">
        <f t="shared" ref="S34:S37" si="34">SUM(BL20:BQ20)</f>
        <v>0</v>
      </c>
      <c r="T34" s="156">
        <f t="shared" ref="T34:T37" si="35">SUM(BR20:BW20)</f>
        <v>0</v>
      </c>
      <c r="U34" s="111">
        <f>IFERROR(AVERAGEIF(J34:Q34,"&gt;0",J34:Q34),0)</f>
        <v>4.3607843137254907</v>
      </c>
      <c r="V34" s="107"/>
      <c r="X34" s="112">
        <v>4.1269999999999998</v>
      </c>
    </row>
    <row r="35" spans="5:24" x14ac:dyDescent="0.3">
      <c r="E35" s="74">
        <v>3</v>
      </c>
      <c r="F35" s="108" t="s">
        <v>62</v>
      </c>
      <c r="I35" s="109"/>
      <c r="J35" s="110">
        <f>SUM(J21:O21)</f>
        <v>4.6363636363636367</v>
      </c>
      <c r="K35" s="110">
        <f>SUM(P21:U21)</f>
        <v>4.4000000000000004</v>
      </c>
      <c r="L35" s="110">
        <f>SUM(V21:AA21)</f>
        <v>4.625</v>
      </c>
      <c r="M35" s="110">
        <f>SUM(AB21:AG21)</f>
        <v>4.666666666666667</v>
      </c>
      <c r="N35" s="110">
        <f>SUM(AH21:AM21)</f>
        <v>4.7272727272727266</v>
      </c>
      <c r="O35" s="110">
        <f>SUM(AN21:AS21)</f>
        <v>0</v>
      </c>
      <c r="P35" s="110">
        <f>SUM(AT21:AY21)</f>
        <v>0</v>
      </c>
      <c r="Q35" s="110">
        <f>SUM(AZ21:BE21)</f>
        <v>0</v>
      </c>
      <c r="R35" s="105">
        <f t="shared" si="33"/>
        <v>0</v>
      </c>
      <c r="S35" s="156">
        <f t="shared" si="34"/>
        <v>0</v>
      </c>
      <c r="T35" s="156">
        <f>SUM(BR21:BW21)</f>
        <v>0</v>
      </c>
      <c r="U35" s="111">
        <f>IFERROR(AVERAGEIF(J35:Q35,"&gt;0",J35:Q35),0)</f>
        <v>4.6110606060606063</v>
      </c>
      <c r="V35" s="107"/>
      <c r="X35" s="112">
        <v>4.0410000000000004</v>
      </c>
    </row>
    <row r="36" spans="5:24" x14ac:dyDescent="0.3">
      <c r="E36" s="74">
        <v>4</v>
      </c>
      <c r="F36" s="108" t="s">
        <v>74</v>
      </c>
      <c r="I36" s="109"/>
      <c r="J36" s="110">
        <f>SUM(J22:O22)</f>
        <v>4.25</v>
      </c>
      <c r="K36" s="110">
        <f>SUM(P22:U22)</f>
        <v>4.1428571428571423</v>
      </c>
      <c r="L36" s="110">
        <f>SUM(V22:AA22)</f>
        <v>4</v>
      </c>
      <c r="M36" s="110">
        <f>SUM(AB22:AG22)</f>
        <v>4.166666666666667</v>
      </c>
      <c r="N36" s="110">
        <f>SUM(AH22:AM22)</f>
        <v>3.875</v>
      </c>
      <c r="O36" s="110">
        <f>SUM(AN22:AS22)</f>
        <v>0</v>
      </c>
      <c r="P36" s="110">
        <f>SUM(AT22:AY22)</f>
        <v>0</v>
      </c>
      <c r="Q36" s="110">
        <f>SUM(AZ22:BE22)</f>
        <v>0</v>
      </c>
      <c r="R36" s="105">
        <f>SUM(BF22:BK22)</f>
        <v>0</v>
      </c>
      <c r="S36" s="156">
        <f t="shared" si="34"/>
        <v>0</v>
      </c>
      <c r="T36" s="156">
        <f t="shared" si="35"/>
        <v>0</v>
      </c>
      <c r="U36" s="111">
        <f>IFERROR(AVERAGEIF(J36:Q36,"&gt;0",J36:Q36),0)</f>
        <v>4.086904761904762</v>
      </c>
      <c r="V36" s="107"/>
      <c r="X36" s="112">
        <v>4.1500000000000004</v>
      </c>
    </row>
    <row r="37" spans="5:24" x14ac:dyDescent="0.3">
      <c r="E37" s="74">
        <v>5</v>
      </c>
      <c r="F37" s="108" t="s">
        <v>89</v>
      </c>
      <c r="I37" s="109"/>
      <c r="J37" s="110">
        <f>SUM(J23:O23)</f>
        <v>4.2222222222222223</v>
      </c>
      <c r="K37" s="110">
        <f>SUM(P23:U23)</f>
        <v>4.454545454545455</v>
      </c>
      <c r="L37" s="110">
        <f>SUM(V23:AA23)</f>
        <v>4.2</v>
      </c>
      <c r="M37" s="110">
        <f>SUM(AB23:AG23)</f>
        <v>4.1818181818181817</v>
      </c>
      <c r="N37" s="110">
        <f>SUM(AH23:AM23)</f>
        <v>4.2727272727272725</v>
      </c>
      <c r="O37" s="110">
        <f>SUM(AN23:AS23)</f>
        <v>0</v>
      </c>
      <c r="P37" s="110">
        <f>SUM(AT23:AY23)</f>
        <v>0</v>
      </c>
      <c r="Q37" s="110">
        <f>SUM(AZ23:BE23)</f>
        <v>0</v>
      </c>
      <c r="R37" s="105">
        <f t="shared" si="33"/>
        <v>0</v>
      </c>
      <c r="S37" s="156">
        <f t="shared" si="34"/>
        <v>0</v>
      </c>
      <c r="T37" s="156">
        <f t="shared" si="35"/>
        <v>0</v>
      </c>
      <c r="U37" s="113">
        <f>IFERROR(AVERAGEIF(J37:Q37,"&gt;0",J37:Q37),0)</f>
        <v>4.266262626262626</v>
      </c>
      <c r="V37" s="107"/>
      <c r="X37" s="113">
        <v>4.5289999999999999</v>
      </c>
    </row>
    <row r="39" spans="5:24" ht="15.6" x14ac:dyDescent="0.3">
      <c r="J39" s="178" t="s">
        <v>489</v>
      </c>
      <c r="K39" s="178"/>
      <c r="L39" s="178"/>
      <c r="O39" s="97"/>
    </row>
    <row r="40" spans="5:24" x14ac:dyDescent="0.3">
      <c r="J40" s="64" t="s">
        <v>497</v>
      </c>
      <c r="K40" s="64" t="s">
        <v>498</v>
      </c>
      <c r="L40" s="64" t="s">
        <v>499</v>
      </c>
    </row>
    <row r="41" spans="5:24" x14ac:dyDescent="0.3">
      <c r="J41" s="72" t="s">
        <v>491</v>
      </c>
      <c r="K41" s="72" t="s">
        <v>471</v>
      </c>
      <c r="L41" s="73">
        <v>1</v>
      </c>
    </row>
    <row r="42" spans="5:24" x14ac:dyDescent="0.3">
      <c r="J42" s="72" t="s">
        <v>492</v>
      </c>
      <c r="K42" s="72" t="s">
        <v>470</v>
      </c>
      <c r="L42" s="73">
        <v>2</v>
      </c>
    </row>
    <row r="43" spans="5:24" x14ac:dyDescent="0.3">
      <c r="J43" s="72" t="s">
        <v>493</v>
      </c>
      <c r="K43" s="72" t="s">
        <v>469</v>
      </c>
      <c r="L43" s="73">
        <v>3</v>
      </c>
    </row>
    <row r="44" spans="5:24" x14ac:dyDescent="0.3">
      <c r="J44" s="72" t="s">
        <v>494</v>
      </c>
      <c r="K44" s="72" t="s">
        <v>467</v>
      </c>
      <c r="L44" s="73">
        <v>4</v>
      </c>
    </row>
    <row r="45" spans="5:24" x14ac:dyDescent="0.3">
      <c r="J45" s="72" t="s">
        <v>495</v>
      </c>
      <c r="K45" s="72" t="s">
        <v>468</v>
      </c>
      <c r="L45" s="73">
        <v>5</v>
      </c>
    </row>
    <row r="46" spans="5:24" x14ac:dyDescent="0.3">
      <c r="J46" s="72" t="s">
        <v>496</v>
      </c>
      <c r="K46" s="72" t="s">
        <v>473</v>
      </c>
      <c r="L46" s="73">
        <v>0</v>
      </c>
    </row>
    <row r="54" spans="10:10" ht="18" x14ac:dyDescent="0.4">
      <c r="J54" t="s">
        <v>505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10" priority="14">
      <formula>J7=""</formula>
    </cfRule>
  </conditionalFormatting>
  <conditionalFormatting sqref="P19:AF23 AH19:BK23 J19:N23">
    <cfRule type="expression" dxfId="9" priority="13">
      <formula>J19=0</formula>
    </cfRule>
  </conditionalFormatting>
  <conditionalFormatting sqref="BF7:BK11">
    <cfRule type="expression" dxfId="8" priority="12">
      <formula>BF7=""</formula>
    </cfRule>
  </conditionalFormatting>
  <conditionalFormatting sqref="BL7:BQ11">
    <cfRule type="expression" dxfId="7" priority="11">
      <formula>BL7=""</formula>
    </cfRule>
  </conditionalFormatting>
  <conditionalFormatting sqref="BR7:BW11">
    <cfRule type="expression" dxfId="6" priority="10">
      <formula>BR7=""</formula>
    </cfRule>
  </conditionalFormatting>
  <conditionalFormatting sqref="O19:O23">
    <cfRule type="expression" dxfId="5" priority="4">
      <formula>O19=0</formula>
    </cfRule>
  </conditionalFormatting>
  <conditionalFormatting sqref="AG19:AG23">
    <cfRule type="expression" dxfId="4" priority="3">
      <formula>AG19=0</formula>
    </cfRule>
  </conditionalFormatting>
  <conditionalFormatting sqref="BL19:BQ23">
    <cfRule type="expression" dxfId="3" priority="2">
      <formula>BL19=0</formula>
    </cfRule>
  </conditionalFormatting>
  <conditionalFormatting sqref="BR19:BW23">
    <cfRule type="expression" dxfId="2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F2A83-2721-470A-A37A-35F29B5116E4}">
  <sheetPr codeName="Hoja4"/>
  <dimension ref="A1:L18"/>
  <sheetViews>
    <sheetView workbookViewId="0">
      <pane ySplit="1" topLeftCell="A2" activePane="bottomLeft" state="frozenSplit"/>
      <selection pane="bottomLeft" sqref="A1:A1048507"/>
    </sheetView>
  </sheetViews>
  <sheetFormatPr baseColWidth="10" defaultRowHeight="14.4" x14ac:dyDescent="0.3"/>
  <cols>
    <col min="1" max="1" width="161" bestFit="1" customWidth="1"/>
  </cols>
  <sheetData>
    <row r="1" spans="1:12" x14ac:dyDescent="0.3">
      <c r="A1" s="163" t="s">
        <v>626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</row>
    <row r="3" spans="1:12" x14ac:dyDescent="0.3">
      <c r="A3" t="s">
        <v>468</v>
      </c>
    </row>
    <row r="4" spans="1:12" x14ac:dyDescent="0.3">
      <c r="A4" t="s">
        <v>596</v>
      </c>
    </row>
    <row r="5" spans="1:12" x14ac:dyDescent="0.3">
      <c r="A5" t="s">
        <v>598</v>
      </c>
    </row>
    <row r="6" spans="1:12" x14ac:dyDescent="0.3">
      <c r="A6" t="s">
        <v>600</v>
      </c>
    </row>
    <row r="7" spans="1:12" x14ac:dyDescent="0.3">
      <c r="A7" t="s">
        <v>603</v>
      </c>
    </row>
    <row r="8" spans="1:12" x14ac:dyDescent="0.3">
      <c r="A8" t="s">
        <v>607</v>
      </c>
    </row>
    <row r="9" spans="1:12" x14ac:dyDescent="0.3">
      <c r="A9" t="s">
        <v>467</v>
      </c>
    </row>
    <row r="10" spans="1:12" x14ac:dyDescent="0.3">
      <c r="A10" t="s">
        <v>608</v>
      </c>
    </row>
    <row r="11" spans="1:12" x14ac:dyDescent="0.3">
      <c r="A11" t="s">
        <v>610</v>
      </c>
    </row>
    <row r="12" spans="1:12" x14ac:dyDescent="0.3">
      <c r="A12" s="122" t="s">
        <v>612</v>
      </c>
    </row>
    <row r="13" spans="1:12" x14ac:dyDescent="0.3">
      <c r="A13" s="122" t="s">
        <v>612</v>
      </c>
    </row>
    <row r="14" spans="1:12" x14ac:dyDescent="0.3">
      <c r="A14" t="s">
        <v>616</v>
      </c>
    </row>
    <row r="15" spans="1:12" x14ac:dyDescent="0.3">
      <c r="A15" t="s">
        <v>620</v>
      </c>
    </row>
    <row r="16" spans="1:12" x14ac:dyDescent="0.3">
      <c r="A16" t="s">
        <v>621</v>
      </c>
    </row>
    <row r="17" spans="1:1" x14ac:dyDescent="0.3">
      <c r="A17" t="s">
        <v>622</v>
      </c>
    </row>
    <row r="18" spans="1:1" x14ac:dyDescent="0.3">
      <c r="A18" t="s">
        <v>624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E0101-4A3D-44F6-A892-6A957EDBC4C8}">
  <sheetPr codeName="Hoja5"/>
  <dimension ref="A1:G426"/>
  <sheetViews>
    <sheetView topLeftCell="A10" workbookViewId="0">
      <selection activeCell="E1" sqref="E1"/>
    </sheetView>
  </sheetViews>
  <sheetFormatPr baseColWidth="10" defaultRowHeight="14.4" x14ac:dyDescent="0.3"/>
  <cols>
    <col min="1" max="1" width="18.33203125" customWidth="1"/>
  </cols>
  <sheetData>
    <row r="1" spans="1:7" x14ac:dyDescent="0.3">
      <c r="A1" t="s">
        <v>586</v>
      </c>
      <c r="B1" t="s">
        <v>452</v>
      </c>
      <c r="C1" t="s">
        <v>629</v>
      </c>
      <c r="D1" t="s">
        <v>58</v>
      </c>
      <c r="E1" t="s">
        <v>5</v>
      </c>
    </row>
    <row r="2" spans="1:7" x14ac:dyDescent="0.3">
      <c r="A2" s="165" t="s">
        <v>138</v>
      </c>
      <c r="B2" t="s">
        <v>13</v>
      </c>
      <c r="C2" s="168">
        <v>4</v>
      </c>
      <c r="D2" t="str">
        <f>VLOOKUP(A2,DataUsuario!B:D,2,FALSE)</f>
        <v>Gestión Humana y Sostenibilidad</v>
      </c>
      <c r="E2" t="str">
        <f>VLOOKUP(A2,DataUsuario!B:D,3,FALSE)</f>
        <v>Gestion del Talento</v>
      </c>
    </row>
    <row r="3" spans="1:7" x14ac:dyDescent="0.3">
      <c r="A3" s="166" t="s">
        <v>207</v>
      </c>
      <c r="B3" t="s">
        <v>13</v>
      </c>
      <c r="C3" s="169">
        <v>5</v>
      </c>
      <c r="D3" t="str">
        <f>VLOOKUP(A3,DataUsuario!B:D,2,FALSE)</f>
        <v>Administración y Finanzas</v>
      </c>
      <c r="E3" t="str">
        <f>VLOOKUP(A3,DataUsuario!B:D,3,FALSE)</f>
        <v>Riesgos y Cumplimiento</v>
      </c>
    </row>
    <row r="4" spans="1:7" x14ac:dyDescent="0.3">
      <c r="A4" s="165" t="s">
        <v>322</v>
      </c>
      <c r="B4" t="s">
        <v>13</v>
      </c>
      <c r="C4" s="168">
        <v>3</v>
      </c>
      <c r="D4" t="str">
        <f>VLOOKUP(A4,DataUsuario!B:D,2,FALSE)</f>
        <v>Administración y Finanzas</v>
      </c>
      <c r="E4" t="str">
        <f>VLOOKUP(A4,DataUsuario!B:D,3,FALSE)</f>
        <v>Finanzas y Tesorería</v>
      </c>
      <c r="G4" t="s">
        <v>13</v>
      </c>
    </row>
    <row r="5" spans="1:7" x14ac:dyDescent="0.3">
      <c r="A5" s="166" t="s">
        <v>133</v>
      </c>
      <c r="B5" t="s">
        <v>13</v>
      </c>
      <c r="C5" s="169" t="s">
        <v>627</v>
      </c>
      <c r="D5" t="str">
        <f>VLOOKUP(A5,DataUsuario!B:D,2,FALSE)</f>
        <v>Industrial y de Mantenimiento</v>
      </c>
      <c r="E5" t="str">
        <f>VLOOKUP(A5,DataUsuario!B:D,3,FALSE)</f>
        <v>Electricidad</v>
      </c>
      <c r="G5" t="s">
        <v>14</v>
      </c>
    </row>
    <row r="6" spans="1:7" x14ac:dyDescent="0.3">
      <c r="A6" s="165" t="s">
        <v>299</v>
      </c>
      <c r="B6" t="s">
        <v>13</v>
      </c>
      <c r="C6" s="168">
        <v>3</v>
      </c>
      <c r="D6" t="str">
        <f>VLOOKUP(A6,DataUsuario!B:D,2,FALSE)</f>
        <v>Administración y Finanzas</v>
      </c>
      <c r="E6" t="str">
        <f>VLOOKUP(A6,DataUsuario!B:D,3,FALSE)</f>
        <v>Legal</v>
      </c>
      <c r="G6" t="s">
        <v>15</v>
      </c>
    </row>
    <row r="7" spans="1:7" x14ac:dyDescent="0.3">
      <c r="A7" s="166" t="s">
        <v>421</v>
      </c>
      <c r="B7" t="s">
        <v>13</v>
      </c>
      <c r="C7" s="169">
        <v>4</v>
      </c>
      <c r="D7" t="str">
        <f>VLOOKUP(A7,DataUsuario!B:D,2,FALSE)</f>
        <v>Operaciones</v>
      </c>
      <c r="E7" t="str">
        <f>VLOOKUP(A7,DataUsuario!B:D,3,FALSE)</f>
        <v>Cosecha</v>
      </c>
      <c r="G7" t="s">
        <v>16</v>
      </c>
    </row>
    <row r="8" spans="1:7" x14ac:dyDescent="0.3">
      <c r="A8" s="165" t="s">
        <v>258</v>
      </c>
      <c r="B8" t="s">
        <v>13</v>
      </c>
      <c r="C8" s="168">
        <v>4</v>
      </c>
      <c r="D8" t="str">
        <f>VLOOKUP(A8,DataUsuario!B:D,2,FALSE)</f>
        <v>Operaciones</v>
      </c>
      <c r="E8" t="str">
        <f>VLOOKUP(A8,DataUsuario!B:D,3,FALSE)</f>
        <v>Calidad</v>
      </c>
      <c r="G8" t="s">
        <v>17</v>
      </c>
    </row>
    <row r="9" spans="1:7" x14ac:dyDescent="0.3">
      <c r="A9" s="166" t="s">
        <v>152</v>
      </c>
      <c r="B9" t="s">
        <v>13</v>
      </c>
      <c r="C9" s="169">
        <v>5</v>
      </c>
      <c r="D9" t="str">
        <f>VLOOKUP(A9,DataUsuario!B:D,2,FALSE)</f>
        <v>Operaciones</v>
      </c>
      <c r="E9" t="str">
        <f>VLOOKUP(A9,DataUsuario!B:D,3,FALSE)</f>
        <v>Almacenes y Distribución PT</v>
      </c>
    </row>
    <row r="10" spans="1:7" x14ac:dyDescent="0.3">
      <c r="A10" s="165" t="s">
        <v>77</v>
      </c>
      <c r="B10" t="s">
        <v>13</v>
      </c>
      <c r="C10" s="168">
        <v>5</v>
      </c>
      <c r="D10" t="str">
        <f>VLOOKUP(A10,DataUsuario!B:D,2,FALSE)</f>
        <v>Operaciones</v>
      </c>
      <c r="E10" t="str">
        <f>VLOOKUP(A10,DataUsuario!B:D,3,FALSE)</f>
        <v>Comercial No Giro</v>
      </c>
    </row>
    <row r="11" spans="1:7" x14ac:dyDescent="0.3">
      <c r="A11" s="166" t="s">
        <v>435</v>
      </c>
      <c r="B11" t="s">
        <v>13</v>
      </c>
      <c r="C11" s="169">
        <v>5</v>
      </c>
      <c r="D11" t="str">
        <f>VLOOKUP(A11,DataUsuario!B:D,2,FALSE)</f>
        <v>Operaciones</v>
      </c>
      <c r="E11" t="str">
        <f>VLOOKUP(A11,DataUsuario!B:D,3,FALSE)</f>
        <v>Almacenes y Distribución PT</v>
      </c>
    </row>
    <row r="12" spans="1:7" x14ac:dyDescent="0.3">
      <c r="A12" s="165" t="s">
        <v>405</v>
      </c>
      <c r="B12" t="s">
        <v>13</v>
      </c>
      <c r="C12" s="168" t="s">
        <v>627</v>
      </c>
      <c r="D12" t="str">
        <f>VLOOKUP(A12,DataUsuario!B:D,2,FALSE)</f>
        <v>Administración y Finanzas</v>
      </c>
      <c r="E12" t="str">
        <f>VLOOKUP(A12,DataUsuario!B:D,3,FALSE)</f>
        <v>Finanzas y Tesorería</v>
      </c>
    </row>
    <row r="13" spans="1:7" x14ac:dyDescent="0.3">
      <c r="A13" s="166" t="s">
        <v>594</v>
      </c>
      <c r="B13" t="s">
        <v>13</v>
      </c>
      <c r="C13" s="169" t="s">
        <v>627</v>
      </c>
      <c r="D13" t="str">
        <f>VLOOKUP(A13,DataUsuario!B:D,2,FALSE)</f>
        <v>Administración y Finanzas</v>
      </c>
      <c r="E13" t="str">
        <f>VLOOKUP(A13,DataUsuario!B:D,3,FALSE)</f>
        <v>Compras</v>
      </c>
    </row>
    <row r="14" spans="1:7" x14ac:dyDescent="0.3">
      <c r="A14" s="165" t="s">
        <v>289</v>
      </c>
      <c r="B14" t="s">
        <v>13</v>
      </c>
      <c r="C14" s="168">
        <v>4</v>
      </c>
      <c r="D14" t="str">
        <f>VLOOKUP(A14,DataUsuario!B:D,2,FALSE)</f>
        <v>Agrícola</v>
      </c>
      <c r="E14" t="str">
        <f>VLOOKUP(A14,DataUsuario!B:D,3,FALSE)</f>
        <v>Mantenimiento de Riego y Bombas</v>
      </c>
    </row>
    <row r="15" spans="1:7" x14ac:dyDescent="0.3">
      <c r="A15" s="166" t="s">
        <v>359</v>
      </c>
      <c r="B15" t="s">
        <v>13</v>
      </c>
      <c r="C15" s="169" t="s">
        <v>627</v>
      </c>
      <c r="D15" t="str">
        <f>VLOOKUP(A15,DataUsuario!B:D,2,FALSE)</f>
        <v>Operaciones</v>
      </c>
      <c r="E15" t="str">
        <f>VLOOKUP(A15,DataUsuario!B:D,3,FALSE)</f>
        <v>Gerencia de Operaciones</v>
      </c>
    </row>
    <row r="16" spans="1:7" x14ac:dyDescent="0.3">
      <c r="A16" s="165" t="s">
        <v>145</v>
      </c>
      <c r="B16" t="s">
        <v>13</v>
      </c>
      <c r="C16" s="168">
        <v>4</v>
      </c>
      <c r="D16" t="str">
        <f>VLOOKUP(A16,DataUsuario!B:D,2,FALSE)</f>
        <v>Administración y Finanzas</v>
      </c>
      <c r="E16" t="str">
        <f>VLOOKUP(A16,DataUsuario!B:D,3,FALSE)</f>
        <v>Legal</v>
      </c>
    </row>
    <row r="17" spans="1:5" x14ac:dyDescent="0.3">
      <c r="A17" s="166" t="s">
        <v>597</v>
      </c>
      <c r="B17" t="s">
        <v>13</v>
      </c>
      <c r="C17" s="169">
        <v>5</v>
      </c>
      <c r="D17" t="str">
        <f>VLOOKUP(A17,DataUsuario!B:D,2,FALSE)</f>
        <v>Gestión Humana y Sostenibilidad</v>
      </c>
      <c r="E17" t="str">
        <f>VLOOKUP(A17,DataUsuario!B:D,3,FALSE)</f>
        <v>Seguridad</v>
      </c>
    </row>
    <row r="18" spans="1:5" x14ac:dyDescent="0.3">
      <c r="A18" s="165" t="s">
        <v>82</v>
      </c>
      <c r="B18" t="s">
        <v>13</v>
      </c>
      <c r="C18" s="168">
        <v>4</v>
      </c>
      <c r="D18" t="str">
        <f>VLOOKUP(A18,DataUsuario!B:D,2,FALSE)</f>
        <v>Industrial y de Mantenimiento</v>
      </c>
      <c r="E18" t="str">
        <f>VLOOKUP(A18,DataUsuario!B:D,3,FALSE)</f>
        <v>Producción</v>
      </c>
    </row>
    <row r="19" spans="1:5" x14ac:dyDescent="0.3">
      <c r="A19" s="166" t="s">
        <v>326</v>
      </c>
      <c r="B19" t="s">
        <v>13</v>
      </c>
      <c r="C19" s="169">
        <v>4</v>
      </c>
      <c r="D19" t="str">
        <f>VLOOKUP(A19,DataUsuario!B:D,2,FALSE)</f>
        <v>Operaciones</v>
      </c>
      <c r="E19" t="str">
        <f>VLOOKUP(A19,DataUsuario!B:D,3,FALSE)</f>
        <v>Calidad</v>
      </c>
    </row>
    <row r="20" spans="1:5" x14ac:dyDescent="0.3">
      <c r="A20" s="165" t="s">
        <v>318</v>
      </c>
      <c r="B20" t="s">
        <v>13</v>
      </c>
      <c r="C20" s="168" t="s">
        <v>627</v>
      </c>
      <c r="D20" t="str">
        <f>VLOOKUP(A20,DataUsuario!B:D,2,FALSE)</f>
        <v>Operaciones</v>
      </c>
      <c r="E20" t="str">
        <f>VLOOKUP(A20,DataUsuario!B:D,3,FALSE)</f>
        <v>Cosecha</v>
      </c>
    </row>
    <row r="21" spans="1:5" x14ac:dyDescent="0.3">
      <c r="A21" s="166" t="s">
        <v>391</v>
      </c>
      <c r="B21" t="s">
        <v>13</v>
      </c>
      <c r="C21" s="169">
        <v>5</v>
      </c>
      <c r="D21" t="str">
        <f>VLOOKUP(A21,DataUsuario!B:D,2,FALSE)</f>
        <v>Administración y Finanzas</v>
      </c>
      <c r="E21" t="str">
        <f>VLOOKUP(A21,DataUsuario!B:D,3,FALSE)</f>
        <v>Finanzas y Tesorería</v>
      </c>
    </row>
    <row r="22" spans="1:5" x14ac:dyDescent="0.3">
      <c r="A22" s="165" t="s">
        <v>279</v>
      </c>
      <c r="B22" t="s">
        <v>13</v>
      </c>
      <c r="C22" s="168" t="s">
        <v>627</v>
      </c>
      <c r="D22" t="str">
        <f>VLOOKUP(A22,DataUsuario!B:D,2,FALSE)</f>
        <v>Operaciones</v>
      </c>
      <c r="E22" t="str">
        <f>VLOOKUP(A22,DataUsuario!B:D,3,FALSE)</f>
        <v>Transporte</v>
      </c>
    </row>
    <row r="23" spans="1:5" x14ac:dyDescent="0.3">
      <c r="A23" s="166" t="s">
        <v>431</v>
      </c>
      <c r="B23" t="s">
        <v>13</v>
      </c>
      <c r="C23" s="169" t="s">
        <v>627</v>
      </c>
      <c r="D23" t="str">
        <f>VLOOKUP(A23,DataUsuario!B:D,2,FALSE)</f>
        <v>Agrícola</v>
      </c>
      <c r="E23" t="str">
        <f>VLOOKUP(A23,DataUsuario!B:D,3,FALSE)</f>
        <v>Fundo San Vicente</v>
      </c>
    </row>
    <row r="24" spans="1:5" x14ac:dyDescent="0.3">
      <c r="A24" s="165" t="s">
        <v>176</v>
      </c>
      <c r="B24" t="s">
        <v>13</v>
      </c>
      <c r="C24" s="168">
        <v>5</v>
      </c>
      <c r="D24" t="str">
        <f>VLOOKUP(A24,DataUsuario!B:D,2,FALSE)</f>
        <v>Administración y Finanzas</v>
      </c>
      <c r="E24" t="str">
        <f>VLOOKUP(A24,DataUsuario!B:D,3,FALSE)</f>
        <v>Cadenas Productivas</v>
      </c>
    </row>
    <row r="25" spans="1:5" x14ac:dyDescent="0.3">
      <c r="A25" s="166" t="s">
        <v>221</v>
      </c>
      <c r="B25" t="s">
        <v>13</v>
      </c>
      <c r="C25" s="169">
        <v>5</v>
      </c>
      <c r="D25" t="str">
        <f>VLOOKUP(A25,DataUsuario!B:D,2,FALSE)</f>
        <v>Administración y Finanzas</v>
      </c>
      <c r="E25" t="str">
        <f>VLOOKUP(A25,DataUsuario!B:D,3,FALSE)</f>
        <v>Sistemas y TI</v>
      </c>
    </row>
    <row r="26" spans="1:5" x14ac:dyDescent="0.3">
      <c r="A26" s="165" t="s">
        <v>249</v>
      </c>
      <c r="B26" t="s">
        <v>13</v>
      </c>
      <c r="C26" s="168">
        <v>5</v>
      </c>
      <c r="D26" t="str">
        <f>VLOOKUP(A26,DataUsuario!B:D,2,FALSE)</f>
        <v>Administración y Finanzas</v>
      </c>
      <c r="E26" t="str">
        <f>VLOOKUP(A26,DataUsuario!B:D,3,FALSE)</f>
        <v>Compras</v>
      </c>
    </row>
    <row r="27" spans="1:5" x14ac:dyDescent="0.3">
      <c r="A27" s="166" t="s">
        <v>601</v>
      </c>
      <c r="B27" t="s">
        <v>13</v>
      </c>
      <c r="C27" s="169">
        <v>4</v>
      </c>
      <c r="D27" t="str">
        <f>VLOOKUP(A27,DataUsuario!B:D,2,FALSE)</f>
        <v>Administración y Finanzas</v>
      </c>
      <c r="E27" t="str">
        <f>VLOOKUP(A27,DataUsuario!B:D,3,FALSE)</f>
        <v>Sistemas y TI</v>
      </c>
    </row>
    <row r="28" spans="1:5" x14ac:dyDescent="0.3">
      <c r="A28" s="165" t="s">
        <v>439</v>
      </c>
      <c r="B28" t="s">
        <v>13</v>
      </c>
      <c r="C28" s="168">
        <v>5</v>
      </c>
      <c r="D28" t="str">
        <f>VLOOKUP(A28,DataUsuario!B:D,2,FALSE)</f>
        <v>Operaciones</v>
      </c>
      <c r="E28" t="str">
        <f>VLOOKUP(A28,DataUsuario!B:D,3,FALSE)</f>
        <v>Comercial</v>
      </c>
    </row>
    <row r="29" spans="1:5" x14ac:dyDescent="0.3">
      <c r="A29" s="166" t="s">
        <v>320</v>
      </c>
      <c r="B29" t="s">
        <v>13</v>
      </c>
      <c r="C29" s="169">
        <v>5</v>
      </c>
      <c r="D29" t="str">
        <f>VLOOKUP(A29,DataUsuario!B:D,2,FALSE)</f>
        <v>Gestión Humana y Sostenibilidad</v>
      </c>
      <c r="E29" t="str">
        <f>VLOOKUP(A29,DataUsuario!B:D,3,FALSE)</f>
        <v>Sostenibilidad</v>
      </c>
    </row>
    <row r="30" spans="1:5" x14ac:dyDescent="0.3">
      <c r="A30" s="165" t="s">
        <v>80</v>
      </c>
      <c r="B30" t="s">
        <v>13</v>
      </c>
      <c r="C30" s="168" t="s">
        <v>627</v>
      </c>
      <c r="D30" t="str">
        <f>VLOOKUP(A30,DataUsuario!B:D,2,FALSE)</f>
        <v>Administración y Finanzas</v>
      </c>
      <c r="E30" t="str">
        <f>VLOOKUP(A30,DataUsuario!B:D,3,FALSE)</f>
        <v>Compras</v>
      </c>
    </row>
    <row r="31" spans="1:5" x14ac:dyDescent="0.3">
      <c r="A31" s="166" t="s">
        <v>343</v>
      </c>
      <c r="B31" t="s">
        <v>13</v>
      </c>
      <c r="C31" s="169">
        <v>5</v>
      </c>
      <c r="D31" t="str">
        <f>VLOOKUP(A31,DataUsuario!B:D,2,FALSE)</f>
        <v>Operaciones</v>
      </c>
      <c r="E31" t="str">
        <f>VLOOKUP(A31,DataUsuario!B:D,3,FALSE)</f>
        <v>Comercial No Giro</v>
      </c>
    </row>
    <row r="32" spans="1:5" x14ac:dyDescent="0.3">
      <c r="A32" s="165" t="s">
        <v>236</v>
      </c>
      <c r="B32" t="s">
        <v>13</v>
      </c>
      <c r="C32" s="168">
        <v>5</v>
      </c>
      <c r="D32" t="str">
        <f>VLOOKUP(A32,DataUsuario!B:D,2,FALSE)</f>
        <v>Administración y Finanzas</v>
      </c>
      <c r="E32" t="str">
        <f>VLOOKUP(A32,DataUsuario!B:D,3,FALSE)</f>
        <v>Sistemas y TI</v>
      </c>
    </row>
    <row r="33" spans="1:5" x14ac:dyDescent="0.3">
      <c r="A33" s="166" t="s">
        <v>205</v>
      </c>
      <c r="B33" t="s">
        <v>13</v>
      </c>
      <c r="C33" s="169" t="s">
        <v>627</v>
      </c>
      <c r="D33" t="str">
        <f>VLOOKUP(A33,DataUsuario!B:D,2,FALSE)</f>
        <v>Operaciones</v>
      </c>
      <c r="E33" t="str">
        <f>VLOOKUP(A33,DataUsuario!B:D,3,FALSE)</f>
        <v>Almacenes y Distribución PT</v>
      </c>
    </row>
    <row r="34" spans="1:5" x14ac:dyDescent="0.3">
      <c r="A34" s="165" t="s">
        <v>136</v>
      </c>
      <c r="B34" t="s">
        <v>13</v>
      </c>
      <c r="C34" s="168">
        <v>5</v>
      </c>
      <c r="D34" t="str">
        <f>VLOOKUP(A34,DataUsuario!B:D,2,FALSE)</f>
        <v>Operaciones</v>
      </c>
      <c r="E34" t="str">
        <f>VLOOKUP(A34,DataUsuario!B:D,3,FALSE)</f>
        <v>Comercial</v>
      </c>
    </row>
    <row r="35" spans="1:5" x14ac:dyDescent="0.3">
      <c r="A35" s="166" t="s">
        <v>602</v>
      </c>
      <c r="B35" t="s">
        <v>13</v>
      </c>
      <c r="C35" s="169">
        <v>5</v>
      </c>
      <c r="D35" t="str">
        <f>VLOOKUP(A35,DataUsuario!B:D,2,FALSE)</f>
        <v>Administración y Finanzas</v>
      </c>
      <c r="E35" t="str">
        <f>VLOOKUP(A35,DataUsuario!B:D,3,FALSE)</f>
        <v>Sistemas y TI</v>
      </c>
    </row>
    <row r="36" spans="1:5" x14ac:dyDescent="0.3">
      <c r="A36" s="165" t="s">
        <v>181</v>
      </c>
      <c r="B36" t="s">
        <v>13</v>
      </c>
      <c r="C36" s="168">
        <v>4</v>
      </c>
      <c r="D36" t="str">
        <f>VLOOKUP(A36,DataUsuario!B:D,2,FALSE)</f>
        <v>Gestión Humana y Sostenibilidad</v>
      </c>
      <c r="E36" t="str">
        <f>VLOOKUP(A36,DataUsuario!B:D,3,FALSE)</f>
        <v>Compensación y Nóminas</v>
      </c>
    </row>
    <row r="37" spans="1:5" x14ac:dyDescent="0.3">
      <c r="A37" s="166" t="s">
        <v>275</v>
      </c>
      <c r="B37" t="s">
        <v>13</v>
      </c>
      <c r="C37" s="169" t="s">
        <v>627</v>
      </c>
      <c r="D37" t="str">
        <f>VLOOKUP(A37,DataUsuario!B:D,2,FALSE)</f>
        <v>Administración y Finanzas</v>
      </c>
      <c r="E37" t="str">
        <f>VLOOKUP(A37,DataUsuario!B:D,3,FALSE)</f>
        <v>Compras</v>
      </c>
    </row>
    <row r="38" spans="1:5" x14ac:dyDescent="0.3">
      <c r="A38" s="165" t="s">
        <v>61</v>
      </c>
      <c r="B38" t="s">
        <v>13</v>
      </c>
      <c r="C38" s="168">
        <v>4</v>
      </c>
      <c r="D38" t="str">
        <f>VLOOKUP(A38,DataUsuario!B:D,2,FALSE)</f>
        <v>Gestión Humana y Sostenibilidad</v>
      </c>
      <c r="E38" t="str">
        <f>VLOOKUP(A38,DataUsuario!B:D,3,FALSE)</f>
        <v>Compensación y Nóminas</v>
      </c>
    </row>
    <row r="39" spans="1:5" x14ac:dyDescent="0.3">
      <c r="A39" s="166" t="s">
        <v>374</v>
      </c>
      <c r="B39" t="s">
        <v>13</v>
      </c>
      <c r="C39" s="169">
        <v>4</v>
      </c>
      <c r="D39" t="str">
        <f>VLOOKUP(A39,DataUsuario!B:D,2,FALSE)</f>
        <v>Agrícola</v>
      </c>
      <c r="E39" t="str">
        <f>VLOOKUP(A39,DataUsuario!B:D,3,FALSE)</f>
        <v>Mantenimiento de Riego y Bombas</v>
      </c>
    </row>
    <row r="40" spans="1:5" x14ac:dyDescent="0.3">
      <c r="A40" s="165" t="s">
        <v>605</v>
      </c>
      <c r="B40" t="s">
        <v>13</v>
      </c>
      <c r="C40" s="168" t="s">
        <v>627</v>
      </c>
      <c r="D40" t="str">
        <f>VLOOKUP(A40,DataUsuario!B:D,2,FALSE)</f>
        <v>Administración y Finanzas</v>
      </c>
      <c r="E40" t="str">
        <f>VLOOKUP(A40,DataUsuario!B:D,3,FALSE)</f>
        <v>Control de Gestión</v>
      </c>
    </row>
    <row r="41" spans="1:5" x14ac:dyDescent="0.3">
      <c r="A41" s="166" t="s">
        <v>92</v>
      </c>
      <c r="B41" t="s">
        <v>13</v>
      </c>
      <c r="C41" s="169" t="s">
        <v>627</v>
      </c>
      <c r="D41" t="str">
        <f>VLOOKUP(A41,DataUsuario!B:D,2,FALSE)</f>
        <v>Administración y Finanzas</v>
      </c>
      <c r="E41" t="str">
        <f>VLOOKUP(A41,DataUsuario!B:D,3,FALSE)</f>
        <v>Control de Gestión</v>
      </c>
    </row>
    <row r="42" spans="1:5" x14ac:dyDescent="0.3">
      <c r="A42" s="165" t="s">
        <v>217</v>
      </c>
      <c r="B42" t="s">
        <v>13</v>
      </c>
      <c r="C42" s="168">
        <v>4</v>
      </c>
      <c r="D42" t="str">
        <f>VLOOKUP(A42,DataUsuario!B:D,2,FALSE)</f>
        <v>Agrícola</v>
      </c>
      <c r="E42" t="str">
        <f>VLOOKUP(A42,DataUsuario!B:D,3,FALSE)</f>
        <v>Mantenimiento de Riego y Bombas</v>
      </c>
    </row>
    <row r="43" spans="1:5" x14ac:dyDescent="0.3">
      <c r="A43" s="166" t="s">
        <v>606</v>
      </c>
      <c r="B43" t="s">
        <v>13</v>
      </c>
      <c r="C43" s="169">
        <v>4</v>
      </c>
      <c r="D43" t="str">
        <f>VLOOKUP(A43,DataUsuario!B:D,2,FALSE)</f>
        <v>Administración y Finanzas</v>
      </c>
      <c r="E43" t="str">
        <f>VLOOKUP(A43,DataUsuario!B:D,3,FALSE)</f>
        <v>Sistemas y TI</v>
      </c>
    </row>
    <row r="44" spans="1:5" x14ac:dyDescent="0.3">
      <c r="A44" s="165" t="s">
        <v>210</v>
      </c>
      <c r="B44" t="s">
        <v>13</v>
      </c>
      <c r="C44" s="168">
        <v>5</v>
      </c>
      <c r="D44" t="str">
        <f>VLOOKUP(A44,DataUsuario!B:D,2,FALSE)</f>
        <v>Industrial y de Mantenimiento</v>
      </c>
      <c r="E44" t="str">
        <f>VLOOKUP(A44,DataUsuario!B:D,3,FALSE)</f>
        <v>Planta y Srv Industriales</v>
      </c>
    </row>
    <row r="45" spans="1:5" x14ac:dyDescent="0.3">
      <c r="A45" s="166" t="s">
        <v>254</v>
      </c>
      <c r="B45" t="s">
        <v>13</v>
      </c>
      <c r="C45" s="169">
        <v>4</v>
      </c>
      <c r="D45" t="str">
        <f>VLOOKUP(A45,DataUsuario!B:D,2,FALSE)</f>
        <v>Administración y Finanzas</v>
      </c>
      <c r="E45" t="str">
        <f>VLOOKUP(A45,DataUsuario!B:D,3,FALSE)</f>
        <v>Administración</v>
      </c>
    </row>
    <row r="46" spans="1:5" x14ac:dyDescent="0.3">
      <c r="A46" s="165" t="s">
        <v>403</v>
      </c>
      <c r="B46" t="s">
        <v>13</v>
      </c>
      <c r="C46" s="168">
        <v>4</v>
      </c>
      <c r="D46" t="str">
        <f>VLOOKUP(A46,DataUsuario!B:D,2,FALSE)</f>
        <v>Administración y Finanzas</v>
      </c>
      <c r="E46" t="str">
        <f>VLOOKUP(A46,DataUsuario!B:D,3,FALSE)</f>
        <v>Control de Gestión</v>
      </c>
    </row>
    <row r="47" spans="1:5" x14ac:dyDescent="0.3">
      <c r="A47" s="166" t="s">
        <v>170</v>
      </c>
      <c r="B47" t="s">
        <v>13</v>
      </c>
      <c r="C47" s="169">
        <v>5</v>
      </c>
      <c r="D47" t="str">
        <f>VLOOKUP(A47,DataUsuario!B:D,2,FALSE)</f>
        <v>Operaciones</v>
      </c>
      <c r="E47" t="str">
        <f>VLOOKUP(A47,DataUsuario!B:D,3,FALSE)</f>
        <v>Mantenimiento CAT</v>
      </c>
    </row>
    <row r="48" spans="1:5" x14ac:dyDescent="0.3">
      <c r="A48" s="165" t="s">
        <v>88</v>
      </c>
      <c r="B48" t="s">
        <v>13</v>
      </c>
      <c r="C48" s="168" t="s">
        <v>627</v>
      </c>
      <c r="D48" t="str">
        <f>VLOOKUP(A48,DataUsuario!B:D,2,FALSE)</f>
        <v>Agrícola</v>
      </c>
      <c r="E48" t="str">
        <f>VLOOKUP(A48,DataUsuario!B:D,3,FALSE)</f>
        <v>Fundo Lobo</v>
      </c>
    </row>
    <row r="49" spans="1:5" x14ac:dyDescent="0.3">
      <c r="A49" s="166" t="s">
        <v>242</v>
      </c>
      <c r="B49" t="s">
        <v>13</v>
      </c>
      <c r="C49" s="169" t="s">
        <v>627</v>
      </c>
      <c r="D49" t="str">
        <f>VLOOKUP(A49,DataUsuario!B:D,2,FALSE)</f>
        <v>Agrícola</v>
      </c>
      <c r="E49" t="str">
        <f>VLOOKUP(A49,DataUsuario!B:D,3,FALSE)</f>
        <v>Fundo Montelima</v>
      </c>
    </row>
    <row r="50" spans="1:5" x14ac:dyDescent="0.3">
      <c r="A50" s="165" t="s">
        <v>65</v>
      </c>
      <c r="B50" t="s">
        <v>13</v>
      </c>
      <c r="C50" s="168">
        <v>5</v>
      </c>
      <c r="D50" t="str">
        <f>VLOOKUP(A50,DataUsuario!B:D,2,FALSE)</f>
        <v>Administración y Finanzas</v>
      </c>
      <c r="E50" t="str">
        <f>VLOOKUP(A50,DataUsuario!B:D,3,FALSE)</f>
        <v>Finanzas y Tesorería</v>
      </c>
    </row>
    <row r="51" spans="1:5" x14ac:dyDescent="0.3">
      <c r="A51" s="166" t="s">
        <v>609</v>
      </c>
      <c r="B51" t="s">
        <v>13</v>
      </c>
      <c r="C51" s="169" t="s">
        <v>627</v>
      </c>
      <c r="D51" t="str">
        <f>VLOOKUP(A51,DataUsuario!B:D,2,FALSE)</f>
        <v>Administración y Finanzas</v>
      </c>
      <c r="E51" t="str">
        <f>VLOOKUP(A51,DataUsuario!B:D,3,FALSE)</f>
        <v>Compras</v>
      </c>
    </row>
    <row r="52" spans="1:5" x14ac:dyDescent="0.3">
      <c r="A52" s="165" t="s">
        <v>85</v>
      </c>
      <c r="B52" t="s">
        <v>13</v>
      </c>
      <c r="C52" s="168">
        <v>5</v>
      </c>
      <c r="D52" t="str">
        <f>VLOOKUP(A52,DataUsuario!B:D,2,FALSE)</f>
        <v>Operaciones</v>
      </c>
      <c r="E52" t="str">
        <f>VLOOKUP(A52,DataUsuario!B:D,3,FALSE)</f>
        <v>Comercial</v>
      </c>
    </row>
    <row r="53" spans="1:5" x14ac:dyDescent="0.3">
      <c r="A53" s="166" t="s">
        <v>256</v>
      </c>
      <c r="B53" t="s">
        <v>13</v>
      </c>
      <c r="C53" s="169">
        <v>3</v>
      </c>
      <c r="D53" t="str">
        <f>VLOOKUP(A53,DataUsuario!B:D,2,FALSE)</f>
        <v>Agrícola</v>
      </c>
      <c r="E53" t="str">
        <f>VLOOKUP(A53,DataUsuario!B:D,3,FALSE)</f>
        <v>Fundo Montelima</v>
      </c>
    </row>
    <row r="54" spans="1:5" x14ac:dyDescent="0.3">
      <c r="A54" s="165" t="s">
        <v>611</v>
      </c>
      <c r="B54" t="s">
        <v>13</v>
      </c>
      <c r="C54" s="168">
        <v>4</v>
      </c>
      <c r="D54" t="str">
        <f>VLOOKUP(A54,DataUsuario!B:D,2,FALSE)</f>
        <v>Operaciones</v>
      </c>
      <c r="E54" t="str">
        <f>VLOOKUP(A54,DataUsuario!B:D,3,FALSE)</f>
        <v>Almacenes y Distribución PT</v>
      </c>
    </row>
    <row r="55" spans="1:5" x14ac:dyDescent="0.3">
      <c r="A55" s="166" t="s">
        <v>267</v>
      </c>
      <c r="B55" t="s">
        <v>13</v>
      </c>
      <c r="C55" s="169">
        <v>5</v>
      </c>
      <c r="D55" t="str">
        <f>VLOOKUP(A55,DataUsuario!B:D,2,FALSE)</f>
        <v>Gestión Humana y Sostenibilidad</v>
      </c>
      <c r="E55" t="str">
        <f>VLOOKUP(A55,DataUsuario!B:D,3,FALSE)</f>
        <v>Sostenibilidad</v>
      </c>
    </row>
    <row r="56" spans="1:5" x14ac:dyDescent="0.3">
      <c r="A56" s="165" t="s">
        <v>614</v>
      </c>
      <c r="B56" t="s">
        <v>13</v>
      </c>
      <c r="C56" s="168">
        <v>5</v>
      </c>
      <c r="D56" t="str">
        <f>VLOOKUP(A56,DataUsuario!B:D,2,FALSE)</f>
        <v>Operaciones</v>
      </c>
      <c r="E56" t="str">
        <f>VLOOKUP(A56,DataUsuario!B:D,3,FALSE)</f>
        <v>Transporte</v>
      </c>
    </row>
    <row r="57" spans="1:5" x14ac:dyDescent="0.3">
      <c r="A57" s="166" t="s">
        <v>415</v>
      </c>
      <c r="B57" t="s">
        <v>13</v>
      </c>
      <c r="C57" s="169">
        <v>5</v>
      </c>
      <c r="D57" t="str">
        <f>VLOOKUP(A57,DataUsuario!B:D,2,FALSE)</f>
        <v>Administración y Finanzas</v>
      </c>
      <c r="E57" t="str">
        <f>VLOOKUP(A57,DataUsuario!B:D,3,FALSE)</f>
        <v>Administración</v>
      </c>
    </row>
    <row r="58" spans="1:5" x14ac:dyDescent="0.3">
      <c r="A58" s="165" t="s">
        <v>200</v>
      </c>
      <c r="B58" t="s">
        <v>13</v>
      </c>
      <c r="C58" s="168" t="s">
        <v>627</v>
      </c>
      <c r="D58" t="str">
        <f>VLOOKUP(A58,DataUsuario!B:D,2,FALSE)</f>
        <v>Industrial y de Mantenimiento</v>
      </c>
      <c r="E58" t="str">
        <f>VLOOKUP(A58,DataUsuario!B:D,3,FALSE)</f>
        <v>Electricidad</v>
      </c>
    </row>
    <row r="59" spans="1:5" x14ac:dyDescent="0.3">
      <c r="A59" s="166" t="s">
        <v>198</v>
      </c>
      <c r="B59" t="s">
        <v>13</v>
      </c>
      <c r="C59" s="169">
        <v>5</v>
      </c>
      <c r="D59" t="str">
        <f>VLOOKUP(A59,DataUsuario!B:D,2,FALSE)</f>
        <v>Agrícola</v>
      </c>
      <c r="E59" t="str">
        <f>VLOOKUP(A59,DataUsuario!B:D,3,FALSE)</f>
        <v>Fundo Lobo</v>
      </c>
    </row>
    <row r="60" spans="1:5" x14ac:dyDescent="0.3">
      <c r="A60" s="165" t="s">
        <v>350</v>
      </c>
      <c r="B60" t="s">
        <v>13</v>
      </c>
      <c r="C60" s="168" t="s">
        <v>627</v>
      </c>
      <c r="D60" t="str">
        <f>VLOOKUP(A60,DataUsuario!B:D,2,FALSE)</f>
        <v>Agrícola</v>
      </c>
      <c r="E60" t="str">
        <f>VLOOKUP(A60,DataUsuario!B:D,3,FALSE)</f>
        <v>Planificador Agrícola</v>
      </c>
    </row>
    <row r="61" spans="1:5" x14ac:dyDescent="0.3">
      <c r="A61" s="166" t="s">
        <v>345</v>
      </c>
      <c r="B61" t="s">
        <v>13</v>
      </c>
      <c r="C61" s="169" t="s">
        <v>627</v>
      </c>
      <c r="D61" t="str">
        <f>VLOOKUP(A61,DataUsuario!B:D,2,FALSE)</f>
        <v>Agrícola</v>
      </c>
      <c r="E61" t="str">
        <f>VLOOKUP(A61,DataUsuario!B:D,3,FALSE)</f>
        <v>Mantenimiento de Riego y Bombas</v>
      </c>
    </row>
    <row r="62" spans="1:5" x14ac:dyDescent="0.3">
      <c r="A62" s="165" t="s">
        <v>314</v>
      </c>
      <c r="B62" t="s">
        <v>13</v>
      </c>
      <c r="C62" s="168">
        <v>4</v>
      </c>
      <c r="D62" t="str">
        <f>VLOOKUP(A62,DataUsuario!B:D,2,FALSE)</f>
        <v>Industrial y de Mantenimiento</v>
      </c>
      <c r="E62" t="str">
        <f>VLOOKUP(A62,DataUsuario!B:D,3,FALSE)</f>
        <v>Mantenimiento Industrial</v>
      </c>
    </row>
    <row r="63" spans="1:5" x14ac:dyDescent="0.3">
      <c r="A63" s="166" t="s">
        <v>150</v>
      </c>
      <c r="B63" t="s">
        <v>13</v>
      </c>
      <c r="C63" s="169" t="s">
        <v>627</v>
      </c>
      <c r="D63" t="str">
        <f>VLOOKUP(A63,DataUsuario!B:D,2,FALSE)</f>
        <v>Industrial y de Mantenimiento</v>
      </c>
      <c r="E63" t="str">
        <f>VLOOKUP(A63,DataUsuario!B:D,3,FALSE)</f>
        <v>Producción</v>
      </c>
    </row>
    <row r="64" spans="1:5" x14ac:dyDescent="0.3">
      <c r="A64" s="165" t="s">
        <v>271</v>
      </c>
      <c r="B64" t="s">
        <v>13</v>
      </c>
      <c r="C64" s="168">
        <v>4</v>
      </c>
      <c r="D64" t="str">
        <f>VLOOKUP(A64,DataUsuario!B:D,2,FALSE)</f>
        <v>Operaciones</v>
      </c>
      <c r="E64" t="str">
        <f>VLOOKUP(A64,DataUsuario!B:D,3,FALSE)</f>
        <v>Calidad</v>
      </c>
    </row>
    <row r="65" spans="1:5" x14ac:dyDescent="0.3">
      <c r="A65" s="166" t="s">
        <v>156</v>
      </c>
      <c r="B65" t="s">
        <v>13</v>
      </c>
      <c r="C65" s="169" t="s">
        <v>627</v>
      </c>
      <c r="D65" t="str">
        <f>VLOOKUP(A65,DataUsuario!B:D,2,FALSE)</f>
        <v>Administración y Finanzas</v>
      </c>
      <c r="E65" t="str">
        <f>VLOOKUP(A65,DataUsuario!B:D,3,FALSE)</f>
        <v>Compras</v>
      </c>
    </row>
    <row r="66" spans="1:5" x14ac:dyDescent="0.3">
      <c r="A66" s="165" t="s">
        <v>369</v>
      </c>
      <c r="B66" t="s">
        <v>13</v>
      </c>
      <c r="C66" s="168">
        <v>4</v>
      </c>
      <c r="D66" t="str">
        <f>VLOOKUP(A66,DataUsuario!B:D,2,FALSE)</f>
        <v>Agrícola</v>
      </c>
      <c r="E66" t="str">
        <f>VLOOKUP(A66,DataUsuario!B:D,3,FALSE)</f>
        <v>Sistema Integral de Gestión</v>
      </c>
    </row>
    <row r="67" spans="1:5" x14ac:dyDescent="0.3">
      <c r="A67" s="166" t="s">
        <v>224</v>
      </c>
      <c r="B67" t="s">
        <v>13</v>
      </c>
      <c r="C67" s="169">
        <v>4</v>
      </c>
      <c r="D67" t="str">
        <f>VLOOKUP(A67,DataUsuario!B:D,2,FALSE)</f>
        <v>Agrícola</v>
      </c>
      <c r="E67" t="str">
        <f>VLOOKUP(A67,DataUsuario!B:D,3,FALSE)</f>
        <v>Laboratorio e Investigación Agricola</v>
      </c>
    </row>
    <row r="68" spans="1:5" x14ac:dyDescent="0.3">
      <c r="A68" s="165" t="s">
        <v>618</v>
      </c>
      <c r="B68" t="s">
        <v>13</v>
      </c>
      <c r="C68" s="168">
        <v>5</v>
      </c>
      <c r="D68" t="e">
        <f>VLOOKUP(A68,DataUsuario!B:D,2,FALSE)</f>
        <v>#N/A</v>
      </c>
      <c r="E68" t="e">
        <f>VLOOKUP(A68,DataUsuario!B:D,3,FALSE)</f>
        <v>#N/A</v>
      </c>
    </row>
    <row r="69" spans="1:5" x14ac:dyDescent="0.3">
      <c r="A69" s="166" t="s">
        <v>397</v>
      </c>
      <c r="B69" t="s">
        <v>13</v>
      </c>
      <c r="C69" s="169">
        <v>5</v>
      </c>
      <c r="D69" t="str">
        <f>VLOOKUP(A69,DataUsuario!B:D,2,FALSE)</f>
        <v>Administración y Finanzas</v>
      </c>
      <c r="E69" t="str">
        <f>VLOOKUP(A69,DataUsuario!B:D,3,FALSE)</f>
        <v>Control de Gestión</v>
      </c>
    </row>
    <row r="70" spans="1:5" x14ac:dyDescent="0.3">
      <c r="A70" s="165" t="s">
        <v>619</v>
      </c>
      <c r="B70" t="s">
        <v>13</v>
      </c>
      <c r="C70" s="168">
        <v>4</v>
      </c>
      <c r="D70" t="str">
        <f>VLOOKUP(A70,DataUsuario!B:D,2,FALSE)</f>
        <v>Gestión Humana y Sostenibilidad</v>
      </c>
      <c r="E70" t="str">
        <f>VLOOKUP(A70,DataUsuario!B:D,3,FALSE)</f>
        <v>Bienestar - Medico Ocupacional</v>
      </c>
    </row>
    <row r="71" spans="1:5" x14ac:dyDescent="0.3">
      <c r="A71" s="166" t="s">
        <v>215</v>
      </c>
      <c r="B71" t="s">
        <v>13</v>
      </c>
      <c r="C71" s="169">
        <v>5</v>
      </c>
      <c r="D71" t="str">
        <f>VLOOKUP(A71,DataUsuario!B:D,2,FALSE)</f>
        <v>Gestión Humana y Sostenibilidad</v>
      </c>
      <c r="E71" t="str">
        <f>VLOOKUP(A71,DataUsuario!B:D,3,FALSE)</f>
        <v>Seguridad</v>
      </c>
    </row>
    <row r="72" spans="1:5" x14ac:dyDescent="0.3">
      <c r="A72" s="165" t="s">
        <v>307</v>
      </c>
      <c r="B72" t="s">
        <v>13</v>
      </c>
      <c r="C72" s="168">
        <v>5</v>
      </c>
      <c r="D72" t="str">
        <f>VLOOKUP(A72,DataUsuario!B:D,2,FALSE)</f>
        <v>Gestión Humana y Sostenibilidad</v>
      </c>
      <c r="E72" t="str">
        <f>VLOOKUP(A72,DataUsuario!B:D,3,FALSE)</f>
        <v>Comunicaciones y Responsabilidad Social</v>
      </c>
    </row>
    <row r="73" spans="1:5" x14ac:dyDescent="0.3">
      <c r="A73" s="166" t="s">
        <v>285</v>
      </c>
      <c r="B73" t="s">
        <v>13</v>
      </c>
      <c r="C73" s="169">
        <v>5</v>
      </c>
      <c r="D73" t="str">
        <f>VLOOKUP(A73,DataUsuario!B:D,2,FALSE)</f>
        <v>Operaciones</v>
      </c>
      <c r="E73" t="str">
        <f>VLOOKUP(A73,DataUsuario!B:D,3,FALSE)</f>
        <v>Comercial</v>
      </c>
    </row>
    <row r="74" spans="1:5" x14ac:dyDescent="0.3">
      <c r="A74" s="165" t="s">
        <v>316</v>
      </c>
      <c r="B74" t="s">
        <v>13</v>
      </c>
      <c r="C74" s="168">
        <v>4</v>
      </c>
      <c r="D74" t="str">
        <f>VLOOKUP(A74,DataUsuario!B:D,2,FALSE)</f>
        <v>Administración y Finanzas</v>
      </c>
      <c r="E74" t="str">
        <f>VLOOKUP(A74,DataUsuario!B:D,3,FALSE)</f>
        <v>Compras</v>
      </c>
    </row>
    <row r="75" spans="1:5" x14ac:dyDescent="0.3">
      <c r="A75" s="166" t="s">
        <v>372</v>
      </c>
      <c r="B75" t="s">
        <v>13</v>
      </c>
      <c r="C75" s="169">
        <v>5</v>
      </c>
      <c r="D75" t="str">
        <f>VLOOKUP(A75,DataUsuario!B:D,2,FALSE)</f>
        <v>Agrícola</v>
      </c>
      <c r="E75" t="str">
        <f>VLOOKUP(A75,DataUsuario!B:D,3,FALSE)</f>
        <v>Laboratorio e Investigación Agricola</v>
      </c>
    </row>
    <row r="76" spans="1:5" x14ac:dyDescent="0.3">
      <c r="A76" s="165" t="s">
        <v>328</v>
      </c>
      <c r="B76" t="s">
        <v>13</v>
      </c>
      <c r="C76" s="168">
        <v>5</v>
      </c>
      <c r="D76" t="str">
        <f>VLOOKUP(A76,DataUsuario!B:D,2,FALSE)</f>
        <v>Administración y Finanzas</v>
      </c>
      <c r="E76" t="str">
        <f>VLOOKUP(A76,DataUsuario!B:D,3,FALSE)</f>
        <v>Administración</v>
      </c>
    </row>
    <row r="77" spans="1:5" x14ac:dyDescent="0.3">
      <c r="A77" s="166" t="s">
        <v>376</v>
      </c>
      <c r="B77" t="s">
        <v>13</v>
      </c>
      <c r="C77" s="169">
        <v>5</v>
      </c>
      <c r="D77" t="str">
        <f>VLOOKUP(A77,DataUsuario!B:D,2,FALSE)</f>
        <v>Administración y Finanzas</v>
      </c>
      <c r="E77" t="str">
        <f>VLOOKUP(A77,DataUsuario!B:D,3,FALSE)</f>
        <v>Control de Gestión</v>
      </c>
    </row>
    <row r="78" spans="1:5" x14ac:dyDescent="0.3">
      <c r="A78" s="165" t="s">
        <v>238</v>
      </c>
      <c r="B78" t="s">
        <v>13</v>
      </c>
      <c r="C78" s="168">
        <v>4</v>
      </c>
      <c r="D78" t="str">
        <f>VLOOKUP(A78,DataUsuario!B:D,2,FALSE)</f>
        <v>Industrial y de Mantenimiento</v>
      </c>
      <c r="E78" t="str">
        <f>VLOOKUP(A78,DataUsuario!B:D,3,FALSE)</f>
        <v>Producción</v>
      </c>
    </row>
    <row r="79" spans="1:5" x14ac:dyDescent="0.3">
      <c r="A79" s="166" t="s">
        <v>623</v>
      </c>
      <c r="B79" t="s">
        <v>13</v>
      </c>
      <c r="C79" s="169" t="s">
        <v>627</v>
      </c>
      <c r="D79" t="str">
        <f>VLOOKUP(A79,DataUsuario!B:D,2,FALSE)</f>
        <v>Industrial y de Mantenimiento</v>
      </c>
      <c r="E79" t="str">
        <f>VLOOKUP(A79,DataUsuario!B:D,3,FALSE)</f>
        <v>Mantenimiento Industrial</v>
      </c>
    </row>
    <row r="80" spans="1:5" x14ac:dyDescent="0.3">
      <c r="A80" s="165" t="s">
        <v>97</v>
      </c>
      <c r="B80" t="s">
        <v>13</v>
      </c>
      <c r="C80" s="168">
        <v>5</v>
      </c>
      <c r="D80" t="str">
        <f>VLOOKUP(A80,DataUsuario!B:D,2,FALSE)</f>
        <v>Gestión Humana y Sostenibilidad</v>
      </c>
      <c r="E80" t="str">
        <f>VLOOKUP(A80,DataUsuario!B:D,3,FALSE)</f>
        <v>Compensación y Nóminas</v>
      </c>
    </row>
    <row r="81" spans="1:5" x14ac:dyDescent="0.3">
      <c r="A81" s="166" t="s">
        <v>352</v>
      </c>
      <c r="B81" t="s">
        <v>13</v>
      </c>
      <c r="C81" s="169">
        <v>5</v>
      </c>
      <c r="D81" t="str">
        <f>VLOOKUP(A81,DataUsuario!B:D,2,FALSE)</f>
        <v>Gestión Humana y Sostenibilidad</v>
      </c>
      <c r="E81" t="str">
        <f>VLOOKUP(A81,DataUsuario!B:D,3,FALSE)</f>
        <v>Compensación y Nóminas</v>
      </c>
    </row>
    <row r="82" spans="1:5" x14ac:dyDescent="0.3">
      <c r="A82" s="165" t="s">
        <v>128</v>
      </c>
      <c r="B82" t="s">
        <v>13</v>
      </c>
      <c r="C82" s="168">
        <v>5</v>
      </c>
      <c r="D82" t="str">
        <f>VLOOKUP(A82,DataUsuario!B:D,2,FALSE)</f>
        <v>Agrícola</v>
      </c>
      <c r="E82" t="str">
        <f>VLOOKUP(A82,DataUsuario!B:D,3,FALSE)</f>
        <v>Fundo Lobo</v>
      </c>
    </row>
    <row r="83" spans="1:5" x14ac:dyDescent="0.3">
      <c r="A83" s="166" t="s">
        <v>625</v>
      </c>
      <c r="B83" t="s">
        <v>13</v>
      </c>
      <c r="C83" s="169">
        <v>5</v>
      </c>
      <c r="D83" t="str">
        <f>VLOOKUP(A83,DataUsuario!B:D,2,FALSE)</f>
        <v>Administración y Finanzas</v>
      </c>
      <c r="E83" t="str">
        <f>VLOOKUP(A83,DataUsuario!B:D,3,FALSE)</f>
        <v>Finanzas y Tesorería</v>
      </c>
    </row>
    <row r="84" spans="1:5" x14ac:dyDescent="0.3">
      <c r="A84" s="165" t="s">
        <v>303</v>
      </c>
      <c r="B84" t="s">
        <v>13</v>
      </c>
      <c r="C84" s="168">
        <v>4</v>
      </c>
      <c r="D84" t="str">
        <f>VLOOKUP(A84,DataUsuario!B:D,2,FALSE)</f>
        <v>Administración y Finanzas</v>
      </c>
      <c r="E84" t="str">
        <f>VLOOKUP(A84,DataUsuario!B:D,3,FALSE)</f>
        <v>Control de Gestión</v>
      </c>
    </row>
    <row r="85" spans="1:5" x14ac:dyDescent="0.3">
      <c r="A85" s="166" t="s">
        <v>115</v>
      </c>
      <c r="B85" t="s">
        <v>13</v>
      </c>
      <c r="C85" s="169" t="s">
        <v>627</v>
      </c>
      <c r="D85" t="str">
        <f>VLOOKUP(A85,DataUsuario!B:D,2,FALSE)</f>
        <v>Industrial y de Mantenimiento</v>
      </c>
      <c r="E85" t="str">
        <f>VLOOKUP(A85,DataUsuario!B:D,3,FALSE)</f>
        <v>Mantenimiento de Transportes</v>
      </c>
    </row>
    <row r="86" spans="1:5" x14ac:dyDescent="0.3">
      <c r="A86" s="167" t="s">
        <v>123</v>
      </c>
      <c r="B86" t="s">
        <v>13</v>
      </c>
      <c r="C86" s="170">
        <v>4</v>
      </c>
      <c r="D86" t="str">
        <f>VLOOKUP(A86,DataUsuario!B:D,2,FALSE)</f>
        <v>Administración y Finanzas</v>
      </c>
      <c r="E86" t="str">
        <f>VLOOKUP(A86,DataUsuario!B:D,3,FALSE)</f>
        <v>Gerencia Administración y Finanzas</v>
      </c>
    </row>
    <row r="87" spans="1:5" x14ac:dyDescent="0.3">
      <c r="A87" s="165" t="s">
        <v>138</v>
      </c>
      <c r="B87" t="s">
        <v>14</v>
      </c>
      <c r="C87" s="168">
        <v>4</v>
      </c>
      <c r="D87" t="str">
        <f>VLOOKUP(A87,DataUsuario!B:D,2,FALSE)</f>
        <v>Gestión Humana y Sostenibilidad</v>
      </c>
      <c r="E87" t="str">
        <f>VLOOKUP(A87,DataUsuario!B:D,3,FALSE)</f>
        <v>Gestion del Talento</v>
      </c>
    </row>
    <row r="88" spans="1:5" x14ac:dyDescent="0.3">
      <c r="A88" s="166" t="s">
        <v>207</v>
      </c>
      <c r="B88" t="s">
        <v>14</v>
      </c>
      <c r="C88" s="169">
        <v>5</v>
      </c>
      <c r="D88" t="str">
        <f>VLOOKUP(A88,DataUsuario!B:D,2,FALSE)</f>
        <v>Administración y Finanzas</v>
      </c>
      <c r="E88" t="str">
        <f>VLOOKUP(A88,DataUsuario!B:D,3,FALSE)</f>
        <v>Riesgos y Cumplimiento</v>
      </c>
    </row>
    <row r="89" spans="1:5" x14ac:dyDescent="0.3">
      <c r="A89" s="165" t="s">
        <v>322</v>
      </c>
      <c r="B89" t="s">
        <v>14</v>
      </c>
      <c r="C89" s="168">
        <v>3</v>
      </c>
      <c r="D89" t="str">
        <f>VLOOKUP(A89,DataUsuario!B:D,2,FALSE)</f>
        <v>Administración y Finanzas</v>
      </c>
      <c r="E89" t="str">
        <f>VLOOKUP(A89,DataUsuario!B:D,3,FALSE)</f>
        <v>Finanzas y Tesorería</v>
      </c>
    </row>
    <row r="90" spans="1:5" x14ac:dyDescent="0.3">
      <c r="A90" s="166" t="s">
        <v>133</v>
      </c>
      <c r="B90" t="s">
        <v>14</v>
      </c>
      <c r="C90" s="169">
        <v>5</v>
      </c>
      <c r="D90" t="str">
        <f>VLOOKUP(A90,DataUsuario!B:D,2,FALSE)</f>
        <v>Industrial y de Mantenimiento</v>
      </c>
      <c r="E90" t="str">
        <f>VLOOKUP(A90,DataUsuario!B:D,3,FALSE)</f>
        <v>Electricidad</v>
      </c>
    </row>
    <row r="91" spans="1:5" x14ac:dyDescent="0.3">
      <c r="A91" s="165" t="s">
        <v>299</v>
      </c>
      <c r="B91" t="s">
        <v>14</v>
      </c>
      <c r="C91" s="168">
        <v>4</v>
      </c>
      <c r="D91" t="str">
        <f>VLOOKUP(A91,DataUsuario!B:D,2,FALSE)</f>
        <v>Administración y Finanzas</v>
      </c>
      <c r="E91" t="str">
        <f>VLOOKUP(A91,DataUsuario!B:D,3,FALSE)</f>
        <v>Legal</v>
      </c>
    </row>
    <row r="92" spans="1:5" x14ac:dyDescent="0.3">
      <c r="A92" s="166" t="s">
        <v>421</v>
      </c>
      <c r="B92" t="s">
        <v>14</v>
      </c>
      <c r="C92" s="169">
        <v>4</v>
      </c>
      <c r="D92" t="str">
        <f>VLOOKUP(A92,DataUsuario!B:D,2,FALSE)</f>
        <v>Operaciones</v>
      </c>
      <c r="E92" t="str">
        <f>VLOOKUP(A92,DataUsuario!B:D,3,FALSE)</f>
        <v>Cosecha</v>
      </c>
    </row>
    <row r="93" spans="1:5" x14ac:dyDescent="0.3">
      <c r="A93" s="165" t="s">
        <v>258</v>
      </c>
      <c r="B93" t="s">
        <v>14</v>
      </c>
      <c r="C93" s="168">
        <v>4</v>
      </c>
      <c r="D93" t="str">
        <f>VLOOKUP(A93,DataUsuario!B:D,2,FALSE)</f>
        <v>Operaciones</v>
      </c>
      <c r="E93" t="str">
        <f>VLOOKUP(A93,DataUsuario!B:D,3,FALSE)</f>
        <v>Calidad</v>
      </c>
    </row>
    <row r="94" spans="1:5" x14ac:dyDescent="0.3">
      <c r="A94" s="166" t="s">
        <v>152</v>
      </c>
      <c r="B94" t="s">
        <v>14</v>
      </c>
      <c r="C94" s="169">
        <v>5</v>
      </c>
      <c r="D94" t="str">
        <f>VLOOKUP(A94,DataUsuario!B:D,2,FALSE)</f>
        <v>Operaciones</v>
      </c>
      <c r="E94" t="str">
        <f>VLOOKUP(A94,DataUsuario!B:D,3,FALSE)</f>
        <v>Almacenes y Distribución PT</v>
      </c>
    </row>
    <row r="95" spans="1:5" x14ac:dyDescent="0.3">
      <c r="A95" s="165" t="s">
        <v>77</v>
      </c>
      <c r="B95" t="s">
        <v>14</v>
      </c>
      <c r="C95" s="168">
        <v>5</v>
      </c>
      <c r="D95" t="str">
        <f>VLOOKUP(A95,DataUsuario!B:D,2,FALSE)</f>
        <v>Operaciones</v>
      </c>
      <c r="E95" t="str">
        <f>VLOOKUP(A95,DataUsuario!B:D,3,FALSE)</f>
        <v>Comercial No Giro</v>
      </c>
    </row>
    <row r="96" spans="1:5" x14ac:dyDescent="0.3">
      <c r="A96" s="166" t="s">
        <v>435</v>
      </c>
      <c r="B96" t="s">
        <v>14</v>
      </c>
      <c r="C96" s="169">
        <v>4</v>
      </c>
      <c r="D96" t="str">
        <f>VLOOKUP(A96,DataUsuario!B:D,2,FALSE)</f>
        <v>Operaciones</v>
      </c>
      <c r="E96" t="str">
        <f>VLOOKUP(A96,DataUsuario!B:D,3,FALSE)</f>
        <v>Almacenes y Distribución PT</v>
      </c>
    </row>
    <row r="97" spans="1:5" x14ac:dyDescent="0.3">
      <c r="A97" s="165" t="s">
        <v>405</v>
      </c>
      <c r="B97" t="s">
        <v>14</v>
      </c>
      <c r="C97" s="168">
        <v>5</v>
      </c>
      <c r="D97" t="str">
        <f>VLOOKUP(A97,DataUsuario!B:D,2,FALSE)</f>
        <v>Administración y Finanzas</v>
      </c>
      <c r="E97" t="str">
        <f>VLOOKUP(A97,DataUsuario!B:D,3,FALSE)</f>
        <v>Finanzas y Tesorería</v>
      </c>
    </row>
    <row r="98" spans="1:5" x14ac:dyDescent="0.3">
      <c r="A98" s="166" t="s">
        <v>594</v>
      </c>
      <c r="B98" t="s">
        <v>14</v>
      </c>
      <c r="C98" s="169" t="s">
        <v>627</v>
      </c>
      <c r="D98" t="str">
        <f>VLOOKUP(A98,DataUsuario!B:D,2,FALSE)</f>
        <v>Administración y Finanzas</v>
      </c>
      <c r="E98" t="str">
        <f>VLOOKUP(A98,DataUsuario!B:D,3,FALSE)</f>
        <v>Compras</v>
      </c>
    </row>
    <row r="99" spans="1:5" x14ac:dyDescent="0.3">
      <c r="A99" s="165" t="s">
        <v>289</v>
      </c>
      <c r="B99" t="s">
        <v>14</v>
      </c>
      <c r="C99" s="168">
        <v>4</v>
      </c>
      <c r="D99" t="str">
        <f>VLOOKUP(A99,DataUsuario!B:D,2,FALSE)</f>
        <v>Agrícola</v>
      </c>
      <c r="E99" t="str">
        <f>VLOOKUP(A99,DataUsuario!B:D,3,FALSE)</f>
        <v>Mantenimiento de Riego y Bombas</v>
      </c>
    </row>
    <row r="100" spans="1:5" x14ac:dyDescent="0.3">
      <c r="A100" s="166" t="s">
        <v>359</v>
      </c>
      <c r="B100" t="s">
        <v>14</v>
      </c>
      <c r="C100" s="169">
        <v>4</v>
      </c>
      <c r="D100" t="str">
        <f>VLOOKUP(A100,DataUsuario!B:D,2,FALSE)</f>
        <v>Operaciones</v>
      </c>
      <c r="E100" t="str">
        <f>VLOOKUP(A100,DataUsuario!B:D,3,FALSE)</f>
        <v>Gerencia de Operaciones</v>
      </c>
    </row>
    <row r="101" spans="1:5" x14ac:dyDescent="0.3">
      <c r="A101" s="165" t="s">
        <v>145</v>
      </c>
      <c r="B101" t="s">
        <v>14</v>
      </c>
      <c r="C101" s="168" t="s">
        <v>627</v>
      </c>
      <c r="D101" t="str">
        <f>VLOOKUP(A101,DataUsuario!B:D,2,FALSE)</f>
        <v>Administración y Finanzas</v>
      </c>
      <c r="E101" t="str">
        <f>VLOOKUP(A101,DataUsuario!B:D,3,FALSE)</f>
        <v>Legal</v>
      </c>
    </row>
    <row r="102" spans="1:5" x14ac:dyDescent="0.3">
      <c r="A102" s="166" t="s">
        <v>597</v>
      </c>
      <c r="B102" t="s">
        <v>14</v>
      </c>
      <c r="C102" s="169">
        <v>4</v>
      </c>
      <c r="D102" t="str">
        <f>VLOOKUP(A102,DataUsuario!B:D,2,FALSE)</f>
        <v>Gestión Humana y Sostenibilidad</v>
      </c>
      <c r="E102" t="str">
        <f>VLOOKUP(A102,DataUsuario!B:D,3,FALSE)</f>
        <v>Seguridad</v>
      </c>
    </row>
    <row r="103" spans="1:5" x14ac:dyDescent="0.3">
      <c r="A103" s="165" t="s">
        <v>82</v>
      </c>
      <c r="B103" t="s">
        <v>14</v>
      </c>
      <c r="C103" s="168">
        <v>4</v>
      </c>
      <c r="D103" t="str">
        <f>VLOOKUP(A103,DataUsuario!B:D,2,FALSE)</f>
        <v>Industrial y de Mantenimiento</v>
      </c>
      <c r="E103" t="str">
        <f>VLOOKUP(A103,DataUsuario!B:D,3,FALSE)</f>
        <v>Producción</v>
      </c>
    </row>
    <row r="104" spans="1:5" x14ac:dyDescent="0.3">
      <c r="A104" s="166" t="s">
        <v>326</v>
      </c>
      <c r="B104" t="s">
        <v>14</v>
      </c>
      <c r="C104" s="169">
        <v>3</v>
      </c>
      <c r="D104" t="str">
        <f>VLOOKUP(A104,DataUsuario!B:D,2,FALSE)</f>
        <v>Operaciones</v>
      </c>
      <c r="E104" t="str">
        <f>VLOOKUP(A104,DataUsuario!B:D,3,FALSE)</f>
        <v>Calidad</v>
      </c>
    </row>
    <row r="105" spans="1:5" x14ac:dyDescent="0.3">
      <c r="A105" s="165" t="s">
        <v>318</v>
      </c>
      <c r="B105" t="s">
        <v>14</v>
      </c>
      <c r="C105" s="168" t="s">
        <v>627</v>
      </c>
      <c r="D105" t="str">
        <f>VLOOKUP(A105,DataUsuario!B:D,2,FALSE)</f>
        <v>Operaciones</v>
      </c>
      <c r="E105" t="str">
        <f>VLOOKUP(A105,DataUsuario!B:D,3,FALSE)</f>
        <v>Cosecha</v>
      </c>
    </row>
    <row r="106" spans="1:5" x14ac:dyDescent="0.3">
      <c r="A106" s="166" t="s">
        <v>391</v>
      </c>
      <c r="B106" t="s">
        <v>14</v>
      </c>
      <c r="C106" s="169">
        <v>5</v>
      </c>
      <c r="D106" t="str">
        <f>VLOOKUP(A106,DataUsuario!B:D,2,FALSE)</f>
        <v>Administración y Finanzas</v>
      </c>
      <c r="E106" t="str">
        <f>VLOOKUP(A106,DataUsuario!B:D,3,FALSE)</f>
        <v>Finanzas y Tesorería</v>
      </c>
    </row>
    <row r="107" spans="1:5" x14ac:dyDescent="0.3">
      <c r="A107" s="165" t="s">
        <v>279</v>
      </c>
      <c r="B107" t="s">
        <v>14</v>
      </c>
      <c r="C107" s="168" t="s">
        <v>627</v>
      </c>
      <c r="D107" t="str">
        <f>VLOOKUP(A107,DataUsuario!B:D,2,FALSE)</f>
        <v>Operaciones</v>
      </c>
      <c r="E107" t="str">
        <f>VLOOKUP(A107,DataUsuario!B:D,3,FALSE)</f>
        <v>Transporte</v>
      </c>
    </row>
    <row r="108" spans="1:5" x14ac:dyDescent="0.3">
      <c r="A108" s="166" t="s">
        <v>431</v>
      </c>
      <c r="B108" t="s">
        <v>14</v>
      </c>
      <c r="C108" s="169" t="s">
        <v>627</v>
      </c>
      <c r="D108" t="str">
        <f>VLOOKUP(A108,DataUsuario!B:D,2,FALSE)</f>
        <v>Agrícola</v>
      </c>
      <c r="E108" t="str">
        <f>VLOOKUP(A108,DataUsuario!B:D,3,FALSE)</f>
        <v>Fundo San Vicente</v>
      </c>
    </row>
    <row r="109" spans="1:5" x14ac:dyDescent="0.3">
      <c r="A109" s="165" t="s">
        <v>176</v>
      </c>
      <c r="B109" t="s">
        <v>14</v>
      </c>
      <c r="C109" s="168">
        <v>5</v>
      </c>
      <c r="D109" t="str">
        <f>VLOOKUP(A109,DataUsuario!B:D,2,FALSE)</f>
        <v>Administración y Finanzas</v>
      </c>
      <c r="E109" t="str">
        <f>VLOOKUP(A109,DataUsuario!B:D,3,FALSE)</f>
        <v>Cadenas Productivas</v>
      </c>
    </row>
    <row r="110" spans="1:5" x14ac:dyDescent="0.3">
      <c r="A110" s="166" t="s">
        <v>221</v>
      </c>
      <c r="B110" t="s">
        <v>14</v>
      </c>
      <c r="C110" s="169">
        <v>5</v>
      </c>
      <c r="D110" t="str">
        <f>VLOOKUP(A110,DataUsuario!B:D,2,FALSE)</f>
        <v>Administración y Finanzas</v>
      </c>
      <c r="E110" t="str">
        <f>VLOOKUP(A110,DataUsuario!B:D,3,FALSE)</f>
        <v>Sistemas y TI</v>
      </c>
    </row>
    <row r="111" spans="1:5" x14ac:dyDescent="0.3">
      <c r="A111" s="165" t="s">
        <v>249</v>
      </c>
      <c r="B111" t="s">
        <v>14</v>
      </c>
      <c r="C111" s="168">
        <v>5</v>
      </c>
      <c r="D111" t="str">
        <f>VLOOKUP(A111,DataUsuario!B:D,2,FALSE)</f>
        <v>Administración y Finanzas</v>
      </c>
      <c r="E111" t="str">
        <f>VLOOKUP(A111,DataUsuario!B:D,3,FALSE)</f>
        <v>Compras</v>
      </c>
    </row>
    <row r="112" spans="1:5" x14ac:dyDescent="0.3">
      <c r="A112" s="166" t="s">
        <v>601</v>
      </c>
      <c r="B112" t="s">
        <v>14</v>
      </c>
      <c r="C112" s="169">
        <v>4</v>
      </c>
      <c r="D112" t="str">
        <f>VLOOKUP(A112,DataUsuario!B:D,2,FALSE)</f>
        <v>Administración y Finanzas</v>
      </c>
      <c r="E112" t="str">
        <f>VLOOKUP(A112,DataUsuario!B:D,3,FALSE)</f>
        <v>Sistemas y TI</v>
      </c>
    </row>
    <row r="113" spans="1:5" x14ac:dyDescent="0.3">
      <c r="A113" s="165" t="s">
        <v>439</v>
      </c>
      <c r="B113" t="s">
        <v>14</v>
      </c>
      <c r="C113" s="168">
        <v>5</v>
      </c>
      <c r="D113" t="str">
        <f>VLOOKUP(A113,DataUsuario!B:D,2,FALSE)</f>
        <v>Operaciones</v>
      </c>
      <c r="E113" t="str">
        <f>VLOOKUP(A113,DataUsuario!B:D,3,FALSE)</f>
        <v>Comercial</v>
      </c>
    </row>
    <row r="114" spans="1:5" x14ac:dyDescent="0.3">
      <c r="A114" s="166" t="s">
        <v>320</v>
      </c>
      <c r="B114" t="s">
        <v>14</v>
      </c>
      <c r="C114" s="169">
        <v>4</v>
      </c>
      <c r="D114" t="str">
        <f>VLOOKUP(A114,DataUsuario!B:D,2,FALSE)</f>
        <v>Gestión Humana y Sostenibilidad</v>
      </c>
      <c r="E114" t="str">
        <f>VLOOKUP(A114,DataUsuario!B:D,3,FALSE)</f>
        <v>Sostenibilidad</v>
      </c>
    </row>
    <row r="115" spans="1:5" x14ac:dyDescent="0.3">
      <c r="A115" s="165" t="s">
        <v>80</v>
      </c>
      <c r="B115" t="s">
        <v>14</v>
      </c>
      <c r="C115" s="168">
        <v>4</v>
      </c>
      <c r="D115" t="str">
        <f>VLOOKUP(A115,DataUsuario!B:D,2,FALSE)</f>
        <v>Administración y Finanzas</v>
      </c>
      <c r="E115" t="str">
        <f>VLOOKUP(A115,DataUsuario!B:D,3,FALSE)</f>
        <v>Compras</v>
      </c>
    </row>
    <row r="116" spans="1:5" x14ac:dyDescent="0.3">
      <c r="A116" s="166" t="s">
        <v>343</v>
      </c>
      <c r="B116" t="s">
        <v>14</v>
      </c>
      <c r="C116" s="169">
        <v>5</v>
      </c>
      <c r="D116" t="str">
        <f>VLOOKUP(A116,DataUsuario!B:D,2,FALSE)</f>
        <v>Operaciones</v>
      </c>
      <c r="E116" t="str">
        <f>VLOOKUP(A116,DataUsuario!B:D,3,FALSE)</f>
        <v>Comercial No Giro</v>
      </c>
    </row>
    <row r="117" spans="1:5" x14ac:dyDescent="0.3">
      <c r="A117" s="165" t="s">
        <v>236</v>
      </c>
      <c r="B117" t="s">
        <v>14</v>
      </c>
      <c r="C117" s="168">
        <v>4</v>
      </c>
      <c r="D117" t="str">
        <f>VLOOKUP(A117,DataUsuario!B:D,2,FALSE)</f>
        <v>Administración y Finanzas</v>
      </c>
      <c r="E117" t="str">
        <f>VLOOKUP(A117,DataUsuario!B:D,3,FALSE)</f>
        <v>Sistemas y TI</v>
      </c>
    </row>
    <row r="118" spans="1:5" x14ac:dyDescent="0.3">
      <c r="A118" s="166" t="s">
        <v>205</v>
      </c>
      <c r="B118" t="s">
        <v>14</v>
      </c>
      <c r="C118" s="169">
        <v>4</v>
      </c>
      <c r="D118" t="str">
        <f>VLOOKUP(A118,DataUsuario!B:D,2,FALSE)</f>
        <v>Operaciones</v>
      </c>
      <c r="E118" t="str">
        <f>VLOOKUP(A118,DataUsuario!B:D,3,FALSE)</f>
        <v>Almacenes y Distribución PT</v>
      </c>
    </row>
    <row r="119" spans="1:5" x14ac:dyDescent="0.3">
      <c r="A119" s="165" t="s">
        <v>136</v>
      </c>
      <c r="B119" t="s">
        <v>14</v>
      </c>
      <c r="C119" s="168">
        <v>4</v>
      </c>
      <c r="D119" t="str">
        <f>VLOOKUP(A119,DataUsuario!B:D,2,FALSE)</f>
        <v>Operaciones</v>
      </c>
      <c r="E119" t="str">
        <f>VLOOKUP(A119,DataUsuario!B:D,3,FALSE)</f>
        <v>Comercial</v>
      </c>
    </row>
    <row r="120" spans="1:5" x14ac:dyDescent="0.3">
      <c r="A120" s="166" t="s">
        <v>602</v>
      </c>
      <c r="B120" t="s">
        <v>14</v>
      </c>
      <c r="C120" s="169">
        <v>5</v>
      </c>
      <c r="D120" t="str">
        <f>VLOOKUP(A120,DataUsuario!B:D,2,FALSE)</f>
        <v>Administración y Finanzas</v>
      </c>
      <c r="E120" t="str">
        <f>VLOOKUP(A120,DataUsuario!B:D,3,FALSE)</f>
        <v>Sistemas y TI</v>
      </c>
    </row>
    <row r="121" spans="1:5" x14ac:dyDescent="0.3">
      <c r="A121" s="165" t="s">
        <v>181</v>
      </c>
      <c r="B121" t="s">
        <v>14</v>
      </c>
      <c r="C121" s="168">
        <v>4</v>
      </c>
      <c r="D121" t="str">
        <f>VLOOKUP(A121,DataUsuario!B:D,2,FALSE)</f>
        <v>Gestión Humana y Sostenibilidad</v>
      </c>
      <c r="E121" t="str">
        <f>VLOOKUP(A121,DataUsuario!B:D,3,FALSE)</f>
        <v>Compensación y Nóminas</v>
      </c>
    </row>
    <row r="122" spans="1:5" x14ac:dyDescent="0.3">
      <c r="A122" s="166" t="s">
        <v>275</v>
      </c>
      <c r="B122" t="s">
        <v>14</v>
      </c>
      <c r="C122" s="169" t="s">
        <v>627</v>
      </c>
      <c r="D122" t="str">
        <f>VLOOKUP(A122,DataUsuario!B:D,2,FALSE)</f>
        <v>Administración y Finanzas</v>
      </c>
      <c r="E122" t="str">
        <f>VLOOKUP(A122,DataUsuario!B:D,3,FALSE)</f>
        <v>Compras</v>
      </c>
    </row>
    <row r="123" spans="1:5" x14ac:dyDescent="0.3">
      <c r="A123" s="165" t="s">
        <v>61</v>
      </c>
      <c r="B123" t="s">
        <v>14</v>
      </c>
      <c r="C123" s="168">
        <v>4</v>
      </c>
      <c r="D123" t="str">
        <f>VLOOKUP(A123,DataUsuario!B:D,2,FALSE)</f>
        <v>Gestión Humana y Sostenibilidad</v>
      </c>
      <c r="E123" t="str">
        <f>VLOOKUP(A123,DataUsuario!B:D,3,FALSE)</f>
        <v>Compensación y Nóminas</v>
      </c>
    </row>
    <row r="124" spans="1:5" x14ac:dyDescent="0.3">
      <c r="A124" s="166" t="s">
        <v>374</v>
      </c>
      <c r="B124" t="s">
        <v>14</v>
      </c>
      <c r="C124" s="169">
        <v>4</v>
      </c>
      <c r="D124" t="str">
        <f>VLOOKUP(A124,DataUsuario!B:D,2,FALSE)</f>
        <v>Agrícola</v>
      </c>
      <c r="E124" t="str">
        <f>VLOOKUP(A124,DataUsuario!B:D,3,FALSE)</f>
        <v>Mantenimiento de Riego y Bombas</v>
      </c>
    </row>
    <row r="125" spans="1:5" x14ac:dyDescent="0.3">
      <c r="A125" s="165" t="s">
        <v>605</v>
      </c>
      <c r="B125" t="s">
        <v>14</v>
      </c>
      <c r="C125" s="168" t="s">
        <v>627</v>
      </c>
      <c r="D125" t="str">
        <f>VLOOKUP(A125,DataUsuario!B:D,2,FALSE)</f>
        <v>Administración y Finanzas</v>
      </c>
      <c r="E125" t="str">
        <f>VLOOKUP(A125,DataUsuario!B:D,3,FALSE)</f>
        <v>Control de Gestión</v>
      </c>
    </row>
    <row r="126" spans="1:5" x14ac:dyDescent="0.3">
      <c r="A126" s="166" t="s">
        <v>92</v>
      </c>
      <c r="B126" t="s">
        <v>14</v>
      </c>
      <c r="C126" s="169" t="s">
        <v>627</v>
      </c>
      <c r="D126" t="str">
        <f>VLOOKUP(A126,DataUsuario!B:D,2,FALSE)</f>
        <v>Administración y Finanzas</v>
      </c>
      <c r="E126" t="str">
        <f>VLOOKUP(A126,DataUsuario!B:D,3,FALSE)</f>
        <v>Control de Gestión</v>
      </c>
    </row>
    <row r="127" spans="1:5" x14ac:dyDescent="0.3">
      <c r="A127" s="165" t="s">
        <v>217</v>
      </c>
      <c r="B127" t="s">
        <v>14</v>
      </c>
      <c r="C127" s="168">
        <v>4</v>
      </c>
      <c r="D127" t="str">
        <f>VLOOKUP(A127,DataUsuario!B:D,2,FALSE)</f>
        <v>Agrícola</v>
      </c>
      <c r="E127" t="str">
        <f>VLOOKUP(A127,DataUsuario!B:D,3,FALSE)</f>
        <v>Mantenimiento de Riego y Bombas</v>
      </c>
    </row>
    <row r="128" spans="1:5" x14ac:dyDescent="0.3">
      <c r="A128" s="166" t="s">
        <v>606</v>
      </c>
      <c r="B128" t="s">
        <v>14</v>
      </c>
      <c r="C128" s="169">
        <v>5</v>
      </c>
      <c r="D128" t="str">
        <f>VLOOKUP(A128,DataUsuario!B:D,2,FALSE)</f>
        <v>Administración y Finanzas</v>
      </c>
      <c r="E128" t="str">
        <f>VLOOKUP(A128,DataUsuario!B:D,3,FALSE)</f>
        <v>Sistemas y TI</v>
      </c>
    </row>
    <row r="129" spans="1:5" x14ac:dyDescent="0.3">
      <c r="A129" s="165" t="s">
        <v>210</v>
      </c>
      <c r="B129" t="s">
        <v>14</v>
      </c>
      <c r="C129" s="168">
        <v>4</v>
      </c>
      <c r="D129" t="str">
        <f>VLOOKUP(A129,DataUsuario!B:D,2,FALSE)</f>
        <v>Industrial y de Mantenimiento</v>
      </c>
      <c r="E129" t="str">
        <f>VLOOKUP(A129,DataUsuario!B:D,3,FALSE)</f>
        <v>Planta y Srv Industriales</v>
      </c>
    </row>
    <row r="130" spans="1:5" x14ac:dyDescent="0.3">
      <c r="A130" s="166" t="s">
        <v>254</v>
      </c>
      <c r="B130" t="s">
        <v>14</v>
      </c>
      <c r="C130" s="169">
        <v>4</v>
      </c>
      <c r="D130" t="str">
        <f>VLOOKUP(A130,DataUsuario!B:D,2,FALSE)</f>
        <v>Administración y Finanzas</v>
      </c>
      <c r="E130" t="str">
        <f>VLOOKUP(A130,DataUsuario!B:D,3,FALSE)</f>
        <v>Administración</v>
      </c>
    </row>
    <row r="131" spans="1:5" x14ac:dyDescent="0.3">
      <c r="A131" s="165" t="s">
        <v>403</v>
      </c>
      <c r="B131" t="s">
        <v>14</v>
      </c>
      <c r="C131" s="168">
        <v>4</v>
      </c>
      <c r="D131" t="str">
        <f>VLOOKUP(A131,DataUsuario!B:D,2,FALSE)</f>
        <v>Administración y Finanzas</v>
      </c>
      <c r="E131" t="str">
        <f>VLOOKUP(A131,DataUsuario!B:D,3,FALSE)</f>
        <v>Control de Gestión</v>
      </c>
    </row>
    <row r="132" spans="1:5" x14ac:dyDescent="0.3">
      <c r="A132" s="166" t="s">
        <v>170</v>
      </c>
      <c r="B132" t="s">
        <v>14</v>
      </c>
      <c r="C132" s="169">
        <v>5</v>
      </c>
      <c r="D132" t="str">
        <f>VLOOKUP(A132,DataUsuario!B:D,2,FALSE)</f>
        <v>Operaciones</v>
      </c>
      <c r="E132" t="str">
        <f>VLOOKUP(A132,DataUsuario!B:D,3,FALSE)</f>
        <v>Mantenimiento CAT</v>
      </c>
    </row>
    <row r="133" spans="1:5" x14ac:dyDescent="0.3">
      <c r="A133" s="165" t="s">
        <v>88</v>
      </c>
      <c r="B133" t="s">
        <v>14</v>
      </c>
      <c r="C133" s="168">
        <v>5</v>
      </c>
      <c r="D133" t="str">
        <f>VLOOKUP(A133,DataUsuario!B:D,2,FALSE)</f>
        <v>Agrícola</v>
      </c>
      <c r="E133" t="str">
        <f>VLOOKUP(A133,DataUsuario!B:D,3,FALSE)</f>
        <v>Fundo Lobo</v>
      </c>
    </row>
    <row r="134" spans="1:5" x14ac:dyDescent="0.3">
      <c r="A134" s="166" t="s">
        <v>242</v>
      </c>
      <c r="B134" t="s">
        <v>14</v>
      </c>
      <c r="C134" s="169">
        <v>4</v>
      </c>
      <c r="D134" t="str">
        <f>VLOOKUP(A134,DataUsuario!B:D,2,FALSE)</f>
        <v>Agrícola</v>
      </c>
      <c r="E134" t="str">
        <f>VLOOKUP(A134,DataUsuario!B:D,3,FALSE)</f>
        <v>Fundo Montelima</v>
      </c>
    </row>
    <row r="135" spans="1:5" x14ac:dyDescent="0.3">
      <c r="A135" s="165" t="s">
        <v>65</v>
      </c>
      <c r="B135" t="s">
        <v>14</v>
      </c>
      <c r="C135" s="168">
        <v>5</v>
      </c>
      <c r="D135" t="str">
        <f>VLOOKUP(A135,DataUsuario!B:D,2,FALSE)</f>
        <v>Administración y Finanzas</v>
      </c>
      <c r="E135" t="str">
        <f>VLOOKUP(A135,DataUsuario!B:D,3,FALSE)</f>
        <v>Finanzas y Tesorería</v>
      </c>
    </row>
    <row r="136" spans="1:5" x14ac:dyDescent="0.3">
      <c r="A136" s="166" t="s">
        <v>609</v>
      </c>
      <c r="B136" t="s">
        <v>14</v>
      </c>
      <c r="C136" s="169" t="s">
        <v>627</v>
      </c>
      <c r="D136" t="str">
        <f>VLOOKUP(A136,DataUsuario!B:D,2,FALSE)</f>
        <v>Administración y Finanzas</v>
      </c>
      <c r="E136" t="str">
        <f>VLOOKUP(A136,DataUsuario!B:D,3,FALSE)</f>
        <v>Compras</v>
      </c>
    </row>
    <row r="137" spans="1:5" x14ac:dyDescent="0.3">
      <c r="A137" s="165" t="s">
        <v>85</v>
      </c>
      <c r="B137" t="s">
        <v>14</v>
      </c>
      <c r="C137" s="168">
        <v>5</v>
      </c>
      <c r="D137" t="str">
        <f>VLOOKUP(A137,DataUsuario!B:D,2,FALSE)</f>
        <v>Operaciones</v>
      </c>
      <c r="E137" t="str">
        <f>VLOOKUP(A137,DataUsuario!B:D,3,FALSE)</f>
        <v>Comercial</v>
      </c>
    </row>
    <row r="138" spans="1:5" x14ac:dyDescent="0.3">
      <c r="A138" s="166" t="s">
        <v>256</v>
      </c>
      <c r="B138" t="s">
        <v>14</v>
      </c>
      <c r="C138" s="169">
        <v>4</v>
      </c>
      <c r="D138" t="str">
        <f>VLOOKUP(A138,DataUsuario!B:D,2,FALSE)</f>
        <v>Agrícola</v>
      </c>
      <c r="E138" t="str">
        <f>VLOOKUP(A138,DataUsuario!B:D,3,FALSE)</f>
        <v>Fundo Montelima</v>
      </c>
    </row>
    <row r="139" spans="1:5" x14ac:dyDescent="0.3">
      <c r="A139" s="165" t="s">
        <v>611</v>
      </c>
      <c r="B139" t="s">
        <v>14</v>
      </c>
      <c r="C139" s="168">
        <v>4</v>
      </c>
      <c r="D139" t="str">
        <f>VLOOKUP(A139,DataUsuario!B:D,2,FALSE)</f>
        <v>Operaciones</v>
      </c>
      <c r="E139" t="str">
        <f>VLOOKUP(A139,DataUsuario!B:D,3,FALSE)</f>
        <v>Almacenes y Distribución PT</v>
      </c>
    </row>
    <row r="140" spans="1:5" x14ac:dyDescent="0.3">
      <c r="A140" s="166" t="s">
        <v>267</v>
      </c>
      <c r="B140" t="s">
        <v>14</v>
      </c>
      <c r="C140" s="169">
        <v>5</v>
      </c>
      <c r="D140" t="str">
        <f>VLOOKUP(A140,DataUsuario!B:D,2,FALSE)</f>
        <v>Gestión Humana y Sostenibilidad</v>
      </c>
      <c r="E140" t="str">
        <f>VLOOKUP(A140,DataUsuario!B:D,3,FALSE)</f>
        <v>Sostenibilidad</v>
      </c>
    </row>
    <row r="141" spans="1:5" x14ac:dyDescent="0.3">
      <c r="A141" s="165" t="s">
        <v>614</v>
      </c>
      <c r="B141" t="s">
        <v>14</v>
      </c>
      <c r="C141" s="168">
        <v>4</v>
      </c>
      <c r="D141" t="str">
        <f>VLOOKUP(A141,DataUsuario!B:D,2,FALSE)</f>
        <v>Operaciones</v>
      </c>
      <c r="E141" t="str">
        <f>VLOOKUP(A141,DataUsuario!B:D,3,FALSE)</f>
        <v>Transporte</v>
      </c>
    </row>
    <row r="142" spans="1:5" x14ac:dyDescent="0.3">
      <c r="A142" s="166" t="s">
        <v>415</v>
      </c>
      <c r="B142" t="s">
        <v>14</v>
      </c>
      <c r="C142" s="169" t="s">
        <v>627</v>
      </c>
      <c r="D142" t="str">
        <f>VLOOKUP(A142,DataUsuario!B:D,2,FALSE)</f>
        <v>Administración y Finanzas</v>
      </c>
      <c r="E142" t="str">
        <f>VLOOKUP(A142,DataUsuario!B:D,3,FALSE)</f>
        <v>Administración</v>
      </c>
    </row>
    <row r="143" spans="1:5" x14ac:dyDescent="0.3">
      <c r="A143" s="165" t="s">
        <v>200</v>
      </c>
      <c r="B143" t="s">
        <v>14</v>
      </c>
      <c r="C143" s="168">
        <v>4</v>
      </c>
      <c r="D143" t="str">
        <f>VLOOKUP(A143,DataUsuario!B:D,2,FALSE)</f>
        <v>Industrial y de Mantenimiento</v>
      </c>
      <c r="E143" t="str">
        <f>VLOOKUP(A143,DataUsuario!B:D,3,FALSE)</f>
        <v>Electricidad</v>
      </c>
    </row>
    <row r="144" spans="1:5" x14ac:dyDescent="0.3">
      <c r="A144" s="166" t="s">
        <v>198</v>
      </c>
      <c r="B144" t="s">
        <v>14</v>
      </c>
      <c r="C144" s="169">
        <v>5</v>
      </c>
      <c r="D144" t="str">
        <f>VLOOKUP(A144,DataUsuario!B:D,2,FALSE)</f>
        <v>Agrícola</v>
      </c>
      <c r="E144" t="str">
        <f>VLOOKUP(A144,DataUsuario!B:D,3,FALSE)</f>
        <v>Fundo Lobo</v>
      </c>
    </row>
    <row r="145" spans="1:5" x14ac:dyDescent="0.3">
      <c r="A145" s="165" t="s">
        <v>350</v>
      </c>
      <c r="B145" t="s">
        <v>14</v>
      </c>
      <c r="C145" s="168">
        <v>5</v>
      </c>
      <c r="D145" t="str">
        <f>VLOOKUP(A145,DataUsuario!B:D,2,FALSE)</f>
        <v>Agrícola</v>
      </c>
      <c r="E145" t="str">
        <f>VLOOKUP(A145,DataUsuario!B:D,3,FALSE)</f>
        <v>Planificador Agrícola</v>
      </c>
    </row>
    <row r="146" spans="1:5" x14ac:dyDescent="0.3">
      <c r="A146" s="166" t="s">
        <v>345</v>
      </c>
      <c r="B146" t="s">
        <v>14</v>
      </c>
      <c r="C146" s="169">
        <v>4</v>
      </c>
      <c r="D146" t="str">
        <f>VLOOKUP(A146,DataUsuario!B:D,2,FALSE)</f>
        <v>Agrícola</v>
      </c>
      <c r="E146" t="str">
        <f>VLOOKUP(A146,DataUsuario!B:D,3,FALSE)</f>
        <v>Mantenimiento de Riego y Bombas</v>
      </c>
    </row>
    <row r="147" spans="1:5" x14ac:dyDescent="0.3">
      <c r="A147" s="165" t="s">
        <v>314</v>
      </c>
      <c r="B147" t="s">
        <v>14</v>
      </c>
      <c r="C147" s="168">
        <v>4</v>
      </c>
      <c r="D147" t="str">
        <f>VLOOKUP(A147,DataUsuario!B:D,2,FALSE)</f>
        <v>Industrial y de Mantenimiento</v>
      </c>
      <c r="E147" t="str">
        <f>VLOOKUP(A147,DataUsuario!B:D,3,FALSE)</f>
        <v>Mantenimiento Industrial</v>
      </c>
    </row>
    <row r="148" spans="1:5" x14ac:dyDescent="0.3">
      <c r="A148" s="166" t="s">
        <v>150</v>
      </c>
      <c r="B148" t="s">
        <v>14</v>
      </c>
      <c r="C148" s="169">
        <v>4</v>
      </c>
      <c r="D148" t="str">
        <f>VLOOKUP(A148,DataUsuario!B:D,2,FALSE)</f>
        <v>Industrial y de Mantenimiento</v>
      </c>
      <c r="E148" t="str">
        <f>VLOOKUP(A148,DataUsuario!B:D,3,FALSE)</f>
        <v>Producción</v>
      </c>
    </row>
    <row r="149" spans="1:5" x14ac:dyDescent="0.3">
      <c r="A149" s="165" t="s">
        <v>271</v>
      </c>
      <c r="B149" t="s">
        <v>14</v>
      </c>
      <c r="C149" s="168">
        <v>4</v>
      </c>
      <c r="D149" t="str">
        <f>VLOOKUP(A149,DataUsuario!B:D,2,FALSE)</f>
        <v>Operaciones</v>
      </c>
      <c r="E149" t="str">
        <f>VLOOKUP(A149,DataUsuario!B:D,3,FALSE)</f>
        <v>Calidad</v>
      </c>
    </row>
    <row r="150" spans="1:5" x14ac:dyDescent="0.3">
      <c r="A150" s="166" t="s">
        <v>156</v>
      </c>
      <c r="B150" t="s">
        <v>14</v>
      </c>
      <c r="C150" s="169" t="s">
        <v>627</v>
      </c>
      <c r="D150" t="str">
        <f>VLOOKUP(A150,DataUsuario!B:D,2,FALSE)</f>
        <v>Administración y Finanzas</v>
      </c>
      <c r="E150" t="str">
        <f>VLOOKUP(A150,DataUsuario!B:D,3,FALSE)</f>
        <v>Compras</v>
      </c>
    </row>
    <row r="151" spans="1:5" x14ac:dyDescent="0.3">
      <c r="A151" s="165" t="s">
        <v>369</v>
      </c>
      <c r="B151" t="s">
        <v>14</v>
      </c>
      <c r="C151" s="168" t="s">
        <v>627</v>
      </c>
      <c r="D151" t="str">
        <f>VLOOKUP(A151,DataUsuario!B:D,2,FALSE)</f>
        <v>Agrícola</v>
      </c>
      <c r="E151" t="str">
        <f>VLOOKUP(A151,DataUsuario!B:D,3,FALSE)</f>
        <v>Sistema Integral de Gestión</v>
      </c>
    </row>
    <row r="152" spans="1:5" x14ac:dyDescent="0.3">
      <c r="A152" s="166" t="s">
        <v>224</v>
      </c>
      <c r="B152" t="s">
        <v>14</v>
      </c>
      <c r="C152" s="169">
        <v>5</v>
      </c>
      <c r="D152" t="str">
        <f>VLOOKUP(A152,DataUsuario!B:D,2,FALSE)</f>
        <v>Agrícola</v>
      </c>
      <c r="E152" t="str">
        <f>VLOOKUP(A152,DataUsuario!B:D,3,FALSE)</f>
        <v>Laboratorio e Investigación Agricola</v>
      </c>
    </row>
    <row r="153" spans="1:5" x14ac:dyDescent="0.3">
      <c r="A153" s="165" t="s">
        <v>618</v>
      </c>
      <c r="B153" t="s">
        <v>14</v>
      </c>
      <c r="C153" s="168">
        <v>5</v>
      </c>
      <c r="D153" t="e">
        <f>VLOOKUP(A153,DataUsuario!B:D,2,FALSE)</f>
        <v>#N/A</v>
      </c>
      <c r="E153" t="e">
        <f>VLOOKUP(A153,DataUsuario!B:D,3,FALSE)</f>
        <v>#N/A</v>
      </c>
    </row>
    <row r="154" spans="1:5" x14ac:dyDescent="0.3">
      <c r="A154" s="166" t="s">
        <v>397</v>
      </c>
      <c r="B154" t="s">
        <v>14</v>
      </c>
      <c r="C154" s="169">
        <v>4</v>
      </c>
      <c r="D154" t="str">
        <f>VLOOKUP(A154,DataUsuario!B:D,2,FALSE)</f>
        <v>Administración y Finanzas</v>
      </c>
      <c r="E154" t="str">
        <f>VLOOKUP(A154,DataUsuario!B:D,3,FALSE)</f>
        <v>Control de Gestión</v>
      </c>
    </row>
    <row r="155" spans="1:5" x14ac:dyDescent="0.3">
      <c r="A155" s="165" t="s">
        <v>619</v>
      </c>
      <c r="B155" t="s">
        <v>14</v>
      </c>
      <c r="C155" s="168">
        <v>4</v>
      </c>
      <c r="D155" t="str">
        <f>VLOOKUP(A155,DataUsuario!B:D,2,FALSE)</f>
        <v>Gestión Humana y Sostenibilidad</v>
      </c>
      <c r="E155" t="str">
        <f>VLOOKUP(A155,DataUsuario!B:D,3,FALSE)</f>
        <v>Bienestar - Medico Ocupacional</v>
      </c>
    </row>
    <row r="156" spans="1:5" x14ac:dyDescent="0.3">
      <c r="A156" s="166" t="s">
        <v>215</v>
      </c>
      <c r="B156" t="s">
        <v>14</v>
      </c>
      <c r="C156" s="169">
        <v>5</v>
      </c>
      <c r="D156" t="str">
        <f>VLOOKUP(A156,DataUsuario!B:D,2,FALSE)</f>
        <v>Gestión Humana y Sostenibilidad</v>
      </c>
      <c r="E156" t="str">
        <f>VLOOKUP(A156,DataUsuario!B:D,3,FALSE)</f>
        <v>Seguridad</v>
      </c>
    </row>
    <row r="157" spans="1:5" x14ac:dyDescent="0.3">
      <c r="A157" s="165" t="s">
        <v>307</v>
      </c>
      <c r="B157" t="s">
        <v>14</v>
      </c>
      <c r="C157" s="168" t="s">
        <v>627</v>
      </c>
      <c r="D157" t="str">
        <f>VLOOKUP(A157,DataUsuario!B:D,2,FALSE)</f>
        <v>Gestión Humana y Sostenibilidad</v>
      </c>
      <c r="E157" t="str">
        <f>VLOOKUP(A157,DataUsuario!B:D,3,FALSE)</f>
        <v>Comunicaciones y Responsabilidad Social</v>
      </c>
    </row>
    <row r="158" spans="1:5" x14ac:dyDescent="0.3">
      <c r="A158" s="166" t="s">
        <v>285</v>
      </c>
      <c r="B158" t="s">
        <v>14</v>
      </c>
      <c r="C158" s="169">
        <v>4</v>
      </c>
      <c r="D158" t="str">
        <f>VLOOKUP(A158,DataUsuario!B:D,2,FALSE)</f>
        <v>Operaciones</v>
      </c>
      <c r="E158" t="str">
        <f>VLOOKUP(A158,DataUsuario!B:D,3,FALSE)</f>
        <v>Comercial</v>
      </c>
    </row>
    <row r="159" spans="1:5" x14ac:dyDescent="0.3">
      <c r="A159" s="165" t="s">
        <v>316</v>
      </c>
      <c r="B159" t="s">
        <v>14</v>
      </c>
      <c r="C159" s="168" t="s">
        <v>627</v>
      </c>
      <c r="D159" t="str">
        <f>VLOOKUP(A159,DataUsuario!B:D,2,FALSE)</f>
        <v>Administración y Finanzas</v>
      </c>
      <c r="E159" t="str">
        <f>VLOOKUP(A159,DataUsuario!B:D,3,FALSE)</f>
        <v>Compras</v>
      </c>
    </row>
    <row r="160" spans="1:5" x14ac:dyDescent="0.3">
      <c r="A160" s="166" t="s">
        <v>372</v>
      </c>
      <c r="B160" t="s">
        <v>14</v>
      </c>
      <c r="C160" s="169" t="s">
        <v>627</v>
      </c>
      <c r="D160" t="str">
        <f>VLOOKUP(A160,DataUsuario!B:D,2,FALSE)</f>
        <v>Agrícola</v>
      </c>
      <c r="E160" t="str">
        <f>VLOOKUP(A160,DataUsuario!B:D,3,FALSE)</f>
        <v>Laboratorio e Investigación Agricola</v>
      </c>
    </row>
    <row r="161" spans="1:5" x14ac:dyDescent="0.3">
      <c r="A161" s="165" t="s">
        <v>328</v>
      </c>
      <c r="B161" t="s">
        <v>14</v>
      </c>
      <c r="C161" s="168">
        <v>5</v>
      </c>
      <c r="D161" t="str">
        <f>VLOOKUP(A161,DataUsuario!B:D,2,FALSE)</f>
        <v>Administración y Finanzas</v>
      </c>
      <c r="E161" t="str">
        <f>VLOOKUP(A161,DataUsuario!B:D,3,FALSE)</f>
        <v>Administración</v>
      </c>
    </row>
    <row r="162" spans="1:5" x14ac:dyDescent="0.3">
      <c r="A162" s="166" t="s">
        <v>376</v>
      </c>
      <c r="B162" t="s">
        <v>14</v>
      </c>
      <c r="C162" s="169">
        <v>5</v>
      </c>
      <c r="D162" t="str">
        <f>VLOOKUP(A162,DataUsuario!B:D,2,FALSE)</f>
        <v>Administración y Finanzas</v>
      </c>
      <c r="E162" t="str">
        <f>VLOOKUP(A162,DataUsuario!B:D,3,FALSE)</f>
        <v>Control de Gestión</v>
      </c>
    </row>
    <row r="163" spans="1:5" x14ac:dyDescent="0.3">
      <c r="A163" s="165" t="s">
        <v>238</v>
      </c>
      <c r="B163" t="s">
        <v>14</v>
      </c>
      <c r="C163" s="168" t="s">
        <v>627</v>
      </c>
      <c r="D163" t="str">
        <f>VLOOKUP(A163,DataUsuario!B:D,2,FALSE)</f>
        <v>Industrial y de Mantenimiento</v>
      </c>
      <c r="E163" t="str">
        <f>VLOOKUP(A163,DataUsuario!B:D,3,FALSE)</f>
        <v>Producción</v>
      </c>
    </row>
    <row r="164" spans="1:5" x14ac:dyDescent="0.3">
      <c r="A164" s="166" t="s">
        <v>623</v>
      </c>
      <c r="B164" t="s">
        <v>14</v>
      </c>
      <c r="C164" s="169" t="s">
        <v>627</v>
      </c>
      <c r="D164" t="str">
        <f>VLOOKUP(A164,DataUsuario!B:D,2,FALSE)</f>
        <v>Industrial y de Mantenimiento</v>
      </c>
      <c r="E164" t="str">
        <f>VLOOKUP(A164,DataUsuario!B:D,3,FALSE)</f>
        <v>Mantenimiento Industrial</v>
      </c>
    </row>
    <row r="165" spans="1:5" x14ac:dyDescent="0.3">
      <c r="A165" s="165" t="s">
        <v>97</v>
      </c>
      <c r="B165" t="s">
        <v>14</v>
      </c>
      <c r="C165" s="168">
        <v>5</v>
      </c>
      <c r="D165" t="str">
        <f>VLOOKUP(A165,DataUsuario!B:D,2,FALSE)</f>
        <v>Gestión Humana y Sostenibilidad</v>
      </c>
      <c r="E165" t="str">
        <f>VLOOKUP(A165,DataUsuario!B:D,3,FALSE)</f>
        <v>Compensación y Nóminas</v>
      </c>
    </row>
    <row r="166" spans="1:5" x14ac:dyDescent="0.3">
      <c r="A166" s="166" t="s">
        <v>352</v>
      </c>
      <c r="B166" t="s">
        <v>14</v>
      </c>
      <c r="C166" s="169">
        <v>5</v>
      </c>
      <c r="D166" t="str">
        <f>VLOOKUP(A166,DataUsuario!B:D,2,FALSE)</f>
        <v>Gestión Humana y Sostenibilidad</v>
      </c>
      <c r="E166" t="str">
        <f>VLOOKUP(A166,DataUsuario!B:D,3,FALSE)</f>
        <v>Compensación y Nóminas</v>
      </c>
    </row>
    <row r="167" spans="1:5" x14ac:dyDescent="0.3">
      <c r="A167" s="165" t="s">
        <v>128</v>
      </c>
      <c r="B167" t="s">
        <v>14</v>
      </c>
      <c r="C167" s="168">
        <v>5</v>
      </c>
      <c r="D167" t="str">
        <f>VLOOKUP(A167,DataUsuario!B:D,2,FALSE)</f>
        <v>Agrícola</v>
      </c>
      <c r="E167" t="str">
        <f>VLOOKUP(A167,DataUsuario!B:D,3,FALSE)</f>
        <v>Fundo Lobo</v>
      </c>
    </row>
    <row r="168" spans="1:5" x14ac:dyDescent="0.3">
      <c r="A168" s="166" t="s">
        <v>625</v>
      </c>
      <c r="B168" t="s">
        <v>14</v>
      </c>
      <c r="C168" s="169">
        <v>5</v>
      </c>
      <c r="D168" t="str">
        <f>VLOOKUP(A168,DataUsuario!B:D,2,FALSE)</f>
        <v>Administración y Finanzas</v>
      </c>
      <c r="E168" t="str">
        <f>VLOOKUP(A168,DataUsuario!B:D,3,FALSE)</f>
        <v>Finanzas y Tesorería</v>
      </c>
    </row>
    <row r="169" spans="1:5" x14ac:dyDescent="0.3">
      <c r="A169" s="165" t="s">
        <v>303</v>
      </c>
      <c r="B169" t="s">
        <v>14</v>
      </c>
      <c r="C169" s="168">
        <v>4</v>
      </c>
      <c r="D169" t="str">
        <f>VLOOKUP(A169,DataUsuario!B:D,2,FALSE)</f>
        <v>Administración y Finanzas</v>
      </c>
      <c r="E169" t="str">
        <f>VLOOKUP(A169,DataUsuario!B:D,3,FALSE)</f>
        <v>Control de Gestión</v>
      </c>
    </row>
    <row r="170" spans="1:5" x14ac:dyDescent="0.3">
      <c r="A170" s="166" t="s">
        <v>115</v>
      </c>
      <c r="B170" t="s">
        <v>14</v>
      </c>
      <c r="C170" s="169">
        <v>4</v>
      </c>
      <c r="D170" t="str">
        <f>VLOOKUP(A170,DataUsuario!B:D,2,FALSE)</f>
        <v>Industrial y de Mantenimiento</v>
      </c>
      <c r="E170" t="str">
        <f>VLOOKUP(A170,DataUsuario!B:D,3,FALSE)</f>
        <v>Mantenimiento de Transportes</v>
      </c>
    </row>
    <row r="171" spans="1:5" x14ac:dyDescent="0.3">
      <c r="A171" s="167" t="s">
        <v>123</v>
      </c>
      <c r="B171" t="s">
        <v>14</v>
      </c>
      <c r="C171" s="170">
        <v>3</v>
      </c>
      <c r="D171" t="str">
        <f>VLOOKUP(A171,DataUsuario!B:D,2,FALSE)</f>
        <v>Administración y Finanzas</v>
      </c>
      <c r="E171" t="str">
        <f>VLOOKUP(A171,DataUsuario!B:D,3,FALSE)</f>
        <v>Gerencia Administración y Finanzas</v>
      </c>
    </row>
    <row r="172" spans="1:5" x14ac:dyDescent="0.3">
      <c r="A172" s="165" t="s">
        <v>138</v>
      </c>
      <c r="B172" t="s">
        <v>15</v>
      </c>
      <c r="C172" s="168">
        <v>4</v>
      </c>
      <c r="D172" t="str">
        <f>VLOOKUP(A172,DataUsuario!B:D,2,FALSE)</f>
        <v>Gestión Humana y Sostenibilidad</v>
      </c>
      <c r="E172" t="str">
        <f>VLOOKUP(A172,DataUsuario!B:D,3,FALSE)</f>
        <v>Gestion del Talento</v>
      </c>
    </row>
    <row r="173" spans="1:5" x14ac:dyDescent="0.3">
      <c r="A173" s="166" t="s">
        <v>207</v>
      </c>
      <c r="B173" t="s">
        <v>15</v>
      </c>
      <c r="C173" s="169">
        <v>5</v>
      </c>
      <c r="D173" t="str">
        <f>VLOOKUP(A173,DataUsuario!B:D,2,FALSE)</f>
        <v>Administración y Finanzas</v>
      </c>
      <c r="E173" t="str">
        <f>VLOOKUP(A173,DataUsuario!B:D,3,FALSE)</f>
        <v>Riesgos y Cumplimiento</v>
      </c>
    </row>
    <row r="174" spans="1:5" x14ac:dyDescent="0.3">
      <c r="A174" s="165" t="s">
        <v>322</v>
      </c>
      <c r="B174" t="s">
        <v>15</v>
      </c>
      <c r="C174" s="168">
        <v>3</v>
      </c>
      <c r="D174" t="str">
        <f>VLOOKUP(A174,DataUsuario!B:D,2,FALSE)</f>
        <v>Administración y Finanzas</v>
      </c>
      <c r="E174" t="str">
        <f>VLOOKUP(A174,DataUsuario!B:D,3,FALSE)</f>
        <v>Finanzas y Tesorería</v>
      </c>
    </row>
    <row r="175" spans="1:5" x14ac:dyDescent="0.3">
      <c r="A175" s="166" t="s">
        <v>133</v>
      </c>
      <c r="B175" t="s">
        <v>15</v>
      </c>
      <c r="C175" s="169">
        <v>4</v>
      </c>
      <c r="D175" t="str">
        <f>VLOOKUP(A175,DataUsuario!B:D,2,FALSE)</f>
        <v>Industrial y de Mantenimiento</v>
      </c>
      <c r="E175" t="str">
        <f>VLOOKUP(A175,DataUsuario!B:D,3,FALSE)</f>
        <v>Electricidad</v>
      </c>
    </row>
    <row r="176" spans="1:5" x14ac:dyDescent="0.3">
      <c r="A176" s="165" t="s">
        <v>299</v>
      </c>
      <c r="B176" t="s">
        <v>15</v>
      </c>
      <c r="C176" s="168">
        <v>4</v>
      </c>
      <c r="D176" t="str">
        <f>VLOOKUP(A176,DataUsuario!B:D,2,FALSE)</f>
        <v>Administración y Finanzas</v>
      </c>
      <c r="E176" t="str">
        <f>VLOOKUP(A176,DataUsuario!B:D,3,FALSE)</f>
        <v>Legal</v>
      </c>
    </row>
    <row r="177" spans="1:5" x14ac:dyDescent="0.3">
      <c r="A177" s="166" t="s">
        <v>421</v>
      </c>
      <c r="B177" t="s">
        <v>15</v>
      </c>
      <c r="C177" s="169">
        <v>4</v>
      </c>
      <c r="D177" t="str">
        <f>VLOOKUP(A177,DataUsuario!B:D,2,FALSE)</f>
        <v>Operaciones</v>
      </c>
      <c r="E177" t="str">
        <f>VLOOKUP(A177,DataUsuario!B:D,3,FALSE)</f>
        <v>Cosecha</v>
      </c>
    </row>
    <row r="178" spans="1:5" x14ac:dyDescent="0.3">
      <c r="A178" s="165" t="s">
        <v>258</v>
      </c>
      <c r="B178" t="s">
        <v>15</v>
      </c>
      <c r="C178" s="168">
        <v>4</v>
      </c>
      <c r="D178" t="str">
        <f>VLOOKUP(A178,DataUsuario!B:D,2,FALSE)</f>
        <v>Operaciones</v>
      </c>
      <c r="E178" t="str">
        <f>VLOOKUP(A178,DataUsuario!B:D,3,FALSE)</f>
        <v>Calidad</v>
      </c>
    </row>
    <row r="179" spans="1:5" x14ac:dyDescent="0.3">
      <c r="A179" s="166" t="s">
        <v>152</v>
      </c>
      <c r="B179" t="s">
        <v>15</v>
      </c>
      <c r="C179" s="169">
        <v>5</v>
      </c>
      <c r="D179" t="str">
        <f>VLOOKUP(A179,DataUsuario!B:D,2,FALSE)</f>
        <v>Operaciones</v>
      </c>
      <c r="E179" t="str">
        <f>VLOOKUP(A179,DataUsuario!B:D,3,FALSE)</f>
        <v>Almacenes y Distribución PT</v>
      </c>
    </row>
    <row r="180" spans="1:5" x14ac:dyDescent="0.3">
      <c r="A180" s="165" t="s">
        <v>77</v>
      </c>
      <c r="B180" t="s">
        <v>15</v>
      </c>
      <c r="C180" s="168">
        <v>5</v>
      </c>
      <c r="D180" t="str">
        <f>VLOOKUP(A180,DataUsuario!B:D,2,FALSE)</f>
        <v>Operaciones</v>
      </c>
      <c r="E180" t="str">
        <f>VLOOKUP(A180,DataUsuario!B:D,3,FALSE)</f>
        <v>Comercial No Giro</v>
      </c>
    </row>
    <row r="181" spans="1:5" x14ac:dyDescent="0.3">
      <c r="A181" s="166" t="s">
        <v>435</v>
      </c>
      <c r="B181" t="s">
        <v>15</v>
      </c>
      <c r="C181" s="169">
        <v>5</v>
      </c>
      <c r="D181" t="str">
        <f>VLOOKUP(A181,DataUsuario!B:D,2,FALSE)</f>
        <v>Operaciones</v>
      </c>
      <c r="E181" t="str">
        <f>VLOOKUP(A181,DataUsuario!B:D,3,FALSE)</f>
        <v>Almacenes y Distribución PT</v>
      </c>
    </row>
    <row r="182" spans="1:5" x14ac:dyDescent="0.3">
      <c r="A182" s="165" t="s">
        <v>405</v>
      </c>
      <c r="B182" t="s">
        <v>15</v>
      </c>
      <c r="C182" s="168">
        <v>5</v>
      </c>
      <c r="D182" t="str">
        <f>VLOOKUP(A182,DataUsuario!B:D,2,FALSE)</f>
        <v>Administración y Finanzas</v>
      </c>
      <c r="E182" t="str">
        <f>VLOOKUP(A182,DataUsuario!B:D,3,FALSE)</f>
        <v>Finanzas y Tesorería</v>
      </c>
    </row>
    <row r="183" spans="1:5" x14ac:dyDescent="0.3">
      <c r="A183" s="166" t="s">
        <v>594</v>
      </c>
      <c r="B183" t="s">
        <v>15</v>
      </c>
      <c r="C183" s="169" t="s">
        <v>627</v>
      </c>
      <c r="D183" t="str">
        <f>VLOOKUP(A183,DataUsuario!B:D,2,FALSE)</f>
        <v>Administración y Finanzas</v>
      </c>
      <c r="E183" t="str">
        <f>VLOOKUP(A183,DataUsuario!B:D,3,FALSE)</f>
        <v>Compras</v>
      </c>
    </row>
    <row r="184" spans="1:5" x14ac:dyDescent="0.3">
      <c r="A184" s="165" t="s">
        <v>289</v>
      </c>
      <c r="B184" t="s">
        <v>15</v>
      </c>
      <c r="C184" s="168">
        <v>4</v>
      </c>
      <c r="D184" t="str">
        <f>VLOOKUP(A184,DataUsuario!B:D,2,FALSE)</f>
        <v>Agrícola</v>
      </c>
      <c r="E184" t="str">
        <f>VLOOKUP(A184,DataUsuario!B:D,3,FALSE)</f>
        <v>Mantenimiento de Riego y Bombas</v>
      </c>
    </row>
    <row r="185" spans="1:5" x14ac:dyDescent="0.3">
      <c r="A185" s="166" t="s">
        <v>359</v>
      </c>
      <c r="B185" t="s">
        <v>15</v>
      </c>
      <c r="C185" s="169">
        <v>4</v>
      </c>
      <c r="D185" t="str">
        <f>VLOOKUP(A185,DataUsuario!B:D,2,FALSE)</f>
        <v>Operaciones</v>
      </c>
      <c r="E185" t="str">
        <f>VLOOKUP(A185,DataUsuario!B:D,3,FALSE)</f>
        <v>Gerencia de Operaciones</v>
      </c>
    </row>
    <row r="186" spans="1:5" x14ac:dyDescent="0.3">
      <c r="A186" s="165" t="s">
        <v>145</v>
      </c>
      <c r="B186" t="s">
        <v>15</v>
      </c>
      <c r="C186" s="168" t="s">
        <v>627</v>
      </c>
      <c r="D186" t="str">
        <f>VLOOKUP(A186,DataUsuario!B:D,2,FALSE)</f>
        <v>Administración y Finanzas</v>
      </c>
      <c r="E186" t="str">
        <f>VLOOKUP(A186,DataUsuario!B:D,3,FALSE)</f>
        <v>Legal</v>
      </c>
    </row>
    <row r="187" spans="1:5" x14ac:dyDescent="0.3">
      <c r="A187" s="166" t="s">
        <v>597</v>
      </c>
      <c r="B187" t="s">
        <v>15</v>
      </c>
      <c r="C187" s="169" t="s">
        <v>627</v>
      </c>
      <c r="D187" t="str">
        <f>VLOOKUP(A187,DataUsuario!B:D,2,FALSE)</f>
        <v>Gestión Humana y Sostenibilidad</v>
      </c>
      <c r="E187" t="str">
        <f>VLOOKUP(A187,DataUsuario!B:D,3,FALSE)</f>
        <v>Seguridad</v>
      </c>
    </row>
    <row r="188" spans="1:5" x14ac:dyDescent="0.3">
      <c r="A188" s="165" t="s">
        <v>82</v>
      </c>
      <c r="B188" t="s">
        <v>15</v>
      </c>
      <c r="C188" s="168" t="s">
        <v>627</v>
      </c>
      <c r="D188" t="str">
        <f>VLOOKUP(A188,DataUsuario!B:D,2,FALSE)</f>
        <v>Industrial y de Mantenimiento</v>
      </c>
      <c r="E188" t="str">
        <f>VLOOKUP(A188,DataUsuario!B:D,3,FALSE)</f>
        <v>Producción</v>
      </c>
    </row>
    <row r="189" spans="1:5" x14ac:dyDescent="0.3">
      <c r="A189" s="166" t="s">
        <v>326</v>
      </c>
      <c r="B189" t="s">
        <v>15</v>
      </c>
      <c r="C189" s="169">
        <v>4</v>
      </c>
      <c r="D189" t="str">
        <f>VLOOKUP(A189,DataUsuario!B:D,2,FALSE)</f>
        <v>Operaciones</v>
      </c>
      <c r="E189" t="str">
        <f>VLOOKUP(A189,DataUsuario!B:D,3,FALSE)</f>
        <v>Calidad</v>
      </c>
    </row>
    <row r="190" spans="1:5" x14ac:dyDescent="0.3">
      <c r="A190" s="165" t="s">
        <v>318</v>
      </c>
      <c r="B190" t="s">
        <v>15</v>
      </c>
      <c r="C190" s="168" t="s">
        <v>627</v>
      </c>
      <c r="D190" t="str">
        <f>VLOOKUP(A190,DataUsuario!B:D,2,FALSE)</f>
        <v>Operaciones</v>
      </c>
      <c r="E190" t="str">
        <f>VLOOKUP(A190,DataUsuario!B:D,3,FALSE)</f>
        <v>Cosecha</v>
      </c>
    </row>
    <row r="191" spans="1:5" x14ac:dyDescent="0.3">
      <c r="A191" s="166" t="s">
        <v>391</v>
      </c>
      <c r="B191" t="s">
        <v>15</v>
      </c>
      <c r="C191" s="169">
        <v>5</v>
      </c>
      <c r="D191" t="str">
        <f>VLOOKUP(A191,DataUsuario!B:D,2,FALSE)</f>
        <v>Administración y Finanzas</v>
      </c>
      <c r="E191" t="str">
        <f>VLOOKUP(A191,DataUsuario!B:D,3,FALSE)</f>
        <v>Finanzas y Tesorería</v>
      </c>
    </row>
    <row r="192" spans="1:5" x14ac:dyDescent="0.3">
      <c r="A192" s="165" t="s">
        <v>279</v>
      </c>
      <c r="B192" t="s">
        <v>15</v>
      </c>
      <c r="C192" s="168">
        <v>4</v>
      </c>
      <c r="D192" t="str">
        <f>VLOOKUP(A192,DataUsuario!B:D,2,FALSE)</f>
        <v>Operaciones</v>
      </c>
      <c r="E192" t="str">
        <f>VLOOKUP(A192,DataUsuario!B:D,3,FALSE)</f>
        <v>Transporte</v>
      </c>
    </row>
    <row r="193" spans="1:5" x14ac:dyDescent="0.3">
      <c r="A193" s="166" t="s">
        <v>431</v>
      </c>
      <c r="B193" t="s">
        <v>15</v>
      </c>
      <c r="C193" s="169">
        <v>4</v>
      </c>
      <c r="D193" t="str">
        <f>VLOOKUP(A193,DataUsuario!B:D,2,FALSE)</f>
        <v>Agrícola</v>
      </c>
      <c r="E193" t="str">
        <f>VLOOKUP(A193,DataUsuario!B:D,3,FALSE)</f>
        <v>Fundo San Vicente</v>
      </c>
    </row>
    <row r="194" spans="1:5" x14ac:dyDescent="0.3">
      <c r="A194" s="165" t="s">
        <v>176</v>
      </c>
      <c r="B194" t="s">
        <v>15</v>
      </c>
      <c r="C194" s="168">
        <v>5</v>
      </c>
      <c r="D194" t="str">
        <f>VLOOKUP(A194,DataUsuario!B:D,2,FALSE)</f>
        <v>Administración y Finanzas</v>
      </c>
      <c r="E194" t="str">
        <f>VLOOKUP(A194,DataUsuario!B:D,3,FALSE)</f>
        <v>Cadenas Productivas</v>
      </c>
    </row>
    <row r="195" spans="1:5" x14ac:dyDescent="0.3">
      <c r="A195" s="166" t="s">
        <v>221</v>
      </c>
      <c r="B195" t="s">
        <v>15</v>
      </c>
      <c r="C195" s="169">
        <v>5</v>
      </c>
      <c r="D195" t="str">
        <f>VLOOKUP(A195,DataUsuario!B:D,2,FALSE)</f>
        <v>Administración y Finanzas</v>
      </c>
      <c r="E195" t="str">
        <f>VLOOKUP(A195,DataUsuario!B:D,3,FALSE)</f>
        <v>Sistemas y TI</v>
      </c>
    </row>
    <row r="196" spans="1:5" x14ac:dyDescent="0.3">
      <c r="A196" s="165" t="s">
        <v>249</v>
      </c>
      <c r="B196" t="s">
        <v>15</v>
      </c>
      <c r="C196" s="168">
        <v>5</v>
      </c>
      <c r="D196" t="str">
        <f>VLOOKUP(A196,DataUsuario!B:D,2,FALSE)</f>
        <v>Administración y Finanzas</v>
      </c>
      <c r="E196" t="str">
        <f>VLOOKUP(A196,DataUsuario!B:D,3,FALSE)</f>
        <v>Compras</v>
      </c>
    </row>
    <row r="197" spans="1:5" x14ac:dyDescent="0.3">
      <c r="A197" s="166" t="s">
        <v>601</v>
      </c>
      <c r="B197" t="s">
        <v>15</v>
      </c>
      <c r="C197" s="169">
        <v>3</v>
      </c>
      <c r="D197" t="str">
        <f>VLOOKUP(A197,DataUsuario!B:D,2,FALSE)</f>
        <v>Administración y Finanzas</v>
      </c>
      <c r="E197" t="str">
        <f>VLOOKUP(A197,DataUsuario!B:D,3,FALSE)</f>
        <v>Sistemas y TI</v>
      </c>
    </row>
    <row r="198" spans="1:5" x14ac:dyDescent="0.3">
      <c r="A198" s="165" t="s">
        <v>439</v>
      </c>
      <c r="B198" t="s">
        <v>15</v>
      </c>
      <c r="C198" s="168">
        <v>5</v>
      </c>
      <c r="D198" t="str">
        <f>VLOOKUP(A198,DataUsuario!B:D,2,FALSE)</f>
        <v>Operaciones</v>
      </c>
      <c r="E198" t="str">
        <f>VLOOKUP(A198,DataUsuario!B:D,3,FALSE)</f>
        <v>Comercial</v>
      </c>
    </row>
    <row r="199" spans="1:5" x14ac:dyDescent="0.3">
      <c r="A199" s="166" t="s">
        <v>320</v>
      </c>
      <c r="B199" t="s">
        <v>15</v>
      </c>
      <c r="C199" s="169">
        <v>5</v>
      </c>
      <c r="D199" t="str">
        <f>VLOOKUP(A199,DataUsuario!B:D,2,FALSE)</f>
        <v>Gestión Humana y Sostenibilidad</v>
      </c>
      <c r="E199" t="str">
        <f>VLOOKUP(A199,DataUsuario!B:D,3,FALSE)</f>
        <v>Sostenibilidad</v>
      </c>
    </row>
    <row r="200" spans="1:5" x14ac:dyDescent="0.3">
      <c r="A200" s="165" t="s">
        <v>80</v>
      </c>
      <c r="B200" t="s">
        <v>15</v>
      </c>
      <c r="C200" s="168" t="s">
        <v>627</v>
      </c>
      <c r="D200" t="str">
        <f>VLOOKUP(A200,DataUsuario!B:D,2,FALSE)</f>
        <v>Administración y Finanzas</v>
      </c>
      <c r="E200" t="str">
        <f>VLOOKUP(A200,DataUsuario!B:D,3,FALSE)</f>
        <v>Compras</v>
      </c>
    </row>
    <row r="201" spans="1:5" x14ac:dyDescent="0.3">
      <c r="A201" s="166" t="s">
        <v>343</v>
      </c>
      <c r="B201" t="s">
        <v>15</v>
      </c>
      <c r="C201" s="169">
        <v>5</v>
      </c>
      <c r="D201" t="str">
        <f>VLOOKUP(A201,DataUsuario!B:D,2,FALSE)</f>
        <v>Operaciones</v>
      </c>
      <c r="E201" t="str">
        <f>VLOOKUP(A201,DataUsuario!B:D,3,FALSE)</f>
        <v>Comercial No Giro</v>
      </c>
    </row>
    <row r="202" spans="1:5" x14ac:dyDescent="0.3">
      <c r="A202" s="165" t="s">
        <v>236</v>
      </c>
      <c r="B202" t="s">
        <v>15</v>
      </c>
      <c r="C202" s="168">
        <v>4</v>
      </c>
      <c r="D202" t="str">
        <f>VLOOKUP(A202,DataUsuario!B:D,2,FALSE)</f>
        <v>Administración y Finanzas</v>
      </c>
      <c r="E202" t="str">
        <f>VLOOKUP(A202,DataUsuario!B:D,3,FALSE)</f>
        <v>Sistemas y TI</v>
      </c>
    </row>
    <row r="203" spans="1:5" x14ac:dyDescent="0.3">
      <c r="A203" s="166" t="s">
        <v>205</v>
      </c>
      <c r="B203" t="s">
        <v>15</v>
      </c>
      <c r="C203" s="169">
        <v>5</v>
      </c>
      <c r="D203" t="str">
        <f>VLOOKUP(A203,DataUsuario!B:D,2,FALSE)</f>
        <v>Operaciones</v>
      </c>
      <c r="E203" t="str">
        <f>VLOOKUP(A203,DataUsuario!B:D,3,FALSE)</f>
        <v>Almacenes y Distribución PT</v>
      </c>
    </row>
    <row r="204" spans="1:5" x14ac:dyDescent="0.3">
      <c r="A204" s="165" t="s">
        <v>136</v>
      </c>
      <c r="B204" t="s">
        <v>15</v>
      </c>
      <c r="C204" s="168">
        <v>5</v>
      </c>
      <c r="D204" t="str">
        <f>VLOOKUP(A204,DataUsuario!B:D,2,FALSE)</f>
        <v>Operaciones</v>
      </c>
      <c r="E204" t="str">
        <f>VLOOKUP(A204,DataUsuario!B:D,3,FALSE)</f>
        <v>Comercial</v>
      </c>
    </row>
    <row r="205" spans="1:5" x14ac:dyDescent="0.3">
      <c r="A205" s="166" t="s">
        <v>602</v>
      </c>
      <c r="B205" t="s">
        <v>15</v>
      </c>
      <c r="C205" s="169">
        <v>5</v>
      </c>
      <c r="D205" t="str">
        <f>VLOOKUP(A205,DataUsuario!B:D,2,FALSE)</f>
        <v>Administración y Finanzas</v>
      </c>
      <c r="E205" t="str">
        <f>VLOOKUP(A205,DataUsuario!B:D,3,FALSE)</f>
        <v>Sistemas y TI</v>
      </c>
    </row>
    <row r="206" spans="1:5" x14ac:dyDescent="0.3">
      <c r="A206" s="165" t="s">
        <v>181</v>
      </c>
      <c r="B206" t="s">
        <v>15</v>
      </c>
      <c r="C206" s="168">
        <v>4</v>
      </c>
      <c r="D206" t="str">
        <f>VLOOKUP(A206,DataUsuario!B:D,2,FALSE)</f>
        <v>Gestión Humana y Sostenibilidad</v>
      </c>
      <c r="E206" t="str">
        <f>VLOOKUP(A206,DataUsuario!B:D,3,FALSE)</f>
        <v>Compensación y Nóminas</v>
      </c>
    </row>
    <row r="207" spans="1:5" x14ac:dyDescent="0.3">
      <c r="A207" s="166" t="s">
        <v>275</v>
      </c>
      <c r="B207" t="s">
        <v>15</v>
      </c>
      <c r="C207" s="169">
        <v>4</v>
      </c>
      <c r="D207" t="str">
        <f>VLOOKUP(A207,DataUsuario!B:D,2,FALSE)</f>
        <v>Administración y Finanzas</v>
      </c>
      <c r="E207" t="str">
        <f>VLOOKUP(A207,DataUsuario!B:D,3,FALSE)</f>
        <v>Compras</v>
      </c>
    </row>
    <row r="208" spans="1:5" x14ac:dyDescent="0.3">
      <c r="A208" s="165" t="s">
        <v>61</v>
      </c>
      <c r="B208" t="s">
        <v>15</v>
      </c>
      <c r="C208" s="168">
        <v>4</v>
      </c>
      <c r="D208" t="str">
        <f>VLOOKUP(A208,DataUsuario!B:D,2,FALSE)</f>
        <v>Gestión Humana y Sostenibilidad</v>
      </c>
      <c r="E208" t="str">
        <f>VLOOKUP(A208,DataUsuario!B:D,3,FALSE)</f>
        <v>Compensación y Nóminas</v>
      </c>
    </row>
    <row r="209" spans="1:5" x14ac:dyDescent="0.3">
      <c r="A209" s="166" t="s">
        <v>374</v>
      </c>
      <c r="B209" t="s">
        <v>15</v>
      </c>
      <c r="C209" s="169">
        <v>4</v>
      </c>
      <c r="D209" t="str">
        <f>VLOOKUP(A209,DataUsuario!B:D,2,FALSE)</f>
        <v>Agrícola</v>
      </c>
      <c r="E209" t="str">
        <f>VLOOKUP(A209,DataUsuario!B:D,3,FALSE)</f>
        <v>Mantenimiento de Riego y Bombas</v>
      </c>
    </row>
    <row r="210" spans="1:5" x14ac:dyDescent="0.3">
      <c r="A210" s="165" t="s">
        <v>605</v>
      </c>
      <c r="B210" t="s">
        <v>15</v>
      </c>
      <c r="C210" s="168">
        <v>5</v>
      </c>
      <c r="D210" t="str">
        <f>VLOOKUP(A210,DataUsuario!B:D,2,FALSE)</f>
        <v>Administración y Finanzas</v>
      </c>
      <c r="E210" t="str">
        <f>VLOOKUP(A210,DataUsuario!B:D,3,FALSE)</f>
        <v>Control de Gestión</v>
      </c>
    </row>
    <row r="211" spans="1:5" x14ac:dyDescent="0.3">
      <c r="A211" s="166" t="s">
        <v>92</v>
      </c>
      <c r="B211" t="s">
        <v>15</v>
      </c>
      <c r="C211" s="169" t="s">
        <v>627</v>
      </c>
      <c r="D211" t="str">
        <f>VLOOKUP(A211,DataUsuario!B:D,2,FALSE)</f>
        <v>Administración y Finanzas</v>
      </c>
      <c r="E211" t="str">
        <f>VLOOKUP(A211,DataUsuario!B:D,3,FALSE)</f>
        <v>Control de Gestión</v>
      </c>
    </row>
    <row r="212" spans="1:5" x14ac:dyDescent="0.3">
      <c r="A212" s="165" t="s">
        <v>217</v>
      </c>
      <c r="B212" t="s">
        <v>15</v>
      </c>
      <c r="C212" s="168">
        <v>4</v>
      </c>
      <c r="D212" t="str">
        <f>VLOOKUP(A212,DataUsuario!B:D,2,FALSE)</f>
        <v>Agrícola</v>
      </c>
      <c r="E212" t="str">
        <f>VLOOKUP(A212,DataUsuario!B:D,3,FALSE)</f>
        <v>Mantenimiento de Riego y Bombas</v>
      </c>
    </row>
    <row r="213" spans="1:5" x14ac:dyDescent="0.3">
      <c r="A213" s="166" t="s">
        <v>606</v>
      </c>
      <c r="B213" t="s">
        <v>15</v>
      </c>
      <c r="C213" s="169">
        <v>5</v>
      </c>
      <c r="D213" t="str">
        <f>VLOOKUP(A213,DataUsuario!B:D,2,FALSE)</f>
        <v>Administración y Finanzas</v>
      </c>
      <c r="E213" t="str">
        <f>VLOOKUP(A213,DataUsuario!B:D,3,FALSE)</f>
        <v>Sistemas y TI</v>
      </c>
    </row>
    <row r="214" spans="1:5" x14ac:dyDescent="0.3">
      <c r="A214" s="165" t="s">
        <v>210</v>
      </c>
      <c r="B214" t="s">
        <v>15</v>
      </c>
      <c r="C214" s="168">
        <v>4</v>
      </c>
      <c r="D214" t="str">
        <f>VLOOKUP(A214,DataUsuario!B:D,2,FALSE)</f>
        <v>Industrial y de Mantenimiento</v>
      </c>
      <c r="E214" t="str">
        <f>VLOOKUP(A214,DataUsuario!B:D,3,FALSE)</f>
        <v>Planta y Srv Industriales</v>
      </c>
    </row>
    <row r="215" spans="1:5" x14ac:dyDescent="0.3">
      <c r="A215" s="166" t="s">
        <v>254</v>
      </c>
      <c r="B215" t="s">
        <v>15</v>
      </c>
      <c r="C215" s="169" t="s">
        <v>627</v>
      </c>
      <c r="D215" t="str">
        <f>VLOOKUP(A215,DataUsuario!B:D,2,FALSE)</f>
        <v>Administración y Finanzas</v>
      </c>
      <c r="E215" t="str">
        <f>VLOOKUP(A215,DataUsuario!B:D,3,FALSE)</f>
        <v>Administración</v>
      </c>
    </row>
    <row r="216" spans="1:5" x14ac:dyDescent="0.3">
      <c r="A216" s="165" t="s">
        <v>403</v>
      </c>
      <c r="B216" t="s">
        <v>15</v>
      </c>
      <c r="C216" s="168">
        <v>4</v>
      </c>
      <c r="D216" t="str">
        <f>VLOOKUP(A216,DataUsuario!B:D,2,FALSE)</f>
        <v>Administración y Finanzas</v>
      </c>
      <c r="E216" t="str">
        <f>VLOOKUP(A216,DataUsuario!B:D,3,FALSE)</f>
        <v>Control de Gestión</v>
      </c>
    </row>
    <row r="217" spans="1:5" x14ac:dyDescent="0.3">
      <c r="A217" s="166" t="s">
        <v>170</v>
      </c>
      <c r="B217" t="s">
        <v>15</v>
      </c>
      <c r="C217" s="169" t="s">
        <v>627</v>
      </c>
      <c r="D217" t="str">
        <f>VLOOKUP(A217,DataUsuario!B:D,2,FALSE)</f>
        <v>Operaciones</v>
      </c>
      <c r="E217" t="str">
        <f>VLOOKUP(A217,DataUsuario!B:D,3,FALSE)</f>
        <v>Mantenimiento CAT</v>
      </c>
    </row>
    <row r="218" spans="1:5" x14ac:dyDescent="0.3">
      <c r="A218" s="165" t="s">
        <v>88</v>
      </c>
      <c r="B218" t="s">
        <v>15</v>
      </c>
      <c r="C218" s="168">
        <v>5</v>
      </c>
      <c r="D218" t="str">
        <f>VLOOKUP(A218,DataUsuario!B:D,2,FALSE)</f>
        <v>Agrícola</v>
      </c>
      <c r="E218" t="str">
        <f>VLOOKUP(A218,DataUsuario!B:D,3,FALSE)</f>
        <v>Fundo Lobo</v>
      </c>
    </row>
    <row r="219" spans="1:5" x14ac:dyDescent="0.3">
      <c r="A219" s="166" t="s">
        <v>242</v>
      </c>
      <c r="B219" t="s">
        <v>15</v>
      </c>
      <c r="C219" s="169" t="s">
        <v>627</v>
      </c>
      <c r="D219" t="str">
        <f>VLOOKUP(A219,DataUsuario!B:D,2,FALSE)</f>
        <v>Agrícola</v>
      </c>
      <c r="E219" t="str">
        <f>VLOOKUP(A219,DataUsuario!B:D,3,FALSE)</f>
        <v>Fundo Montelima</v>
      </c>
    </row>
    <row r="220" spans="1:5" x14ac:dyDescent="0.3">
      <c r="A220" s="165" t="s">
        <v>65</v>
      </c>
      <c r="B220" t="s">
        <v>15</v>
      </c>
      <c r="C220" s="168">
        <v>5</v>
      </c>
      <c r="D220" t="str">
        <f>VLOOKUP(A220,DataUsuario!B:D,2,FALSE)</f>
        <v>Administración y Finanzas</v>
      </c>
      <c r="E220" t="str">
        <f>VLOOKUP(A220,DataUsuario!B:D,3,FALSE)</f>
        <v>Finanzas y Tesorería</v>
      </c>
    </row>
    <row r="221" spans="1:5" x14ac:dyDescent="0.3">
      <c r="A221" s="166" t="s">
        <v>609</v>
      </c>
      <c r="B221" t="s">
        <v>15</v>
      </c>
      <c r="C221" s="169">
        <v>4</v>
      </c>
      <c r="D221" t="str">
        <f>VLOOKUP(A221,DataUsuario!B:D,2,FALSE)</f>
        <v>Administración y Finanzas</v>
      </c>
      <c r="E221" t="str">
        <f>VLOOKUP(A221,DataUsuario!B:D,3,FALSE)</f>
        <v>Compras</v>
      </c>
    </row>
    <row r="222" spans="1:5" x14ac:dyDescent="0.3">
      <c r="A222" s="165" t="s">
        <v>85</v>
      </c>
      <c r="B222" t="s">
        <v>15</v>
      </c>
      <c r="C222" s="168">
        <v>5</v>
      </c>
      <c r="D222" t="str">
        <f>VLOOKUP(A222,DataUsuario!B:D,2,FALSE)</f>
        <v>Operaciones</v>
      </c>
      <c r="E222" t="str">
        <f>VLOOKUP(A222,DataUsuario!B:D,3,FALSE)</f>
        <v>Comercial</v>
      </c>
    </row>
    <row r="223" spans="1:5" x14ac:dyDescent="0.3">
      <c r="A223" s="166" t="s">
        <v>256</v>
      </c>
      <c r="B223" t="s">
        <v>15</v>
      </c>
      <c r="C223" s="169" t="s">
        <v>627</v>
      </c>
      <c r="D223" t="str">
        <f>VLOOKUP(A223,DataUsuario!B:D,2,FALSE)</f>
        <v>Agrícola</v>
      </c>
      <c r="E223" t="str">
        <f>VLOOKUP(A223,DataUsuario!B:D,3,FALSE)</f>
        <v>Fundo Montelima</v>
      </c>
    </row>
    <row r="224" spans="1:5" x14ac:dyDescent="0.3">
      <c r="A224" s="165" t="s">
        <v>611</v>
      </c>
      <c r="B224" t="s">
        <v>15</v>
      </c>
      <c r="C224" s="168">
        <v>4</v>
      </c>
      <c r="D224" t="str">
        <f>VLOOKUP(A224,DataUsuario!B:D,2,FALSE)</f>
        <v>Operaciones</v>
      </c>
      <c r="E224" t="str">
        <f>VLOOKUP(A224,DataUsuario!B:D,3,FALSE)</f>
        <v>Almacenes y Distribución PT</v>
      </c>
    </row>
    <row r="225" spans="1:5" x14ac:dyDescent="0.3">
      <c r="A225" s="166" t="s">
        <v>267</v>
      </c>
      <c r="B225" t="s">
        <v>15</v>
      </c>
      <c r="C225" s="169">
        <v>5</v>
      </c>
      <c r="D225" t="str">
        <f>VLOOKUP(A225,DataUsuario!B:D,2,FALSE)</f>
        <v>Gestión Humana y Sostenibilidad</v>
      </c>
      <c r="E225" t="str">
        <f>VLOOKUP(A225,DataUsuario!B:D,3,FALSE)</f>
        <v>Sostenibilidad</v>
      </c>
    </row>
    <row r="226" spans="1:5" x14ac:dyDescent="0.3">
      <c r="A226" s="165" t="s">
        <v>614</v>
      </c>
      <c r="B226" t="s">
        <v>15</v>
      </c>
      <c r="C226" s="168" t="s">
        <v>627</v>
      </c>
      <c r="D226" t="str">
        <f>VLOOKUP(A226,DataUsuario!B:D,2,FALSE)</f>
        <v>Operaciones</v>
      </c>
      <c r="E226" t="str">
        <f>VLOOKUP(A226,DataUsuario!B:D,3,FALSE)</f>
        <v>Transporte</v>
      </c>
    </row>
    <row r="227" spans="1:5" x14ac:dyDescent="0.3">
      <c r="A227" s="166" t="s">
        <v>415</v>
      </c>
      <c r="B227" t="s">
        <v>15</v>
      </c>
      <c r="C227" s="169" t="s">
        <v>627</v>
      </c>
      <c r="D227" t="str">
        <f>VLOOKUP(A227,DataUsuario!B:D,2,FALSE)</f>
        <v>Administración y Finanzas</v>
      </c>
      <c r="E227" t="str">
        <f>VLOOKUP(A227,DataUsuario!B:D,3,FALSE)</f>
        <v>Administración</v>
      </c>
    </row>
    <row r="228" spans="1:5" x14ac:dyDescent="0.3">
      <c r="A228" s="165" t="s">
        <v>200</v>
      </c>
      <c r="B228" t="s">
        <v>15</v>
      </c>
      <c r="C228" s="168" t="s">
        <v>627</v>
      </c>
      <c r="D228" t="str">
        <f>VLOOKUP(A228,DataUsuario!B:D,2,FALSE)</f>
        <v>Industrial y de Mantenimiento</v>
      </c>
      <c r="E228" t="str">
        <f>VLOOKUP(A228,DataUsuario!B:D,3,FALSE)</f>
        <v>Electricidad</v>
      </c>
    </row>
    <row r="229" spans="1:5" x14ac:dyDescent="0.3">
      <c r="A229" s="166" t="s">
        <v>198</v>
      </c>
      <c r="B229" t="s">
        <v>15</v>
      </c>
      <c r="C229" s="169">
        <v>5</v>
      </c>
      <c r="D229" t="str">
        <f>VLOOKUP(A229,DataUsuario!B:D,2,FALSE)</f>
        <v>Agrícola</v>
      </c>
      <c r="E229" t="str">
        <f>VLOOKUP(A229,DataUsuario!B:D,3,FALSE)</f>
        <v>Fundo Lobo</v>
      </c>
    </row>
    <row r="230" spans="1:5" x14ac:dyDescent="0.3">
      <c r="A230" s="165" t="s">
        <v>350</v>
      </c>
      <c r="B230" t="s">
        <v>15</v>
      </c>
      <c r="C230" s="168">
        <v>4</v>
      </c>
      <c r="D230" t="str">
        <f>VLOOKUP(A230,DataUsuario!B:D,2,FALSE)</f>
        <v>Agrícola</v>
      </c>
      <c r="E230" t="str">
        <f>VLOOKUP(A230,DataUsuario!B:D,3,FALSE)</f>
        <v>Planificador Agrícola</v>
      </c>
    </row>
    <row r="231" spans="1:5" x14ac:dyDescent="0.3">
      <c r="A231" s="166" t="s">
        <v>345</v>
      </c>
      <c r="B231" t="s">
        <v>15</v>
      </c>
      <c r="C231" s="169" t="s">
        <v>627</v>
      </c>
      <c r="D231" t="str">
        <f>VLOOKUP(A231,DataUsuario!B:D,2,FALSE)</f>
        <v>Agrícola</v>
      </c>
      <c r="E231" t="str">
        <f>VLOOKUP(A231,DataUsuario!B:D,3,FALSE)</f>
        <v>Mantenimiento de Riego y Bombas</v>
      </c>
    </row>
    <row r="232" spans="1:5" x14ac:dyDescent="0.3">
      <c r="A232" s="165" t="s">
        <v>314</v>
      </c>
      <c r="B232" t="s">
        <v>15</v>
      </c>
      <c r="C232" s="168">
        <v>4</v>
      </c>
      <c r="D232" t="str">
        <f>VLOOKUP(A232,DataUsuario!B:D,2,FALSE)</f>
        <v>Industrial y de Mantenimiento</v>
      </c>
      <c r="E232" t="str">
        <f>VLOOKUP(A232,DataUsuario!B:D,3,FALSE)</f>
        <v>Mantenimiento Industrial</v>
      </c>
    </row>
    <row r="233" spans="1:5" x14ac:dyDescent="0.3">
      <c r="A233" s="166" t="s">
        <v>150</v>
      </c>
      <c r="B233" t="s">
        <v>15</v>
      </c>
      <c r="C233" s="169">
        <v>4</v>
      </c>
      <c r="D233" t="str">
        <f>VLOOKUP(A233,DataUsuario!B:D,2,FALSE)</f>
        <v>Industrial y de Mantenimiento</v>
      </c>
      <c r="E233" t="str">
        <f>VLOOKUP(A233,DataUsuario!B:D,3,FALSE)</f>
        <v>Producción</v>
      </c>
    </row>
    <row r="234" spans="1:5" x14ac:dyDescent="0.3">
      <c r="A234" s="165" t="s">
        <v>271</v>
      </c>
      <c r="B234" t="s">
        <v>15</v>
      </c>
      <c r="C234" s="168">
        <v>4</v>
      </c>
      <c r="D234" t="str">
        <f>VLOOKUP(A234,DataUsuario!B:D,2,FALSE)</f>
        <v>Operaciones</v>
      </c>
      <c r="E234" t="str">
        <f>VLOOKUP(A234,DataUsuario!B:D,3,FALSE)</f>
        <v>Calidad</v>
      </c>
    </row>
    <row r="235" spans="1:5" x14ac:dyDescent="0.3">
      <c r="A235" s="166" t="s">
        <v>156</v>
      </c>
      <c r="B235" t="s">
        <v>15</v>
      </c>
      <c r="C235" s="169" t="s">
        <v>627</v>
      </c>
      <c r="D235" t="str">
        <f>VLOOKUP(A235,DataUsuario!B:D,2,FALSE)</f>
        <v>Administración y Finanzas</v>
      </c>
      <c r="E235" t="str">
        <f>VLOOKUP(A235,DataUsuario!B:D,3,FALSE)</f>
        <v>Compras</v>
      </c>
    </row>
    <row r="236" spans="1:5" x14ac:dyDescent="0.3">
      <c r="A236" s="165" t="s">
        <v>369</v>
      </c>
      <c r="B236" t="s">
        <v>15</v>
      </c>
      <c r="C236" s="168">
        <v>4</v>
      </c>
      <c r="D236" t="str">
        <f>VLOOKUP(A236,DataUsuario!B:D,2,FALSE)</f>
        <v>Agrícola</v>
      </c>
      <c r="E236" t="str">
        <f>VLOOKUP(A236,DataUsuario!B:D,3,FALSE)</f>
        <v>Sistema Integral de Gestión</v>
      </c>
    </row>
    <row r="237" spans="1:5" x14ac:dyDescent="0.3">
      <c r="A237" s="166" t="s">
        <v>224</v>
      </c>
      <c r="B237" t="s">
        <v>15</v>
      </c>
      <c r="C237" s="169">
        <v>4</v>
      </c>
      <c r="D237" t="str">
        <f>VLOOKUP(A237,DataUsuario!B:D,2,FALSE)</f>
        <v>Agrícola</v>
      </c>
      <c r="E237" t="str">
        <f>VLOOKUP(A237,DataUsuario!B:D,3,FALSE)</f>
        <v>Laboratorio e Investigación Agricola</v>
      </c>
    </row>
    <row r="238" spans="1:5" x14ac:dyDescent="0.3">
      <c r="A238" s="165" t="s">
        <v>618</v>
      </c>
      <c r="B238" t="s">
        <v>15</v>
      </c>
      <c r="C238" s="168">
        <v>5</v>
      </c>
      <c r="D238" t="e">
        <f>VLOOKUP(A238,DataUsuario!B:D,2,FALSE)</f>
        <v>#N/A</v>
      </c>
      <c r="E238" t="e">
        <f>VLOOKUP(A238,DataUsuario!B:D,3,FALSE)</f>
        <v>#N/A</v>
      </c>
    </row>
    <row r="239" spans="1:5" x14ac:dyDescent="0.3">
      <c r="A239" s="166" t="s">
        <v>397</v>
      </c>
      <c r="B239" t="s">
        <v>15</v>
      </c>
      <c r="C239" s="169">
        <v>5</v>
      </c>
      <c r="D239" t="str">
        <f>VLOOKUP(A239,DataUsuario!B:D,2,FALSE)</f>
        <v>Administración y Finanzas</v>
      </c>
      <c r="E239" t="str">
        <f>VLOOKUP(A239,DataUsuario!B:D,3,FALSE)</f>
        <v>Control de Gestión</v>
      </c>
    </row>
    <row r="240" spans="1:5" x14ac:dyDescent="0.3">
      <c r="A240" s="165" t="s">
        <v>619</v>
      </c>
      <c r="B240" t="s">
        <v>15</v>
      </c>
      <c r="C240" s="168" t="s">
        <v>627</v>
      </c>
      <c r="D240" t="str">
        <f>VLOOKUP(A240,DataUsuario!B:D,2,FALSE)</f>
        <v>Gestión Humana y Sostenibilidad</v>
      </c>
      <c r="E240" t="str">
        <f>VLOOKUP(A240,DataUsuario!B:D,3,FALSE)</f>
        <v>Bienestar - Medico Ocupacional</v>
      </c>
    </row>
    <row r="241" spans="1:5" x14ac:dyDescent="0.3">
      <c r="A241" s="166" t="s">
        <v>215</v>
      </c>
      <c r="B241" t="s">
        <v>15</v>
      </c>
      <c r="C241" s="169">
        <v>5</v>
      </c>
      <c r="D241" t="str">
        <f>VLOOKUP(A241,DataUsuario!B:D,2,FALSE)</f>
        <v>Gestión Humana y Sostenibilidad</v>
      </c>
      <c r="E241" t="str">
        <f>VLOOKUP(A241,DataUsuario!B:D,3,FALSE)</f>
        <v>Seguridad</v>
      </c>
    </row>
    <row r="242" spans="1:5" x14ac:dyDescent="0.3">
      <c r="A242" s="165" t="s">
        <v>307</v>
      </c>
      <c r="B242" t="s">
        <v>15</v>
      </c>
      <c r="C242" s="168" t="s">
        <v>627</v>
      </c>
      <c r="D242" t="str">
        <f>VLOOKUP(A242,DataUsuario!B:D,2,FALSE)</f>
        <v>Gestión Humana y Sostenibilidad</v>
      </c>
      <c r="E242" t="str">
        <f>VLOOKUP(A242,DataUsuario!B:D,3,FALSE)</f>
        <v>Comunicaciones y Responsabilidad Social</v>
      </c>
    </row>
    <row r="243" spans="1:5" x14ac:dyDescent="0.3">
      <c r="A243" s="166" t="s">
        <v>285</v>
      </c>
      <c r="B243" t="s">
        <v>15</v>
      </c>
      <c r="C243" s="169">
        <v>4</v>
      </c>
      <c r="D243" t="str">
        <f>VLOOKUP(A243,DataUsuario!B:D,2,FALSE)</f>
        <v>Operaciones</v>
      </c>
      <c r="E243" t="str">
        <f>VLOOKUP(A243,DataUsuario!B:D,3,FALSE)</f>
        <v>Comercial</v>
      </c>
    </row>
    <row r="244" spans="1:5" x14ac:dyDescent="0.3">
      <c r="A244" s="165" t="s">
        <v>316</v>
      </c>
      <c r="B244" t="s">
        <v>15</v>
      </c>
      <c r="C244" s="168">
        <v>5</v>
      </c>
      <c r="D244" t="str">
        <f>VLOOKUP(A244,DataUsuario!B:D,2,FALSE)</f>
        <v>Administración y Finanzas</v>
      </c>
      <c r="E244" t="str">
        <f>VLOOKUP(A244,DataUsuario!B:D,3,FALSE)</f>
        <v>Compras</v>
      </c>
    </row>
    <row r="245" spans="1:5" x14ac:dyDescent="0.3">
      <c r="A245" s="166" t="s">
        <v>372</v>
      </c>
      <c r="B245" t="s">
        <v>15</v>
      </c>
      <c r="C245" s="169" t="s">
        <v>627</v>
      </c>
      <c r="D245" t="str">
        <f>VLOOKUP(A245,DataUsuario!B:D,2,FALSE)</f>
        <v>Agrícola</v>
      </c>
      <c r="E245" t="str">
        <f>VLOOKUP(A245,DataUsuario!B:D,3,FALSE)</f>
        <v>Laboratorio e Investigación Agricola</v>
      </c>
    </row>
    <row r="246" spans="1:5" x14ac:dyDescent="0.3">
      <c r="A246" s="165" t="s">
        <v>328</v>
      </c>
      <c r="B246" t="s">
        <v>15</v>
      </c>
      <c r="C246" s="168">
        <v>5</v>
      </c>
      <c r="D246" t="str">
        <f>VLOOKUP(A246,DataUsuario!B:D,2,FALSE)</f>
        <v>Administración y Finanzas</v>
      </c>
      <c r="E246" t="str">
        <f>VLOOKUP(A246,DataUsuario!B:D,3,FALSE)</f>
        <v>Administración</v>
      </c>
    </row>
    <row r="247" spans="1:5" x14ac:dyDescent="0.3">
      <c r="A247" s="166" t="s">
        <v>376</v>
      </c>
      <c r="B247" t="s">
        <v>15</v>
      </c>
      <c r="C247" s="169">
        <v>5</v>
      </c>
      <c r="D247" t="str">
        <f>VLOOKUP(A247,DataUsuario!B:D,2,FALSE)</f>
        <v>Administración y Finanzas</v>
      </c>
      <c r="E247" t="str">
        <f>VLOOKUP(A247,DataUsuario!B:D,3,FALSE)</f>
        <v>Control de Gestión</v>
      </c>
    </row>
    <row r="248" spans="1:5" x14ac:dyDescent="0.3">
      <c r="A248" s="165" t="s">
        <v>238</v>
      </c>
      <c r="B248" t="s">
        <v>15</v>
      </c>
      <c r="C248" s="168" t="s">
        <v>627</v>
      </c>
      <c r="D248" t="str">
        <f>VLOOKUP(A248,DataUsuario!B:D,2,FALSE)</f>
        <v>Industrial y de Mantenimiento</v>
      </c>
      <c r="E248" t="str">
        <f>VLOOKUP(A248,DataUsuario!B:D,3,FALSE)</f>
        <v>Producción</v>
      </c>
    </row>
    <row r="249" spans="1:5" x14ac:dyDescent="0.3">
      <c r="A249" s="166" t="s">
        <v>623</v>
      </c>
      <c r="B249" t="s">
        <v>15</v>
      </c>
      <c r="C249" s="169" t="s">
        <v>627</v>
      </c>
      <c r="D249" t="str">
        <f>VLOOKUP(A249,DataUsuario!B:D,2,FALSE)</f>
        <v>Industrial y de Mantenimiento</v>
      </c>
      <c r="E249" t="str">
        <f>VLOOKUP(A249,DataUsuario!B:D,3,FALSE)</f>
        <v>Mantenimiento Industrial</v>
      </c>
    </row>
    <row r="250" spans="1:5" x14ac:dyDescent="0.3">
      <c r="A250" s="165" t="s">
        <v>97</v>
      </c>
      <c r="B250" t="s">
        <v>15</v>
      </c>
      <c r="C250" s="168">
        <v>5</v>
      </c>
      <c r="D250" t="str">
        <f>VLOOKUP(A250,DataUsuario!B:D,2,FALSE)</f>
        <v>Gestión Humana y Sostenibilidad</v>
      </c>
      <c r="E250" t="str">
        <f>VLOOKUP(A250,DataUsuario!B:D,3,FALSE)</f>
        <v>Compensación y Nóminas</v>
      </c>
    </row>
    <row r="251" spans="1:5" x14ac:dyDescent="0.3">
      <c r="A251" s="166" t="s">
        <v>352</v>
      </c>
      <c r="B251" t="s">
        <v>15</v>
      </c>
      <c r="C251" s="169">
        <v>5</v>
      </c>
      <c r="D251" t="str">
        <f>VLOOKUP(A251,DataUsuario!B:D,2,FALSE)</f>
        <v>Gestión Humana y Sostenibilidad</v>
      </c>
      <c r="E251" t="str">
        <f>VLOOKUP(A251,DataUsuario!B:D,3,FALSE)</f>
        <v>Compensación y Nóminas</v>
      </c>
    </row>
    <row r="252" spans="1:5" x14ac:dyDescent="0.3">
      <c r="A252" s="165" t="s">
        <v>128</v>
      </c>
      <c r="B252" t="s">
        <v>15</v>
      </c>
      <c r="C252" s="168">
        <v>4</v>
      </c>
      <c r="D252" t="str">
        <f>VLOOKUP(A252,DataUsuario!B:D,2,FALSE)</f>
        <v>Agrícola</v>
      </c>
      <c r="E252" t="str">
        <f>VLOOKUP(A252,DataUsuario!B:D,3,FALSE)</f>
        <v>Fundo Lobo</v>
      </c>
    </row>
    <row r="253" spans="1:5" x14ac:dyDescent="0.3">
      <c r="A253" s="166" t="s">
        <v>625</v>
      </c>
      <c r="B253" t="s">
        <v>15</v>
      </c>
      <c r="C253" s="169">
        <v>5</v>
      </c>
      <c r="D253" t="str">
        <f>VLOOKUP(A253,DataUsuario!B:D,2,FALSE)</f>
        <v>Administración y Finanzas</v>
      </c>
      <c r="E253" t="str">
        <f>VLOOKUP(A253,DataUsuario!B:D,3,FALSE)</f>
        <v>Finanzas y Tesorería</v>
      </c>
    </row>
    <row r="254" spans="1:5" x14ac:dyDescent="0.3">
      <c r="A254" s="165" t="s">
        <v>303</v>
      </c>
      <c r="B254" t="s">
        <v>15</v>
      </c>
      <c r="C254" s="168">
        <v>5</v>
      </c>
      <c r="D254" t="str">
        <f>VLOOKUP(A254,DataUsuario!B:D,2,FALSE)</f>
        <v>Administración y Finanzas</v>
      </c>
      <c r="E254" t="str">
        <f>VLOOKUP(A254,DataUsuario!B:D,3,FALSE)</f>
        <v>Control de Gestión</v>
      </c>
    </row>
    <row r="255" spans="1:5" x14ac:dyDescent="0.3">
      <c r="A255" s="166" t="s">
        <v>115</v>
      </c>
      <c r="B255" t="s">
        <v>15</v>
      </c>
      <c r="C255" s="169">
        <v>4</v>
      </c>
      <c r="D255" t="str">
        <f>VLOOKUP(A255,DataUsuario!B:D,2,FALSE)</f>
        <v>Industrial y de Mantenimiento</v>
      </c>
      <c r="E255" t="str">
        <f>VLOOKUP(A255,DataUsuario!B:D,3,FALSE)</f>
        <v>Mantenimiento de Transportes</v>
      </c>
    </row>
    <row r="256" spans="1:5" x14ac:dyDescent="0.3">
      <c r="A256" s="167" t="s">
        <v>123</v>
      </c>
      <c r="B256" t="s">
        <v>15</v>
      </c>
      <c r="C256" s="170">
        <v>4</v>
      </c>
      <c r="D256" t="str">
        <f>VLOOKUP(A256,DataUsuario!B:D,2,FALSE)</f>
        <v>Administración y Finanzas</v>
      </c>
      <c r="E256" t="str">
        <f>VLOOKUP(A256,DataUsuario!B:D,3,FALSE)</f>
        <v>Gerencia Administración y Finanzas</v>
      </c>
    </row>
    <row r="257" spans="1:5" x14ac:dyDescent="0.3">
      <c r="A257" s="165" t="s">
        <v>138</v>
      </c>
      <c r="B257" t="s">
        <v>16</v>
      </c>
      <c r="C257" s="168">
        <v>4</v>
      </c>
      <c r="D257" t="str">
        <f>VLOOKUP(A257,DataUsuario!B:D,2,FALSE)</f>
        <v>Gestión Humana y Sostenibilidad</v>
      </c>
      <c r="E257" t="str">
        <f>VLOOKUP(A257,DataUsuario!B:D,3,FALSE)</f>
        <v>Gestion del Talento</v>
      </c>
    </row>
    <row r="258" spans="1:5" x14ac:dyDescent="0.3">
      <c r="A258" s="166" t="s">
        <v>207</v>
      </c>
      <c r="B258" t="s">
        <v>16</v>
      </c>
      <c r="C258" s="169">
        <v>5</v>
      </c>
      <c r="D258" t="str">
        <f>VLOOKUP(A258,DataUsuario!B:D,2,FALSE)</f>
        <v>Administración y Finanzas</v>
      </c>
      <c r="E258" t="str">
        <f>VLOOKUP(A258,DataUsuario!B:D,3,FALSE)</f>
        <v>Riesgos y Cumplimiento</v>
      </c>
    </row>
    <row r="259" spans="1:5" x14ac:dyDescent="0.3">
      <c r="A259" s="165" t="s">
        <v>322</v>
      </c>
      <c r="B259" t="s">
        <v>16</v>
      </c>
      <c r="C259" s="168">
        <v>3</v>
      </c>
      <c r="D259" t="str">
        <f>VLOOKUP(A259,DataUsuario!B:D,2,FALSE)</f>
        <v>Administración y Finanzas</v>
      </c>
      <c r="E259" t="str">
        <f>VLOOKUP(A259,DataUsuario!B:D,3,FALSE)</f>
        <v>Finanzas y Tesorería</v>
      </c>
    </row>
    <row r="260" spans="1:5" x14ac:dyDescent="0.3">
      <c r="A260" s="166" t="s">
        <v>133</v>
      </c>
      <c r="B260" t="s">
        <v>16</v>
      </c>
      <c r="C260" s="169">
        <v>4</v>
      </c>
      <c r="D260" t="str">
        <f>VLOOKUP(A260,DataUsuario!B:D,2,FALSE)</f>
        <v>Industrial y de Mantenimiento</v>
      </c>
      <c r="E260" t="str">
        <f>VLOOKUP(A260,DataUsuario!B:D,3,FALSE)</f>
        <v>Electricidad</v>
      </c>
    </row>
    <row r="261" spans="1:5" x14ac:dyDescent="0.3">
      <c r="A261" s="165" t="s">
        <v>299</v>
      </c>
      <c r="B261" t="s">
        <v>16</v>
      </c>
      <c r="C261" s="168">
        <v>4</v>
      </c>
      <c r="D261" t="str">
        <f>VLOOKUP(A261,DataUsuario!B:D,2,FALSE)</f>
        <v>Administración y Finanzas</v>
      </c>
      <c r="E261" t="str">
        <f>VLOOKUP(A261,DataUsuario!B:D,3,FALSE)</f>
        <v>Legal</v>
      </c>
    </row>
    <row r="262" spans="1:5" x14ac:dyDescent="0.3">
      <c r="A262" s="166" t="s">
        <v>421</v>
      </c>
      <c r="B262" t="s">
        <v>16</v>
      </c>
      <c r="C262" s="169">
        <v>4</v>
      </c>
      <c r="D262" t="str">
        <f>VLOOKUP(A262,DataUsuario!B:D,2,FALSE)</f>
        <v>Operaciones</v>
      </c>
      <c r="E262" t="str">
        <f>VLOOKUP(A262,DataUsuario!B:D,3,FALSE)</f>
        <v>Cosecha</v>
      </c>
    </row>
    <row r="263" spans="1:5" x14ac:dyDescent="0.3">
      <c r="A263" s="165" t="s">
        <v>258</v>
      </c>
      <c r="B263" t="s">
        <v>16</v>
      </c>
      <c r="C263" s="168">
        <v>4</v>
      </c>
      <c r="D263" t="str">
        <f>VLOOKUP(A263,DataUsuario!B:D,2,FALSE)</f>
        <v>Operaciones</v>
      </c>
      <c r="E263" t="str">
        <f>VLOOKUP(A263,DataUsuario!B:D,3,FALSE)</f>
        <v>Calidad</v>
      </c>
    </row>
    <row r="264" spans="1:5" x14ac:dyDescent="0.3">
      <c r="A264" s="166" t="s">
        <v>152</v>
      </c>
      <c r="B264" t="s">
        <v>16</v>
      </c>
      <c r="C264" s="169">
        <v>5</v>
      </c>
      <c r="D264" t="str">
        <f>VLOOKUP(A264,DataUsuario!B:D,2,FALSE)</f>
        <v>Operaciones</v>
      </c>
      <c r="E264" t="str">
        <f>VLOOKUP(A264,DataUsuario!B:D,3,FALSE)</f>
        <v>Almacenes y Distribución PT</v>
      </c>
    </row>
    <row r="265" spans="1:5" x14ac:dyDescent="0.3">
      <c r="A265" s="165" t="s">
        <v>77</v>
      </c>
      <c r="B265" t="s">
        <v>16</v>
      </c>
      <c r="C265" s="168">
        <v>5</v>
      </c>
      <c r="D265" t="str">
        <f>VLOOKUP(A265,DataUsuario!B:D,2,FALSE)</f>
        <v>Operaciones</v>
      </c>
      <c r="E265" t="str">
        <f>VLOOKUP(A265,DataUsuario!B:D,3,FALSE)</f>
        <v>Comercial No Giro</v>
      </c>
    </row>
    <row r="266" spans="1:5" x14ac:dyDescent="0.3">
      <c r="A266" s="166" t="s">
        <v>435</v>
      </c>
      <c r="B266" t="s">
        <v>16</v>
      </c>
      <c r="C266" s="169">
        <v>3</v>
      </c>
      <c r="D266" t="str">
        <f>VLOOKUP(A266,DataUsuario!B:D,2,FALSE)</f>
        <v>Operaciones</v>
      </c>
      <c r="E266" t="str">
        <f>VLOOKUP(A266,DataUsuario!B:D,3,FALSE)</f>
        <v>Almacenes y Distribución PT</v>
      </c>
    </row>
    <row r="267" spans="1:5" x14ac:dyDescent="0.3">
      <c r="A267" s="165" t="s">
        <v>405</v>
      </c>
      <c r="B267" t="s">
        <v>16</v>
      </c>
      <c r="C267" s="168" t="s">
        <v>627</v>
      </c>
      <c r="D267" t="str">
        <f>VLOOKUP(A267,DataUsuario!B:D,2,FALSE)</f>
        <v>Administración y Finanzas</v>
      </c>
      <c r="E267" t="str">
        <f>VLOOKUP(A267,DataUsuario!B:D,3,FALSE)</f>
        <v>Finanzas y Tesorería</v>
      </c>
    </row>
    <row r="268" spans="1:5" x14ac:dyDescent="0.3">
      <c r="A268" s="166" t="s">
        <v>594</v>
      </c>
      <c r="B268" t="s">
        <v>16</v>
      </c>
      <c r="C268" s="169">
        <v>4</v>
      </c>
      <c r="D268" t="str">
        <f>VLOOKUP(A268,DataUsuario!B:D,2,FALSE)</f>
        <v>Administración y Finanzas</v>
      </c>
      <c r="E268" t="str">
        <f>VLOOKUP(A268,DataUsuario!B:D,3,FALSE)</f>
        <v>Compras</v>
      </c>
    </row>
    <row r="269" spans="1:5" x14ac:dyDescent="0.3">
      <c r="A269" s="165" t="s">
        <v>289</v>
      </c>
      <c r="B269" t="s">
        <v>16</v>
      </c>
      <c r="C269" s="168">
        <v>4</v>
      </c>
      <c r="D269" t="str">
        <f>VLOOKUP(A269,DataUsuario!B:D,2,FALSE)</f>
        <v>Agrícola</v>
      </c>
      <c r="E269" t="str">
        <f>VLOOKUP(A269,DataUsuario!B:D,3,FALSE)</f>
        <v>Mantenimiento de Riego y Bombas</v>
      </c>
    </row>
    <row r="270" spans="1:5" x14ac:dyDescent="0.3">
      <c r="A270" s="166" t="s">
        <v>359</v>
      </c>
      <c r="B270" t="s">
        <v>16</v>
      </c>
      <c r="C270" s="169">
        <v>4</v>
      </c>
      <c r="D270" t="str">
        <f>VLOOKUP(A270,DataUsuario!B:D,2,FALSE)</f>
        <v>Operaciones</v>
      </c>
      <c r="E270" t="str">
        <f>VLOOKUP(A270,DataUsuario!B:D,3,FALSE)</f>
        <v>Gerencia de Operaciones</v>
      </c>
    </row>
    <row r="271" spans="1:5" x14ac:dyDescent="0.3">
      <c r="A271" s="165" t="s">
        <v>145</v>
      </c>
      <c r="B271" t="s">
        <v>16</v>
      </c>
      <c r="C271" s="168" t="s">
        <v>627</v>
      </c>
      <c r="D271" t="str">
        <f>VLOOKUP(A271,DataUsuario!B:D,2,FALSE)</f>
        <v>Administración y Finanzas</v>
      </c>
      <c r="E271" t="str">
        <f>VLOOKUP(A271,DataUsuario!B:D,3,FALSE)</f>
        <v>Legal</v>
      </c>
    </row>
    <row r="272" spans="1:5" x14ac:dyDescent="0.3">
      <c r="A272" s="166" t="s">
        <v>597</v>
      </c>
      <c r="B272" t="s">
        <v>16</v>
      </c>
      <c r="C272" s="169">
        <v>5</v>
      </c>
      <c r="D272" t="str">
        <f>VLOOKUP(A272,DataUsuario!B:D,2,FALSE)</f>
        <v>Gestión Humana y Sostenibilidad</v>
      </c>
      <c r="E272" t="str">
        <f>VLOOKUP(A272,DataUsuario!B:D,3,FALSE)</f>
        <v>Seguridad</v>
      </c>
    </row>
    <row r="273" spans="1:5" x14ac:dyDescent="0.3">
      <c r="A273" s="165" t="s">
        <v>82</v>
      </c>
      <c r="B273" t="s">
        <v>16</v>
      </c>
      <c r="C273" s="168">
        <v>4</v>
      </c>
      <c r="D273" t="str">
        <f>VLOOKUP(A273,DataUsuario!B:D,2,FALSE)</f>
        <v>Industrial y de Mantenimiento</v>
      </c>
      <c r="E273" t="str">
        <f>VLOOKUP(A273,DataUsuario!B:D,3,FALSE)</f>
        <v>Producción</v>
      </c>
    </row>
    <row r="274" spans="1:5" x14ac:dyDescent="0.3">
      <c r="A274" s="166" t="s">
        <v>326</v>
      </c>
      <c r="B274" t="s">
        <v>16</v>
      </c>
      <c r="C274" s="169">
        <v>4</v>
      </c>
      <c r="D274" t="str">
        <f>VLOOKUP(A274,DataUsuario!B:D,2,FALSE)</f>
        <v>Operaciones</v>
      </c>
      <c r="E274" t="str">
        <f>VLOOKUP(A274,DataUsuario!B:D,3,FALSE)</f>
        <v>Calidad</v>
      </c>
    </row>
    <row r="275" spans="1:5" x14ac:dyDescent="0.3">
      <c r="A275" s="165" t="s">
        <v>318</v>
      </c>
      <c r="B275" t="s">
        <v>16</v>
      </c>
      <c r="C275" s="168">
        <v>3</v>
      </c>
      <c r="D275" t="str">
        <f>VLOOKUP(A275,DataUsuario!B:D,2,FALSE)</f>
        <v>Operaciones</v>
      </c>
      <c r="E275" t="str">
        <f>VLOOKUP(A275,DataUsuario!B:D,3,FALSE)</f>
        <v>Cosecha</v>
      </c>
    </row>
    <row r="276" spans="1:5" x14ac:dyDescent="0.3">
      <c r="A276" s="166" t="s">
        <v>391</v>
      </c>
      <c r="B276" t="s">
        <v>16</v>
      </c>
      <c r="C276" s="169">
        <v>5</v>
      </c>
      <c r="D276" t="str">
        <f>VLOOKUP(A276,DataUsuario!B:D,2,FALSE)</f>
        <v>Administración y Finanzas</v>
      </c>
      <c r="E276" t="str">
        <f>VLOOKUP(A276,DataUsuario!B:D,3,FALSE)</f>
        <v>Finanzas y Tesorería</v>
      </c>
    </row>
    <row r="277" spans="1:5" x14ac:dyDescent="0.3">
      <c r="A277" s="165" t="s">
        <v>279</v>
      </c>
      <c r="B277" t="s">
        <v>16</v>
      </c>
      <c r="C277" s="168">
        <v>4</v>
      </c>
      <c r="D277" t="str">
        <f>VLOOKUP(A277,DataUsuario!B:D,2,FALSE)</f>
        <v>Operaciones</v>
      </c>
      <c r="E277" t="str">
        <f>VLOOKUP(A277,DataUsuario!B:D,3,FALSE)</f>
        <v>Transporte</v>
      </c>
    </row>
    <row r="278" spans="1:5" x14ac:dyDescent="0.3">
      <c r="A278" s="166" t="s">
        <v>431</v>
      </c>
      <c r="B278" t="s">
        <v>16</v>
      </c>
      <c r="C278" s="169" t="s">
        <v>627</v>
      </c>
      <c r="D278" t="str">
        <f>VLOOKUP(A278,DataUsuario!B:D,2,FALSE)</f>
        <v>Agrícola</v>
      </c>
      <c r="E278" t="str">
        <f>VLOOKUP(A278,DataUsuario!B:D,3,FALSE)</f>
        <v>Fundo San Vicente</v>
      </c>
    </row>
    <row r="279" spans="1:5" x14ac:dyDescent="0.3">
      <c r="A279" s="165" t="s">
        <v>176</v>
      </c>
      <c r="B279" t="s">
        <v>16</v>
      </c>
      <c r="C279" s="168" t="s">
        <v>627</v>
      </c>
      <c r="D279" t="str">
        <f>VLOOKUP(A279,DataUsuario!B:D,2,FALSE)</f>
        <v>Administración y Finanzas</v>
      </c>
      <c r="E279" t="str">
        <f>VLOOKUP(A279,DataUsuario!B:D,3,FALSE)</f>
        <v>Cadenas Productivas</v>
      </c>
    </row>
    <row r="280" spans="1:5" x14ac:dyDescent="0.3">
      <c r="A280" s="166" t="s">
        <v>221</v>
      </c>
      <c r="B280" t="s">
        <v>16</v>
      </c>
      <c r="C280" s="169">
        <v>5</v>
      </c>
      <c r="D280" t="str">
        <f>VLOOKUP(A280,DataUsuario!B:D,2,FALSE)</f>
        <v>Administración y Finanzas</v>
      </c>
      <c r="E280" t="str">
        <f>VLOOKUP(A280,DataUsuario!B:D,3,FALSE)</f>
        <v>Sistemas y TI</v>
      </c>
    </row>
    <row r="281" spans="1:5" x14ac:dyDescent="0.3">
      <c r="A281" s="165" t="s">
        <v>249</v>
      </c>
      <c r="B281" t="s">
        <v>16</v>
      </c>
      <c r="C281" s="168">
        <v>5</v>
      </c>
      <c r="D281" t="str">
        <f>VLOOKUP(A281,DataUsuario!B:D,2,FALSE)</f>
        <v>Administración y Finanzas</v>
      </c>
      <c r="E281" t="str">
        <f>VLOOKUP(A281,DataUsuario!B:D,3,FALSE)</f>
        <v>Compras</v>
      </c>
    </row>
    <row r="282" spans="1:5" x14ac:dyDescent="0.3">
      <c r="A282" s="166" t="s">
        <v>601</v>
      </c>
      <c r="B282" t="s">
        <v>16</v>
      </c>
      <c r="C282" s="169">
        <v>5</v>
      </c>
      <c r="D282" t="str">
        <f>VLOOKUP(A282,DataUsuario!B:D,2,FALSE)</f>
        <v>Administración y Finanzas</v>
      </c>
      <c r="E282" t="str">
        <f>VLOOKUP(A282,DataUsuario!B:D,3,FALSE)</f>
        <v>Sistemas y TI</v>
      </c>
    </row>
    <row r="283" spans="1:5" x14ac:dyDescent="0.3">
      <c r="A283" s="165" t="s">
        <v>439</v>
      </c>
      <c r="B283" t="s">
        <v>16</v>
      </c>
      <c r="C283" s="168" t="s">
        <v>627</v>
      </c>
      <c r="D283" t="str">
        <f>VLOOKUP(A283,DataUsuario!B:D,2,FALSE)</f>
        <v>Operaciones</v>
      </c>
      <c r="E283" t="str">
        <f>VLOOKUP(A283,DataUsuario!B:D,3,FALSE)</f>
        <v>Comercial</v>
      </c>
    </row>
    <row r="284" spans="1:5" x14ac:dyDescent="0.3">
      <c r="A284" s="166" t="s">
        <v>320</v>
      </c>
      <c r="B284" t="s">
        <v>16</v>
      </c>
      <c r="C284" s="169">
        <v>5</v>
      </c>
      <c r="D284" t="str">
        <f>VLOOKUP(A284,DataUsuario!B:D,2,FALSE)</f>
        <v>Gestión Humana y Sostenibilidad</v>
      </c>
      <c r="E284" t="str">
        <f>VLOOKUP(A284,DataUsuario!B:D,3,FALSE)</f>
        <v>Sostenibilidad</v>
      </c>
    </row>
    <row r="285" spans="1:5" x14ac:dyDescent="0.3">
      <c r="A285" s="165" t="s">
        <v>80</v>
      </c>
      <c r="B285" t="s">
        <v>16</v>
      </c>
      <c r="C285" s="168" t="s">
        <v>627</v>
      </c>
      <c r="D285" t="str">
        <f>VLOOKUP(A285,DataUsuario!B:D,2,FALSE)</f>
        <v>Administración y Finanzas</v>
      </c>
      <c r="E285" t="str">
        <f>VLOOKUP(A285,DataUsuario!B:D,3,FALSE)</f>
        <v>Compras</v>
      </c>
    </row>
    <row r="286" spans="1:5" x14ac:dyDescent="0.3">
      <c r="A286" s="166" t="s">
        <v>343</v>
      </c>
      <c r="B286" t="s">
        <v>16</v>
      </c>
      <c r="C286" s="169">
        <v>5</v>
      </c>
      <c r="D286" t="str">
        <f>VLOOKUP(A286,DataUsuario!B:D,2,FALSE)</f>
        <v>Operaciones</v>
      </c>
      <c r="E286" t="str">
        <f>VLOOKUP(A286,DataUsuario!B:D,3,FALSE)</f>
        <v>Comercial No Giro</v>
      </c>
    </row>
    <row r="287" spans="1:5" x14ac:dyDescent="0.3">
      <c r="A287" s="165" t="s">
        <v>236</v>
      </c>
      <c r="B287" t="s">
        <v>16</v>
      </c>
      <c r="C287" s="168">
        <v>4</v>
      </c>
      <c r="D287" t="str">
        <f>VLOOKUP(A287,DataUsuario!B:D,2,FALSE)</f>
        <v>Administración y Finanzas</v>
      </c>
      <c r="E287" t="str">
        <f>VLOOKUP(A287,DataUsuario!B:D,3,FALSE)</f>
        <v>Sistemas y TI</v>
      </c>
    </row>
    <row r="288" spans="1:5" x14ac:dyDescent="0.3">
      <c r="A288" s="166" t="s">
        <v>205</v>
      </c>
      <c r="B288" t="s">
        <v>16</v>
      </c>
      <c r="C288" s="169">
        <v>4</v>
      </c>
      <c r="D288" t="str">
        <f>VLOOKUP(A288,DataUsuario!B:D,2,FALSE)</f>
        <v>Operaciones</v>
      </c>
      <c r="E288" t="str">
        <f>VLOOKUP(A288,DataUsuario!B:D,3,FALSE)</f>
        <v>Almacenes y Distribución PT</v>
      </c>
    </row>
    <row r="289" spans="1:5" x14ac:dyDescent="0.3">
      <c r="A289" s="165" t="s">
        <v>136</v>
      </c>
      <c r="B289" t="s">
        <v>16</v>
      </c>
      <c r="C289" s="168">
        <v>4</v>
      </c>
      <c r="D289" t="str">
        <f>VLOOKUP(A289,DataUsuario!B:D,2,FALSE)</f>
        <v>Operaciones</v>
      </c>
      <c r="E289" t="str">
        <f>VLOOKUP(A289,DataUsuario!B:D,3,FALSE)</f>
        <v>Comercial</v>
      </c>
    </row>
    <row r="290" spans="1:5" x14ac:dyDescent="0.3">
      <c r="A290" s="166" t="s">
        <v>602</v>
      </c>
      <c r="B290" t="s">
        <v>16</v>
      </c>
      <c r="C290" s="169">
        <v>5</v>
      </c>
      <c r="D290" t="str">
        <f>VLOOKUP(A290,DataUsuario!B:D,2,FALSE)</f>
        <v>Administración y Finanzas</v>
      </c>
      <c r="E290" t="str">
        <f>VLOOKUP(A290,DataUsuario!B:D,3,FALSE)</f>
        <v>Sistemas y TI</v>
      </c>
    </row>
    <row r="291" spans="1:5" x14ac:dyDescent="0.3">
      <c r="A291" s="165" t="s">
        <v>181</v>
      </c>
      <c r="B291" t="s">
        <v>16</v>
      </c>
      <c r="C291" s="168">
        <v>4</v>
      </c>
      <c r="D291" t="str">
        <f>VLOOKUP(A291,DataUsuario!B:D,2,FALSE)</f>
        <v>Gestión Humana y Sostenibilidad</v>
      </c>
      <c r="E291" t="str">
        <f>VLOOKUP(A291,DataUsuario!B:D,3,FALSE)</f>
        <v>Compensación y Nóminas</v>
      </c>
    </row>
    <row r="292" spans="1:5" x14ac:dyDescent="0.3">
      <c r="A292" s="166" t="s">
        <v>275</v>
      </c>
      <c r="B292" t="s">
        <v>16</v>
      </c>
      <c r="C292" s="169" t="s">
        <v>627</v>
      </c>
      <c r="D292" t="str">
        <f>VLOOKUP(A292,DataUsuario!B:D,2,FALSE)</f>
        <v>Administración y Finanzas</v>
      </c>
      <c r="E292" t="str">
        <f>VLOOKUP(A292,DataUsuario!B:D,3,FALSE)</f>
        <v>Compras</v>
      </c>
    </row>
    <row r="293" spans="1:5" x14ac:dyDescent="0.3">
      <c r="A293" s="165" t="s">
        <v>61</v>
      </c>
      <c r="B293" t="s">
        <v>16</v>
      </c>
      <c r="C293" s="168">
        <v>4</v>
      </c>
      <c r="D293" t="str">
        <f>VLOOKUP(A293,DataUsuario!B:D,2,FALSE)</f>
        <v>Gestión Humana y Sostenibilidad</v>
      </c>
      <c r="E293" t="str">
        <f>VLOOKUP(A293,DataUsuario!B:D,3,FALSE)</f>
        <v>Compensación y Nóminas</v>
      </c>
    </row>
    <row r="294" spans="1:5" x14ac:dyDescent="0.3">
      <c r="A294" s="166" t="s">
        <v>374</v>
      </c>
      <c r="B294" t="s">
        <v>16</v>
      </c>
      <c r="C294" s="169">
        <v>4</v>
      </c>
      <c r="D294" t="str">
        <f>VLOOKUP(A294,DataUsuario!B:D,2,FALSE)</f>
        <v>Agrícola</v>
      </c>
      <c r="E294" t="str">
        <f>VLOOKUP(A294,DataUsuario!B:D,3,FALSE)</f>
        <v>Mantenimiento de Riego y Bombas</v>
      </c>
    </row>
    <row r="295" spans="1:5" x14ac:dyDescent="0.3">
      <c r="A295" s="165" t="s">
        <v>605</v>
      </c>
      <c r="B295" t="s">
        <v>16</v>
      </c>
      <c r="C295" s="168">
        <v>4</v>
      </c>
      <c r="D295" t="str">
        <f>VLOOKUP(A295,DataUsuario!B:D,2,FALSE)</f>
        <v>Administración y Finanzas</v>
      </c>
      <c r="E295" t="str">
        <f>VLOOKUP(A295,DataUsuario!B:D,3,FALSE)</f>
        <v>Control de Gestión</v>
      </c>
    </row>
    <row r="296" spans="1:5" x14ac:dyDescent="0.3">
      <c r="A296" s="166" t="s">
        <v>92</v>
      </c>
      <c r="B296" t="s">
        <v>16</v>
      </c>
      <c r="C296" s="169">
        <v>4</v>
      </c>
      <c r="D296" t="str">
        <f>VLOOKUP(A296,DataUsuario!B:D,2,FALSE)</f>
        <v>Administración y Finanzas</v>
      </c>
      <c r="E296" t="str">
        <f>VLOOKUP(A296,DataUsuario!B:D,3,FALSE)</f>
        <v>Control de Gestión</v>
      </c>
    </row>
    <row r="297" spans="1:5" x14ac:dyDescent="0.3">
      <c r="A297" s="165" t="s">
        <v>217</v>
      </c>
      <c r="B297" t="s">
        <v>16</v>
      </c>
      <c r="C297" s="168">
        <v>4</v>
      </c>
      <c r="D297" t="str">
        <f>VLOOKUP(A297,DataUsuario!B:D,2,FALSE)</f>
        <v>Agrícola</v>
      </c>
      <c r="E297" t="str">
        <f>VLOOKUP(A297,DataUsuario!B:D,3,FALSE)</f>
        <v>Mantenimiento de Riego y Bombas</v>
      </c>
    </row>
    <row r="298" spans="1:5" x14ac:dyDescent="0.3">
      <c r="A298" s="166" t="s">
        <v>606</v>
      </c>
      <c r="B298" t="s">
        <v>16</v>
      </c>
      <c r="C298" s="169">
        <v>4</v>
      </c>
      <c r="D298" t="str">
        <f>VLOOKUP(A298,DataUsuario!B:D,2,FALSE)</f>
        <v>Administración y Finanzas</v>
      </c>
      <c r="E298" t="str">
        <f>VLOOKUP(A298,DataUsuario!B:D,3,FALSE)</f>
        <v>Sistemas y TI</v>
      </c>
    </row>
    <row r="299" spans="1:5" x14ac:dyDescent="0.3">
      <c r="A299" s="165" t="s">
        <v>210</v>
      </c>
      <c r="B299" t="s">
        <v>16</v>
      </c>
      <c r="C299" s="168">
        <v>4</v>
      </c>
      <c r="D299" t="str">
        <f>VLOOKUP(A299,DataUsuario!B:D,2,FALSE)</f>
        <v>Industrial y de Mantenimiento</v>
      </c>
      <c r="E299" t="str">
        <f>VLOOKUP(A299,DataUsuario!B:D,3,FALSE)</f>
        <v>Planta y Srv Industriales</v>
      </c>
    </row>
    <row r="300" spans="1:5" x14ac:dyDescent="0.3">
      <c r="A300" s="166" t="s">
        <v>254</v>
      </c>
      <c r="B300" t="s">
        <v>16</v>
      </c>
      <c r="C300" s="169">
        <v>4</v>
      </c>
      <c r="D300" t="str">
        <f>VLOOKUP(A300,DataUsuario!B:D,2,FALSE)</f>
        <v>Administración y Finanzas</v>
      </c>
      <c r="E300" t="str">
        <f>VLOOKUP(A300,DataUsuario!B:D,3,FALSE)</f>
        <v>Administración</v>
      </c>
    </row>
    <row r="301" spans="1:5" x14ac:dyDescent="0.3">
      <c r="A301" s="165" t="s">
        <v>403</v>
      </c>
      <c r="B301" t="s">
        <v>16</v>
      </c>
      <c r="C301" s="168">
        <v>4</v>
      </c>
      <c r="D301" t="str">
        <f>VLOOKUP(A301,DataUsuario!B:D,2,FALSE)</f>
        <v>Administración y Finanzas</v>
      </c>
      <c r="E301" t="str">
        <f>VLOOKUP(A301,DataUsuario!B:D,3,FALSE)</f>
        <v>Control de Gestión</v>
      </c>
    </row>
    <row r="302" spans="1:5" x14ac:dyDescent="0.3">
      <c r="A302" s="166" t="s">
        <v>170</v>
      </c>
      <c r="B302" t="s">
        <v>16</v>
      </c>
      <c r="C302" s="169">
        <v>5</v>
      </c>
      <c r="D302" t="str">
        <f>VLOOKUP(A302,DataUsuario!B:D,2,FALSE)</f>
        <v>Operaciones</v>
      </c>
      <c r="E302" t="str">
        <f>VLOOKUP(A302,DataUsuario!B:D,3,FALSE)</f>
        <v>Mantenimiento CAT</v>
      </c>
    </row>
    <row r="303" spans="1:5" x14ac:dyDescent="0.3">
      <c r="A303" s="165" t="s">
        <v>88</v>
      </c>
      <c r="B303" t="s">
        <v>16</v>
      </c>
      <c r="C303" s="168">
        <v>5</v>
      </c>
      <c r="D303" t="str">
        <f>VLOOKUP(A303,DataUsuario!B:D,2,FALSE)</f>
        <v>Agrícola</v>
      </c>
      <c r="E303" t="str">
        <f>VLOOKUP(A303,DataUsuario!B:D,3,FALSE)</f>
        <v>Fundo Lobo</v>
      </c>
    </row>
    <row r="304" spans="1:5" x14ac:dyDescent="0.3">
      <c r="A304" s="166" t="s">
        <v>242</v>
      </c>
      <c r="B304" t="s">
        <v>16</v>
      </c>
      <c r="C304" s="169">
        <v>4</v>
      </c>
      <c r="D304" t="str">
        <f>VLOOKUP(A304,DataUsuario!B:D,2,FALSE)</f>
        <v>Agrícola</v>
      </c>
      <c r="E304" t="str">
        <f>VLOOKUP(A304,DataUsuario!B:D,3,FALSE)</f>
        <v>Fundo Montelima</v>
      </c>
    </row>
    <row r="305" spans="1:5" x14ac:dyDescent="0.3">
      <c r="A305" s="165" t="s">
        <v>65</v>
      </c>
      <c r="B305" t="s">
        <v>16</v>
      </c>
      <c r="C305" s="168">
        <v>5</v>
      </c>
      <c r="D305" t="str">
        <f>VLOOKUP(A305,DataUsuario!B:D,2,FALSE)</f>
        <v>Administración y Finanzas</v>
      </c>
      <c r="E305" t="str">
        <f>VLOOKUP(A305,DataUsuario!B:D,3,FALSE)</f>
        <v>Finanzas y Tesorería</v>
      </c>
    </row>
    <row r="306" spans="1:5" x14ac:dyDescent="0.3">
      <c r="A306" s="166" t="s">
        <v>609</v>
      </c>
      <c r="B306" t="s">
        <v>16</v>
      </c>
      <c r="C306" s="169">
        <v>4</v>
      </c>
      <c r="D306" t="str">
        <f>VLOOKUP(A306,DataUsuario!B:D,2,FALSE)</f>
        <v>Administración y Finanzas</v>
      </c>
      <c r="E306" t="str">
        <f>VLOOKUP(A306,DataUsuario!B:D,3,FALSE)</f>
        <v>Compras</v>
      </c>
    </row>
    <row r="307" spans="1:5" x14ac:dyDescent="0.3">
      <c r="A307" s="165" t="s">
        <v>85</v>
      </c>
      <c r="B307" t="s">
        <v>16</v>
      </c>
      <c r="C307" s="168">
        <v>5</v>
      </c>
      <c r="D307" t="str">
        <f>VLOOKUP(A307,DataUsuario!B:D,2,FALSE)</f>
        <v>Operaciones</v>
      </c>
      <c r="E307" t="str">
        <f>VLOOKUP(A307,DataUsuario!B:D,3,FALSE)</f>
        <v>Comercial</v>
      </c>
    </row>
    <row r="308" spans="1:5" x14ac:dyDescent="0.3">
      <c r="A308" s="166" t="s">
        <v>256</v>
      </c>
      <c r="B308" t="s">
        <v>16</v>
      </c>
      <c r="C308" s="169">
        <v>4</v>
      </c>
      <c r="D308" t="str">
        <f>VLOOKUP(A308,DataUsuario!B:D,2,FALSE)</f>
        <v>Agrícola</v>
      </c>
      <c r="E308" t="str">
        <f>VLOOKUP(A308,DataUsuario!B:D,3,FALSE)</f>
        <v>Fundo Montelima</v>
      </c>
    </row>
    <row r="309" spans="1:5" x14ac:dyDescent="0.3">
      <c r="A309" s="165" t="s">
        <v>611</v>
      </c>
      <c r="B309" t="s">
        <v>16</v>
      </c>
      <c r="C309" s="168">
        <v>4</v>
      </c>
      <c r="D309" t="str">
        <f>VLOOKUP(A309,DataUsuario!B:D,2,FALSE)</f>
        <v>Operaciones</v>
      </c>
      <c r="E309" t="str">
        <f>VLOOKUP(A309,DataUsuario!B:D,3,FALSE)</f>
        <v>Almacenes y Distribución PT</v>
      </c>
    </row>
    <row r="310" spans="1:5" x14ac:dyDescent="0.3">
      <c r="A310" s="166" t="s">
        <v>267</v>
      </c>
      <c r="B310" t="s">
        <v>16</v>
      </c>
      <c r="C310" s="169">
        <v>5</v>
      </c>
      <c r="D310" t="str">
        <f>VLOOKUP(A310,DataUsuario!B:D,2,FALSE)</f>
        <v>Gestión Humana y Sostenibilidad</v>
      </c>
      <c r="E310" t="str">
        <f>VLOOKUP(A310,DataUsuario!B:D,3,FALSE)</f>
        <v>Sostenibilidad</v>
      </c>
    </row>
    <row r="311" spans="1:5" x14ac:dyDescent="0.3">
      <c r="A311" s="165" t="s">
        <v>614</v>
      </c>
      <c r="B311" t="s">
        <v>16</v>
      </c>
      <c r="C311" s="168">
        <v>4</v>
      </c>
      <c r="D311" t="str">
        <f>VLOOKUP(A311,DataUsuario!B:D,2,FALSE)</f>
        <v>Operaciones</v>
      </c>
      <c r="E311" t="str">
        <f>VLOOKUP(A311,DataUsuario!B:D,3,FALSE)</f>
        <v>Transporte</v>
      </c>
    </row>
    <row r="312" spans="1:5" x14ac:dyDescent="0.3">
      <c r="A312" s="166" t="s">
        <v>415</v>
      </c>
      <c r="B312" t="s">
        <v>16</v>
      </c>
      <c r="C312" s="169">
        <v>5</v>
      </c>
      <c r="D312" t="str">
        <f>VLOOKUP(A312,DataUsuario!B:D,2,FALSE)</f>
        <v>Administración y Finanzas</v>
      </c>
      <c r="E312" t="str">
        <f>VLOOKUP(A312,DataUsuario!B:D,3,FALSE)</f>
        <v>Administración</v>
      </c>
    </row>
    <row r="313" spans="1:5" x14ac:dyDescent="0.3">
      <c r="A313" s="165" t="s">
        <v>200</v>
      </c>
      <c r="B313" t="s">
        <v>16</v>
      </c>
      <c r="C313" s="168" t="s">
        <v>627</v>
      </c>
      <c r="D313" t="str">
        <f>VLOOKUP(A313,DataUsuario!B:D,2,FALSE)</f>
        <v>Industrial y de Mantenimiento</v>
      </c>
      <c r="E313" t="str">
        <f>VLOOKUP(A313,DataUsuario!B:D,3,FALSE)</f>
        <v>Electricidad</v>
      </c>
    </row>
    <row r="314" spans="1:5" x14ac:dyDescent="0.3">
      <c r="A314" s="166" t="s">
        <v>198</v>
      </c>
      <c r="B314" t="s">
        <v>16</v>
      </c>
      <c r="C314" s="169">
        <v>5</v>
      </c>
      <c r="D314" t="str">
        <f>VLOOKUP(A314,DataUsuario!B:D,2,FALSE)</f>
        <v>Agrícola</v>
      </c>
      <c r="E314" t="str">
        <f>VLOOKUP(A314,DataUsuario!B:D,3,FALSE)</f>
        <v>Fundo Lobo</v>
      </c>
    </row>
    <row r="315" spans="1:5" x14ac:dyDescent="0.3">
      <c r="A315" s="165" t="s">
        <v>350</v>
      </c>
      <c r="B315" t="s">
        <v>16</v>
      </c>
      <c r="C315" s="168">
        <v>4</v>
      </c>
      <c r="D315" t="str">
        <f>VLOOKUP(A315,DataUsuario!B:D,2,FALSE)</f>
        <v>Agrícola</v>
      </c>
      <c r="E315" t="str">
        <f>VLOOKUP(A315,DataUsuario!B:D,3,FALSE)</f>
        <v>Planificador Agrícola</v>
      </c>
    </row>
    <row r="316" spans="1:5" x14ac:dyDescent="0.3">
      <c r="A316" s="166" t="s">
        <v>345</v>
      </c>
      <c r="B316" t="s">
        <v>16</v>
      </c>
      <c r="C316" s="169">
        <v>4</v>
      </c>
      <c r="D316" t="str">
        <f>VLOOKUP(A316,DataUsuario!B:D,2,FALSE)</f>
        <v>Agrícola</v>
      </c>
      <c r="E316" t="str">
        <f>VLOOKUP(A316,DataUsuario!B:D,3,FALSE)</f>
        <v>Mantenimiento de Riego y Bombas</v>
      </c>
    </row>
    <row r="317" spans="1:5" x14ac:dyDescent="0.3">
      <c r="A317" s="165" t="s">
        <v>314</v>
      </c>
      <c r="B317" t="s">
        <v>16</v>
      </c>
      <c r="C317" s="168">
        <v>4</v>
      </c>
      <c r="D317" t="str">
        <f>VLOOKUP(A317,DataUsuario!B:D,2,FALSE)</f>
        <v>Industrial y de Mantenimiento</v>
      </c>
      <c r="E317" t="str">
        <f>VLOOKUP(A317,DataUsuario!B:D,3,FALSE)</f>
        <v>Mantenimiento Industrial</v>
      </c>
    </row>
    <row r="318" spans="1:5" x14ac:dyDescent="0.3">
      <c r="A318" s="166" t="s">
        <v>150</v>
      </c>
      <c r="B318" t="s">
        <v>16</v>
      </c>
      <c r="C318" s="169" t="s">
        <v>627</v>
      </c>
      <c r="D318" t="str">
        <f>VLOOKUP(A318,DataUsuario!B:D,2,FALSE)</f>
        <v>Industrial y de Mantenimiento</v>
      </c>
      <c r="E318" t="str">
        <f>VLOOKUP(A318,DataUsuario!B:D,3,FALSE)</f>
        <v>Producción</v>
      </c>
    </row>
    <row r="319" spans="1:5" x14ac:dyDescent="0.3">
      <c r="A319" s="165" t="s">
        <v>271</v>
      </c>
      <c r="B319" t="s">
        <v>16</v>
      </c>
      <c r="C319" s="168">
        <v>4</v>
      </c>
      <c r="D319" t="str">
        <f>VLOOKUP(A319,DataUsuario!B:D,2,FALSE)</f>
        <v>Operaciones</v>
      </c>
      <c r="E319" t="str">
        <f>VLOOKUP(A319,DataUsuario!B:D,3,FALSE)</f>
        <v>Calidad</v>
      </c>
    </row>
    <row r="320" spans="1:5" x14ac:dyDescent="0.3">
      <c r="A320" s="166" t="s">
        <v>156</v>
      </c>
      <c r="B320" t="s">
        <v>16</v>
      </c>
      <c r="C320" s="169" t="s">
        <v>627</v>
      </c>
      <c r="D320" t="str">
        <f>VLOOKUP(A320,DataUsuario!B:D,2,FALSE)</f>
        <v>Administración y Finanzas</v>
      </c>
      <c r="E320" t="str">
        <f>VLOOKUP(A320,DataUsuario!B:D,3,FALSE)</f>
        <v>Compras</v>
      </c>
    </row>
    <row r="321" spans="1:5" x14ac:dyDescent="0.3">
      <c r="A321" s="165" t="s">
        <v>369</v>
      </c>
      <c r="B321" t="s">
        <v>16</v>
      </c>
      <c r="C321" s="168">
        <v>4</v>
      </c>
      <c r="D321" t="str">
        <f>VLOOKUP(A321,DataUsuario!B:D,2,FALSE)</f>
        <v>Agrícola</v>
      </c>
      <c r="E321" t="str">
        <f>VLOOKUP(A321,DataUsuario!B:D,3,FALSE)</f>
        <v>Sistema Integral de Gestión</v>
      </c>
    </row>
    <row r="322" spans="1:5" x14ac:dyDescent="0.3">
      <c r="A322" s="166" t="s">
        <v>224</v>
      </c>
      <c r="B322" t="s">
        <v>16</v>
      </c>
      <c r="C322" s="169">
        <v>4</v>
      </c>
      <c r="D322" t="str">
        <f>VLOOKUP(A322,DataUsuario!B:D,2,FALSE)</f>
        <v>Agrícola</v>
      </c>
      <c r="E322" t="str">
        <f>VLOOKUP(A322,DataUsuario!B:D,3,FALSE)</f>
        <v>Laboratorio e Investigación Agricola</v>
      </c>
    </row>
    <row r="323" spans="1:5" x14ac:dyDescent="0.3">
      <c r="A323" s="165" t="s">
        <v>618</v>
      </c>
      <c r="B323" t="s">
        <v>16</v>
      </c>
      <c r="C323" s="168">
        <v>5</v>
      </c>
      <c r="D323" t="e">
        <f>VLOOKUP(A323,DataUsuario!B:D,2,FALSE)</f>
        <v>#N/A</v>
      </c>
      <c r="E323" t="e">
        <f>VLOOKUP(A323,DataUsuario!B:D,3,FALSE)</f>
        <v>#N/A</v>
      </c>
    </row>
    <row r="324" spans="1:5" x14ac:dyDescent="0.3">
      <c r="A324" s="166" t="s">
        <v>397</v>
      </c>
      <c r="B324" t="s">
        <v>16</v>
      </c>
      <c r="C324" s="169">
        <v>4</v>
      </c>
      <c r="D324" t="str">
        <f>VLOOKUP(A324,DataUsuario!B:D,2,FALSE)</f>
        <v>Administración y Finanzas</v>
      </c>
      <c r="E324" t="str">
        <f>VLOOKUP(A324,DataUsuario!B:D,3,FALSE)</f>
        <v>Control de Gestión</v>
      </c>
    </row>
    <row r="325" spans="1:5" x14ac:dyDescent="0.3">
      <c r="A325" s="165" t="s">
        <v>619</v>
      </c>
      <c r="B325" t="s">
        <v>16</v>
      </c>
      <c r="C325" s="168" t="s">
        <v>627</v>
      </c>
      <c r="D325" t="str">
        <f>VLOOKUP(A325,DataUsuario!B:D,2,FALSE)</f>
        <v>Gestión Humana y Sostenibilidad</v>
      </c>
      <c r="E325" t="str">
        <f>VLOOKUP(A325,DataUsuario!B:D,3,FALSE)</f>
        <v>Bienestar - Medico Ocupacional</v>
      </c>
    </row>
    <row r="326" spans="1:5" x14ac:dyDescent="0.3">
      <c r="A326" s="166" t="s">
        <v>215</v>
      </c>
      <c r="B326" t="s">
        <v>16</v>
      </c>
      <c r="C326" s="169">
        <v>5</v>
      </c>
      <c r="D326" t="str">
        <f>VLOOKUP(A326,DataUsuario!B:D,2,FALSE)</f>
        <v>Gestión Humana y Sostenibilidad</v>
      </c>
      <c r="E326" t="str">
        <f>VLOOKUP(A326,DataUsuario!B:D,3,FALSE)</f>
        <v>Seguridad</v>
      </c>
    </row>
    <row r="327" spans="1:5" x14ac:dyDescent="0.3">
      <c r="A327" s="165" t="s">
        <v>307</v>
      </c>
      <c r="B327" t="s">
        <v>16</v>
      </c>
      <c r="C327" s="168" t="s">
        <v>627</v>
      </c>
      <c r="D327" t="str">
        <f>VLOOKUP(A327,DataUsuario!B:D,2,FALSE)</f>
        <v>Gestión Humana y Sostenibilidad</v>
      </c>
      <c r="E327" t="str">
        <f>VLOOKUP(A327,DataUsuario!B:D,3,FALSE)</f>
        <v>Comunicaciones y Responsabilidad Social</v>
      </c>
    </row>
    <row r="328" spans="1:5" x14ac:dyDescent="0.3">
      <c r="A328" s="166" t="s">
        <v>285</v>
      </c>
      <c r="B328" t="s">
        <v>16</v>
      </c>
      <c r="C328" s="169" t="s">
        <v>627</v>
      </c>
      <c r="D328" t="str">
        <f>VLOOKUP(A328,DataUsuario!B:D,2,FALSE)</f>
        <v>Operaciones</v>
      </c>
      <c r="E328" t="str">
        <f>VLOOKUP(A328,DataUsuario!B:D,3,FALSE)</f>
        <v>Comercial</v>
      </c>
    </row>
    <row r="329" spans="1:5" x14ac:dyDescent="0.3">
      <c r="A329" s="165" t="s">
        <v>316</v>
      </c>
      <c r="B329" t="s">
        <v>16</v>
      </c>
      <c r="C329" s="168">
        <v>4</v>
      </c>
      <c r="D329" t="str">
        <f>VLOOKUP(A329,DataUsuario!B:D,2,FALSE)</f>
        <v>Administración y Finanzas</v>
      </c>
      <c r="E329" t="str">
        <f>VLOOKUP(A329,DataUsuario!B:D,3,FALSE)</f>
        <v>Compras</v>
      </c>
    </row>
    <row r="330" spans="1:5" x14ac:dyDescent="0.3">
      <c r="A330" s="166" t="s">
        <v>372</v>
      </c>
      <c r="B330" t="s">
        <v>16</v>
      </c>
      <c r="C330" s="169" t="s">
        <v>627</v>
      </c>
      <c r="D330" t="str">
        <f>VLOOKUP(A330,DataUsuario!B:D,2,FALSE)</f>
        <v>Agrícola</v>
      </c>
      <c r="E330" t="str">
        <f>VLOOKUP(A330,DataUsuario!B:D,3,FALSE)</f>
        <v>Laboratorio e Investigación Agricola</v>
      </c>
    </row>
    <row r="331" spans="1:5" x14ac:dyDescent="0.3">
      <c r="A331" s="165" t="s">
        <v>328</v>
      </c>
      <c r="B331" t="s">
        <v>16</v>
      </c>
      <c r="C331" s="168">
        <v>5</v>
      </c>
      <c r="D331" t="str">
        <f>VLOOKUP(A331,DataUsuario!B:D,2,FALSE)</f>
        <v>Administración y Finanzas</v>
      </c>
      <c r="E331" t="str">
        <f>VLOOKUP(A331,DataUsuario!B:D,3,FALSE)</f>
        <v>Administración</v>
      </c>
    </row>
    <row r="332" spans="1:5" x14ac:dyDescent="0.3">
      <c r="A332" s="166" t="s">
        <v>376</v>
      </c>
      <c r="B332" t="s">
        <v>16</v>
      </c>
      <c r="C332" s="169">
        <v>5</v>
      </c>
      <c r="D332" t="str">
        <f>VLOOKUP(A332,DataUsuario!B:D,2,FALSE)</f>
        <v>Administración y Finanzas</v>
      </c>
      <c r="E332" t="str">
        <f>VLOOKUP(A332,DataUsuario!B:D,3,FALSE)</f>
        <v>Control de Gestión</v>
      </c>
    </row>
    <row r="333" spans="1:5" x14ac:dyDescent="0.3">
      <c r="A333" s="165" t="s">
        <v>238</v>
      </c>
      <c r="B333" t="s">
        <v>16</v>
      </c>
      <c r="C333" s="168" t="s">
        <v>627</v>
      </c>
      <c r="D333" t="str">
        <f>VLOOKUP(A333,DataUsuario!B:D,2,FALSE)</f>
        <v>Industrial y de Mantenimiento</v>
      </c>
      <c r="E333" t="str">
        <f>VLOOKUP(A333,DataUsuario!B:D,3,FALSE)</f>
        <v>Producción</v>
      </c>
    </row>
    <row r="334" spans="1:5" x14ac:dyDescent="0.3">
      <c r="A334" s="166" t="s">
        <v>623</v>
      </c>
      <c r="B334" t="s">
        <v>16</v>
      </c>
      <c r="C334" s="169">
        <v>5</v>
      </c>
      <c r="D334" t="str">
        <f>VLOOKUP(A334,DataUsuario!B:D,2,FALSE)</f>
        <v>Industrial y de Mantenimiento</v>
      </c>
      <c r="E334" t="str">
        <f>VLOOKUP(A334,DataUsuario!B:D,3,FALSE)</f>
        <v>Mantenimiento Industrial</v>
      </c>
    </row>
    <row r="335" spans="1:5" x14ac:dyDescent="0.3">
      <c r="A335" s="165" t="s">
        <v>97</v>
      </c>
      <c r="B335" t="s">
        <v>16</v>
      </c>
      <c r="C335" s="168">
        <v>5</v>
      </c>
      <c r="D335" t="str">
        <f>VLOOKUP(A335,DataUsuario!B:D,2,FALSE)</f>
        <v>Gestión Humana y Sostenibilidad</v>
      </c>
      <c r="E335" t="str">
        <f>VLOOKUP(A335,DataUsuario!B:D,3,FALSE)</f>
        <v>Compensación y Nóminas</v>
      </c>
    </row>
    <row r="336" spans="1:5" x14ac:dyDescent="0.3">
      <c r="A336" s="166" t="s">
        <v>352</v>
      </c>
      <c r="B336" t="s">
        <v>16</v>
      </c>
      <c r="C336" s="169">
        <v>5</v>
      </c>
      <c r="D336" t="str">
        <f>VLOOKUP(A336,DataUsuario!B:D,2,FALSE)</f>
        <v>Gestión Humana y Sostenibilidad</v>
      </c>
      <c r="E336" t="str">
        <f>VLOOKUP(A336,DataUsuario!B:D,3,FALSE)</f>
        <v>Compensación y Nóminas</v>
      </c>
    </row>
    <row r="337" spans="1:5" x14ac:dyDescent="0.3">
      <c r="A337" s="165" t="s">
        <v>128</v>
      </c>
      <c r="B337" t="s">
        <v>16</v>
      </c>
      <c r="C337" s="168" t="s">
        <v>627</v>
      </c>
      <c r="D337" t="str">
        <f>VLOOKUP(A337,DataUsuario!B:D,2,FALSE)</f>
        <v>Agrícola</v>
      </c>
      <c r="E337" t="str">
        <f>VLOOKUP(A337,DataUsuario!B:D,3,FALSE)</f>
        <v>Fundo Lobo</v>
      </c>
    </row>
    <row r="338" spans="1:5" x14ac:dyDescent="0.3">
      <c r="A338" s="166" t="s">
        <v>625</v>
      </c>
      <c r="B338" t="s">
        <v>16</v>
      </c>
      <c r="C338" s="169">
        <v>5</v>
      </c>
      <c r="D338" t="str">
        <f>VLOOKUP(A338,DataUsuario!B:D,2,FALSE)</f>
        <v>Administración y Finanzas</v>
      </c>
      <c r="E338" t="str">
        <f>VLOOKUP(A338,DataUsuario!B:D,3,FALSE)</f>
        <v>Finanzas y Tesorería</v>
      </c>
    </row>
    <row r="339" spans="1:5" x14ac:dyDescent="0.3">
      <c r="A339" s="165" t="s">
        <v>303</v>
      </c>
      <c r="B339" t="s">
        <v>16</v>
      </c>
      <c r="C339" s="168">
        <v>3</v>
      </c>
      <c r="D339" t="str">
        <f>VLOOKUP(A339,DataUsuario!B:D,2,FALSE)</f>
        <v>Administración y Finanzas</v>
      </c>
      <c r="E339" t="str">
        <f>VLOOKUP(A339,DataUsuario!B:D,3,FALSE)</f>
        <v>Control de Gestión</v>
      </c>
    </row>
    <row r="340" spans="1:5" x14ac:dyDescent="0.3">
      <c r="A340" s="166" t="s">
        <v>115</v>
      </c>
      <c r="B340" t="s">
        <v>16</v>
      </c>
      <c r="C340" s="169">
        <v>4</v>
      </c>
      <c r="D340" t="str">
        <f>VLOOKUP(A340,DataUsuario!B:D,2,FALSE)</f>
        <v>Industrial y de Mantenimiento</v>
      </c>
      <c r="E340" t="str">
        <f>VLOOKUP(A340,DataUsuario!B:D,3,FALSE)</f>
        <v>Mantenimiento de Transportes</v>
      </c>
    </row>
    <row r="341" spans="1:5" x14ac:dyDescent="0.3">
      <c r="A341" s="167" t="s">
        <v>123</v>
      </c>
      <c r="B341" t="s">
        <v>16</v>
      </c>
      <c r="C341" s="170">
        <v>2</v>
      </c>
      <c r="D341" t="str">
        <f>VLOOKUP(A341,DataUsuario!B:D,2,FALSE)</f>
        <v>Administración y Finanzas</v>
      </c>
      <c r="E341" t="str">
        <f>VLOOKUP(A341,DataUsuario!B:D,3,FALSE)</f>
        <v>Gerencia Administración y Finanzas</v>
      </c>
    </row>
    <row r="342" spans="1:5" x14ac:dyDescent="0.3">
      <c r="A342" s="165" t="s">
        <v>138</v>
      </c>
      <c r="B342" t="s">
        <v>17</v>
      </c>
      <c r="C342" s="171">
        <v>4</v>
      </c>
      <c r="D342" t="str">
        <f>VLOOKUP(A342,DataUsuario!B:D,2,FALSE)</f>
        <v>Gestión Humana y Sostenibilidad</v>
      </c>
      <c r="E342" t="str">
        <f>VLOOKUP(A342,DataUsuario!B:D,3,FALSE)</f>
        <v>Gestion del Talento</v>
      </c>
    </row>
    <row r="343" spans="1:5" x14ac:dyDescent="0.3">
      <c r="A343" s="166" t="s">
        <v>207</v>
      </c>
      <c r="B343" t="s">
        <v>17</v>
      </c>
      <c r="C343" s="172">
        <v>5</v>
      </c>
      <c r="D343" t="str">
        <f>VLOOKUP(A343,DataUsuario!B:D,2,FALSE)</f>
        <v>Administración y Finanzas</v>
      </c>
      <c r="E343" t="str">
        <f>VLOOKUP(A343,DataUsuario!B:D,3,FALSE)</f>
        <v>Riesgos y Cumplimiento</v>
      </c>
    </row>
    <row r="344" spans="1:5" x14ac:dyDescent="0.3">
      <c r="A344" s="165" t="s">
        <v>322</v>
      </c>
      <c r="B344" t="s">
        <v>17</v>
      </c>
      <c r="C344" s="171">
        <v>3</v>
      </c>
      <c r="D344" t="str">
        <f>VLOOKUP(A344,DataUsuario!B:D,2,FALSE)</f>
        <v>Administración y Finanzas</v>
      </c>
      <c r="E344" t="str">
        <f>VLOOKUP(A344,DataUsuario!B:D,3,FALSE)</f>
        <v>Finanzas y Tesorería</v>
      </c>
    </row>
    <row r="345" spans="1:5" x14ac:dyDescent="0.3">
      <c r="A345" s="166" t="s">
        <v>133</v>
      </c>
      <c r="B345" t="s">
        <v>17</v>
      </c>
      <c r="C345" s="172">
        <v>4</v>
      </c>
      <c r="D345" t="str">
        <f>VLOOKUP(A345,DataUsuario!B:D,2,FALSE)</f>
        <v>Industrial y de Mantenimiento</v>
      </c>
      <c r="E345" t="str">
        <f>VLOOKUP(A345,DataUsuario!B:D,3,FALSE)</f>
        <v>Electricidad</v>
      </c>
    </row>
    <row r="346" spans="1:5" x14ac:dyDescent="0.3">
      <c r="A346" s="165" t="s">
        <v>299</v>
      </c>
      <c r="B346" t="s">
        <v>17</v>
      </c>
      <c r="C346" s="171">
        <v>4</v>
      </c>
      <c r="D346" t="str">
        <f>VLOOKUP(A346,DataUsuario!B:D,2,FALSE)</f>
        <v>Administración y Finanzas</v>
      </c>
      <c r="E346" t="str">
        <f>VLOOKUP(A346,DataUsuario!B:D,3,FALSE)</f>
        <v>Legal</v>
      </c>
    </row>
    <row r="347" spans="1:5" x14ac:dyDescent="0.3">
      <c r="A347" s="166" t="s">
        <v>421</v>
      </c>
      <c r="B347" t="s">
        <v>17</v>
      </c>
      <c r="C347" s="172">
        <v>4</v>
      </c>
      <c r="D347" t="str">
        <f>VLOOKUP(A347,DataUsuario!B:D,2,FALSE)</f>
        <v>Operaciones</v>
      </c>
      <c r="E347" t="str">
        <f>VLOOKUP(A347,DataUsuario!B:D,3,FALSE)</f>
        <v>Cosecha</v>
      </c>
    </row>
    <row r="348" spans="1:5" x14ac:dyDescent="0.3">
      <c r="A348" s="165" t="s">
        <v>258</v>
      </c>
      <c r="B348" t="s">
        <v>17</v>
      </c>
      <c r="C348" s="171">
        <v>4</v>
      </c>
      <c r="D348" t="str">
        <f>VLOOKUP(A348,DataUsuario!B:D,2,FALSE)</f>
        <v>Operaciones</v>
      </c>
      <c r="E348" t="str">
        <f>VLOOKUP(A348,DataUsuario!B:D,3,FALSE)</f>
        <v>Calidad</v>
      </c>
    </row>
    <row r="349" spans="1:5" x14ac:dyDescent="0.3">
      <c r="A349" s="166" t="s">
        <v>152</v>
      </c>
      <c r="B349" t="s">
        <v>17</v>
      </c>
      <c r="C349" s="172">
        <v>5</v>
      </c>
      <c r="D349" t="str">
        <f>VLOOKUP(A349,DataUsuario!B:D,2,FALSE)</f>
        <v>Operaciones</v>
      </c>
      <c r="E349" t="str">
        <f>VLOOKUP(A349,DataUsuario!B:D,3,FALSE)</f>
        <v>Almacenes y Distribución PT</v>
      </c>
    </row>
    <row r="350" spans="1:5" x14ac:dyDescent="0.3">
      <c r="A350" s="165" t="s">
        <v>77</v>
      </c>
      <c r="B350" t="s">
        <v>17</v>
      </c>
      <c r="C350" s="171">
        <v>4</v>
      </c>
      <c r="D350" t="str">
        <f>VLOOKUP(A350,DataUsuario!B:D,2,FALSE)</f>
        <v>Operaciones</v>
      </c>
      <c r="E350" t="str">
        <f>VLOOKUP(A350,DataUsuario!B:D,3,FALSE)</f>
        <v>Comercial No Giro</v>
      </c>
    </row>
    <row r="351" spans="1:5" x14ac:dyDescent="0.3">
      <c r="A351" s="166" t="s">
        <v>435</v>
      </c>
      <c r="B351" t="s">
        <v>17</v>
      </c>
      <c r="C351" s="172">
        <v>4</v>
      </c>
      <c r="D351" t="str">
        <f>VLOOKUP(A351,DataUsuario!B:D,2,FALSE)</f>
        <v>Operaciones</v>
      </c>
      <c r="E351" t="str">
        <f>VLOOKUP(A351,DataUsuario!B:D,3,FALSE)</f>
        <v>Almacenes y Distribución PT</v>
      </c>
    </row>
    <row r="352" spans="1:5" x14ac:dyDescent="0.3">
      <c r="A352" s="165" t="s">
        <v>405</v>
      </c>
      <c r="B352" t="s">
        <v>17</v>
      </c>
      <c r="C352" s="171">
        <v>3</v>
      </c>
      <c r="D352" t="str">
        <f>VLOOKUP(A352,DataUsuario!B:D,2,FALSE)</f>
        <v>Administración y Finanzas</v>
      </c>
      <c r="E352" t="str">
        <f>VLOOKUP(A352,DataUsuario!B:D,3,FALSE)</f>
        <v>Finanzas y Tesorería</v>
      </c>
    </row>
    <row r="353" spans="1:5" x14ac:dyDescent="0.3">
      <c r="A353" s="166" t="s">
        <v>594</v>
      </c>
      <c r="B353" t="s">
        <v>17</v>
      </c>
      <c r="C353" s="172">
        <v>4</v>
      </c>
      <c r="D353" t="str">
        <f>VLOOKUP(A353,DataUsuario!B:D,2,FALSE)</f>
        <v>Administración y Finanzas</v>
      </c>
      <c r="E353" t="str">
        <f>VLOOKUP(A353,DataUsuario!B:D,3,FALSE)</f>
        <v>Compras</v>
      </c>
    </row>
    <row r="354" spans="1:5" x14ac:dyDescent="0.3">
      <c r="A354" s="165" t="s">
        <v>289</v>
      </c>
      <c r="B354" t="s">
        <v>17</v>
      </c>
      <c r="C354" s="171">
        <v>3</v>
      </c>
      <c r="D354" t="str">
        <f>VLOOKUP(A354,DataUsuario!B:D,2,FALSE)</f>
        <v>Agrícola</v>
      </c>
      <c r="E354" t="str">
        <f>VLOOKUP(A354,DataUsuario!B:D,3,FALSE)</f>
        <v>Mantenimiento de Riego y Bombas</v>
      </c>
    </row>
    <row r="355" spans="1:5" x14ac:dyDescent="0.3">
      <c r="A355" s="166" t="s">
        <v>359</v>
      </c>
      <c r="B355" t="s">
        <v>17</v>
      </c>
      <c r="C355" s="172">
        <v>3</v>
      </c>
      <c r="D355" t="str">
        <f>VLOOKUP(A355,DataUsuario!B:D,2,FALSE)</f>
        <v>Operaciones</v>
      </c>
      <c r="E355" t="str">
        <f>VLOOKUP(A355,DataUsuario!B:D,3,FALSE)</f>
        <v>Gerencia de Operaciones</v>
      </c>
    </row>
    <row r="356" spans="1:5" x14ac:dyDescent="0.3">
      <c r="A356" s="165" t="s">
        <v>145</v>
      </c>
      <c r="B356" t="s">
        <v>17</v>
      </c>
      <c r="C356" s="171" t="s">
        <v>627</v>
      </c>
      <c r="D356" t="str">
        <f>VLOOKUP(A356,DataUsuario!B:D,2,FALSE)</f>
        <v>Administración y Finanzas</v>
      </c>
      <c r="E356" t="str">
        <f>VLOOKUP(A356,DataUsuario!B:D,3,FALSE)</f>
        <v>Legal</v>
      </c>
    </row>
    <row r="357" spans="1:5" x14ac:dyDescent="0.3">
      <c r="A357" s="166" t="s">
        <v>597</v>
      </c>
      <c r="B357" t="s">
        <v>17</v>
      </c>
      <c r="C357" s="172">
        <v>5</v>
      </c>
      <c r="D357" t="str">
        <f>VLOOKUP(A357,DataUsuario!B:D,2,FALSE)</f>
        <v>Gestión Humana y Sostenibilidad</v>
      </c>
      <c r="E357" t="str">
        <f>VLOOKUP(A357,DataUsuario!B:D,3,FALSE)</f>
        <v>Seguridad</v>
      </c>
    </row>
    <row r="358" spans="1:5" x14ac:dyDescent="0.3">
      <c r="A358" s="165" t="s">
        <v>82</v>
      </c>
      <c r="B358" t="s">
        <v>17</v>
      </c>
      <c r="C358" s="171">
        <v>4</v>
      </c>
      <c r="D358" t="str">
        <f>VLOOKUP(A358,DataUsuario!B:D,2,FALSE)</f>
        <v>Industrial y de Mantenimiento</v>
      </c>
      <c r="E358" t="str">
        <f>VLOOKUP(A358,DataUsuario!B:D,3,FALSE)</f>
        <v>Producción</v>
      </c>
    </row>
    <row r="359" spans="1:5" x14ac:dyDescent="0.3">
      <c r="A359" s="166" t="s">
        <v>326</v>
      </c>
      <c r="B359" t="s">
        <v>17</v>
      </c>
      <c r="C359" s="172">
        <v>4</v>
      </c>
      <c r="D359" t="str">
        <f>VLOOKUP(A359,DataUsuario!B:D,2,FALSE)</f>
        <v>Operaciones</v>
      </c>
      <c r="E359" t="str">
        <f>VLOOKUP(A359,DataUsuario!B:D,3,FALSE)</f>
        <v>Calidad</v>
      </c>
    </row>
    <row r="360" spans="1:5" x14ac:dyDescent="0.3">
      <c r="A360" s="165" t="s">
        <v>318</v>
      </c>
      <c r="B360" t="s">
        <v>17</v>
      </c>
      <c r="C360" s="171">
        <v>4</v>
      </c>
      <c r="D360" t="str">
        <f>VLOOKUP(A360,DataUsuario!B:D,2,FALSE)</f>
        <v>Operaciones</v>
      </c>
      <c r="E360" t="str">
        <f>VLOOKUP(A360,DataUsuario!B:D,3,FALSE)</f>
        <v>Cosecha</v>
      </c>
    </row>
    <row r="361" spans="1:5" x14ac:dyDescent="0.3">
      <c r="A361" s="166" t="s">
        <v>391</v>
      </c>
      <c r="B361" t="s">
        <v>17</v>
      </c>
      <c r="C361" s="172">
        <v>5</v>
      </c>
      <c r="D361" t="str">
        <f>VLOOKUP(A361,DataUsuario!B:D,2,FALSE)</f>
        <v>Administración y Finanzas</v>
      </c>
      <c r="E361" t="str">
        <f>VLOOKUP(A361,DataUsuario!B:D,3,FALSE)</f>
        <v>Finanzas y Tesorería</v>
      </c>
    </row>
    <row r="362" spans="1:5" x14ac:dyDescent="0.3">
      <c r="A362" s="165" t="s">
        <v>279</v>
      </c>
      <c r="B362" t="s">
        <v>17</v>
      </c>
      <c r="C362" s="171" t="s">
        <v>627</v>
      </c>
      <c r="D362" t="str">
        <f>VLOOKUP(A362,DataUsuario!B:D,2,FALSE)</f>
        <v>Operaciones</v>
      </c>
      <c r="E362" t="str">
        <f>VLOOKUP(A362,DataUsuario!B:D,3,FALSE)</f>
        <v>Transporte</v>
      </c>
    </row>
    <row r="363" spans="1:5" x14ac:dyDescent="0.3">
      <c r="A363" s="166" t="s">
        <v>431</v>
      </c>
      <c r="B363" t="s">
        <v>17</v>
      </c>
      <c r="C363" s="172">
        <v>4</v>
      </c>
      <c r="D363" t="str">
        <f>VLOOKUP(A363,DataUsuario!B:D,2,FALSE)</f>
        <v>Agrícola</v>
      </c>
      <c r="E363" t="str">
        <f>VLOOKUP(A363,DataUsuario!B:D,3,FALSE)</f>
        <v>Fundo San Vicente</v>
      </c>
    </row>
    <row r="364" spans="1:5" x14ac:dyDescent="0.3">
      <c r="A364" s="165" t="s">
        <v>176</v>
      </c>
      <c r="B364" t="s">
        <v>17</v>
      </c>
      <c r="C364" s="171">
        <v>5</v>
      </c>
      <c r="D364" t="str">
        <f>VLOOKUP(A364,DataUsuario!B:D,2,FALSE)</f>
        <v>Administración y Finanzas</v>
      </c>
      <c r="E364" t="str">
        <f>VLOOKUP(A364,DataUsuario!B:D,3,FALSE)</f>
        <v>Cadenas Productivas</v>
      </c>
    </row>
    <row r="365" spans="1:5" x14ac:dyDescent="0.3">
      <c r="A365" s="166" t="s">
        <v>221</v>
      </c>
      <c r="B365" t="s">
        <v>17</v>
      </c>
      <c r="C365" s="172">
        <v>5</v>
      </c>
      <c r="D365" t="str">
        <f>VLOOKUP(A365,DataUsuario!B:D,2,FALSE)</f>
        <v>Administración y Finanzas</v>
      </c>
      <c r="E365" t="str">
        <f>VLOOKUP(A365,DataUsuario!B:D,3,FALSE)</f>
        <v>Sistemas y TI</v>
      </c>
    </row>
    <row r="366" spans="1:5" x14ac:dyDescent="0.3">
      <c r="A366" s="165" t="s">
        <v>249</v>
      </c>
      <c r="B366" t="s">
        <v>17</v>
      </c>
      <c r="C366" s="171">
        <v>5</v>
      </c>
      <c r="D366" t="str">
        <f>VLOOKUP(A366,DataUsuario!B:D,2,FALSE)</f>
        <v>Administración y Finanzas</v>
      </c>
      <c r="E366" t="str">
        <f>VLOOKUP(A366,DataUsuario!B:D,3,FALSE)</f>
        <v>Compras</v>
      </c>
    </row>
    <row r="367" spans="1:5" x14ac:dyDescent="0.3">
      <c r="A367" s="166" t="s">
        <v>601</v>
      </c>
      <c r="B367" t="s">
        <v>17</v>
      </c>
      <c r="C367" s="172">
        <v>3</v>
      </c>
      <c r="D367" t="str">
        <f>VLOOKUP(A367,DataUsuario!B:D,2,FALSE)</f>
        <v>Administración y Finanzas</v>
      </c>
      <c r="E367" t="str">
        <f>VLOOKUP(A367,DataUsuario!B:D,3,FALSE)</f>
        <v>Sistemas y TI</v>
      </c>
    </row>
    <row r="368" spans="1:5" x14ac:dyDescent="0.3">
      <c r="A368" s="165" t="s">
        <v>439</v>
      </c>
      <c r="B368" t="s">
        <v>17</v>
      </c>
      <c r="C368" s="171">
        <v>5</v>
      </c>
      <c r="D368" t="str">
        <f>VLOOKUP(A368,DataUsuario!B:D,2,FALSE)</f>
        <v>Operaciones</v>
      </c>
      <c r="E368" t="str">
        <f>VLOOKUP(A368,DataUsuario!B:D,3,FALSE)</f>
        <v>Comercial</v>
      </c>
    </row>
    <row r="369" spans="1:5" x14ac:dyDescent="0.3">
      <c r="A369" s="166" t="s">
        <v>320</v>
      </c>
      <c r="B369" t="s">
        <v>17</v>
      </c>
      <c r="C369" s="172">
        <v>5</v>
      </c>
      <c r="D369" t="str">
        <f>VLOOKUP(A369,DataUsuario!B:D,2,FALSE)</f>
        <v>Gestión Humana y Sostenibilidad</v>
      </c>
      <c r="E369" t="str">
        <f>VLOOKUP(A369,DataUsuario!B:D,3,FALSE)</f>
        <v>Sostenibilidad</v>
      </c>
    </row>
    <row r="370" spans="1:5" x14ac:dyDescent="0.3">
      <c r="A370" s="165" t="s">
        <v>80</v>
      </c>
      <c r="B370" t="s">
        <v>17</v>
      </c>
      <c r="C370" s="171">
        <v>5</v>
      </c>
      <c r="D370" t="str">
        <f>VLOOKUP(A370,DataUsuario!B:D,2,FALSE)</f>
        <v>Administración y Finanzas</v>
      </c>
      <c r="E370" t="str">
        <f>VLOOKUP(A370,DataUsuario!B:D,3,FALSE)</f>
        <v>Compras</v>
      </c>
    </row>
    <row r="371" spans="1:5" x14ac:dyDescent="0.3">
      <c r="A371" s="166" t="s">
        <v>343</v>
      </c>
      <c r="B371" t="s">
        <v>17</v>
      </c>
      <c r="C371" s="172">
        <v>5</v>
      </c>
      <c r="D371" t="str">
        <f>VLOOKUP(A371,DataUsuario!B:D,2,FALSE)</f>
        <v>Operaciones</v>
      </c>
      <c r="E371" t="str">
        <f>VLOOKUP(A371,DataUsuario!B:D,3,FALSE)</f>
        <v>Comercial No Giro</v>
      </c>
    </row>
    <row r="372" spans="1:5" x14ac:dyDescent="0.3">
      <c r="A372" s="165" t="s">
        <v>236</v>
      </c>
      <c r="B372" t="s">
        <v>17</v>
      </c>
      <c r="C372" s="171">
        <v>3</v>
      </c>
      <c r="D372" t="str">
        <f>VLOOKUP(A372,DataUsuario!B:D,2,FALSE)</f>
        <v>Administración y Finanzas</v>
      </c>
      <c r="E372" t="str">
        <f>VLOOKUP(A372,DataUsuario!B:D,3,FALSE)</f>
        <v>Sistemas y TI</v>
      </c>
    </row>
    <row r="373" spans="1:5" x14ac:dyDescent="0.3">
      <c r="A373" s="166" t="s">
        <v>205</v>
      </c>
      <c r="B373" t="s">
        <v>17</v>
      </c>
      <c r="C373" s="172">
        <v>4</v>
      </c>
      <c r="D373" t="str">
        <f>VLOOKUP(A373,DataUsuario!B:D,2,FALSE)</f>
        <v>Operaciones</v>
      </c>
      <c r="E373" t="str">
        <f>VLOOKUP(A373,DataUsuario!B:D,3,FALSE)</f>
        <v>Almacenes y Distribución PT</v>
      </c>
    </row>
    <row r="374" spans="1:5" x14ac:dyDescent="0.3">
      <c r="A374" s="165" t="s">
        <v>136</v>
      </c>
      <c r="B374" t="s">
        <v>17</v>
      </c>
      <c r="C374" s="171">
        <v>4</v>
      </c>
      <c r="D374" t="str">
        <f>VLOOKUP(A374,DataUsuario!B:D,2,FALSE)</f>
        <v>Operaciones</v>
      </c>
      <c r="E374" t="str">
        <f>VLOOKUP(A374,DataUsuario!B:D,3,FALSE)</f>
        <v>Comercial</v>
      </c>
    </row>
    <row r="375" spans="1:5" x14ac:dyDescent="0.3">
      <c r="A375" s="166" t="s">
        <v>602</v>
      </c>
      <c r="B375" t="s">
        <v>17</v>
      </c>
      <c r="C375" s="172">
        <v>5</v>
      </c>
      <c r="D375" t="str">
        <f>VLOOKUP(A375,DataUsuario!B:D,2,FALSE)</f>
        <v>Administración y Finanzas</v>
      </c>
      <c r="E375" t="str">
        <f>VLOOKUP(A375,DataUsuario!B:D,3,FALSE)</f>
        <v>Sistemas y TI</v>
      </c>
    </row>
    <row r="376" spans="1:5" x14ac:dyDescent="0.3">
      <c r="A376" s="165" t="s">
        <v>181</v>
      </c>
      <c r="B376" t="s">
        <v>17</v>
      </c>
      <c r="C376" s="171">
        <v>4</v>
      </c>
      <c r="D376" t="str">
        <f>VLOOKUP(A376,DataUsuario!B:D,2,FALSE)</f>
        <v>Gestión Humana y Sostenibilidad</v>
      </c>
      <c r="E376" t="str">
        <f>VLOOKUP(A376,DataUsuario!B:D,3,FALSE)</f>
        <v>Compensación y Nóminas</v>
      </c>
    </row>
    <row r="377" spans="1:5" x14ac:dyDescent="0.3">
      <c r="A377" s="166" t="s">
        <v>275</v>
      </c>
      <c r="B377" t="s">
        <v>17</v>
      </c>
      <c r="C377" s="172" t="s">
        <v>627</v>
      </c>
      <c r="D377" t="str">
        <f>VLOOKUP(A377,DataUsuario!B:D,2,FALSE)</f>
        <v>Administración y Finanzas</v>
      </c>
      <c r="E377" t="str">
        <f>VLOOKUP(A377,DataUsuario!B:D,3,FALSE)</f>
        <v>Compras</v>
      </c>
    </row>
    <row r="378" spans="1:5" x14ac:dyDescent="0.3">
      <c r="A378" s="165" t="s">
        <v>61</v>
      </c>
      <c r="B378" t="s">
        <v>17</v>
      </c>
      <c r="C378" s="171">
        <v>4</v>
      </c>
      <c r="D378" t="str">
        <f>VLOOKUP(A378,DataUsuario!B:D,2,FALSE)</f>
        <v>Gestión Humana y Sostenibilidad</v>
      </c>
      <c r="E378" t="str">
        <f>VLOOKUP(A378,DataUsuario!B:D,3,FALSE)</f>
        <v>Compensación y Nóminas</v>
      </c>
    </row>
    <row r="379" spans="1:5" x14ac:dyDescent="0.3">
      <c r="A379" s="166" t="s">
        <v>374</v>
      </c>
      <c r="B379" t="s">
        <v>17</v>
      </c>
      <c r="C379" s="172">
        <v>4</v>
      </c>
      <c r="D379" t="str">
        <f>VLOOKUP(A379,DataUsuario!B:D,2,FALSE)</f>
        <v>Agrícola</v>
      </c>
      <c r="E379" t="str">
        <f>VLOOKUP(A379,DataUsuario!B:D,3,FALSE)</f>
        <v>Mantenimiento de Riego y Bombas</v>
      </c>
    </row>
    <row r="380" spans="1:5" x14ac:dyDescent="0.3">
      <c r="A380" s="165" t="s">
        <v>605</v>
      </c>
      <c r="B380" t="s">
        <v>17</v>
      </c>
      <c r="C380" s="171">
        <v>4</v>
      </c>
      <c r="D380" t="str">
        <f>VLOOKUP(A380,DataUsuario!B:D,2,FALSE)</f>
        <v>Administración y Finanzas</v>
      </c>
      <c r="E380" t="str">
        <f>VLOOKUP(A380,DataUsuario!B:D,3,FALSE)</f>
        <v>Control de Gestión</v>
      </c>
    </row>
    <row r="381" spans="1:5" x14ac:dyDescent="0.3">
      <c r="A381" s="166" t="s">
        <v>92</v>
      </c>
      <c r="B381" t="s">
        <v>17</v>
      </c>
      <c r="C381" s="172">
        <v>4</v>
      </c>
      <c r="D381" t="str">
        <f>VLOOKUP(A381,DataUsuario!B:D,2,FALSE)</f>
        <v>Administración y Finanzas</v>
      </c>
      <c r="E381" t="str">
        <f>VLOOKUP(A381,DataUsuario!B:D,3,FALSE)</f>
        <v>Control de Gestión</v>
      </c>
    </row>
    <row r="382" spans="1:5" x14ac:dyDescent="0.3">
      <c r="A382" s="165" t="s">
        <v>217</v>
      </c>
      <c r="B382" t="s">
        <v>17</v>
      </c>
      <c r="C382" s="171">
        <v>4</v>
      </c>
      <c r="D382" t="str">
        <f>VLOOKUP(A382,DataUsuario!B:D,2,FALSE)</f>
        <v>Agrícola</v>
      </c>
      <c r="E382" t="str">
        <f>VLOOKUP(A382,DataUsuario!B:D,3,FALSE)</f>
        <v>Mantenimiento de Riego y Bombas</v>
      </c>
    </row>
    <row r="383" spans="1:5" x14ac:dyDescent="0.3">
      <c r="A383" s="166" t="s">
        <v>606</v>
      </c>
      <c r="B383" t="s">
        <v>17</v>
      </c>
      <c r="C383" s="172">
        <v>5</v>
      </c>
      <c r="D383" t="str">
        <f>VLOOKUP(A383,DataUsuario!B:D,2,FALSE)</f>
        <v>Administración y Finanzas</v>
      </c>
      <c r="E383" t="str">
        <f>VLOOKUP(A383,DataUsuario!B:D,3,FALSE)</f>
        <v>Sistemas y TI</v>
      </c>
    </row>
    <row r="384" spans="1:5" x14ac:dyDescent="0.3">
      <c r="A384" s="165" t="s">
        <v>210</v>
      </c>
      <c r="B384" t="s">
        <v>17</v>
      </c>
      <c r="C384" s="171">
        <v>4</v>
      </c>
      <c r="D384" t="str">
        <f>VLOOKUP(A384,DataUsuario!B:D,2,FALSE)</f>
        <v>Industrial y de Mantenimiento</v>
      </c>
      <c r="E384" t="str">
        <f>VLOOKUP(A384,DataUsuario!B:D,3,FALSE)</f>
        <v>Planta y Srv Industriales</v>
      </c>
    </row>
    <row r="385" spans="1:5" x14ac:dyDescent="0.3">
      <c r="A385" s="166" t="s">
        <v>254</v>
      </c>
      <c r="B385" t="s">
        <v>17</v>
      </c>
      <c r="C385" s="172">
        <v>4</v>
      </c>
      <c r="D385" t="str">
        <f>VLOOKUP(A385,DataUsuario!B:D,2,FALSE)</f>
        <v>Administración y Finanzas</v>
      </c>
      <c r="E385" t="str">
        <f>VLOOKUP(A385,DataUsuario!B:D,3,FALSE)</f>
        <v>Administración</v>
      </c>
    </row>
    <row r="386" spans="1:5" x14ac:dyDescent="0.3">
      <c r="A386" s="165" t="s">
        <v>403</v>
      </c>
      <c r="B386" t="s">
        <v>17</v>
      </c>
      <c r="C386" s="171" t="s">
        <v>627</v>
      </c>
      <c r="D386" t="str">
        <f>VLOOKUP(A386,DataUsuario!B:D,2,FALSE)</f>
        <v>Administración y Finanzas</v>
      </c>
      <c r="E386" t="str">
        <f>VLOOKUP(A386,DataUsuario!B:D,3,FALSE)</f>
        <v>Control de Gestión</v>
      </c>
    </row>
    <row r="387" spans="1:5" x14ac:dyDescent="0.3">
      <c r="A387" s="166" t="s">
        <v>170</v>
      </c>
      <c r="B387" t="s">
        <v>17</v>
      </c>
      <c r="C387" s="172">
        <v>5</v>
      </c>
      <c r="D387" t="str">
        <f>VLOOKUP(A387,DataUsuario!B:D,2,FALSE)</f>
        <v>Operaciones</v>
      </c>
      <c r="E387" t="str">
        <f>VLOOKUP(A387,DataUsuario!B:D,3,FALSE)</f>
        <v>Mantenimiento CAT</v>
      </c>
    </row>
    <row r="388" spans="1:5" x14ac:dyDescent="0.3">
      <c r="A388" s="165" t="s">
        <v>88</v>
      </c>
      <c r="B388" t="s">
        <v>17</v>
      </c>
      <c r="C388" s="171">
        <v>4</v>
      </c>
      <c r="D388" t="str">
        <f>VLOOKUP(A388,DataUsuario!B:D,2,FALSE)</f>
        <v>Agrícola</v>
      </c>
      <c r="E388" t="str">
        <f>VLOOKUP(A388,DataUsuario!B:D,3,FALSE)</f>
        <v>Fundo Lobo</v>
      </c>
    </row>
    <row r="389" spans="1:5" x14ac:dyDescent="0.3">
      <c r="A389" s="166" t="s">
        <v>242</v>
      </c>
      <c r="B389" t="s">
        <v>17</v>
      </c>
      <c r="C389" s="172" t="s">
        <v>627</v>
      </c>
      <c r="D389" t="str">
        <f>VLOOKUP(A389,DataUsuario!B:D,2,FALSE)</f>
        <v>Agrícola</v>
      </c>
      <c r="E389" t="str">
        <f>VLOOKUP(A389,DataUsuario!B:D,3,FALSE)</f>
        <v>Fundo Montelima</v>
      </c>
    </row>
    <row r="390" spans="1:5" x14ac:dyDescent="0.3">
      <c r="A390" s="165" t="s">
        <v>65</v>
      </c>
      <c r="B390" t="s">
        <v>17</v>
      </c>
      <c r="C390" s="171">
        <v>5</v>
      </c>
      <c r="D390" t="str">
        <f>VLOOKUP(A390,DataUsuario!B:D,2,FALSE)</f>
        <v>Administración y Finanzas</v>
      </c>
      <c r="E390" t="str">
        <f>VLOOKUP(A390,DataUsuario!B:D,3,FALSE)</f>
        <v>Finanzas y Tesorería</v>
      </c>
    </row>
    <row r="391" spans="1:5" x14ac:dyDescent="0.3">
      <c r="A391" s="166" t="s">
        <v>609</v>
      </c>
      <c r="B391" t="s">
        <v>17</v>
      </c>
      <c r="C391" s="172">
        <v>2</v>
      </c>
      <c r="D391" t="str">
        <f>VLOOKUP(A391,DataUsuario!B:D,2,FALSE)</f>
        <v>Administración y Finanzas</v>
      </c>
      <c r="E391" t="str">
        <f>VLOOKUP(A391,DataUsuario!B:D,3,FALSE)</f>
        <v>Compras</v>
      </c>
    </row>
    <row r="392" spans="1:5" x14ac:dyDescent="0.3">
      <c r="A392" s="165" t="s">
        <v>85</v>
      </c>
      <c r="B392" t="s">
        <v>17</v>
      </c>
      <c r="C392" s="171">
        <v>5</v>
      </c>
      <c r="D392" t="str">
        <f>VLOOKUP(A392,DataUsuario!B:D,2,FALSE)</f>
        <v>Operaciones</v>
      </c>
      <c r="E392" t="str">
        <f>VLOOKUP(A392,DataUsuario!B:D,3,FALSE)</f>
        <v>Comercial</v>
      </c>
    </row>
    <row r="393" spans="1:5" x14ac:dyDescent="0.3">
      <c r="A393" s="166" t="s">
        <v>256</v>
      </c>
      <c r="B393" t="s">
        <v>17</v>
      </c>
      <c r="C393" s="172">
        <v>4</v>
      </c>
      <c r="D393" t="str">
        <f>VLOOKUP(A393,DataUsuario!B:D,2,FALSE)</f>
        <v>Agrícola</v>
      </c>
      <c r="E393" t="str">
        <f>VLOOKUP(A393,DataUsuario!B:D,3,FALSE)</f>
        <v>Fundo Montelima</v>
      </c>
    </row>
    <row r="394" spans="1:5" x14ac:dyDescent="0.3">
      <c r="A394" s="165" t="s">
        <v>611</v>
      </c>
      <c r="B394" t="s">
        <v>17</v>
      </c>
      <c r="C394" s="171">
        <v>4</v>
      </c>
      <c r="D394" t="str">
        <f>VLOOKUP(A394,DataUsuario!B:D,2,FALSE)</f>
        <v>Operaciones</v>
      </c>
      <c r="E394" t="str">
        <f>VLOOKUP(A394,DataUsuario!B:D,3,FALSE)</f>
        <v>Almacenes y Distribución PT</v>
      </c>
    </row>
    <row r="395" spans="1:5" x14ac:dyDescent="0.3">
      <c r="A395" s="166" t="s">
        <v>267</v>
      </c>
      <c r="B395" t="s">
        <v>17</v>
      </c>
      <c r="C395" s="172">
        <v>5</v>
      </c>
      <c r="D395" t="str">
        <f>VLOOKUP(A395,DataUsuario!B:D,2,FALSE)</f>
        <v>Gestión Humana y Sostenibilidad</v>
      </c>
      <c r="E395" t="str">
        <f>VLOOKUP(A395,DataUsuario!B:D,3,FALSE)</f>
        <v>Sostenibilidad</v>
      </c>
    </row>
    <row r="396" spans="1:5" x14ac:dyDescent="0.3">
      <c r="A396" s="165" t="s">
        <v>614</v>
      </c>
      <c r="B396" t="s">
        <v>17</v>
      </c>
      <c r="C396" s="171">
        <v>5</v>
      </c>
      <c r="D396" t="str">
        <f>VLOOKUP(A396,DataUsuario!B:D,2,FALSE)</f>
        <v>Operaciones</v>
      </c>
      <c r="E396" t="str">
        <f>VLOOKUP(A396,DataUsuario!B:D,3,FALSE)</f>
        <v>Transporte</v>
      </c>
    </row>
    <row r="397" spans="1:5" x14ac:dyDescent="0.3">
      <c r="A397" s="166" t="s">
        <v>415</v>
      </c>
      <c r="B397" t="s">
        <v>17</v>
      </c>
      <c r="C397" s="172">
        <v>5</v>
      </c>
      <c r="D397" t="str">
        <f>VLOOKUP(A397,DataUsuario!B:D,2,FALSE)</f>
        <v>Administración y Finanzas</v>
      </c>
      <c r="E397" t="str">
        <f>VLOOKUP(A397,DataUsuario!B:D,3,FALSE)</f>
        <v>Administración</v>
      </c>
    </row>
    <row r="398" spans="1:5" x14ac:dyDescent="0.3">
      <c r="A398" s="165" t="s">
        <v>200</v>
      </c>
      <c r="B398" t="s">
        <v>17</v>
      </c>
      <c r="C398" s="171">
        <v>4</v>
      </c>
      <c r="D398" t="str">
        <f>VLOOKUP(A398,DataUsuario!B:D,2,FALSE)</f>
        <v>Industrial y de Mantenimiento</v>
      </c>
      <c r="E398" t="str">
        <f>VLOOKUP(A398,DataUsuario!B:D,3,FALSE)</f>
        <v>Electricidad</v>
      </c>
    </row>
    <row r="399" spans="1:5" x14ac:dyDescent="0.3">
      <c r="A399" s="166" t="s">
        <v>198</v>
      </c>
      <c r="B399" t="s">
        <v>17</v>
      </c>
      <c r="C399" s="172">
        <v>5</v>
      </c>
      <c r="D399" t="str">
        <f>VLOOKUP(A399,DataUsuario!B:D,2,FALSE)</f>
        <v>Agrícola</v>
      </c>
      <c r="E399" t="str">
        <f>VLOOKUP(A399,DataUsuario!B:D,3,FALSE)</f>
        <v>Fundo Lobo</v>
      </c>
    </row>
    <row r="400" spans="1:5" x14ac:dyDescent="0.3">
      <c r="A400" s="165" t="s">
        <v>350</v>
      </c>
      <c r="B400" t="s">
        <v>17</v>
      </c>
      <c r="C400" s="171">
        <v>5</v>
      </c>
      <c r="D400" t="str">
        <f>VLOOKUP(A400,DataUsuario!B:D,2,FALSE)</f>
        <v>Agrícola</v>
      </c>
      <c r="E400" t="str">
        <f>VLOOKUP(A400,DataUsuario!B:D,3,FALSE)</f>
        <v>Planificador Agrícola</v>
      </c>
    </row>
    <row r="401" spans="1:5" x14ac:dyDescent="0.3">
      <c r="A401" s="166" t="s">
        <v>345</v>
      </c>
      <c r="B401" t="s">
        <v>17</v>
      </c>
      <c r="C401" s="172" t="s">
        <v>627</v>
      </c>
      <c r="D401" t="str">
        <f>VLOOKUP(A401,DataUsuario!B:D,2,FALSE)</f>
        <v>Agrícola</v>
      </c>
      <c r="E401" t="str">
        <f>VLOOKUP(A401,DataUsuario!B:D,3,FALSE)</f>
        <v>Mantenimiento de Riego y Bombas</v>
      </c>
    </row>
    <row r="402" spans="1:5" x14ac:dyDescent="0.3">
      <c r="A402" s="165" t="s">
        <v>314</v>
      </c>
      <c r="B402" t="s">
        <v>17</v>
      </c>
      <c r="C402" s="171">
        <v>4</v>
      </c>
      <c r="D402" t="str">
        <f>VLOOKUP(A402,DataUsuario!B:D,2,FALSE)</f>
        <v>Industrial y de Mantenimiento</v>
      </c>
      <c r="E402" t="str">
        <f>VLOOKUP(A402,DataUsuario!B:D,3,FALSE)</f>
        <v>Mantenimiento Industrial</v>
      </c>
    </row>
    <row r="403" spans="1:5" x14ac:dyDescent="0.3">
      <c r="A403" s="166" t="s">
        <v>150</v>
      </c>
      <c r="B403" t="s">
        <v>17</v>
      </c>
      <c r="C403" s="172">
        <v>4</v>
      </c>
      <c r="D403" t="str">
        <f>VLOOKUP(A403,DataUsuario!B:D,2,FALSE)</f>
        <v>Industrial y de Mantenimiento</v>
      </c>
      <c r="E403" t="str">
        <f>VLOOKUP(A403,DataUsuario!B:D,3,FALSE)</f>
        <v>Producción</v>
      </c>
    </row>
    <row r="404" spans="1:5" x14ac:dyDescent="0.3">
      <c r="A404" s="165" t="s">
        <v>271</v>
      </c>
      <c r="B404" t="s">
        <v>17</v>
      </c>
      <c r="C404" s="171">
        <v>4</v>
      </c>
      <c r="D404" t="str">
        <f>VLOOKUP(A404,DataUsuario!B:D,2,FALSE)</f>
        <v>Operaciones</v>
      </c>
      <c r="E404" t="str">
        <f>VLOOKUP(A404,DataUsuario!B:D,3,FALSE)</f>
        <v>Calidad</v>
      </c>
    </row>
    <row r="405" spans="1:5" x14ac:dyDescent="0.3">
      <c r="A405" s="166" t="s">
        <v>156</v>
      </c>
      <c r="B405" t="s">
        <v>17</v>
      </c>
      <c r="C405" s="172">
        <v>5</v>
      </c>
      <c r="D405" t="str">
        <f>VLOOKUP(A405,DataUsuario!B:D,2,FALSE)</f>
        <v>Administración y Finanzas</v>
      </c>
      <c r="E405" t="str">
        <f>VLOOKUP(A405,DataUsuario!B:D,3,FALSE)</f>
        <v>Compras</v>
      </c>
    </row>
    <row r="406" spans="1:5" x14ac:dyDescent="0.3">
      <c r="A406" s="165" t="s">
        <v>369</v>
      </c>
      <c r="B406" t="s">
        <v>17</v>
      </c>
      <c r="C406" s="171">
        <v>4</v>
      </c>
      <c r="D406" t="str">
        <f>VLOOKUP(A406,DataUsuario!B:D,2,FALSE)</f>
        <v>Agrícola</v>
      </c>
      <c r="E406" t="str">
        <f>VLOOKUP(A406,DataUsuario!B:D,3,FALSE)</f>
        <v>Sistema Integral de Gestión</v>
      </c>
    </row>
    <row r="407" spans="1:5" x14ac:dyDescent="0.3">
      <c r="A407" s="166" t="s">
        <v>224</v>
      </c>
      <c r="B407" t="s">
        <v>17</v>
      </c>
      <c r="C407" s="172" t="s">
        <v>627</v>
      </c>
      <c r="D407" t="str">
        <f>VLOOKUP(A407,DataUsuario!B:D,2,FALSE)</f>
        <v>Agrícola</v>
      </c>
      <c r="E407" t="str">
        <f>VLOOKUP(A407,DataUsuario!B:D,3,FALSE)</f>
        <v>Laboratorio e Investigación Agricola</v>
      </c>
    </row>
    <row r="408" spans="1:5" x14ac:dyDescent="0.3">
      <c r="A408" s="165" t="s">
        <v>618</v>
      </c>
      <c r="B408" t="s">
        <v>17</v>
      </c>
      <c r="C408" s="171">
        <v>5</v>
      </c>
      <c r="D408" t="e">
        <f>VLOOKUP(A408,DataUsuario!B:D,2,FALSE)</f>
        <v>#N/A</v>
      </c>
      <c r="E408" t="e">
        <f>VLOOKUP(A408,DataUsuario!B:D,3,FALSE)</f>
        <v>#N/A</v>
      </c>
    </row>
    <row r="409" spans="1:5" x14ac:dyDescent="0.3">
      <c r="A409" s="166" t="s">
        <v>397</v>
      </c>
      <c r="B409" t="s">
        <v>17</v>
      </c>
      <c r="C409" s="172">
        <v>4</v>
      </c>
      <c r="D409" t="str">
        <f>VLOOKUP(A409,DataUsuario!B:D,2,FALSE)</f>
        <v>Administración y Finanzas</v>
      </c>
      <c r="E409" t="str">
        <f>VLOOKUP(A409,DataUsuario!B:D,3,FALSE)</f>
        <v>Control de Gestión</v>
      </c>
    </row>
    <row r="410" spans="1:5" x14ac:dyDescent="0.3">
      <c r="A410" s="165" t="s">
        <v>619</v>
      </c>
      <c r="B410" t="s">
        <v>17</v>
      </c>
      <c r="C410" s="171">
        <v>5</v>
      </c>
      <c r="D410" t="str">
        <f>VLOOKUP(A410,DataUsuario!B:D,2,FALSE)</f>
        <v>Gestión Humana y Sostenibilidad</v>
      </c>
      <c r="E410" t="str">
        <f>VLOOKUP(A410,DataUsuario!B:D,3,FALSE)</f>
        <v>Bienestar - Medico Ocupacional</v>
      </c>
    </row>
    <row r="411" spans="1:5" x14ac:dyDescent="0.3">
      <c r="A411" s="166" t="s">
        <v>215</v>
      </c>
      <c r="B411" t="s">
        <v>17</v>
      </c>
      <c r="C411" s="172">
        <v>5</v>
      </c>
      <c r="D411" t="str">
        <f>VLOOKUP(A411,DataUsuario!B:D,2,FALSE)</f>
        <v>Gestión Humana y Sostenibilidad</v>
      </c>
      <c r="E411" t="str">
        <f>VLOOKUP(A411,DataUsuario!B:D,3,FALSE)</f>
        <v>Seguridad</v>
      </c>
    </row>
    <row r="412" spans="1:5" x14ac:dyDescent="0.3">
      <c r="A412" s="165" t="s">
        <v>307</v>
      </c>
      <c r="B412" t="s">
        <v>17</v>
      </c>
      <c r="C412" s="171">
        <v>5</v>
      </c>
      <c r="D412" t="str">
        <f>VLOOKUP(A412,DataUsuario!B:D,2,FALSE)</f>
        <v>Gestión Humana y Sostenibilidad</v>
      </c>
      <c r="E412" t="str">
        <f>VLOOKUP(A412,DataUsuario!B:D,3,FALSE)</f>
        <v>Comunicaciones y Responsabilidad Social</v>
      </c>
    </row>
    <row r="413" spans="1:5" x14ac:dyDescent="0.3">
      <c r="A413" s="166" t="s">
        <v>285</v>
      </c>
      <c r="B413" t="s">
        <v>17</v>
      </c>
      <c r="C413" s="172">
        <v>2</v>
      </c>
      <c r="D413" t="str">
        <f>VLOOKUP(A413,DataUsuario!B:D,2,FALSE)</f>
        <v>Operaciones</v>
      </c>
      <c r="E413" t="str">
        <f>VLOOKUP(A413,DataUsuario!B:D,3,FALSE)</f>
        <v>Comercial</v>
      </c>
    </row>
    <row r="414" spans="1:5" x14ac:dyDescent="0.3">
      <c r="A414" s="165" t="s">
        <v>316</v>
      </c>
      <c r="B414" t="s">
        <v>17</v>
      </c>
      <c r="C414" s="171">
        <v>5</v>
      </c>
      <c r="D414" t="str">
        <f>VLOOKUP(A414,DataUsuario!B:D,2,FALSE)</f>
        <v>Administración y Finanzas</v>
      </c>
      <c r="E414" t="str">
        <f>VLOOKUP(A414,DataUsuario!B:D,3,FALSE)</f>
        <v>Compras</v>
      </c>
    </row>
    <row r="415" spans="1:5" x14ac:dyDescent="0.3">
      <c r="A415" s="166" t="s">
        <v>372</v>
      </c>
      <c r="B415" t="s">
        <v>17</v>
      </c>
      <c r="C415" s="172">
        <v>5</v>
      </c>
      <c r="D415" t="str">
        <f>VLOOKUP(A415,DataUsuario!B:D,2,FALSE)</f>
        <v>Agrícola</v>
      </c>
      <c r="E415" t="str">
        <f>VLOOKUP(A415,DataUsuario!B:D,3,FALSE)</f>
        <v>Laboratorio e Investigación Agricola</v>
      </c>
    </row>
    <row r="416" spans="1:5" x14ac:dyDescent="0.3">
      <c r="A416" s="165" t="s">
        <v>328</v>
      </c>
      <c r="B416" t="s">
        <v>17</v>
      </c>
      <c r="C416" s="171">
        <v>4</v>
      </c>
      <c r="D416" t="str">
        <f>VLOOKUP(A416,DataUsuario!B:D,2,FALSE)</f>
        <v>Administración y Finanzas</v>
      </c>
      <c r="E416" t="str">
        <f>VLOOKUP(A416,DataUsuario!B:D,3,FALSE)</f>
        <v>Administración</v>
      </c>
    </row>
    <row r="417" spans="1:5" x14ac:dyDescent="0.3">
      <c r="A417" s="166" t="s">
        <v>376</v>
      </c>
      <c r="B417" t="s">
        <v>17</v>
      </c>
      <c r="C417" s="172">
        <v>5</v>
      </c>
      <c r="D417" t="str">
        <f>VLOOKUP(A417,DataUsuario!B:D,2,FALSE)</f>
        <v>Administración y Finanzas</v>
      </c>
      <c r="E417" t="str">
        <f>VLOOKUP(A417,DataUsuario!B:D,3,FALSE)</f>
        <v>Control de Gestión</v>
      </c>
    </row>
    <row r="418" spans="1:5" x14ac:dyDescent="0.3">
      <c r="A418" s="165" t="s">
        <v>238</v>
      </c>
      <c r="B418" t="s">
        <v>17</v>
      </c>
      <c r="C418" s="171">
        <v>3</v>
      </c>
      <c r="D418" t="str">
        <f>VLOOKUP(A418,DataUsuario!B:D,2,FALSE)</f>
        <v>Industrial y de Mantenimiento</v>
      </c>
      <c r="E418" t="str">
        <f>VLOOKUP(A418,DataUsuario!B:D,3,FALSE)</f>
        <v>Producción</v>
      </c>
    </row>
    <row r="419" spans="1:5" x14ac:dyDescent="0.3">
      <c r="A419" s="166" t="s">
        <v>623</v>
      </c>
      <c r="B419" t="s">
        <v>17</v>
      </c>
      <c r="C419" s="172" t="s">
        <v>627</v>
      </c>
      <c r="D419" t="str">
        <f>VLOOKUP(A419,DataUsuario!B:D,2,FALSE)</f>
        <v>Industrial y de Mantenimiento</v>
      </c>
      <c r="E419" t="str">
        <f>VLOOKUP(A419,DataUsuario!B:D,3,FALSE)</f>
        <v>Mantenimiento Industrial</v>
      </c>
    </row>
    <row r="420" spans="1:5" x14ac:dyDescent="0.3">
      <c r="A420" s="165" t="s">
        <v>97</v>
      </c>
      <c r="B420" t="s">
        <v>17</v>
      </c>
      <c r="C420" s="171">
        <v>5</v>
      </c>
      <c r="D420" t="str">
        <f>VLOOKUP(A420,DataUsuario!B:D,2,FALSE)</f>
        <v>Gestión Humana y Sostenibilidad</v>
      </c>
      <c r="E420" t="str">
        <f>VLOOKUP(A420,DataUsuario!B:D,3,FALSE)</f>
        <v>Compensación y Nóminas</v>
      </c>
    </row>
    <row r="421" spans="1:5" x14ac:dyDescent="0.3">
      <c r="A421" s="166" t="s">
        <v>352</v>
      </c>
      <c r="B421" t="s">
        <v>17</v>
      </c>
      <c r="C421" s="172">
        <v>5</v>
      </c>
      <c r="D421" t="str">
        <f>VLOOKUP(A421,DataUsuario!B:D,2,FALSE)</f>
        <v>Gestión Humana y Sostenibilidad</v>
      </c>
      <c r="E421" t="str">
        <f>VLOOKUP(A421,DataUsuario!B:D,3,FALSE)</f>
        <v>Compensación y Nóminas</v>
      </c>
    </row>
    <row r="422" spans="1:5" x14ac:dyDescent="0.3">
      <c r="A422" s="165" t="s">
        <v>128</v>
      </c>
      <c r="B422" t="s">
        <v>17</v>
      </c>
      <c r="C422" s="171">
        <v>5</v>
      </c>
      <c r="D422" t="str">
        <f>VLOOKUP(A422,DataUsuario!B:D,2,FALSE)</f>
        <v>Agrícola</v>
      </c>
      <c r="E422" t="str">
        <f>VLOOKUP(A422,DataUsuario!B:D,3,FALSE)</f>
        <v>Fundo Lobo</v>
      </c>
    </row>
    <row r="423" spans="1:5" x14ac:dyDescent="0.3">
      <c r="A423" s="166" t="s">
        <v>625</v>
      </c>
      <c r="B423" t="s">
        <v>17</v>
      </c>
      <c r="C423" s="172">
        <v>5</v>
      </c>
      <c r="D423" t="str">
        <f>VLOOKUP(A423,DataUsuario!B:D,2,FALSE)</f>
        <v>Administración y Finanzas</v>
      </c>
      <c r="E423" t="str">
        <f>VLOOKUP(A423,DataUsuario!B:D,3,FALSE)</f>
        <v>Finanzas y Tesorería</v>
      </c>
    </row>
    <row r="424" spans="1:5" x14ac:dyDescent="0.3">
      <c r="A424" s="165" t="s">
        <v>303</v>
      </c>
      <c r="B424" t="s">
        <v>17</v>
      </c>
      <c r="C424" s="171">
        <v>4</v>
      </c>
      <c r="D424" t="str">
        <f>VLOOKUP(A424,DataUsuario!B:D,2,FALSE)</f>
        <v>Administración y Finanzas</v>
      </c>
      <c r="E424" t="str">
        <f>VLOOKUP(A424,DataUsuario!B:D,3,FALSE)</f>
        <v>Control de Gestión</v>
      </c>
    </row>
    <row r="425" spans="1:5" x14ac:dyDescent="0.3">
      <c r="A425" s="166" t="s">
        <v>115</v>
      </c>
      <c r="B425" t="s">
        <v>17</v>
      </c>
      <c r="C425" s="172">
        <v>4</v>
      </c>
      <c r="D425" t="str">
        <f>VLOOKUP(A425,DataUsuario!B:D,2,FALSE)</f>
        <v>Industrial y de Mantenimiento</v>
      </c>
      <c r="E425" t="str">
        <f>VLOOKUP(A425,DataUsuario!B:D,3,FALSE)</f>
        <v>Mantenimiento de Transportes</v>
      </c>
    </row>
    <row r="426" spans="1:5" x14ac:dyDescent="0.3">
      <c r="A426" s="167" t="s">
        <v>123</v>
      </c>
      <c r="B426" t="s">
        <v>17</v>
      </c>
      <c r="C426" s="173">
        <v>4</v>
      </c>
      <c r="D426" t="str">
        <f>VLOOKUP(A426,DataUsuario!B:D,2,FALSE)</f>
        <v>Administración y Finanzas</v>
      </c>
      <c r="E426" t="str">
        <f>VLOOKUP(A426,DataUsuario!B:D,3,FALSE)</f>
        <v>Gerencia Administración y Finanzas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15C95-BBFF-46A4-9A31-F4927CAFE4C8}">
  <sheetPr codeName="Hoja6"/>
  <dimension ref="A2:M52"/>
  <sheetViews>
    <sheetView topLeftCell="A36" workbookViewId="0">
      <selection activeCell="F52" sqref="F52"/>
    </sheetView>
  </sheetViews>
  <sheetFormatPr baseColWidth="10" defaultRowHeight="14.4" x14ac:dyDescent="0.3"/>
  <cols>
    <col min="1" max="1" width="50.44140625" bestFit="1" customWidth="1"/>
    <col min="13" max="13" width="11.88671875" customWidth="1"/>
  </cols>
  <sheetData>
    <row r="2" spans="1:13" x14ac:dyDescent="0.3">
      <c r="A2" t="s">
        <v>633</v>
      </c>
      <c r="B2">
        <v>93</v>
      </c>
    </row>
    <row r="3" spans="1:13" x14ac:dyDescent="0.3">
      <c r="A3" t="s">
        <v>634</v>
      </c>
      <c r="B3">
        <f>85+5</f>
        <v>90</v>
      </c>
    </row>
    <row r="4" spans="1:13" x14ac:dyDescent="0.3">
      <c r="A4" t="s">
        <v>635</v>
      </c>
      <c r="B4">
        <f>B2-B3</f>
        <v>3</v>
      </c>
    </row>
    <row r="15" spans="1:13" x14ac:dyDescent="0.3">
      <c r="A15" t="s">
        <v>452</v>
      </c>
      <c r="B15" t="s">
        <v>630</v>
      </c>
      <c r="L15" t="s">
        <v>631</v>
      </c>
      <c r="M15" t="s">
        <v>632</v>
      </c>
    </row>
    <row r="16" spans="1:13" x14ac:dyDescent="0.3">
      <c r="A16" t="s">
        <v>13</v>
      </c>
      <c r="B16">
        <v>4.508</v>
      </c>
      <c r="L16" t="s">
        <v>62</v>
      </c>
      <c r="M16">
        <v>4.6109999999999998</v>
      </c>
    </row>
    <row r="17" spans="1:13" x14ac:dyDescent="0.3">
      <c r="A17" t="s">
        <v>15</v>
      </c>
      <c r="B17">
        <v>4.4690000000000003</v>
      </c>
      <c r="L17" t="s">
        <v>66</v>
      </c>
      <c r="M17">
        <v>4.4160000000000004</v>
      </c>
    </row>
    <row r="18" spans="1:13" x14ac:dyDescent="0.3">
      <c r="A18" t="s">
        <v>14</v>
      </c>
      <c r="B18">
        <v>4.3819999999999997</v>
      </c>
      <c r="L18" t="s">
        <v>70</v>
      </c>
      <c r="M18">
        <v>4.3609999999999998</v>
      </c>
    </row>
    <row r="19" spans="1:13" x14ac:dyDescent="0.3">
      <c r="A19" t="s">
        <v>16</v>
      </c>
      <c r="B19">
        <v>4.29</v>
      </c>
      <c r="L19" t="s">
        <v>89</v>
      </c>
      <c r="M19">
        <v>4.266</v>
      </c>
    </row>
    <row r="20" spans="1:13" x14ac:dyDescent="0.3">
      <c r="A20" t="s">
        <v>17</v>
      </c>
      <c r="B20">
        <v>4.2859999999999996</v>
      </c>
      <c r="L20" t="s">
        <v>74</v>
      </c>
      <c r="M20">
        <v>4.0869999999999997</v>
      </c>
    </row>
    <row r="36" spans="1:5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</row>
    <row r="37" spans="1:5" x14ac:dyDescent="0.3">
      <c r="A37" t="s">
        <v>13</v>
      </c>
      <c r="B37" s="12"/>
      <c r="C37" s="29">
        <v>4.1764705882352944</v>
      </c>
      <c r="D37" s="27">
        <v>4.2169999999999996</v>
      </c>
      <c r="E37" s="19">
        <v>4.508</v>
      </c>
    </row>
    <row r="38" spans="1:5" x14ac:dyDescent="0.3">
      <c r="A38" t="s">
        <v>14</v>
      </c>
      <c r="B38" s="33">
        <v>4.0340909090909092</v>
      </c>
      <c r="C38" s="29">
        <v>4.1862170087976542</v>
      </c>
      <c r="D38" s="12">
        <v>4.2370000000000001</v>
      </c>
      <c r="E38">
        <v>4.3819999999999997</v>
      </c>
    </row>
    <row r="39" spans="1:5" x14ac:dyDescent="0.3">
      <c r="A39" t="s">
        <v>15</v>
      </c>
      <c r="B39" s="33">
        <v>4.2320945945945949</v>
      </c>
      <c r="C39" s="29">
        <v>4.3283208020050132</v>
      </c>
      <c r="D39" s="29">
        <v>4.32</v>
      </c>
      <c r="E39">
        <v>4.4690000000000003</v>
      </c>
    </row>
    <row r="40" spans="1:5" x14ac:dyDescent="0.3">
      <c r="A40" t="s">
        <v>16</v>
      </c>
      <c r="B40" s="33">
        <v>3.8463438735177862</v>
      </c>
      <c r="C40" s="29">
        <v>4.0620192307692307</v>
      </c>
      <c r="D40" s="12">
        <v>4.0940000000000003</v>
      </c>
      <c r="E40">
        <v>4.29</v>
      </c>
    </row>
    <row r="41" spans="1:5" ht="15" thickBot="1" x14ac:dyDescent="0.35">
      <c r="A41" t="s">
        <v>17</v>
      </c>
      <c r="B41" s="36">
        <v>3.9649122807017543</v>
      </c>
      <c r="C41" s="31">
        <v>4.0443037974683538</v>
      </c>
      <c r="D41" s="34">
        <v>4.0949999999999998</v>
      </c>
      <c r="E41" s="18">
        <v>4.2859999999999996</v>
      </c>
    </row>
    <row r="49" spans="1:6" x14ac:dyDescent="0.3">
      <c r="A49" s="10" t="s">
        <v>5</v>
      </c>
      <c r="B49" s="10">
        <v>2021</v>
      </c>
      <c r="C49" s="10">
        <v>2022</v>
      </c>
      <c r="D49" s="11">
        <v>2023</v>
      </c>
      <c r="E49" s="11">
        <v>2024</v>
      </c>
      <c r="F49" s="10"/>
    </row>
    <row r="50" spans="1:6" x14ac:dyDescent="0.3">
      <c r="A50" s="6" t="s">
        <v>12</v>
      </c>
      <c r="B50" s="17">
        <v>4.04</v>
      </c>
      <c r="C50" s="16">
        <v>4.0279999999999996</v>
      </c>
      <c r="D50" s="16">
        <v>4.1596872565260501</v>
      </c>
      <c r="E50" s="17">
        <v>4.2899999999999991</v>
      </c>
      <c r="F50" s="6"/>
    </row>
    <row r="52" spans="1:6" x14ac:dyDescent="0.3">
      <c r="F52" s="156"/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3BF7B-F04B-4360-8EBF-BF71E59F0878}">
  <sheetPr codeName="Hoja9"/>
  <dimension ref="A1"/>
  <sheetViews>
    <sheetView tabSelected="1" topLeftCell="A7" workbookViewId="0">
      <selection activeCell="J66" sqref="J66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Cristhian Martin Valladolid Chero</cp:lastModifiedBy>
  <dcterms:modified xsi:type="dcterms:W3CDTF">2024-12-26T17:22:30Z</dcterms:modified>
</cp:coreProperties>
</file>