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"/>
    </mc:Choice>
  </mc:AlternateContent>
  <xr:revisionPtr revIDLastSave="0" documentId="13_ncr:1_{B06491C0-5505-4F32-9CDF-01FB5ABC7522}" xr6:coauthVersionLast="47" xr6:coauthVersionMax="47" xr10:uidLastSave="{00000000-0000-0000-0000-000000000000}"/>
  <bookViews>
    <workbookView xWindow="-28920" yWindow="-120" windowWidth="29040" windowHeight="15720" activeTab="5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62" l="1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<sst xmlns="http://schemas.openxmlformats.org/spreadsheetml/2006/main" count="1672" uniqueCount="583">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</sst>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4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716280</xdr:colOff>
          <xdr:row>8</xdr:row>
          <xdr:rowOff>30480</xdr:rowOff>
        </xdr:from>
        <xdr:to>
          <xdr:col>20</xdr:col>
          <xdr:colOff>60960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49" t="s">
        <v>89</v>
      </c>
      <c r="D89" s="149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60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1"/>
  <sheetViews>
    <sheetView workbookViewId="0">
      <selection activeCell="C44" sqref="C44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1" t="s">
        <v>442</v>
      </c>
      <c r="B2" s="138" t="s">
        <v>0</v>
      </c>
    </row>
    <row r="3" spans="1:2" x14ac:dyDescent="0.3">
      <c r="A3" s="142" t="s">
        <v>442</v>
      </c>
      <c r="B3" s="138" t="s">
        <v>1</v>
      </c>
    </row>
    <row r="4" spans="1:2" x14ac:dyDescent="0.3">
      <c r="A4" s="142" t="s">
        <v>442</v>
      </c>
      <c r="B4" s="138" t="s">
        <v>2</v>
      </c>
    </row>
    <row r="5" spans="1:2" x14ac:dyDescent="0.3">
      <c r="A5" s="142" t="s">
        <v>442</v>
      </c>
      <c r="B5" s="138" t="s">
        <v>3</v>
      </c>
    </row>
    <row r="6" spans="1:2" ht="15" thickBot="1" x14ac:dyDescent="0.35">
      <c r="A6" s="143" t="s">
        <v>442</v>
      </c>
      <c r="B6" s="144" t="s">
        <v>4</v>
      </c>
    </row>
    <row r="7" spans="1:2" x14ac:dyDescent="0.3">
      <c r="A7" s="142" t="s">
        <v>7</v>
      </c>
      <c r="B7" s="138" t="s">
        <v>8</v>
      </c>
    </row>
    <row r="8" spans="1:2" x14ac:dyDescent="0.3">
      <c r="A8" s="142" t="s">
        <v>7</v>
      </c>
      <c r="B8" s="138" t="s">
        <v>9</v>
      </c>
    </row>
    <row r="9" spans="1:2" x14ac:dyDescent="0.3">
      <c r="A9" s="142" t="s">
        <v>7</v>
      </c>
      <c r="B9" s="138" t="s">
        <v>10</v>
      </c>
    </row>
    <row r="10" spans="1:2" ht="15" thickBot="1" x14ac:dyDescent="0.35">
      <c r="A10" s="158" t="s">
        <v>7</v>
      </c>
      <c r="B10" s="144" t="s">
        <v>11</v>
      </c>
    </row>
    <row r="11" spans="1:2" x14ac:dyDescent="0.3">
      <c r="A11" s="141" t="s">
        <v>12</v>
      </c>
      <c r="B11" s="136" t="s">
        <v>13</v>
      </c>
    </row>
    <row r="12" spans="1:2" x14ac:dyDescent="0.3">
      <c r="A12" s="142" t="s">
        <v>12</v>
      </c>
      <c r="B12" s="138" t="s">
        <v>14</v>
      </c>
    </row>
    <row r="13" spans="1:2" x14ac:dyDescent="0.3">
      <c r="A13" s="142" t="s">
        <v>12</v>
      </c>
      <c r="B13" s="138" t="s">
        <v>15</v>
      </c>
    </row>
    <row r="14" spans="1:2" x14ac:dyDescent="0.3">
      <c r="A14" s="142" t="s">
        <v>12</v>
      </c>
      <c r="B14" s="138" t="s">
        <v>16</v>
      </c>
    </row>
    <row r="15" spans="1:2" ht="15" thickBot="1" x14ac:dyDescent="0.35">
      <c r="A15" s="158" t="s">
        <v>12</v>
      </c>
      <c r="B15" s="144" t="s">
        <v>17</v>
      </c>
    </row>
    <row r="16" spans="1:2" x14ac:dyDescent="0.3">
      <c r="A16" s="141" t="s">
        <v>18</v>
      </c>
      <c r="B16" s="27" t="s">
        <v>19</v>
      </c>
    </row>
    <row r="17" spans="1:2" x14ac:dyDescent="0.3">
      <c r="A17" s="142" t="s">
        <v>18</v>
      </c>
      <c r="B17" s="12" t="s">
        <v>20</v>
      </c>
    </row>
    <row r="18" spans="1:2" x14ac:dyDescent="0.3">
      <c r="A18" s="142" t="s">
        <v>18</v>
      </c>
      <c r="B18" s="12" t="s">
        <v>21</v>
      </c>
    </row>
    <row r="19" spans="1:2" x14ac:dyDescent="0.3">
      <c r="A19" s="142" t="s">
        <v>18</v>
      </c>
      <c r="B19" s="12" t="s">
        <v>22</v>
      </c>
    </row>
    <row r="20" spans="1:2" x14ac:dyDescent="0.3">
      <c r="A20" s="142" t="s">
        <v>18</v>
      </c>
      <c r="B20" s="12" t="s">
        <v>23</v>
      </c>
    </row>
    <row r="21" spans="1:2" x14ac:dyDescent="0.3">
      <c r="A21" s="142" t="s">
        <v>18</v>
      </c>
      <c r="B21" s="12" t="s">
        <v>463</v>
      </c>
    </row>
    <row r="22" spans="1:2" x14ac:dyDescent="0.3">
      <c r="A22" s="142" t="s">
        <v>18</v>
      </c>
      <c r="B22" s="12" t="s">
        <v>464</v>
      </c>
    </row>
    <row r="23" spans="1:2" x14ac:dyDescent="0.3">
      <c r="A23" s="142" t="s">
        <v>18</v>
      </c>
      <c r="B23" s="12" t="s">
        <v>465</v>
      </c>
    </row>
    <row r="24" spans="1:2" ht="15" thickBot="1" x14ac:dyDescent="0.35">
      <c r="A24" s="142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5" t="s">
        <v>29</v>
      </c>
      <c r="B29" s="136" t="s">
        <v>30</v>
      </c>
    </row>
    <row r="30" spans="1:2" x14ac:dyDescent="0.3">
      <c r="A30" s="137" t="s">
        <v>29</v>
      </c>
      <c r="B30" s="138" t="s">
        <v>31</v>
      </c>
    </row>
    <row r="31" spans="1:2" ht="15" thickBot="1" x14ac:dyDescent="0.35">
      <c r="A31" s="137" t="s">
        <v>29</v>
      </c>
      <c r="B31" s="138" t="s">
        <v>533</v>
      </c>
    </row>
    <row r="32" spans="1:2" x14ac:dyDescent="0.3">
      <c r="A32" s="135" t="s">
        <v>32</v>
      </c>
      <c r="B32" s="136" t="s">
        <v>33</v>
      </c>
    </row>
    <row r="33" spans="1:2" x14ac:dyDescent="0.3">
      <c r="A33" s="137" t="s">
        <v>32</v>
      </c>
      <c r="B33" s="138" t="s">
        <v>34</v>
      </c>
    </row>
    <row r="34" spans="1:2" x14ac:dyDescent="0.3">
      <c r="A34" s="137" t="s">
        <v>32</v>
      </c>
      <c r="B34" s="138" t="s">
        <v>35</v>
      </c>
    </row>
    <row r="35" spans="1:2" ht="15" thickBot="1" x14ac:dyDescent="0.35">
      <c r="A35" s="159" t="s">
        <v>32</v>
      </c>
      <c r="B35" s="144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x14ac:dyDescent="0.3">
      <c r="A49" s="53" t="s">
        <v>44</v>
      </c>
      <c r="B49" s="46" t="s">
        <v>443</v>
      </c>
    </row>
    <row r="50" spans="1:2" x14ac:dyDescent="0.3">
      <c r="A50" s="54" t="s">
        <v>44</v>
      </c>
      <c r="B50" s="47" t="s">
        <v>444</v>
      </c>
    </row>
    <row r="51" spans="1:2" x14ac:dyDescent="0.3">
      <c r="A51" s="54" t="s">
        <v>44</v>
      </c>
      <c r="B51" s="47" t="s">
        <v>445</v>
      </c>
    </row>
    <row r="52" spans="1:2" x14ac:dyDescent="0.3">
      <c r="A52" s="54" t="s">
        <v>44</v>
      </c>
      <c r="B52" s="47" t="s">
        <v>446</v>
      </c>
    </row>
    <row r="53" spans="1:2" x14ac:dyDescent="0.3">
      <c r="A53" s="54" t="s">
        <v>44</v>
      </c>
      <c r="B53" s="47" t="s">
        <v>447</v>
      </c>
    </row>
    <row r="54" spans="1:2" x14ac:dyDescent="0.3">
      <c r="A54" s="54" t="s">
        <v>44</v>
      </c>
      <c r="B54" s="47" t="s">
        <v>448</v>
      </c>
    </row>
    <row r="55" spans="1:2" ht="15" thickBot="1" x14ac:dyDescent="0.35">
      <c r="A55" s="55" t="s">
        <v>44</v>
      </c>
      <c r="B55" s="48" t="s">
        <v>449</v>
      </c>
    </row>
    <row r="56" spans="1:2" x14ac:dyDescent="0.3">
      <c r="A56" s="53" t="s">
        <v>45</v>
      </c>
      <c r="B56" s="46" t="s">
        <v>450</v>
      </c>
    </row>
    <row r="57" spans="1:2" x14ac:dyDescent="0.3">
      <c r="A57" s="54" t="s">
        <v>45</v>
      </c>
      <c r="B57" s="47" t="s">
        <v>53</v>
      </c>
    </row>
    <row r="58" spans="1:2" x14ac:dyDescent="0.3">
      <c r="A58" s="54" t="s">
        <v>45</v>
      </c>
      <c r="B58" s="47" t="s">
        <v>54</v>
      </c>
    </row>
    <row r="59" spans="1:2" x14ac:dyDescent="0.3">
      <c r="A59" s="54" t="s">
        <v>45</v>
      </c>
      <c r="B59" s="47" t="s">
        <v>55</v>
      </c>
    </row>
    <row r="60" spans="1:2" ht="15" thickBot="1" x14ac:dyDescent="0.35">
      <c r="A60" s="55" t="s">
        <v>45</v>
      </c>
      <c r="B60" s="48" t="s">
        <v>56</v>
      </c>
    </row>
    <row r="61" spans="1:2" x14ac:dyDescent="0.3">
      <c r="A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K8" sqref="K8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65"/>
      <c r="L1" s="165"/>
      <c r="M1" s="165"/>
      <c r="N1" s="165"/>
      <c r="O1" s="165"/>
      <c r="P1" s="165"/>
      <c r="Q1" s="57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1" t="s">
        <v>506</v>
      </c>
      <c r="K2" s="165"/>
      <c r="L2" s="165"/>
      <c r="M2" s="165"/>
      <c r="N2" s="165"/>
      <c r="O2" s="165"/>
      <c r="P2" s="165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64" t="s">
        <v>510</v>
      </c>
      <c r="N6" s="164"/>
      <c r="O6" s="164"/>
      <c r="P6" s="164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24">
        <f>COUNT(B2:J2)+2</f>
        <v>6</v>
      </c>
      <c r="L7" s="122" t="s">
        <v>508</v>
      </c>
      <c r="M7" t="s">
        <v>509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506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57" t="s">
        <v>511</v>
      </c>
    </row>
    <row r="13" spans="1:17" x14ac:dyDescent="0.3">
      <c r="M13" s="57" t="s">
        <v>512</v>
      </c>
    </row>
    <row r="14" spans="1:17" x14ac:dyDescent="0.3">
      <c r="M14" s="57" t="s">
        <v>513</v>
      </c>
    </row>
    <row r="16" spans="1:17" x14ac:dyDescent="0.3">
      <c r="K16" s="123" t="s">
        <v>506</v>
      </c>
      <c r="L16" s="122" t="s">
        <v>515</v>
      </c>
      <c r="M16" t="s">
        <v>514</v>
      </c>
    </row>
    <row r="18" spans="1:16" x14ac:dyDescent="0.3">
      <c r="B18" s="163" t="s">
        <v>456</v>
      </c>
    </row>
    <row r="19" spans="1:16" x14ac:dyDescent="0.3">
      <c r="B19" s="163"/>
    </row>
    <row r="26" spans="1:16" x14ac:dyDescent="0.3">
      <c r="K26" t="s">
        <v>507</v>
      </c>
      <c r="M26" s="164" t="s">
        <v>510</v>
      </c>
      <c r="N26" s="164"/>
      <c r="O26" s="164"/>
      <c r="P26" s="164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4">
        <f>COUNT(C28:J28)+2</f>
        <v>4</v>
      </c>
      <c r="L27" s="122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 t="s">
        <v>506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 t="s">
        <v>506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22"/>
      <c r="D36" s="122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22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22"/>
      <c r="D38" s="122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22"/>
      <c r="D39" s="122"/>
      <c r="E39" s="122"/>
      <c r="F39" t="s">
        <v>506</v>
      </c>
    </row>
    <row r="40" spans="1:6" x14ac:dyDescent="0.3">
      <c r="A40" s="12" t="s">
        <v>18</v>
      </c>
      <c r="B40" s="12" t="s">
        <v>465</v>
      </c>
      <c r="C40" s="122"/>
      <c r="D40" s="122"/>
      <c r="E40" s="122"/>
      <c r="F40" t="s">
        <v>506</v>
      </c>
    </row>
    <row r="41" spans="1:6" ht="15" thickBot="1" x14ac:dyDescent="0.35">
      <c r="A41" s="34" t="s">
        <v>18</v>
      </c>
      <c r="B41" s="34" t="s">
        <v>466</v>
      </c>
      <c r="C41" s="125"/>
      <c r="D41" s="125"/>
      <c r="E41" s="125"/>
      <c r="F41" s="18" t="s">
        <v>506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 t="s">
        <v>506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 t="s">
        <v>506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506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506</v>
      </c>
    </row>
    <row r="49" spans="1:6" x14ac:dyDescent="0.3">
      <c r="A49" t="s">
        <v>24</v>
      </c>
      <c r="B49" t="s">
        <v>27</v>
      </c>
      <c r="C49" s="122"/>
      <c r="D49" s="29">
        <v>3.8673076923076923</v>
      </c>
      <c r="E49" s="29">
        <v>4.1879999999999997</v>
      </c>
      <c r="F49" t="s">
        <v>506</v>
      </c>
    </row>
    <row r="50" spans="1:6" x14ac:dyDescent="0.3">
      <c r="A50" t="s">
        <v>24</v>
      </c>
      <c r="B50" t="s">
        <v>28</v>
      </c>
      <c r="C50" s="122"/>
      <c r="D50" s="29">
        <v>3.875</v>
      </c>
      <c r="E50" s="29">
        <v>4.1589999999999998</v>
      </c>
      <c r="F50" t="s">
        <v>506</v>
      </c>
    </row>
    <row r="51" spans="1:6" ht="15" thickBot="1" x14ac:dyDescent="0.35">
      <c r="A51" s="18" t="s">
        <v>24</v>
      </c>
      <c r="B51" s="18" t="s">
        <v>458</v>
      </c>
      <c r="C51" s="125"/>
      <c r="D51" s="126"/>
      <c r="E51" s="31">
        <v>4.218</v>
      </c>
      <c r="F51" s="18" t="s">
        <v>506</v>
      </c>
    </row>
    <row r="52" spans="1:6" x14ac:dyDescent="0.3">
      <c r="A52" s="139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506</v>
      </c>
    </row>
    <row r="53" spans="1:6" x14ac:dyDescent="0.3">
      <c r="A53" s="139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506</v>
      </c>
    </row>
    <row r="54" spans="1:6" ht="15" thickBot="1" x14ac:dyDescent="0.35">
      <c r="A54" s="140" t="s">
        <v>29</v>
      </c>
      <c r="B54" s="34" t="s">
        <v>533</v>
      </c>
      <c r="C54" s="34"/>
      <c r="D54" s="31"/>
      <c r="E54" s="34"/>
      <c r="F54" s="18" t="s">
        <v>506</v>
      </c>
    </row>
    <row r="55" spans="1:6" x14ac:dyDescent="0.3">
      <c r="A55" s="154" t="s">
        <v>32</v>
      </c>
      <c r="B55" s="12" t="s">
        <v>33</v>
      </c>
      <c r="D55" s="29">
        <v>4.2350000000000003</v>
      </c>
      <c r="E55" s="12">
        <v>4.625</v>
      </c>
      <c r="F55" t="s">
        <v>506</v>
      </c>
    </row>
    <row r="56" spans="1:6" x14ac:dyDescent="0.3">
      <c r="A56" s="139" t="s">
        <v>32</v>
      </c>
      <c r="B56" s="12" t="s">
        <v>34</v>
      </c>
      <c r="D56" s="29">
        <v>4.2069999999999999</v>
      </c>
      <c r="E56" s="12">
        <v>4.4619999999999997</v>
      </c>
      <c r="F56" t="s">
        <v>506</v>
      </c>
    </row>
    <row r="57" spans="1:6" x14ac:dyDescent="0.3">
      <c r="A57" s="139" t="s">
        <v>32</v>
      </c>
      <c r="B57" s="12" t="s">
        <v>35</v>
      </c>
      <c r="D57" s="29">
        <v>4.173</v>
      </c>
      <c r="E57" s="12">
        <v>4.556</v>
      </c>
      <c r="F57" t="s">
        <v>506</v>
      </c>
    </row>
    <row r="58" spans="1:6" ht="15" thickBot="1" x14ac:dyDescent="0.35">
      <c r="A58" s="140" t="s">
        <v>32</v>
      </c>
      <c r="B58" s="34" t="s">
        <v>36</v>
      </c>
      <c r="D58" s="31">
        <v>4.3879999999999999</v>
      </c>
      <c r="E58" s="34">
        <v>4.5410000000000004</v>
      </c>
      <c r="F58" s="18" t="s">
        <v>506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506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506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506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506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506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506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506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 t="s">
        <v>506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 t="s">
        <v>506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 t="s">
        <v>506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2"/>
      <c r="F71" t="s">
        <v>506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2"/>
      <c r="F72" t="s">
        <v>506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2"/>
      <c r="F73" t="s">
        <v>506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 t="s">
        <v>506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 t="s">
        <v>506</v>
      </c>
    </row>
    <row r="76" spans="1:6" x14ac:dyDescent="0.3">
      <c r="A76" s="1" t="s">
        <v>43</v>
      </c>
      <c r="B76" s="1" t="s">
        <v>460</v>
      </c>
      <c r="C76" s="122"/>
      <c r="D76" s="122"/>
      <c r="E76" s="12">
        <v>3.3140000000000001</v>
      </c>
      <c r="F76" t="s">
        <v>506</v>
      </c>
    </row>
    <row r="77" spans="1:6" x14ac:dyDescent="0.3">
      <c r="A77" s="1" t="s">
        <v>43</v>
      </c>
      <c r="B77" s="1" t="s">
        <v>461</v>
      </c>
      <c r="C77" s="122"/>
      <c r="D77" s="122"/>
      <c r="E77" s="12">
        <v>3.3140000000000001</v>
      </c>
      <c r="F77" t="s">
        <v>506</v>
      </c>
    </row>
    <row r="78" spans="1:6" ht="15" thickBot="1" x14ac:dyDescent="0.35">
      <c r="A78" s="1" t="s">
        <v>43</v>
      </c>
      <c r="B78" s="1" t="s">
        <v>462</v>
      </c>
      <c r="C78" s="122"/>
      <c r="D78" s="122"/>
      <c r="E78" s="34">
        <v>3.706</v>
      </c>
      <c r="F78" s="18" t="s">
        <v>506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506</v>
      </c>
    </row>
    <row r="80" spans="1:6" x14ac:dyDescent="0.3">
      <c r="A80" s="1" t="s">
        <v>44</v>
      </c>
      <c r="B80" s="1" t="s">
        <v>444</v>
      </c>
      <c r="C80" s="122"/>
      <c r="D80" s="29">
        <v>3.7454507857733663</v>
      </c>
      <c r="E80" s="12">
        <v>3.4289999999999998</v>
      </c>
      <c r="F80" t="s">
        <v>506</v>
      </c>
    </row>
    <row r="81" spans="1:6" x14ac:dyDescent="0.3">
      <c r="A81" s="1" t="s">
        <v>44</v>
      </c>
      <c r="B81" s="1" t="s">
        <v>445</v>
      </c>
      <c r="C81" s="122"/>
      <c r="D81" s="122"/>
      <c r="E81" s="12">
        <v>4.157</v>
      </c>
      <c r="F81" t="s">
        <v>506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506</v>
      </c>
    </row>
    <row r="83" spans="1:6" x14ac:dyDescent="0.3">
      <c r="A83" s="1" t="s">
        <v>44</v>
      </c>
      <c r="B83" s="1" t="s">
        <v>447</v>
      </c>
      <c r="C83" s="122"/>
      <c r="D83" s="29">
        <v>3.4391771019677995</v>
      </c>
      <c r="E83" s="12">
        <v>4.3970000000000002</v>
      </c>
      <c r="F83" t="s">
        <v>506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506</v>
      </c>
    </row>
    <row r="85" spans="1:6" ht="15" thickBot="1" x14ac:dyDescent="0.35">
      <c r="A85" s="24" t="s">
        <v>44</v>
      </c>
      <c r="B85" s="24" t="s">
        <v>449</v>
      </c>
      <c r="C85" s="122"/>
      <c r="D85" s="31">
        <v>3.6451612903225805</v>
      </c>
      <c r="E85" s="34">
        <v>4.1109999999999998</v>
      </c>
      <c r="F85" s="18" t="s">
        <v>506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2"/>
      <c r="F86" t="s">
        <v>506</v>
      </c>
    </row>
    <row r="87" spans="1:6" x14ac:dyDescent="0.3">
      <c r="A87" s="1" t="s">
        <v>45</v>
      </c>
      <c r="B87" s="1" t="s">
        <v>53</v>
      </c>
      <c r="C87" s="122"/>
      <c r="D87" s="12">
        <v>3.7320000000000002</v>
      </c>
      <c r="E87" s="122"/>
      <c r="F87" t="s">
        <v>506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2"/>
      <c r="F88" t="s">
        <v>506</v>
      </c>
    </row>
    <row r="89" spans="1:6" x14ac:dyDescent="0.3">
      <c r="A89" s="1" t="s">
        <v>45</v>
      </c>
      <c r="B89" s="1" t="s">
        <v>55</v>
      </c>
      <c r="F89" t="s">
        <v>506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C21" sqref="C21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27" t="s">
        <v>442</v>
      </c>
      <c r="B2" s="127">
        <v>128</v>
      </c>
      <c r="C2" s="128" t="s">
        <v>222</v>
      </c>
    </row>
    <row r="3" spans="1:6" x14ac:dyDescent="0.3">
      <c r="A3" s="157" t="s">
        <v>7</v>
      </c>
      <c r="B3" s="127">
        <v>105</v>
      </c>
      <c r="C3" s="157" t="s">
        <v>124</v>
      </c>
    </row>
    <row r="4" spans="1:6" x14ac:dyDescent="0.3">
      <c r="A4" s="127" t="s">
        <v>12</v>
      </c>
      <c r="B4" s="127">
        <v>93</v>
      </c>
      <c r="C4" s="130" t="s">
        <v>15</v>
      </c>
    </row>
    <row r="5" spans="1:6" x14ac:dyDescent="0.3">
      <c r="A5" s="127" t="s">
        <v>18</v>
      </c>
      <c r="B5" s="127">
        <v>70</v>
      </c>
      <c r="C5" s="130" t="s">
        <v>18</v>
      </c>
      <c r="F5" s="12" t="s">
        <v>457</v>
      </c>
    </row>
    <row r="6" spans="1:6" x14ac:dyDescent="0.3">
      <c r="A6" s="6" t="s">
        <v>24</v>
      </c>
      <c r="B6" s="6">
        <v>89</v>
      </c>
      <c r="C6" s="42" t="s">
        <v>67</v>
      </c>
    </row>
    <row r="7" spans="1:6" x14ac:dyDescent="0.3">
      <c r="A7" s="129" t="s">
        <v>29</v>
      </c>
      <c r="B7" s="127">
        <v>78</v>
      </c>
      <c r="C7" s="130" t="s">
        <v>208</v>
      </c>
    </row>
    <row r="8" spans="1:6" x14ac:dyDescent="0.3">
      <c r="A8" s="129" t="s">
        <v>32</v>
      </c>
      <c r="B8" s="127">
        <v>105</v>
      </c>
      <c r="C8" s="130" t="s">
        <v>93</v>
      </c>
    </row>
    <row r="9" spans="1:6" x14ac:dyDescent="0.3">
      <c r="A9" s="8" t="s">
        <v>37</v>
      </c>
      <c r="B9" s="6">
        <v>58</v>
      </c>
      <c r="C9" s="8" t="s">
        <v>37</v>
      </c>
    </row>
    <row r="10" spans="1:6" x14ac:dyDescent="0.3">
      <c r="A10" s="130" t="s">
        <v>43</v>
      </c>
      <c r="B10" s="127">
        <v>73</v>
      </c>
      <c r="C10" s="130" t="s">
        <v>43</v>
      </c>
    </row>
    <row r="11" spans="1:6" x14ac:dyDescent="0.3">
      <c r="A11" s="8" t="s">
        <v>44</v>
      </c>
      <c r="B11" s="6">
        <v>77</v>
      </c>
      <c r="C11" s="8" t="s">
        <v>44</v>
      </c>
    </row>
    <row r="12" spans="1:6" x14ac:dyDescent="0.3">
      <c r="A12" s="162" t="s">
        <v>45</v>
      </c>
      <c r="B12" s="127">
        <v>97</v>
      </c>
      <c r="C12" s="130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"/>
  <sheetViews>
    <sheetView workbookViewId="0">
      <pane ySplit="1" topLeftCell="A2" activePane="bottomLeft" state="frozenSplit"/>
      <selection pane="bottomLeft" activeCell="D8" sqref="D8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18</xdr:col>
                    <xdr:colOff>716280</xdr:colOff>
                    <xdr:row>8</xdr:row>
                    <xdr:rowOff>30480</xdr:rowOff>
                  </from>
                  <to>
                    <xdr:col>20</xdr:col>
                    <xdr:colOff>60960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abSelected="1" topLeftCell="A21" zoomScale="86" workbookViewId="0">
      <selection activeCell="C54" sqref="C54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1" t="s">
        <v>474</v>
      </c>
      <c r="C4" s="181" t="s">
        <v>5</v>
      </c>
      <c r="D4" s="181" t="s">
        <v>475</v>
      </c>
      <c r="E4" s="170" t="s">
        <v>476</v>
      </c>
      <c r="F4" s="170"/>
      <c r="G4" s="170"/>
      <c r="H4" s="170"/>
      <c r="I4" s="168" t="s">
        <v>477</v>
      </c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169"/>
      <c r="AH4" s="169"/>
      <c r="AI4" s="169"/>
      <c r="AJ4" s="169"/>
      <c r="AK4" s="169"/>
      <c r="AL4" s="169"/>
      <c r="AM4" s="169"/>
      <c r="AN4" s="169"/>
      <c r="AO4" s="169"/>
      <c r="AP4" s="169"/>
      <c r="AQ4" s="169"/>
      <c r="AR4" s="169"/>
      <c r="AS4" s="169"/>
      <c r="AT4" s="169"/>
      <c r="AU4" s="169"/>
      <c r="AV4" s="169"/>
      <c r="AW4" s="169"/>
      <c r="AX4" s="169"/>
      <c r="AY4" s="169"/>
      <c r="AZ4" s="169"/>
      <c r="BA4" s="169"/>
      <c r="BB4" s="169"/>
      <c r="BC4" s="169"/>
      <c r="BD4" s="169"/>
      <c r="BE4" s="169"/>
      <c r="BF4" s="169"/>
      <c r="BG4" s="169"/>
      <c r="BH4" s="169"/>
      <c r="BI4" s="169"/>
      <c r="BJ4" s="169"/>
      <c r="BK4" s="169"/>
      <c r="BL4" s="169"/>
      <c r="BM4" s="169"/>
      <c r="BN4" s="169"/>
      <c r="BO4" s="169"/>
      <c r="BP4" s="169"/>
      <c r="BQ4" s="169"/>
      <c r="BR4" s="169"/>
      <c r="BS4" s="169"/>
      <c r="BT4" s="169"/>
      <c r="BU4" s="169"/>
      <c r="BV4" s="169"/>
      <c r="BW4" s="169"/>
    </row>
    <row r="5" spans="2:83" x14ac:dyDescent="0.3">
      <c r="B5" s="181"/>
      <c r="C5" s="181"/>
      <c r="D5" s="181"/>
      <c r="E5" s="170" t="s">
        <v>478</v>
      </c>
      <c r="F5" s="170"/>
      <c r="G5" s="59" t="s">
        <v>479</v>
      </c>
      <c r="H5" s="59"/>
      <c r="I5" s="183" t="s">
        <v>480</v>
      </c>
      <c r="J5" s="172" t="s">
        <v>481</v>
      </c>
      <c r="K5" s="166"/>
      <c r="L5" s="166"/>
      <c r="M5" s="166"/>
      <c r="N5" s="166"/>
      <c r="O5" s="166"/>
      <c r="P5" s="166" t="s">
        <v>482</v>
      </c>
      <c r="Q5" s="166"/>
      <c r="R5" s="166"/>
      <c r="S5" s="166"/>
      <c r="T5" s="166"/>
      <c r="U5" s="166"/>
      <c r="V5" s="166" t="s">
        <v>483</v>
      </c>
      <c r="W5" s="166"/>
      <c r="X5" s="166"/>
      <c r="Y5" s="166"/>
      <c r="Z5" s="166"/>
      <c r="AA5" s="166"/>
      <c r="AB5" s="166" t="s">
        <v>484</v>
      </c>
      <c r="AC5" s="166"/>
      <c r="AD5" s="166"/>
      <c r="AE5" s="166"/>
      <c r="AF5" s="166"/>
      <c r="AG5" s="166"/>
      <c r="AH5" s="166" t="s">
        <v>485</v>
      </c>
      <c r="AI5" s="166"/>
      <c r="AJ5" s="166"/>
      <c r="AK5" s="166"/>
      <c r="AL5" s="166"/>
      <c r="AM5" s="166"/>
      <c r="AN5" s="166" t="s">
        <v>486</v>
      </c>
      <c r="AO5" s="166"/>
      <c r="AP5" s="166"/>
      <c r="AQ5" s="166"/>
      <c r="AR5" s="166"/>
      <c r="AS5" s="166"/>
      <c r="AT5" s="166" t="s">
        <v>487</v>
      </c>
      <c r="AU5" s="166"/>
      <c r="AV5" s="166"/>
      <c r="AW5" s="166"/>
      <c r="AX5" s="166"/>
      <c r="AY5" s="166"/>
      <c r="AZ5" s="166" t="s">
        <v>488</v>
      </c>
      <c r="BA5" s="166"/>
      <c r="BB5" s="166"/>
      <c r="BC5" s="166"/>
      <c r="BD5" s="166"/>
      <c r="BE5" s="167"/>
      <c r="BF5" s="166" t="s">
        <v>517</v>
      </c>
      <c r="BG5" s="166"/>
      <c r="BH5" s="166"/>
      <c r="BI5" s="166"/>
      <c r="BJ5" s="166"/>
      <c r="BK5" s="167"/>
      <c r="BL5" s="166" t="s">
        <v>518</v>
      </c>
      <c r="BM5" s="166"/>
      <c r="BN5" s="166"/>
      <c r="BO5" s="166"/>
      <c r="BP5" s="166"/>
      <c r="BQ5" s="167"/>
      <c r="BR5" s="166" t="s">
        <v>519</v>
      </c>
      <c r="BS5" s="166"/>
      <c r="BT5" s="166"/>
      <c r="BU5" s="166"/>
      <c r="BV5" s="166"/>
      <c r="BW5" s="167"/>
      <c r="CC5" s="170" t="s">
        <v>489</v>
      </c>
      <c r="CD5" s="170"/>
      <c r="CE5" s="170"/>
    </row>
    <row r="6" spans="2:83" x14ac:dyDescent="0.3">
      <c r="B6" s="182"/>
      <c r="C6" s="182"/>
      <c r="D6" s="182"/>
      <c r="E6" s="60" t="s">
        <v>480</v>
      </c>
      <c r="F6" s="60" t="s">
        <v>490</v>
      </c>
      <c r="G6" s="60" t="s">
        <v>480</v>
      </c>
      <c r="H6" s="60" t="s">
        <v>490</v>
      </c>
      <c r="I6" s="183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66" t="s">
        <v>442</v>
      </c>
      <c r="D7" s="133">
        <v>128</v>
      </c>
      <c r="E7" s="134">
        <v>125</v>
      </c>
      <c r="F7" s="68">
        <f>E7/$D7</f>
        <v>0.9765625</v>
      </c>
      <c r="G7" s="67">
        <f>D7-E7</f>
        <v>3</v>
      </c>
      <c r="H7" s="68">
        <f>G7/$D7</f>
        <v>2.34375E-2</v>
      </c>
      <c r="I7" s="152">
        <v>5</v>
      </c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t="s">
        <v>45</v>
      </c>
      <c r="D8" s="76">
        <f>51+89</f>
        <v>140</v>
      </c>
      <c r="E8" s="77">
        <v>89</v>
      </c>
      <c r="F8" s="78">
        <f t="shared" ref="F8:H18" si="0">E8/$D8</f>
        <v>0.63571428571428568</v>
      </c>
      <c r="G8" s="77">
        <f t="shared" ref="G8:G17" si="1">D8-E8</f>
        <v>51</v>
      </c>
      <c r="H8" s="78">
        <f t="shared" si="0"/>
        <v>0.36428571428571427</v>
      </c>
      <c r="I8" s="69">
        <v>5</v>
      </c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t="s">
        <v>24</v>
      </c>
      <c r="D9" s="76">
        <v>75</v>
      </c>
      <c r="E9" s="77">
        <v>75</v>
      </c>
      <c r="F9" s="78">
        <f t="shared" si="0"/>
        <v>1</v>
      </c>
      <c r="G9" s="77">
        <f t="shared" si="1"/>
        <v>0</v>
      </c>
      <c r="H9" s="78">
        <f t="shared" si="0"/>
        <v>0</v>
      </c>
      <c r="I9" s="69">
        <v>4</v>
      </c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t="s">
        <v>43</v>
      </c>
      <c r="D10" s="76">
        <f>7+64</f>
        <v>71</v>
      </c>
      <c r="E10" s="77">
        <v>64</v>
      </c>
      <c r="F10" s="78">
        <f t="shared" si="0"/>
        <v>0.90140845070422537</v>
      </c>
      <c r="G10" s="77">
        <f t="shared" si="1"/>
        <v>7</v>
      </c>
      <c r="H10" s="78">
        <f t="shared" si="0"/>
        <v>9.8591549295774641E-2</v>
      </c>
      <c r="I10" s="69">
        <v>8</v>
      </c>
      <c r="J10" s="70"/>
      <c r="P10" s="70"/>
      <c r="U10" s="71"/>
      <c r="V10" s="70"/>
      <c r="AA10" s="71"/>
      <c r="AB10" s="70"/>
      <c r="AG10" s="71"/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t="s">
        <v>37</v>
      </c>
      <c r="D11" s="76">
        <f>7+51</f>
        <v>58</v>
      </c>
      <c r="E11" s="77">
        <v>51</v>
      </c>
      <c r="F11" s="78">
        <f t="shared" si="0"/>
        <v>0.87931034482758619</v>
      </c>
      <c r="G11" s="77">
        <f t="shared" si="1"/>
        <v>7</v>
      </c>
      <c r="H11" s="78">
        <f t="shared" si="0"/>
        <v>0.1206896551724138</v>
      </c>
      <c r="I11" s="69">
        <v>5</v>
      </c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B12" s="74">
        <v>6</v>
      </c>
      <c r="C12" t="s">
        <v>18</v>
      </c>
      <c r="D12" s="150">
        <v>70</v>
      </c>
      <c r="E12" s="151">
        <v>49</v>
      </c>
      <c r="F12" s="78">
        <f t="shared" si="0"/>
        <v>0.7</v>
      </c>
      <c r="G12" s="77">
        <f t="shared" si="1"/>
        <v>21</v>
      </c>
      <c r="H12" s="78">
        <f t="shared" si="0"/>
        <v>0.3</v>
      </c>
      <c r="I12" s="152">
        <v>9</v>
      </c>
      <c r="J12" s="70"/>
      <c r="P12" s="70"/>
      <c r="U12" s="71"/>
      <c r="V12" s="70"/>
      <c r="AA12" s="71"/>
      <c r="AB12" s="70"/>
      <c r="AG12" s="71"/>
      <c r="AH12" s="70"/>
      <c r="AM12" s="71"/>
      <c r="AN12" s="70"/>
      <c r="AS12" s="71"/>
      <c r="AT12" s="70"/>
      <c r="AY12" s="71"/>
      <c r="AZ12" s="70"/>
      <c r="BE12" s="71"/>
      <c r="BF12" s="70"/>
      <c r="BK12" s="71"/>
      <c r="BL12" s="70"/>
      <c r="BQ12" s="71"/>
      <c r="BR12" s="70"/>
      <c r="BW12" s="71"/>
      <c r="CC12" s="72" t="s">
        <v>496</v>
      </c>
      <c r="CD12" s="72" t="s">
        <v>473</v>
      </c>
      <c r="CE12" s="73">
        <v>0</v>
      </c>
    </row>
    <row r="13" spans="2:83" x14ac:dyDescent="0.3">
      <c r="B13" s="74">
        <v>7</v>
      </c>
      <c r="C13" t="s">
        <v>7</v>
      </c>
      <c r="D13" s="76">
        <f>10+88</f>
        <v>98</v>
      </c>
      <c r="E13" s="77">
        <v>88</v>
      </c>
      <c r="F13" s="78">
        <f t="shared" si="0"/>
        <v>0.89795918367346939</v>
      </c>
      <c r="G13" s="77">
        <f t="shared" si="1"/>
        <v>10</v>
      </c>
      <c r="H13" s="78">
        <f t="shared" si="0"/>
        <v>0.10204081632653061</v>
      </c>
      <c r="I13" s="69">
        <v>4</v>
      </c>
      <c r="J13" s="70"/>
      <c r="P13" s="70"/>
      <c r="U13" s="71"/>
      <c r="V13" s="70"/>
      <c r="AA13" s="71"/>
      <c r="AB13" s="70"/>
      <c r="AG13" s="71"/>
      <c r="AH13" s="70"/>
      <c r="AM13" s="71"/>
      <c r="AN13" s="70"/>
      <c r="AS13" s="71"/>
      <c r="AT13" s="70"/>
      <c r="AY13" s="71"/>
      <c r="AZ13" s="70"/>
      <c r="BE13" s="71"/>
      <c r="BF13" s="70"/>
      <c r="BK13" s="71"/>
      <c r="BL13" s="70"/>
      <c r="BQ13" s="71"/>
      <c r="BR13" s="70"/>
      <c r="BW13" s="71"/>
    </row>
    <row r="14" spans="2:83" x14ac:dyDescent="0.3">
      <c r="B14" s="74">
        <v>8</v>
      </c>
      <c r="C14" t="s">
        <v>12</v>
      </c>
      <c r="D14" s="76">
        <f>42+80</f>
        <v>122</v>
      </c>
      <c r="E14" s="77">
        <v>80</v>
      </c>
      <c r="F14" s="78">
        <f t="shared" si="0"/>
        <v>0.65573770491803274</v>
      </c>
      <c r="G14" s="77">
        <f t="shared" si="1"/>
        <v>42</v>
      </c>
      <c r="H14" s="78">
        <f t="shared" si="0"/>
        <v>0.34426229508196721</v>
      </c>
      <c r="I14" s="69">
        <v>5</v>
      </c>
      <c r="J14" s="70"/>
      <c r="P14" s="70"/>
      <c r="U14" s="71"/>
      <c r="V14" s="70"/>
      <c r="AA14" s="71"/>
      <c r="AB14" s="70"/>
      <c r="AG14" s="71"/>
      <c r="AH14" s="70"/>
      <c r="AM14" s="71"/>
      <c r="AN14" s="70"/>
      <c r="AS14" s="71"/>
      <c r="AT14" s="70"/>
      <c r="AY14" s="71"/>
      <c r="AZ14" s="70"/>
      <c r="BE14" s="71"/>
      <c r="BF14" s="70"/>
      <c r="BK14" s="71"/>
      <c r="BL14" s="70"/>
      <c r="BQ14" s="71"/>
      <c r="BR14" s="70"/>
      <c r="BW14" s="71"/>
    </row>
    <row r="15" spans="2:83" x14ac:dyDescent="0.3">
      <c r="B15" s="74">
        <v>9</v>
      </c>
      <c r="C15" t="s">
        <v>32</v>
      </c>
      <c r="D15" s="150">
        <v>105</v>
      </c>
      <c r="E15" s="151">
        <v>93</v>
      </c>
      <c r="F15" s="78">
        <f t="shared" si="0"/>
        <v>0.88571428571428568</v>
      </c>
      <c r="G15" s="77">
        <f t="shared" si="1"/>
        <v>12</v>
      </c>
      <c r="H15" s="78">
        <f t="shared" si="0"/>
        <v>0.11428571428571428</v>
      </c>
      <c r="I15" s="152">
        <v>4</v>
      </c>
      <c r="J15" s="70"/>
      <c r="P15" s="70"/>
      <c r="U15" s="71"/>
      <c r="V15" s="70"/>
      <c r="AA15" s="71"/>
      <c r="AB15" s="70"/>
      <c r="AG15" s="71"/>
      <c r="AH15" s="70"/>
      <c r="AM15" s="71"/>
      <c r="AN15" s="70"/>
      <c r="AS15" s="71"/>
      <c r="AT15" s="70"/>
      <c r="AY15" s="71"/>
      <c r="AZ15" s="70"/>
      <c r="BE15" s="71"/>
      <c r="BF15" s="70"/>
      <c r="BK15" s="71"/>
      <c r="BL15" s="70"/>
      <c r="BQ15" s="71"/>
      <c r="BR15" s="70"/>
      <c r="BW15" s="71"/>
    </row>
    <row r="16" spans="2:83" x14ac:dyDescent="0.3">
      <c r="B16" s="74">
        <v>10</v>
      </c>
      <c r="C16" t="s">
        <v>44</v>
      </c>
      <c r="D16" s="76">
        <f>23+54</f>
        <v>77</v>
      </c>
      <c r="E16" s="77">
        <v>54</v>
      </c>
      <c r="F16" s="78">
        <f t="shared" si="0"/>
        <v>0.70129870129870131</v>
      </c>
      <c r="G16" s="77">
        <f t="shared" si="1"/>
        <v>23</v>
      </c>
      <c r="H16" s="78">
        <f t="shared" si="0"/>
        <v>0.29870129870129869</v>
      </c>
      <c r="I16" s="69">
        <v>7</v>
      </c>
      <c r="J16" s="70"/>
      <c r="P16" s="70"/>
      <c r="U16" s="71"/>
      <c r="V16" s="70"/>
      <c r="AA16" s="71"/>
      <c r="AB16" s="70"/>
      <c r="AG16" s="71"/>
      <c r="AH16" s="70"/>
      <c r="AM16" s="71"/>
      <c r="AN16" s="70"/>
      <c r="AS16" s="71"/>
      <c r="AT16" s="70"/>
      <c r="AY16" s="71"/>
      <c r="AZ16" s="70"/>
      <c r="BE16" s="71"/>
      <c r="BF16" s="70"/>
      <c r="BK16" s="71"/>
      <c r="BL16" s="70"/>
      <c r="BQ16" s="71"/>
      <c r="BR16" s="70"/>
      <c r="BW16" s="71"/>
    </row>
    <row r="17" spans="2:75" x14ac:dyDescent="0.3">
      <c r="B17" s="79">
        <v>11</v>
      </c>
      <c r="C17" t="s">
        <v>29</v>
      </c>
      <c r="D17" s="131">
        <v>78</v>
      </c>
      <c r="E17" s="132">
        <v>73</v>
      </c>
      <c r="F17" s="81">
        <f t="shared" si="0"/>
        <v>0.9358974358974359</v>
      </c>
      <c r="G17" s="80">
        <f t="shared" si="1"/>
        <v>5</v>
      </c>
      <c r="H17" s="81">
        <f t="shared" si="0"/>
        <v>6.4102564102564097E-2</v>
      </c>
      <c r="I17" s="153">
        <v>3</v>
      </c>
      <c r="J17" s="82"/>
      <c r="K17" s="83"/>
      <c r="L17" s="83"/>
      <c r="M17" s="83"/>
      <c r="N17" s="83"/>
      <c r="O17" s="83"/>
      <c r="P17" s="82"/>
      <c r="Q17" s="83"/>
      <c r="R17" s="83"/>
      <c r="S17" s="83"/>
      <c r="T17" s="83"/>
      <c r="U17" s="84"/>
      <c r="V17" s="82"/>
      <c r="W17" s="83"/>
      <c r="X17" s="83"/>
      <c r="Y17" s="83"/>
      <c r="Z17" s="83"/>
      <c r="AA17" s="71"/>
      <c r="AB17" s="82"/>
      <c r="AC17" s="83"/>
      <c r="AD17" s="83"/>
      <c r="AE17" s="83"/>
      <c r="AF17" s="83"/>
      <c r="AG17" s="84"/>
      <c r="AH17" s="82"/>
      <c r="AI17" s="83"/>
      <c r="AJ17" s="83"/>
      <c r="AK17" s="83"/>
      <c r="AL17" s="83"/>
      <c r="AM17" s="84"/>
      <c r="AN17" s="82"/>
      <c r="AO17" s="83"/>
      <c r="AP17" s="83"/>
      <c r="AQ17" s="83"/>
      <c r="AR17" s="83"/>
      <c r="AS17" s="84"/>
      <c r="AT17" s="82"/>
      <c r="AU17" s="83"/>
      <c r="AV17" s="83"/>
      <c r="AW17" s="83"/>
      <c r="AX17" s="83"/>
      <c r="AY17" s="84"/>
      <c r="AZ17" s="82"/>
      <c r="BA17" s="83"/>
      <c r="BB17" s="83"/>
      <c r="BC17" s="83"/>
      <c r="BD17" s="83"/>
      <c r="BE17" s="84"/>
      <c r="BF17" s="82"/>
      <c r="BG17" s="83"/>
      <c r="BH17" s="83"/>
      <c r="BI17" s="83"/>
      <c r="BJ17" s="83"/>
      <c r="BK17" s="84"/>
      <c r="BL17" s="82"/>
      <c r="BM17" s="83"/>
      <c r="BN17" s="83"/>
      <c r="BO17" s="83"/>
      <c r="BP17" s="83"/>
      <c r="BQ17" s="84"/>
      <c r="BR17" s="82"/>
      <c r="BS17" s="83"/>
      <c r="BT17" s="83"/>
      <c r="BU17" s="83"/>
      <c r="BV17" s="83"/>
      <c r="BW17" s="84"/>
    </row>
    <row r="18" spans="2:75" x14ac:dyDescent="0.3">
      <c r="D18" s="85">
        <f>SUM(D7:D17)</f>
        <v>1022</v>
      </c>
      <c r="E18" s="85">
        <f>SUM(E7:E17)</f>
        <v>841</v>
      </c>
      <c r="F18" s="86">
        <f t="shared" si="0"/>
        <v>0.82289628180039143</v>
      </c>
      <c r="G18" s="85">
        <f>SUM(G7:G17)</f>
        <v>181</v>
      </c>
      <c r="H18" s="86">
        <f t="shared" si="0"/>
        <v>0.1771037181996086</v>
      </c>
      <c r="I18" s="85">
        <f>SUM(I7:I17)</f>
        <v>59</v>
      </c>
    </row>
    <row r="19" spans="2:75" x14ac:dyDescent="0.3">
      <c r="D19" s="85"/>
      <c r="E19" s="85"/>
      <c r="F19" s="86"/>
      <c r="G19" s="85"/>
      <c r="H19" s="86"/>
      <c r="I19" s="85"/>
    </row>
    <row r="20" spans="2:75" ht="15.6" x14ac:dyDescent="0.3">
      <c r="B20" s="87" t="s">
        <v>501</v>
      </c>
      <c r="C20" s="88"/>
      <c r="E20" s="86"/>
      <c r="F20" s="86"/>
      <c r="G20" s="86"/>
      <c r="H20" s="86"/>
    </row>
    <row r="22" spans="2:75" x14ac:dyDescent="0.3">
      <c r="B22" s="181" t="s">
        <v>474</v>
      </c>
      <c r="C22" s="181" t="s">
        <v>5</v>
      </c>
      <c r="D22" s="181" t="s">
        <v>475</v>
      </c>
      <c r="E22" s="170" t="s">
        <v>476</v>
      </c>
      <c r="F22" s="170"/>
      <c r="G22" s="170"/>
      <c r="H22" s="170"/>
      <c r="I22" s="168" t="s">
        <v>477</v>
      </c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69"/>
      <c r="AX22" s="169"/>
      <c r="AY22" s="169"/>
      <c r="AZ22" s="169"/>
      <c r="BA22" s="169"/>
      <c r="BB22" s="169"/>
      <c r="BC22" s="169"/>
      <c r="BD22" s="169"/>
      <c r="BE22" s="169"/>
      <c r="BF22" s="169"/>
      <c r="BG22" s="169"/>
      <c r="BH22" s="169"/>
      <c r="BI22" s="169"/>
      <c r="BJ22" s="169"/>
      <c r="BK22" s="169"/>
      <c r="BL22" s="169"/>
      <c r="BM22" s="169"/>
      <c r="BN22" s="169"/>
      <c r="BO22" s="169"/>
      <c r="BP22" s="169"/>
      <c r="BQ22" s="169"/>
      <c r="BR22" s="169"/>
      <c r="BS22" s="169"/>
      <c r="BT22" s="169"/>
      <c r="BU22" s="169"/>
      <c r="BV22" s="169"/>
      <c r="BW22" s="169"/>
    </row>
    <row r="23" spans="2:75" x14ac:dyDescent="0.3">
      <c r="B23" s="181"/>
      <c r="C23" s="181"/>
      <c r="D23" s="181"/>
      <c r="E23" s="170" t="s">
        <v>478</v>
      </c>
      <c r="F23" s="170"/>
      <c r="G23" s="59" t="s">
        <v>479</v>
      </c>
      <c r="H23" s="59"/>
      <c r="I23" s="183" t="s">
        <v>480</v>
      </c>
      <c r="J23" s="172" t="s">
        <v>481</v>
      </c>
      <c r="K23" s="166"/>
      <c r="L23" s="166"/>
      <c r="M23" s="166"/>
      <c r="N23" s="166"/>
      <c r="O23" s="166"/>
      <c r="P23" s="166" t="s">
        <v>482</v>
      </c>
      <c r="Q23" s="166"/>
      <c r="R23" s="166"/>
      <c r="S23" s="166"/>
      <c r="T23" s="166"/>
      <c r="U23" s="166"/>
      <c r="V23" s="166" t="s">
        <v>483</v>
      </c>
      <c r="W23" s="166"/>
      <c r="X23" s="166"/>
      <c r="Y23" s="166"/>
      <c r="Z23" s="166"/>
      <c r="AA23" s="166"/>
      <c r="AB23" s="166" t="s">
        <v>484</v>
      </c>
      <c r="AC23" s="166"/>
      <c r="AD23" s="166"/>
      <c r="AE23" s="166"/>
      <c r="AF23" s="166"/>
      <c r="AG23" s="166"/>
      <c r="AH23" s="166" t="s">
        <v>485</v>
      </c>
      <c r="AI23" s="166"/>
      <c r="AJ23" s="166"/>
      <c r="AK23" s="166"/>
      <c r="AL23" s="166"/>
      <c r="AM23" s="166"/>
      <c r="AN23" s="166" t="s">
        <v>486</v>
      </c>
      <c r="AO23" s="166"/>
      <c r="AP23" s="166"/>
      <c r="AQ23" s="166"/>
      <c r="AR23" s="166"/>
      <c r="AS23" s="166"/>
      <c r="AT23" s="166" t="s">
        <v>487</v>
      </c>
      <c r="AU23" s="166"/>
      <c r="AV23" s="166"/>
      <c r="AW23" s="166"/>
      <c r="AX23" s="166"/>
      <c r="AY23" s="166"/>
      <c r="AZ23" s="166" t="s">
        <v>488</v>
      </c>
      <c r="BA23" s="166"/>
      <c r="BB23" s="166"/>
      <c r="BC23" s="166"/>
      <c r="BD23" s="166"/>
      <c r="BE23" s="167"/>
      <c r="BF23" s="166" t="s">
        <v>517</v>
      </c>
      <c r="BG23" s="166"/>
      <c r="BH23" s="166"/>
      <c r="BI23" s="166"/>
      <c r="BJ23" s="166"/>
      <c r="BK23" s="167"/>
      <c r="BL23" s="166" t="s">
        <v>518</v>
      </c>
      <c r="BM23" s="166"/>
      <c r="BN23" s="166"/>
      <c r="BO23" s="166"/>
      <c r="BP23" s="166"/>
      <c r="BQ23" s="167"/>
      <c r="BR23" s="166" t="s">
        <v>519</v>
      </c>
      <c r="BS23" s="166"/>
      <c r="BT23" s="166"/>
      <c r="BU23" s="166"/>
      <c r="BV23" s="166"/>
      <c r="BW23" s="167"/>
    </row>
    <row r="24" spans="2:75" x14ac:dyDescent="0.3">
      <c r="B24" s="182"/>
      <c r="C24" s="182"/>
      <c r="D24" s="182"/>
      <c r="E24" s="60" t="s">
        <v>480</v>
      </c>
      <c r="F24" s="60" t="s">
        <v>490</v>
      </c>
      <c r="G24" s="60" t="s">
        <v>480</v>
      </c>
      <c r="H24" s="60" t="s">
        <v>490</v>
      </c>
      <c r="I24" s="183"/>
      <c r="J24" s="89" t="s">
        <v>491</v>
      </c>
      <c r="K24" s="90" t="s">
        <v>492</v>
      </c>
      <c r="L24" s="90" t="s">
        <v>493</v>
      </c>
      <c r="M24" s="90" t="s">
        <v>494</v>
      </c>
      <c r="N24" s="90" t="s">
        <v>495</v>
      </c>
      <c r="O24" s="90" t="s">
        <v>496</v>
      </c>
      <c r="P24" s="62" t="s">
        <v>491</v>
      </c>
      <c r="Q24" s="62" t="s">
        <v>492</v>
      </c>
      <c r="R24" s="62" t="s">
        <v>493</v>
      </c>
      <c r="S24" s="62" t="s">
        <v>494</v>
      </c>
      <c r="T24" s="62" t="s">
        <v>495</v>
      </c>
      <c r="U24" s="62" t="s">
        <v>496</v>
      </c>
      <c r="V24" s="62" t="s">
        <v>491</v>
      </c>
      <c r="W24" s="62" t="s">
        <v>492</v>
      </c>
      <c r="X24" s="62" t="s">
        <v>493</v>
      </c>
      <c r="Y24" s="62" t="s">
        <v>494</v>
      </c>
      <c r="Z24" s="62" t="s">
        <v>495</v>
      </c>
      <c r="AA24" s="62" t="s">
        <v>496</v>
      </c>
      <c r="AB24" s="62" t="s">
        <v>491</v>
      </c>
      <c r="AC24" s="62" t="s">
        <v>492</v>
      </c>
      <c r="AD24" s="62" t="s">
        <v>493</v>
      </c>
      <c r="AE24" s="62" t="s">
        <v>494</v>
      </c>
      <c r="AF24" s="62" t="s">
        <v>495</v>
      </c>
      <c r="AG24" s="62" t="s">
        <v>496</v>
      </c>
      <c r="AH24" s="62" t="s">
        <v>491</v>
      </c>
      <c r="AI24" s="62" t="s">
        <v>492</v>
      </c>
      <c r="AJ24" s="62" t="s">
        <v>493</v>
      </c>
      <c r="AK24" s="62" t="s">
        <v>494</v>
      </c>
      <c r="AL24" s="62" t="s">
        <v>495</v>
      </c>
      <c r="AM24" s="62" t="s">
        <v>496</v>
      </c>
      <c r="AN24" s="62" t="s">
        <v>491</v>
      </c>
      <c r="AO24" s="62" t="s">
        <v>492</v>
      </c>
      <c r="AP24" s="62" t="s">
        <v>493</v>
      </c>
      <c r="AQ24" s="62" t="s">
        <v>494</v>
      </c>
      <c r="AR24" s="62" t="s">
        <v>495</v>
      </c>
      <c r="AS24" s="62" t="s">
        <v>496</v>
      </c>
      <c r="AT24" s="62" t="s">
        <v>491</v>
      </c>
      <c r="AU24" s="62" t="s">
        <v>492</v>
      </c>
      <c r="AV24" s="62" t="s">
        <v>493</v>
      </c>
      <c r="AW24" s="62" t="s">
        <v>494</v>
      </c>
      <c r="AX24" s="62" t="s">
        <v>495</v>
      </c>
      <c r="AY24" s="62" t="s">
        <v>496</v>
      </c>
      <c r="AZ24" s="62" t="s">
        <v>491</v>
      </c>
      <c r="BA24" s="62" t="s">
        <v>492</v>
      </c>
      <c r="BB24" s="62" t="s">
        <v>493</v>
      </c>
      <c r="BC24" s="62" t="s">
        <v>494</v>
      </c>
      <c r="BD24" s="62" t="s">
        <v>495</v>
      </c>
      <c r="BE24" s="63" t="s">
        <v>496</v>
      </c>
      <c r="BF24" s="62" t="s">
        <v>491</v>
      </c>
      <c r="BG24" s="62" t="s">
        <v>492</v>
      </c>
      <c r="BH24" s="62" t="s">
        <v>493</v>
      </c>
      <c r="BI24" s="62" t="s">
        <v>494</v>
      </c>
      <c r="BJ24" s="62" t="s">
        <v>495</v>
      </c>
      <c r="BK24" s="63" t="s">
        <v>496</v>
      </c>
      <c r="BL24" s="62" t="s">
        <v>491</v>
      </c>
      <c r="BM24" s="62" t="s">
        <v>492</v>
      </c>
      <c r="BN24" s="62" t="s">
        <v>493</v>
      </c>
      <c r="BO24" s="62" t="s">
        <v>494</v>
      </c>
      <c r="BP24" s="62" t="s">
        <v>495</v>
      </c>
      <c r="BQ24" s="63" t="s">
        <v>496</v>
      </c>
      <c r="BR24" s="62" t="s">
        <v>491</v>
      </c>
      <c r="BS24" s="62" t="s">
        <v>492</v>
      </c>
      <c r="BT24" s="62" t="s">
        <v>493</v>
      </c>
      <c r="BU24" s="62" t="s">
        <v>494</v>
      </c>
      <c r="BV24" s="62" t="s">
        <v>495</v>
      </c>
      <c r="BW24" s="63" t="s">
        <v>496</v>
      </c>
    </row>
    <row r="25" spans="2:75" x14ac:dyDescent="0.3">
      <c r="B25" s="65">
        <v>1</v>
      </c>
      <c r="C25" s="66" t="str">
        <f>C7</f>
        <v>SistemasTI</v>
      </c>
      <c r="D25" s="145">
        <f>D7</f>
        <v>128</v>
      </c>
      <c r="E25" s="146">
        <f>E7</f>
        <v>125</v>
      </c>
      <c r="F25" s="68">
        <f t="shared" ref="F25:I25" si="2">F7</f>
        <v>0.9765625</v>
      </c>
      <c r="G25" s="67">
        <f t="shared" si="2"/>
        <v>3</v>
      </c>
      <c r="H25" s="68">
        <f t="shared" si="2"/>
        <v>2.34375E-2</v>
      </c>
      <c r="I25" s="152">
        <f t="shared" si="2"/>
        <v>5</v>
      </c>
      <c r="J25" s="91">
        <f t="shared" ref="J25:O35" si="3">IF(AND(J7&lt;&gt;"",J7&gt;0),(VLOOKUP(J$6,$CC$6:$CE$12,3,0)*J7)/SUM($J7:$N7),0)</f>
        <v>0</v>
      </c>
      <c r="K25" s="92">
        <f t="shared" si="3"/>
        <v>0</v>
      </c>
      <c r="L25" s="92">
        <f t="shared" si="3"/>
        <v>0</v>
      </c>
      <c r="M25" s="92">
        <f t="shared" si="3"/>
        <v>0</v>
      </c>
      <c r="N25" s="92">
        <f t="shared" si="3"/>
        <v>0</v>
      </c>
      <c r="O25" s="92">
        <f t="shared" si="3"/>
        <v>0</v>
      </c>
      <c r="P25" s="91">
        <f t="shared" ref="P25:U35" si="4">IF(AND(P7&lt;&gt;"",P7&gt;0),(VLOOKUP(P$6,$CC$6:$CE$12,3,0)*P7)/SUM($P7:$T7),0)</f>
        <v>0</v>
      </c>
      <c r="Q25" s="92">
        <f t="shared" si="4"/>
        <v>0</v>
      </c>
      <c r="R25" s="92">
        <f t="shared" si="4"/>
        <v>0</v>
      </c>
      <c r="S25" s="92">
        <f>IF(AND(S7&lt;&gt;"",S7&gt;0),(VLOOKUP(S$6,$CC$6:$CE$12,3,0)*S7)/SUM($P7:$T7),0)</f>
        <v>0</v>
      </c>
      <c r="T25" s="92">
        <f t="shared" si="4"/>
        <v>0</v>
      </c>
      <c r="U25" s="92">
        <f t="shared" si="4"/>
        <v>0</v>
      </c>
      <c r="V25" s="91">
        <f t="shared" ref="V25:AA35" si="5">IF(AND(V7&lt;&gt;"",V7&gt;0),(VLOOKUP(V$6,$CC$6:$CE$12,3,0)*V7)/SUM($V7:$Z7),0)</f>
        <v>0</v>
      </c>
      <c r="W25" s="92">
        <f t="shared" si="5"/>
        <v>0</v>
      </c>
      <c r="X25" s="92">
        <f t="shared" si="5"/>
        <v>0</v>
      </c>
      <c r="Y25" s="92">
        <f t="shared" si="5"/>
        <v>0</v>
      </c>
      <c r="Z25" s="92">
        <f t="shared" si="5"/>
        <v>0</v>
      </c>
      <c r="AA25" s="92">
        <f t="shared" si="5"/>
        <v>0</v>
      </c>
      <c r="AB25" s="91">
        <f t="shared" ref="AB25:AG26" si="6">IF(AND(AB7&lt;&gt;"",AB7&gt;0),(VLOOKUP(AB$6,$CC$6:$CE$12,3,0)*AB7)/SUM($AB7:$AF7),0)</f>
        <v>0</v>
      </c>
      <c r="AC25" s="92">
        <f t="shared" si="6"/>
        <v>0</v>
      </c>
      <c r="AD25" s="92">
        <f t="shared" si="6"/>
        <v>0</v>
      </c>
      <c r="AE25" s="92">
        <f t="shared" si="6"/>
        <v>0</v>
      </c>
      <c r="AF25" s="92">
        <f t="shared" si="6"/>
        <v>0</v>
      </c>
      <c r="AG25" s="92">
        <f t="shared" si="6"/>
        <v>0</v>
      </c>
      <c r="AH25" s="91">
        <f t="shared" ref="AH25:AM27" si="7">IF(AND(AH7&lt;&gt;"",AH7&gt;0),(VLOOKUP(AH$6,$CC$6:$CE$12,3,0)*AH7)/SUM($AH7:$AL7),0)</f>
        <v>0</v>
      </c>
      <c r="AI25" s="92">
        <f t="shared" si="7"/>
        <v>0</v>
      </c>
      <c r="AJ25" s="92">
        <f t="shared" si="7"/>
        <v>0</v>
      </c>
      <c r="AK25" s="92">
        <f t="shared" si="7"/>
        <v>0</v>
      </c>
      <c r="AL25" s="92">
        <f t="shared" si="7"/>
        <v>0</v>
      </c>
      <c r="AM25" s="92">
        <f t="shared" si="7"/>
        <v>0</v>
      </c>
      <c r="AN25" s="91">
        <f t="shared" ref="AN25:AS35" si="8">IF(AND(AN7&lt;&gt;"",AN7&gt;0),(VLOOKUP(AN$6,$CC$6:$CE$12,3,0)*AN7)/SUM($AN7:$AR7),0)</f>
        <v>0</v>
      </c>
      <c r="AO25" s="92">
        <f t="shared" si="8"/>
        <v>0</v>
      </c>
      <c r="AP25" s="92">
        <f t="shared" si="8"/>
        <v>0</v>
      </c>
      <c r="AQ25" s="92">
        <f t="shared" si="8"/>
        <v>0</v>
      </c>
      <c r="AR25" s="92">
        <f t="shared" si="8"/>
        <v>0</v>
      </c>
      <c r="AS25" s="92">
        <f t="shared" si="8"/>
        <v>0</v>
      </c>
      <c r="AT25" s="91">
        <f t="shared" ref="AT25:AY35" si="9">IF(AND(AT7&lt;&gt;"",AT7&gt;0),(VLOOKUP(AT$6,$CC$6:$CE$12,3,0)*AT7)/SUM($AT7:$AX7),0)</f>
        <v>0</v>
      </c>
      <c r="AU25" s="92">
        <f t="shared" si="9"/>
        <v>0</v>
      </c>
      <c r="AV25" s="92">
        <f t="shared" si="9"/>
        <v>0</v>
      </c>
      <c r="AW25" s="92">
        <f t="shared" si="9"/>
        <v>0</v>
      </c>
      <c r="AX25" s="92">
        <f t="shared" si="9"/>
        <v>0</v>
      </c>
      <c r="AY25" s="92">
        <f t="shared" si="9"/>
        <v>0</v>
      </c>
      <c r="AZ25" s="91">
        <f>IF(AND(AZ7&lt;&gt;"",AZ7&gt;0),(VLOOKUP(AZ$6,$CC$6:$CE$12,3,0)*AZ7)/SUM($AZ7:$BD7),0)</f>
        <v>0</v>
      </c>
      <c r="BA25" s="92">
        <f t="shared" ref="AZ25:BE35" si="10">IF(AND(BA7&lt;&gt;"",BA7&gt;0),(VLOOKUP(BA$6,$CC$6:$CE$12,3,0)*BA7)/SUM($AZ7:$BD7),0)</f>
        <v>0</v>
      </c>
      <c r="BB25" s="92">
        <f t="shared" si="10"/>
        <v>0</v>
      </c>
      <c r="BC25" s="92">
        <f t="shared" si="10"/>
        <v>0</v>
      </c>
      <c r="BD25" s="92">
        <f t="shared" si="10"/>
        <v>0</v>
      </c>
      <c r="BE25" s="92">
        <f>IF(AND(BE7&lt;&gt;"",BE7&gt;0),(VLOOKUP(BE$6,$CC$6:$CE$12,3,0)*BE7)/SUM($AZ7:$BD7),0)</f>
        <v>0</v>
      </c>
      <c r="BF25" s="92">
        <f>IF(AND(BF7&lt;&gt;"",BF7&gt;0),(VLOOKUP(BF$6,$CC$6:$CE$12,3,0)*BF7)/SUM($BF7:$BJ7),0)</f>
        <v>0</v>
      </c>
      <c r="BG25" s="92">
        <f t="shared" ref="BG25:BK25" si="11">IF(AND(BG7&lt;&gt;"",BG7&gt;0),(VLOOKUP(BG$6,$CC$6:$CE$12,3,0)*BG7)/SUM($BF7:$BJ7),0)</f>
        <v>0</v>
      </c>
      <c r="BH25" s="92">
        <f t="shared" si="11"/>
        <v>0</v>
      </c>
      <c r="BI25" s="92">
        <f t="shared" si="11"/>
        <v>0</v>
      </c>
      <c r="BJ25" s="92">
        <f t="shared" si="11"/>
        <v>0</v>
      </c>
      <c r="BK25" s="92">
        <f t="shared" si="11"/>
        <v>0</v>
      </c>
      <c r="BL25" s="91">
        <f>IF(AND(BL7&lt;&gt;"",BL7&gt;0),(VLOOKUP(BL$6,$CC$6:$CE$12,3,0)*BL7)/SUM($BL7:$BP7),0)</f>
        <v>0</v>
      </c>
      <c r="BM25" s="91">
        <f t="shared" ref="BM25:BQ25" si="12">IF(AND(BM7&lt;&gt;"",BM7&gt;0),(VLOOKUP(BM$6,$CC$6:$CE$12,3,0)*BM7)/SUM($BL7:$BP7),0)</f>
        <v>0</v>
      </c>
      <c r="BN25" s="91">
        <f t="shared" si="12"/>
        <v>0</v>
      </c>
      <c r="BO25" s="91">
        <f t="shared" si="12"/>
        <v>0</v>
      </c>
      <c r="BP25" s="91">
        <f>IF(AND(BP7&lt;&gt;"",BP7&gt;0),(VLOOKUP(BP$6,$CC$6:$CE$12,3,0)*BP7)/SUM($BL7:$BP7),0)</f>
        <v>0</v>
      </c>
      <c r="BQ25" s="91">
        <f t="shared" si="12"/>
        <v>0</v>
      </c>
      <c r="BR25" s="91">
        <f>IF(AND(BR7&lt;&gt;"",BR7&gt;0),(VLOOKUP(BR$6,$CC$6:$CE$12,3,0)*BR7)/SUM($BR7:$BV7),0)</f>
        <v>0</v>
      </c>
      <c r="BS25" s="91">
        <f t="shared" ref="BS25:BW25" si="13">IF(AND(BS7&lt;&gt;"",BS7&gt;0),(VLOOKUP(BS$6,$CC$6:$CE$12,3,0)*BS7)/SUM($BR7:$BV7),0)</f>
        <v>0</v>
      </c>
      <c r="BT25" s="91">
        <f t="shared" si="13"/>
        <v>0</v>
      </c>
      <c r="BU25" s="91">
        <f t="shared" si="13"/>
        <v>0</v>
      </c>
      <c r="BV25" s="91">
        <f t="shared" si="13"/>
        <v>0</v>
      </c>
      <c r="BW25" s="91">
        <f t="shared" si="13"/>
        <v>0</v>
      </c>
    </row>
    <row r="26" spans="2:75" x14ac:dyDescent="0.3">
      <c r="B26" s="74">
        <v>2</v>
      </c>
      <c r="C26" s="75" t="str">
        <f>C8</f>
        <v>Sistema integrado de gestión</v>
      </c>
      <c r="D26" s="145">
        <f t="shared" ref="D26:E35" si="14">D8</f>
        <v>140</v>
      </c>
      <c r="E26" s="146">
        <f t="shared" si="14"/>
        <v>89</v>
      </c>
      <c r="F26" s="78">
        <f t="shared" ref="E26:I36" si="15">F8</f>
        <v>0.63571428571428568</v>
      </c>
      <c r="G26" s="77">
        <f t="shared" si="15"/>
        <v>51</v>
      </c>
      <c r="H26" s="78">
        <f t="shared" si="15"/>
        <v>0.36428571428571427</v>
      </c>
      <c r="I26" s="69">
        <f t="shared" si="15"/>
        <v>5</v>
      </c>
      <c r="J26" s="91">
        <f t="shared" si="3"/>
        <v>0</v>
      </c>
      <c r="K26" s="92">
        <f t="shared" si="3"/>
        <v>0</v>
      </c>
      <c r="L26" s="92">
        <f t="shared" si="3"/>
        <v>0</v>
      </c>
      <c r="M26" s="92">
        <f t="shared" si="3"/>
        <v>0</v>
      </c>
      <c r="N26" s="92">
        <f t="shared" si="3"/>
        <v>0</v>
      </c>
      <c r="O26" s="92">
        <f t="shared" si="3"/>
        <v>0</v>
      </c>
      <c r="P26" s="91">
        <f t="shared" si="4"/>
        <v>0</v>
      </c>
      <c r="Q26" s="92">
        <f t="shared" si="4"/>
        <v>0</v>
      </c>
      <c r="R26" s="92">
        <f t="shared" si="4"/>
        <v>0</v>
      </c>
      <c r="S26" s="92">
        <f t="shared" si="4"/>
        <v>0</v>
      </c>
      <c r="T26" s="92">
        <f t="shared" si="4"/>
        <v>0</v>
      </c>
      <c r="U26" s="92">
        <f t="shared" si="4"/>
        <v>0</v>
      </c>
      <c r="V26" s="91">
        <f t="shared" si="5"/>
        <v>0</v>
      </c>
      <c r="W26" s="92">
        <f t="shared" si="5"/>
        <v>0</v>
      </c>
      <c r="X26" s="92">
        <f t="shared" si="5"/>
        <v>0</v>
      </c>
      <c r="Y26" s="92">
        <f t="shared" si="5"/>
        <v>0</v>
      </c>
      <c r="Z26" s="92">
        <f t="shared" si="5"/>
        <v>0</v>
      </c>
      <c r="AA26" s="92">
        <f t="shared" si="5"/>
        <v>0</v>
      </c>
      <c r="AB26" s="91">
        <f t="shared" si="6"/>
        <v>0</v>
      </c>
      <c r="AC26" s="92">
        <f t="shared" si="6"/>
        <v>0</v>
      </c>
      <c r="AD26" s="92">
        <f t="shared" si="6"/>
        <v>0</v>
      </c>
      <c r="AE26" s="92">
        <f t="shared" si="6"/>
        <v>0</v>
      </c>
      <c r="AF26" s="92">
        <f t="shared" si="6"/>
        <v>0</v>
      </c>
      <c r="AG26" s="92">
        <f t="shared" si="6"/>
        <v>0</v>
      </c>
      <c r="AH26" s="91">
        <f t="shared" si="7"/>
        <v>0</v>
      </c>
      <c r="AI26" s="92">
        <f t="shared" si="7"/>
        <v>0</v>
      </c>
      <c r="AJ26" s="92">
        <f t="shared" si="7"/>
        <v>0</v>
      </c>
      <c r="AK26" s="92">
        <f t="shared" si="7"/>
        <v>0</v>
      </c>
      <c r="AL26" s="92">
        <f t="shared" si="7"/>
        <v>0</v>
      </c>
      <c r="AM26" s="92">
        <f t="shared" si="7"/>
        <v>0</v>
      </c>
      <c r="AN26" s="91">
        <f t="shared" si="8"/>
        <v>0</v>
      </c>
      <c r="AO26" s="92">
        <f t="shared" si="8"/>
        <v>0</v>
      </c>
      <c r="AP26" s="92">
        <f t="shared" si="8"/>
        <v>0</v>
      </c>
      <c r="AQ26" s="92">
        <f t="shared" si="8"/>
        <v>0</v>
      </c>
      <c r="AR26" s="92">
        <f t="shared" si="8"/>
        <v>0</v>
      </c>
      <c r="AS26" s="92">
        <f t="shared" si="8"/>
        <v>0</v>
      </c>
      <c r="AT26" s="91">
        <f t="shared" si="9"/>
        <v>0</v>
      </c>
      <c r="AU26" s="92">
        <f t="shared" si="9"/>
        <v>0</v>
      </c>
      <c r="AV26" s="92">
        <f>IF(AND(AV8&lt;&gt;"",AV8&gt;0),(VLOOKUP(AV$6,$CC$6:$CE$12,3,0)*AV8)/SUM($AT8:$AX8),0)</f>
        <v>0</v>
      </c>
      <c r="AW26" s="92">
        <f t="shared" si="9"/>
        <v>0</v>
      </c>
      <c r="AX26" s="92">
        <f t="shared" si="9"/>
        <v>0</v>
      </c>
      <c r="AY26" s="92">
        <f t="shared" si="9"/>
        <v>0</v>
      </c>
      <c r="AZ26" s="91">
        <f t="shared" si="10"/>
        <v>0</v>
      </c>
      <c r="BA26" s="92">
        <f t="shared" si="10"/>
        <v>0</v>
      </c>
      <c r="BB26" s="92">
        <f t="shared" si="10"/>
        <v>0</v>
      </c>
      <c r="BC26" s="92">
        <f t="shared" si="10"/>
        <v>0</v>
      </c>
      <c r="BD26" s="92">
        <f t="shared" si="10"/>
        <v>0</v>
      </c>
      <c r="BE26" s="92">
        <f t="shared" si="10"/>
        <v>0</v>
      </c>
      <c r="BF26" s="92">
        <f t="shared" ref="BF26:BK26" si="16">IF(AND(BF8&lt;&gt;"",BF8&gt;0),(VLOOKUP(BF$6,$CC$6:$CE$12,3,0)*BF8)/SUM($BF8:$BJ8),0)</f>
        <v>0</v>
      </c>
      <c r="BG26" s="92">
        <f t="shared" si="16"/>
        <v>0</v>
      </c>
      <c r="BH26" s="92">
        <f t="shared" si="16"/>
        <v>0</v>
      </c>
      <c r="BI26" s="92">
        <f t="shared" si="16"/>
        <v>0</v>
      </c>
      <c r="BJ26" s="92">
        <f t="shared" si="16"/>
        <v>0</v>
      </c>
      <c r="BK26" s="92">
        <f t="shared" si="16"/>
        <v>0</v>
      </c>
      <c r="BL26" s="91">
        <f t="shared" ref="BL26:BO26" si="17">IF(AND(BL8&lt;&gt;"",BL8&gt;0),(VLOOKUP(BL$6,$CC$6:$CE$12,3,0)*BL8)/SUM($BL8:$BP8),0)</f>
        <v>0</v>
      </c>
      <c r="BM26" s="91">
        <f t="shared" si="17"/>
        <v>0</v>
      </c>
      <c r="BN26" s="91">
        <f t="shared" si="17"/>
        <v>0</v>
      </c>
      <c r="BO26" s="91">
        <f t="shared" si="17"/>
        <v>0</v>
      </c>
      <c r="BP26" s="91">
        <f>IF(AND(BP8&lt;&gt;"",BP8&gt;0),(VLOOKUP(BP$6,$CC$6:$CE$12,3,0)*BP8)/SUM($BL8:$BP8),0)</f>
        <v>0</v>
      </c>
      <c r="BQ26" s="91">
        <f>IF(AND(BQ8&lt;&gt;"",BQ8&gt;0),(VLOOKUP(BQ$6,$CC$6:$CE$12,3,0)*BQ8)/SUM($BL8:$BP8),0)</f>
        <v>0</v>
      </c>
      <c r="BR26" s="91">
        <f t="shared" ref="BR26:BW26" si="18">IF(AND(BR8&lt;&gt;"",BR8&gt;0),(VLOOKUP(BR$6,$CC$6:$CE$12,3,0)*BR8)/SUM($BR8:$BV8),0)</f>
        <v>0</v>
      </c>
      <c r="BS26" s="91">
        <f t="shared" si="18"/>
        <v>0</v>
      </c>
      <c r="BT26" s="91">
        <f t="shared" si="18"/>
        <v>0</v>
      </c>
      <c r="BU26" s="91">
        <f t="shared" si="18"/>
        <v>0</v>
      </c>
      <c r="BV26" s="91">
        <f>IF(AND(BV8&lt;&gt;"",BV8&gt;0),(VLOOKUP(BV$6,$CC$6:$CE$12,3,0)*BV8)/SUM($BR8:$BV8),0)</f>
        <v>0</v>
      </c>
      <c r="BW26" s="91">
        <f t="shared" si="18"/>
        <v>0</v>
      </c>
    </row>
    <row r="27" spans="2:75" x14ac:dyDescent="0.3">
      <c r="B27" s="74">
        <v>3</v>
      </c>
      <c r="C27" s="75" t="str">
        <f>C9</f>
        <v>FinanzasYTesorería</v>
      </c>
      <c r="D27" s="145">
        <f t="shared" si="14"/>
        <v>75</v>
      </c>
      <c r="E27" s="146">
        <f t="shared" si="14"/>
        <v>75</v>
      </c>
      <c r="F27" s="78">
        <f t="shared" si="15"/>
        <v>1</v>
      </c>
      <c r="G27" s="77">
        <f t="shared" si="15"/>
        <v>0</v>
      </c>
      <c r="H27" s="78">
        <f t="shared" si="15"/>
        <v>0</v>
      </c>
      <c r="I27" s="69">
        <f t="shared" si="15"/>
        <v>4</v>
      </c>
      <c r="J27" s="91">
        <f t="shared" si="3"/>
        <v>0</v>
      </c>
      <c r="K27" s="92">
        <f t="shared" si="3"/>
        <v>0</v>
      </c>
      <c r="L27" s="92">
        <f t="shared" si="3"/>
        <v>0</v>
      </c>
      <c r="M27" s="92">
        <f t="shared" si="3"/>
        <v>0</v>
      </c>
      <c r="N27" s="92">
        <f t="shared" si="3"/>
        <v>0</v>
      </c>
      <c r="O27" s="92">
        <f t="shared" si="3"/>
        <v>0</v>
      </c>
      <c r="P27" s="91">
        <f t="shared" si="4"/>
        <v>0</v>
      </c>
      <c r="Q27" s="92">
        <f t="shared" si="4"/>
        <v>0</v>
      </c>
      <c r="R27" s="92">
        <f t="shared" si="4"/>
        <v>0</v>
      </c>
      <c r="S27" s="92">
        <f t="shared" si="4"/>
        <v>0</v>
      </c>
      <c r="T27" s="92">
        <f t="shared" si="4"/>
        <v>0</v>
      </c>
      <c r="U27" s="92">
        <f t="shared" si="4"/>
        <v>0</v>
      </c>
      <c r="V27" s="91">
        <f t="shared" ref="V27:AA32" si="19">IF(AND(V9&lt;&gt;"",V9&gt;0),(VLOOKUP(V$6,$CC$6:$CE$12,3,0)*V9)/SUM($V9:$Z9),0)</f>
        <v>0</v>
      </c>
      <c r="W27" s="92">
        <f t="shared" si="19"/>
        <v>0</v>
      </c>
      <c r="X27" s="92">
        <f t="shared" si="19"/>
        <v>0</v>
      </c>
      <c r="Y27" s="92">
        <f t="shared" si="19"/>
        <v>0</v>
      </c>
      <c r="Z27" s="92">
        <f t="shared" si="19"/>
        <v>0</v>
      </c>
      <c r="AA27" s="92">
        <f t="shared" si="19"/>
        <v>0</v>
      </c>
      <c r="AB27" s="91">
        <f t="shared" ref="AB27:AG35" si="20">IF(AND(AB9&lt;&gt;"",AB9&gt;0),(VLOOKUP(AB$6,$CC$6:$CE$12,3,0)*AB9)/SUM($AB9:$AF9),0)</f>
        <v>0</v>
      </c>
      <c r="AC27" s="92">
        <f t="shared" si="20"/>
        <v>0</v>
      </c>
      <c r="AD27" s="92">
        <f t="shared" si="20"/>
        <v>0</v>
      </c>
      <c r="AE27" s="92">
        <f t="shared" si="20"/>
        <v>0</v>
      </c>
      <c r="AF27" s="92">
        <f t="shared" si="20"/>
        <v>0</v>
      </c>
      <c r="AG27" s="92">
        <f t="shared" si="20"/>
        <v>0</v>
      </c>
      <c r="AH27" s="91">
        <f t="shared" si="7"/>
        <v>0</v>
      </c>
      <c r="AI27" s="92">
        <f t="shared" si="7"/>
        <v>0</v>
      </c>
      <c r="AJ27" s="92">
        <f t="shared" si="7"/>
        <v>0</v>
      </c>
      <c r="AK27" s="92">
        <f t="shared" si="7"/>
        <v>0</v>
      </c>
      <c r="AL27" s="92">
        <f t="shared" si="7"/>
        <v>0</v>
      </c>
      <c r="AM27" s="92">
        <f t="shared" si="7"/>
        <v>0</v>
      </c>
      <c r="AN27" s="91">
        <f t="shared" si="8"/>
        <v>0</v>
      </c>
      <c r="AO27" s="92">
        <f t="shared" si="8"/>
        <v>0</v>
      </c>
      <c r="AP27" s="92">
        <f t="shared" si="8"/>
        <v>0</v>
      </c>
      <c r="AQ27" s="92">
        <f t="shared" si="8"/>
        <v>0</v>
      </c>
      <c r="AR27" s="92">
        <f t="shared" si="8"/>
        <v>0</v>
      </c>
      <c r="AS27" s="92">
        <f t="shared" si="8"/>
        <v>0</v>
      </c>
      <c r="AT27" s="91">
        <f t="shared" si="9"/>
        <v>0</v>
      </c>
      <c r="AU27" s="92">
        <f t="shared" si="9"/>
        <v>0</v>
      </c>
      <c r="AV27" s="92">
        <f t="shared" si="9"/>
        <v>0</v>
      </c>
      <c r="AW27" s="92">
        <f t="shared" si="9"/>
        <v>0</v>
      </c>
      <c r="AX27" s="92">
        <f t="shared" si="9"/>
        <v>0</v>
      </c>
      <c r="AY27" s="92">
        <f t="shared" si="9"/>
        <v>0</v>
      </c>
      <c r="AZ27" s="91">
        <f>IF(AND(AZ9&lt;&gt;"",AZ9&gt;0),(VLOOKUP(AZ$6,$CC$6:$CE$12,3,0)*AZ9)/SUM($AZ9:$BD9),0)</f>
        <v>0</v>
      </c>
      <c r="BA27" s="92">
        <f t="shared" si="10"/>
        <v>0</v>
      </c>
      <c r="BB27" s="92">
        <f t="shared" si="10"/>
        <v>0</v>
      </c>
      <c r="BC27" s="92">
        <f>IF(AND(BC9&lt;&gt;"",BC9&gt;0),(VLOOKUP(BC$6,$CC$6:$CE$12,3,0)*BC9)/SUM($AZ9:$BD9),0)</f>
        <v>0</v>
      </c>
      <c r="BD27" s="92">
        <f t="shared" si="10"/>
        <v>0</v>
      </c>
      <c r="BE27" s="92">
        <f>IF(AND(BE9&lt;&gt;"",BE9&gt;0),(VLOOKUP(BE$6,$CC$6:$CE$12,3,0)*BE9)/SUM($AZ9:$BD9),0)</f>
        <v>0</v>
      </c>
      <c r="BF27" s="92">
        <f t="shared" ref="BF27:BK27" si="21">IF(AND(BF9&lt;&gt;"",BF9&gt;0),(VLOOKUP(BF$6,$CC$6:$CE$12,3,0)*BF9)/SUM($BF9:$BJ9),0)</f>
        <v>0</v>
      </c>
      <c r="BG27" s="92">
        <f t="shared" si="21"/>
        <v>0</v>
      </c>
      <c r="BH27" s="92">
        <f t="shared" si="21"/>
        <v>0</v>
      </c>
      <c r="BI27" s="92">
        <f t="shared" si="21"/>
        <v>0</v>
      </c>
      <c r="BJ27" s="92">
        <f t="shared" si="21"/>
        <v>0</v>
      </c>
      <c r="BK27" s="92">
        <f t="shared" si="21"/>
        <v>0</v>
      </c>
      <c r="BL27" s="91">
        <f t="shared" ref="BL27:BQ27" si="22">IF(AND(BL9&lt;&gt;"",BL9&gt;0),(VLOOKUP(BL$6,$CC$6:$CE$12,3,0)*BL9)/SUM($BL9:$BP9),0)</f>
        <v>0</v>
      </c>
      <c r="BM27" s="91">
        <f t="shared" si="22"/>
        <v>0</v>
      </c>
      <c r="BN27" s="91">
        <f t="shared" si="22"/>
        <v>0</v>
      </c>
      <c r="BO27" s="91">
        <f t="shared" si="22"/>
        <v>0</v>
      </c>
      <c r="BP27" s="91">
        <f t="shared" si="22"/>
        <v>0</v>
      </c>
      <c r="BQ27" s="91">
        <f t="shared" si="22"/>
        <v>0</v>
      </c>
      <c r="BR27" s="91">
        <f t="shared" ref="BR27:BW27" si="23">IF(AND(BR9&lt;&gt;"",BR9&gt;0),(VLOOKUP(BR$6,$CC$6:$CE$12,3,0)*BR9)/SUM($BR9:$BV9),0)</f>
        <v>0</v>
      </c>
      <c r="BS27" s="91">
        <f t="shared" si="23"/>
        <v>0</v>
      </c>
      <c r="BT27" s="91">
        <f t="shared" si="23"/>
        <v>0</v>
      </c>
      <c r="BU27" s="91">
        <f t="shared" si="23"/>
        <v>0</v>
      </c>
      <c r="BV27" s="91">
        <f t="shared" si="23"/>
        <v>0</v>
      </c>
      <c r="BW27" s="91">
        <f t="shared" si="23"/>
        <v>0</v>
      </c>
    </row>
    <row r="28" spans="2:75" x14ac:dyDescent="0.3">
      <c r="B28" s="74">
        <v>4</v>
      </c>
      <c r="C28" s="75" t="str">
        <f>C10</f>
        <v>Seguridad</v>
      </c>
      <c r="D28" s="145">
        <f t="shared" si="14"/>
        <v>71</v>
      </c>
      <c r="E28" s="146">
        <f t="shared" si="14"/>
        <v>64</v>
      </c>
      <c r="F28" s="78">
        <f t="shared" si="15"/>
        <v>0.90140845070422537</v>
      </c>
      <c r="G28" s="77">
        <f t="shared" si="15"/>
        <v>7</v>
      </c>
      <c r="H28" s="78">
        <f t="shared" si="15"/>
        <v>9.8591549295774641E-2</v>
      </c>
      <c r="I28" s="69">
        <f t="shared" si="15"/>
        <v>8</v>
      </c>
      <c r="J28" s="91">
        <f t="shared" si="3"/>
        <v>0</v>
      </c>
      <c r="K28" s="92">
        <f t="shared" si="3"/>
        <v>0</v>
      </c>
      <c r="L28" s="92">
        <f t="shared" si="3"/>
        <v>0</v>
      </c>
      <c r="M28" s="92">
        <f t="shared" si="3"/>
        <v>0</v>
      </c>
      <c r="N28" s="92">
        <f t="shared" si="3"/>
        <v>0</v>
      </c>
      <c r="O28" s="92">
        <f t="shared" si="3"/>
        <v>0</v>
      </c>
      <c r="P28" s="91">
        <f t="shared" si="4"/>
        <v>0</v>
      </c>
      <c r="Q28" s="92">
        <f t="shared" si="4"/>
        <v>0</v>
      </c>
      <c r="R28" s="92">
        <f t="shared" si="4"/>
        <v>0</v>
      </c>
      <c r="S28" s="92">
        <f t="shared" si="4"/>
        <v>0</v>
      </c>
      <c r="T28" s="92">
        <f t="shared" si="4"/>
        <v>0</v>
      </c>
      <c r="U28" s="92">
        <f t="shared" si="4"/>
        <v>0</v>
      </c>
      <c r="V28" s="91">
        <f t="shared" si="19"/>
        <v>0</v>
      </c>
      <c r="W28" s="92">
        <f t="shared" si="19"/>
        <v>0</v>
      </c>
      <c r="X28" s="92">
        <f t="shared" si="19"/>
        <v>0</v>
      </c>
      <c r="Y28" s="92">
        <f t="shared" si="19"/>
        <v>0</v>
      </c>
      <c r="Z28" s="92">
        <f t="shared" si="19"/>
        <v>0</v>
      </c>
      <c r="AA28" s="92">
        <f t="shared" si="19"/>
        <v>0</v>
      </c>
      <c r="AB28" s="91">
        <f t="shared" si="20"/>
        <v>0</v>
      </c>
      <c r="AC28" s="92">
        <f t="shared" si="20"/>
        <v>0</v>
      </c>
      <c r="AD28" s="92">
        <f t="shared" si="20"/>
        <v>0</v>
      </c>
      <c r="AE28" s="92">
        <f t="shared" si="20"/>
        <v>0</v>
      </c>
      <c r="AF28" s="92">
        <f t="shared" si="20"/>
        <v>0</v>
      </c>
      <c r="AG28" s="92">
        <f t="shared" si="20"/>
        <v>0</v>
      </c>
      <c r="AH28" s="91">
        <f t="shared" ref="AH28:AM35" si="24">IF(AND(AH10&lt;&gt;"",AH10&gt;0),(VLOOKUP(AH$6,$CC$6:$CE$12,3,0)*AH10)/SUM($AH10:$AL10),0)</f>
        <v>0</v>
      </c>
      <c r="AI28" s="92">
        <f t="shared" si="24"/>
        <v>0</v>
      </c>
      <c r="AJ28" s="92">
        <f t="shared" si="24"/>
        <v>0</v>
      </c>
      <c r="AK28" s="92">
        <f t="shared" si="24"/>
        <v>0</v>
      </c>
      <c r="AL28" s="92">
        <f t="shared" si="24"/>
        <v>0</v>
      </c>
      <c r="AM28" s="92">
        <f t="shared" si="24"/>
        <v>0</v>
      </c>
      <c r="AN28" s="91">
        <f t="shared" si="8"/>
        <v>0</v>
      </c>
      <c r="AO28" s="92">
        <f t="shared" si="8"/>
        <v>0</v>
      </c>
      <c r="AP28" s="92">
        <f t="shared" si="8"/>
        <v>0</v>
      </c>
      <c r="AQ28" s="92">
        <f t="shared" si="8"/>
        <v>0</v>
      </c>
      <c r="AR28" s="92">
        <f t="shared" si="8"/>
        <v>0</v>
      </c>
      <c r="AS28" s="92">
        <f t="shared" si="8"/>
        <v>0</v>
      </c>
      <c r="AT28" s="91">
        <f t="shared" si="9"/>
        <v>0</v>
      </c>
      <c r="AU28" s="92">
        <f t="shared" si="9"/>
        <v>0</v>
      </c>
      <c r="AV28" s="92">
        <f t="shared" si="9"/>
        <v>0</v>
      </c>
      <c r="AW28" s="92">
        <f t="shared" si="9"/>
        <v>0</v>
      </c>
      <c r="AX28" s="92">
        <f t="shared" si="9"/>
        <v>0</v>
      </c>
      <c r="AY28" s="92">
        <f t="shared" si="9"/>
        <v>0</v>
      </c>
      <c r="AZ28" s="91">
        <f t="shared" si="10"/>
        <v>0</v>
      </c>
      <c r="BA28" s="92">
        <f t="shared" si="10"/>
        <v>0</v>
      </c>
      <c r="BB28" s="92">
        <f t="shared" si="10"/>
        <v>0</v>
      </c>
      <c r="BC28" s="92">
        <f t="shared" si="10"/>
        <v>0</v>
      </c>
      <c r="BD28" s="92">
        <f t="shared" si="10"/>
        <v>0</v>
      </c>
      <c r="BE28" s="92">
        <f t="shared" si="10"/>
        <v>0</v>
      </c>
      <c r="BF28" s="92">
        <f t="shared" ref="BF28:BK28" si="25">IF(AND(BF10&lt;&gt;"",BF10&gt;0),(VLOOKUP(BF$6,$CC$6:$CE$12,3,0)*BF10)/SUM($BF10:$BJ10),0)</f>
        <v>0</v>
      </c>
      <c r="BG28" s="92">
        <f t="shared" si="25"/>
        <v>0</v>
      </c>
      <c r="BH28" s="92">
        <f t="shared" si="25"/>
        <v>0</v>
      </c>
      <c r="BI28" s="92">
        <f t="shared" si="25"/>
        <v>0</v>
      </c>
      <c r="BJ28" s="92">
        <f t="shared" si="25"/>
        <v>0</v>
      </c>
      <c r="BK28" s="92">
        <f t="shared" si="25"/>
        <v>0</v>
      </c>
      <c r="BL28" s="91">
        <f t="shared" ref="BL28:BN28" si="26">IF(AND(BL10&lt;&gt;"",BL10&gt;0),(VLOOKUP(BL$6,$CC$6:$CE$12,3,0)*BL10)/SUM($BL10:$BP10),0)</f>
        <v>0</v>
      </c>
      <c r="BM28" s="91">
        <f t="shared" si="26"/>
        <v>0</v>
      </c>
      <c r="BN28" s="91">
        <f t="shared" si="26"/>
        <v>0</v>
      </c>
      <c r="BO28" s="91">
        <f>IF(AND(BO10&lt;&gt;"",BO10&gt;0),(VLOOKUP(BO$6,$CC$6:$CE$12,3,0)*BO10)/SUM($BL10:$BP10),0)</f>
        <v>0</v>
      </c>
      <c r="BP28" s="91">
        <f>IF(AND(BP10&lt;&gt;"",BP10&gt;0),(VLOOKUP(BP$6,$CC$6:$CE$12,3,0)*BP10)/SUM($BL10:$BP10),0)</f>
        <v>0</v>
      </c>
      <c r="BQ28" s="91">
        <f>IF(AND(BQ10&lt;&gt;"",BQ10&gt;0),(VLOOKUP(BQ$6,$CC$6:$CE$12,3,0)*BQ10)/SUM($BL10:$BP10),0)</f>
        <v>0</v>
      </c>
      <c r="BR28" s="91">
        <f t="shared" ref="BR28:BW28" si="27">IF(AND(BR10&lt;&gt;"",BR10&gt;0),(VLOOKUP(BR$6,$CC$6:$CE$12,3,0)*BR10)/SUM($BR10:$BV10),0)</f>
        <v>0</v>
      </c>
      <c r="BS28" s="91">
        <f t="shared" si="27"/>
        <v>0</v>
      </c>
      <c r="BT28" s="91">
        <f t="shared" si="27"/>
        <v>0</v>
      </c>
      <c r="BU28" s="91">
        <f t="shared" si="27"/>
        <v>0</v>
      </c>
      <c r="BV28" s="91">
        <f t="shared" si="27"/>
        <v>0</v>
      </c>
      <c r="BW28" s="91">
        <f t="shared" si="27"/>
        <v>0</v>
      </c>
    </row>
    <row r="29" spans="2:75" x14ac:dyDescent="0.3">
      <c r="B29" s="74">
        <v>5</v>
      </c>
      <c r="C29" s="75" t="str">
        <f>C11</f>
        <v>Legal</v>
      </c>
      <c r="D29" s="145">
        <f t="shared" si="14"/>
        <v>58</v>
      </c>
      <c r="E29" s="146">
        <f t="shared" si="14"/>
        <v>51</v>
      </c>
      <c r="F29" s="78">
        <f t="shared" si="15"/>
        <v>0.87931034482758619</v>
      </c>
      <c r="G29" s="77">
        <f t="shared" si="15"/>
        <v>7</v>
      </c>
      <c r="H29" s="78">
        <f t="shared" si="15"/>
        <v>0.1206896551724138</v>
      </c>
      <c r="I29" s="69">
        <f t="shared" si="15"/>
        <v>5</v>
      </c>
      <c r="J29" s="91">
        <f t="shared" si="3"/>
        <v>0</v>
      </c>
      <c r="K29" s="92">
        <f t="shared" si="3"/>
        <v>0</v>
      </c>
      <c r="L29" s="92">
        <f t="shared" si="3"/>
        <v>0</v>
      </c>
      <c r="M29" s="92">
        <f t="shared" si="3"/>
        <v>0</v>
      </c>
      <c r="N29" s="92">
        <f t="shared" si="3"/>
        <v>0</v>
      </c>
      <c r="O29" s="92">
        <f t="shared" si="3"/>
        <v>0</v>
      </c>
      <c r="P29" s="91">
        <f t="shared" si="4"/>
        <v>0</v>
      </c>
      <c r="Q29" s="92">
        <f t="shared" si="4"/>
        <v>0</v>
      </c>
      <c r="R29" s="92">
        <f t="shared" si="4"/>
        <v>0</v>
      </c>
      <c r="S29" s="92">
        <f t="shared" si="4"/>
        <v>0</v>
      </c>
      <c r="T29" s="92">
        <f t="shared" si="4"/>
        <v>0</v>
      </c>
      <c r="U29" s="92">
        <f t="shared" si="4"/>
        <v>0</v>
      </c>
      <c r="V29" s="91">
        <f t="shared" si="19"/>
        <v>0</v>
      </c>
      <c r="W29" s="92">
        <f t="shared" si="19"/>
        <v>0</v>
      </c>
      <c r="X29" s="92">
        <f t="shared" si="19"/>
        <v>0</v>
      </c>
      <c r="Y29" s="92">
        <f t="shared" si="19"/>
        <v>0</v>
      </c>
      <c r="Z29" s="92">
        <f t="shared" si="19"/>
        <v>0</v>
      </c>
      <c r="AA29" s="92">
        <f t="shared" si="19"/>
        <v>0</v>
      </c>
      <c r="AB29" s="91">
        <f t="shared" si="20"/>
        <v>0</v>
      </c>
      <c r="AC29" s="92">
        <f t="shared" si="20"/>
        <v>0</v>
      </c>
      <c r="AD29" s="92">
        <f t="shared" si="20"/>
        <v>0</v>
      </c>
      <c r="AE29" s="92">
        <f t="shared" si="20"/>
        <v>0</v>
      </c>
      <c r="AF29" s="92">
        <f t="shared" si="20"/>
        <v>0</v>
      </c>
      <c r="AG29" s="92">
        <f t="shared" si="20"/>
        <v>0</v>
      </c>
      <c r="AH29" s="91">
        <f t="shared" si="24"/>
        <v>0</v>
      </c>
      <c r="AI29" s="92">
        <f t="shared" si="24"/>
        <v>0</v>
      </c>
      <c r="AJ29" s="92">
        <f t="shared" si="24"/>
        <v>0</v>
      </c>
      <c r="AK29" s="92">
        <f t="shared" si="24"/>
        <v>0</v>
      </c>
      <c r="AL29" s="92">
        <f t="shared" si="24"/>
        <v>0</v>
      </c>
      <c r="AM29" s="92">
        <f t="shared" si="24"/>
        <v>0</v>
      </c>
      <c r="AN29" s="91">
        <f t="shared" si="8"/>
        <v>0</v>
      </c>
      <c r="AO29" s="92">
        <f t="shared" si="8"/>
        <v>0</v>
      </c>
      <c r="AP29" s="92">
        <f t="shared" si="8"/>
        <v>0</v>
      </c>
      <c r="AQ29" s="92">
        <f t="shared" si="8"/>
        <v>0</v>
      </c>
      <c r="AR29" s="92">
        <f t="shared" si="8"/>
        <v>0</v>
      </c>
      <c r="AS29" s="92">
        <f t="shared" si="8"/>
        <v>0</v>
      </c>
      <c r="AT29" s="91">
        <f t="shared" si="9"/>
        <v>0</v>
      </c>
      <c r="AU29" s="92">
        <f t="shared" si="9"/>
        <v>0</v>
      </c>
      <c r="AV29" s="92">
        <f t="shared" si="9"/>
        <v>0</v>
      </c>
      <c r="AW29" s="92">
        <f t="shared" si="9"/>
        <v>0</v>
      </c>
      <c r="AX29" s="92">
        <f t="shared" si="9"/>
        <v>0</v>
      </c>
      <c r="AY29" s="92">
        <f t="shared" si="9"/>
        <v>0</v>
      </c>
      <c r="AZ29" s="91">
        <f t="shared" si="10"/>
        <v>0</v>
      </c>
      <c r="BA29" s="92">
        <f t="shared" si="10"/>
        <v>0</v>
      </c>
      <c r="BB29" s="92">
        <f t="shared" si="10"/>
        <v>0</v>
      </c>
      <c r="BC29" s="92">
        <f t="shared" si="10"/>
        <v>0</v>
      </c>
      <c r="BD29" s="92">
        <f t="shared" si="10"/>
        <v>0</v>
      </c>
      <c r="BE29" s="92">
        <f t="shared" si="10"/>
        <v>0</v>
      </c>
      <c r="BF29" s="92">
        <f t="shared" ref="BF29:BK29" si="28">IF(AND(BF11&lt;&gt;"",BF11&gt;0),(VLOOKUP(BF$6,$CC$6:$CE$12,3,0)*BF11)/SUM($BF11:$BJ11),0)</f>
        <v>0</v>
      </c>
      <c r="BG29" s="92">
        <f t="shared" si="28"/>
        <v>0</v>
      </c>
      <c r="BH29" s="92">
        <f t="shared" si="28"/>
        <v>0</v>
      </c>
      <c r="BI29" s="92">
        <f t="shared" si="28"/>
        <v>0</v>
      </c>
      <c r="BJ29" s="92">
        <f t="shared" si="28"/>
        <v>0</v>
      </c>
      <c r="BK29" s="92">
        <f t="shared" si="28"/>
        <v>0</v>
      </c>
      <c r="BL29" s="91">
        <f t="shared" ref="BL29:BQ29" si="29">IF(AND(BL11&lt;&gt;"",BL11&gt;0),(VLOOKUP(BL$6,$CC$6:$CE$12,3,0)*BL11)/SUM($BL11:$BP11),0)</f>
        <v>0</v>
      </c>
      <c r="BM29" s="91">
        <f t="shared" si="29"/>
        <v>0</v>
      </c>
      <c r="BN29" s="91">
        <f t="shared" si="29"/>
        <v>0</v>
      </c>
      <c r="BO29" s="91">
        <f t="shared" si="29"/>
        <v>0</v>
      </c>
      <c r="BP29" s="91">
        <f t="shared" si="29"/>
        <v>0</v>
      </c>
      <c r="BQ29" s="91">
        <f t="shared" si="29"/>
        <v>0</v>
      </c>
      <c r="BR29" s="91">
        <f t="shared" ref="BR29:BW29" si="30">IF(AND(BR11&lt;&gt;"",BR11&gt;0),(VLOOKUP(BR$6,$CC$6:$CE$12,3,0)*BR11)/SUM($BR11:$BV11),0)</f>
        <v>0</v>
      </c>
      <c r="BS29" s="91">
        <f t="shared" si="30"/>
        <v>0</v>
      </c>
      <c r="BT29" s="91">
        <f t="shared" si="30"/>
        <v>0</v>
      </c>
      <c r="BU29" s="91">
        <f t="shared" si="30"/>
        <v>0</v>
      </c>
      <c r="BV29" s="91">
        <f t="shared" si="30"/>
        <v>0</v>
      </c>
      <c r="BW29" s="91">
        <f t="shared" si="30"/>
        <v>0</v>
      </c>
    </row>
    <row r="30" spans="2:75" x14ac:dyDescent="0.3">
      <c r="B30" s="74">
        <v>6</v>
      </c>
      <c r="C30" s="75" t="str">
        <f t="shared" ref="C30:C35" si="31">C12</f>
        <v>Calidad</v>
      </c>
      <c r="D30" s="145">
        <f>D12</f>
        <v>70</v>
      </c>
      <c r="E30" s="146">
        <f t="shared" ref="E30:E35" si="32">E12</f>
        <v>49</v>
      </c>
      <c r="F30" s="78">
        <f t="shared" si="15"/>
        <v>0.7</v>
      </c>
      <c r="G30" s="77">
        <f t="shared" si="15"/>
        <v>21</v>
      </c>
      <c r="H30" s="78">
        <f t="shared" si="15"/>
        <v>0.3</v>
      </c>
      <c r="I30" s="152">
        <f t="shared" si="15"/>
        <v>9</v>
      </c>
      <c r="J30" s="91">
        <f t="shared" si="3"/>
        <v>0</v>
      </c>
      <c r="K30" s="92">
        <f t="shared" si="3"/>
        <v>0</v>
      </c>
      <c r="L30" s="92">
        <f t="shared" si="3"/>
        <v>0</v>
      </c>
      <c r="M30" s="92">
        <f t="shared" si="3"/>
        <v>0</v>
      </c>
      <c r="N30" s="92">
        <f t="shared" si="3"/>
        <v>0</v>
      </c>
      <c r="O30" s="92">
        <f t="shared" si="3"/>
        <v>0</v>
      </c>
      <c r="P30" s="91">
        <f t="shared" si="4"/>
        <v>0</v>
      </c>
      <c r="Q30" s="92">
        <f t="shared" si="4"/>
        <v>0</v>
      </c>
      <c r="R30" s="92">
        <f t="shared" si="4"/>
        <v>0</v>
      </c>
      <c r="S30" s="92">
        <f t="shared" si="4"/>
        <v>0</v>
      </c>
      <c r="T30" s="92">
        <f t="shared" si="4"/>
        <v>0</v>
      </c>
      <c r="U30" s="92">
        <f t="shared" si="4"/>
        <v>0</v>
      </c>
      <c r="V30" s="91">
        <f t="shared" si="19"/>
        <v>0</v>
      </c>
      <c r="W30" s="92">
        <f t="shared" si="19"/>
        <v>0</v>
      </c>
      <c r="X30" s="92">
        <f t="shared" si="19"/>
        <v>0</v>
      </c>
      <c r="Y30" s="92">
        <f t="shared" si="19"/>
        <v>0</v>
      </c>
      <c r="Z30" s="92">
        <f t="shared" si="19"/>
        <v>0</v>
      </c>
      <c r="AA30" s="92">
        <f t="shared" si="19"/>
        <v>0</v>
      </c>
      <c r="AB30" s="91">
        <f t="shared" si="20"/>
        <v>0</v>
      </c>
      <c r="AC30" s="92">
        <f t="shared" si="20"/>
        <v>0</v>
      </c>
      <c r="AD30" s="92">
        <f t="shared" si="20"/>
        <v>0</v>
      </c>
      <c r="AE30" s="92">
        <f t="shared" si="20"/>
        <v>0</v>
      </c>
      <c r="AF30" s="92">
        <f t="shared" si="20"/>
        <v>0</v>
      </c>
      <c r="AG30" s="92">
        <f t="shared" si="20"/>
        <v>0</v>
      </c>
      <c r="AH30" s="91">
        <f t="shared" si="24"/>
        <v>0</v>
      </c>
      <c r="AI30" s="92">
        <f t="shared" si="24"/>
        <v>0</v>
      </c>
      <c r="AJ30" s="92">
        <f t="shared" si="24"/>
        <v>0</v>
      </c>
      <c r="AK30" s="92">
        <f t="shared" si="24"/>
        <v>0</v>
      </c>
      <c r="AL30" s="92">
        <f t="shared" si="24"/>
        <v>0</v>
      </c>
      <c r="AM30" s="92">
        <f t="shared" si="24"/>
        <v>0</v>
      </c>
      <c r="AN30" s="91">
        <f t="shared" si="8"/>
        <v>0</v>
      </c>
      <c r="AO30" s="92">
        <f t="shared" si="8"/>
        <v>0</v>
      </c>
      <c r="AP30" s="92">
        <f t="shared" si="8"/>
        <v>0</v>
      </c>
      <c r="AQ30" s="92">
        <f>IF(AND(AQ12&lt;&gt;"",AQ12&gt;0),(VLOOKUP(AQ$6,$CC$6:$CE$12,3,0)*AQ12)/SUM($AN12:$AR12),0)</f>
        <v>0</v>
      </c>
      <c r="AR30" s="92">
        <f t="shared" si="8"/>
        <v>0</v>
      </c>
      <c r="AS30" s="92">
        <f t="shared" si="8"/>
        <v>0</v>
      </c>
      <c r="AT30" s="91">
        <f t="shared" si="9"/>
        <v>0</v>
      </c>
      <c r="AU30" s="92">
        <f t="shared" si="9"/>
        <v>0</v>
      </c>
      <c r="AV30" s="92">
        <f t="shared" si="9"/>
        <v>0</v>
      </c>
      <c r="AW30" s="92">
        <f t="shared" si="9"/>
        <v>0</v>
      </c>
      <c r="AX30" s="92">
        <f t="shared" si="9"/>
        <v>0</v>
      </c>
      <c r="AY30" s="92">
        <f t="shared" si="9"/>
        <v>0</v>
      </c>
      <c r="AZ30" s="91">
        <f t="shared" si="10"/>
        <v>0</v>
      </c>
      <c r="BA30" s="92">
        <f t="shared" si="10"/>
        <v>0</v>
      </c>
      <c r="BB30" s="92">
        <f t="shared" si="10"/>
        <v>0</v>
      </c>
      <c r="BC30" s="92">
        <f t="shared" si="10"/>
        <v>0</v>
      </c>
      <c r="BD30" s="92">
        <f t="shared" si="10"/>
        <v>0</v>
      </c>
      <c r="BE30" s="92">
        <f t="shared" si="10"/>
        <v>0</v>
      </c>
      <c r="BF30" s="92">
        <f t="shared" ref="BF30:BK30" si="33">IF(AND(BF12&lt;&gt;"",BF12&gt;0),(VLOOKUP(BF$6,$CC$6:$CE$12,3,0)*BF12)/SUM($BF12:$BJ12),0)</f>
        <v>0</v>
      </c>
      <c r="BG30" s="92">
        <f t="shared" si="33"/>
        <v>0</v>
      </c>
      <c r="BH30" s="92">
        <f t="shared" si="33"/>
        <v>0</v>
      </c>
      <c r="BI30" s="92">
        <f t="shared" si="33"/>
        <v>0</v>
      </c>
      <c r="BJ30" s="92">
        <f>IF(AND(BJ12&lt;&gt;"",BJ12&gt;0),(VLOOKUP(BJ$6,$CC$6:$CE$12,3,0)*BJ12)/SUM($BF12:$BJ12),0)</f>
        <v>0</v>
      </c>
      <c r="BK30" s="92">
        <f t="shared" si="33"/>
        <v>0</v>
      </c>
      <c r="BL30" s="91">
        <f t="shared" ref="BL30:BQ30" si="34">IF(AND(BL12&lt;&gt;"",BL12&gt;0),(VLOOKUP(BL$6,$CC$6:$CE$12,3,0)*BL12)/SUM($BL12:$BP12),0)</f>
        <v>0</v>
      </c>
      <c r="BM30" s="91">
        <f t="shared" si="34"/>
        <v>0</v>
      </c>
      <c r="BN30" s="91">
        <f t="shared" si="34"/>
        <v>0</v>
      </c>
      <c r="BO30" s="91">
        <f t="shared" si="34"/>
        <v>0</v>
      </c>
      <c r="BP30" s="91">
        <f t="shared" si="34"/>
        <v>0</v>
      </c>
      <c r="BQ30" s="91">
        <f t="shared" si="34"/>
        <v>0</v>
      </c>
      <c r="BR30" s="91">
        <f t="shared" ref="BR30:BW30" si="35">IF(AND(BR12&lt;&gt;"",BR12&gt;0),(VLOOKUP(BR$6,$CC$6:$CE$12,3,0)*BR12)/SUM($BR12:$BV12),0)</f>
        <v>0</v>
      </c>
      <c r="BS30" s="91">
        <f t="shared" si="35"/>
        <v>0</v>
      </c>
      <c r="BT30" s="91">
        <f>IF(AND(BT12&lt;&gt;"",BT12&gt;0),(VLOOKUP(BT$6,$CC$6:$CE$12,3,0)*BT12)/SUM($BR12:$BV12),0)</f>
        <v>0</v>
      </c>
      <c r="BU30" s="91">
        <f t="shared" si="35"/>
        <v>0</v>
      </c>
      <c r="BV30" s="91">
        <f t="shared" si="35"/>
        <v>0</v>
      </c>
      <c r="BW30" s="91">
        <f t="shared" si="35"/>
        <v>0</v>
      </c>
    </row>
    <row r="31" spans="2:75" x14ac:dyDescent="0.3">
      <c r="B31" s="74">
        <v>7</v>
      </c>
      <c r="C31" s="75" t="str">
        <f t="shared" si="31"/>
        <v>Administración</v>
      </c>
      <c r="D31" s="145">
        <f t="shared" si="14"/>
        <v>98</v>
      </c>
      <c r="E31" s="146">
        <f t="shared" si="32"/>
        <v>88</v>
      </c>
      <c r="F31" s="78">
        <f t="shared" si="15"/>
        <v>0.89795918367346939</v>
      </c>
      <c r="G31" s="77">
        <f t="shared" si="15"/>
        <v>10</v>
      </c>
      <c r="H31" s="78">
        <f t="shared" si="15"/>
        <v>0.10204081632653061</v>
      </c>
      <c r="I31" s="69">
        <f t="shared" si="15"/>
        <v>4</v>
      </c>
      <c r="J31" s="91">
        <f t="shared" si="3"/>
        <v>0</v>
      </c>
      <c r="K31" s="92">
        <f t="shared" si="3"/>
        <v>0</v>
      </c>
      <c r="L31" s="92">
        <f t="shared" si="3"/>
        <v>0</v>
      </c>
      <c r="M31" s="92">
        <f t="shared" si="3"/>
        <v>0</v>
      </c>
      <c r="N31" s="92">
        <f t="shared" si="3"/>
        <v>0</v>
      </c>
      <c r="O31" s="92">
        <f t="shared" si="3"/>
        <v>0</v>
      </c>
      <c r="P31" s="91">
        <f t="shared" si="4"/>
        <v>0</v>
      </c>
      <c r="Q31" s="92">
        <f t="shared" si="4"/>
        <v>0</v>
      </c>
      <c r="R31" s="92">
        <f t="shared" si="4"/>
        <v>0</v>
      </c>
      <c r="S31" s="92">
        <f t="shared" si="4"/>
        <v>0</v>
      </c>
      <c r="T31" s="92">
        <f t="shared" si="4"/>
        <v>0</v>
      </c>
      <c r="U31" s="92">
        <f>IF(AND(U13&lt;&gt;"",U13&gt;0),(VLOOKUP(U$6,$CC$6:$CE$12,3,0)*U13)/SUM($P13:$T13),0)</f>
        <v>0</v>
      </c>
      <c r="V31" s="91">
        <f t="shared" si="19"/>
        <v>0</v>
      </c>
      <c r="W31" s="92">
        <f t="shared" si="19"/>
        <v>0</v>
      </c>
      <c r="X31" s="92">
        <f t="shared" si="19"/>
        <v>0</v>
      </c>
      <c r="Y31" s="92">
        <f t="shared" si="19"/>
        <v>0</v>
      </c>
      <c r="Z31" s="92">
        <f t="shared" si="19"/>
        <v>0</v>
      </c>
      <c r="AA31" s="92">
        <f t="shared" si="19"/>
        <v>0</v>
      </c>
      <c r="AB31" s="91">
        <f t="shared" si="20"/>
        <v>0</v>
      </c>
      <c r="AC31" s="92">
        <f t="shared" si="20"/>
        <v>0</v>
      </c>
      <c r="AD31" s="92">
        <f t="shared" si="20"/>
        <v>0</v>
      </c>
      <c r="AE31" s="92">
        <f t="shared" si="20"/>
        <v>0</v>
      </c>
      <c r="AF31" s="92">
        <f t="shared" si="20"/>
        <v>0</v>
      </c>
      <c r="AG31" s="92">
        <f t="shared" si="20"/>
        <v>0</v>
      </c>
      <c r="AH31" s="91">
        <f t="shared" si="24"/>
        <v>0</v>
      </c>
      <c r="AI31" s="92">
        <f t="shared" si="24"/>
        <v>0</v>
      </c>
      <c r="AJ31" s="92">
        <f t="shared" si="24"/>
        <v>0</v>
      </c>
      <c r="AK31" s="92">
        <f t="shared" si="24"/>
        <v>0</v>
      </c>
      <c r="AL31" s="92">
        <f t="shared" si="24"/>
        <v>0</v>
      </c>
      <c r="AM31" s="92">
        <f t="shared" si="24"/>
        <v>0</v>
      </c>
      <c r="AN31" s="91">
        <f t="shared" si="8"/>
        <v>0</v>
      </c>
      <c r="AO31" s="92">
        <f t="shared" si="8"/>
        <v>0</v>
      </c>
      <c r="AP31" s="92">
        <f t="shared" si="8"/>
        <v>0</v>
      </c>
      <c r="AQ31" s="92">
        <f t="shared" si="8"/>
        <v>0</v>
      </c>
      <c r="AR31" s="92">
        <f>IF(AND(AR13&lt;&gt;"",AR13&gt;0),(VLOOKUP(AR$6,$CC$6:$CE$12,3,0)*AR13)/SUM($AN13:$AR13),0)</f>
        <v>0</v>
      </c>
      <c r="AS31" s="92">
        <f t="shared" si="8"/>
        <v>0</v>
      </c>
      <c r="AT31" s="91">
        <f t="shared" si="9"/>
        <v>0</v>
      </c>
      <c r="AU31" s="92">
        <f t="shared" si="9"/>
        <v>0</v>
      </c>
      <c r="AV31" s="92">
        <f t="shared" si="9"/>
        <v>0</v>
      </c>
      <c r="AW31" s="92">
        <f t="shared" si="9"/>
        <v>0</v>
      </c>
      <c r="AX31" s="92">
        <f>IF(AND(AX13&lt;&gt;"",AX13&gt;0),(VLOOKUP(AX$6,$CC$6:$CE$12,3,0)*AX13)/SUM($AT13:$AX13),0)</f>
        <v>0</v>
      </c>
      <c r="AY31" s="92">
        <f t="shared" si="9"/>
        <v>0</v>
      </c>
      <c r="AZ31" s="91">
        <f t="shared" si="10"/>
        <v>0</v>
      </c>
      <c r="BA31" s="92">
        <f t="shared" si="10"/>
        <v>0</v>
      </c>
      <c r="BB31" s="92">
        <f t="shared" si="10"/>
        <v>0</v>
      </c>
      <c r="BC31" s="92">
        <f t="shared" si="10"/>
        <v>0</v>
      </c>
      <c r="BD31" s="92">
        <f t="shared" si="10"/>
        <v>0</v>
      </c>
      <c r="BE31" s="92">
        <f t="shared" si="10"/>
        <v>0</v>
      </c>
      <c r="BF31" s="92">
        <f t="shared" ref="BF31:BK31" si="36">IF(AND(BF13&lt;&gt;"",BF13&gt;0),(VLOOKUP(BF$6,$CC$6:$CE$12,3,0)*BF13)/SUM($BF13:$BJ13),0)</f>
        <v>0</v>
      </c>
      <c r="BG31" s="92">
        <f t="shared" si="36"/>
        <v>0</v>
      </c>
      <c r="BH31" s="92">
        <f t="shared" si="36"/>
        <v>0</v>
      </c>
      <c r="BI31" s="92">
        <f t="shared" si="36"/>
        <v>0</v>
      </c>
      <c r="BJ31" s="92">
        <f t="shared" si="36"/>
        <v>0</v>
      </c>
      <c r="BK31" s="92">
        <f t="shared" si="36"/>
        <v>0</v>
      </c>
      <c r="BL31" s="91">
        <f t="shared" ref="BL31:BQ31" si="37">IF(AND(BL13&lt;&gt;"",BL13&gt;0),(VLOOKUP(BL$6,$CC$6:$CE$12,3,0)*BL13)/SUM($BL13:$BP13),0)</f>
        <v>0</v>
      </c>
      <c r="BM31" s="91">
        <f t="shared" si="37"/>
        <v>0</v>
      </c>
      <c r="BN31" s="91">
        <f t="shared" si="37"/>
        <v>0</v>
      </c>
      <c r="BO31" s="91">
        <f t="shared" si="37"/>
        <v>0</v>
      </c>
      <c r="BP31" s="91">
        <f t="shared" si="37"/>
        <v>0</v>
      </c>
      <c r="BQ31" s="91">
        <f t="shared" si="37"/>
        <v>0</v>
      </c>
      <c r="BR31" s="91">
        <f t="shared" ref="BR31:BV31" si="38">IF(AND(BR13&lt;&gt;"",BR13&gt;0),(VLOOKUP(BR$6,$CC$6:$CE$12,3,0)*BR13)/SUM($BR13:$BV13),0)</f>
        <v>0</v>
      </c>
      <c r="BS31" s="91">
        <f t="shared" si="38"/>
        <v>0</v>
      </c>
      <c r="BT31" s="91">
        <f t="shared" si="38"/>
        <v>0</v>
      </c>
      <c r="BU31" s="91">
        <f t="shared" si="38"/>
        <v>0</v>
      </c>
      <c r="BV31" s="91">
        <f t="shared" si="38"/>
        <v>0</v>
      </c>
      <c r="BW31" s="91">
        <f>IF(AND(BW13&lt;&gt;"",BW13&gt;0),(VLOOKUP(BW$6,$CC$6:$CE$12,3,0)*BW13)/SUM($BR13:$BV13),0)</f>
        <v>0</v>
      </c>
    </row>
    <row r="32" spans="2:75" x14ac:dyDescent="0.3">
      <c r="B32" s="74">
        <v>8</v>
      </c>
      <c r="C32" s="75" t="str">
        <f t="shared" si="31"/>
        <v>Contabilidad</v>
      </c>
      <c r="D32" s="145">
        <f t="shared" si="14"/>
        <v>122</v>
      </c>
      <c r="E32" s="146">
        <f t="shared" si="32"/>
        <v>80</v>
      </c>
      <c r="F32" s="78">
        <f t="shared" si="15"/>
        <v>0.65573770491803274</v>
      </c>
      <c r="G32" s="77">
        <f t="shared" si="15"/>
        <v>42</v>
      </c>
      <c r="H32" s="78">
        <f t="shared" si="15"/>
        <v>0.34426229508196721</v>
      </c>
      <c r="I32" s="69">
        <f t="shared" si="15"/>
        <v>5</v>
      </c>
      <c r="J32" s="91">
        <f t="shared" si="3"/>
        <v>0</v>
      </c>
      <c r="K32" s="92">
        <f t="shared" si="3"/>
        <v>0</v>
      </c>
      <c r="L32" s="92">
        <f t="shared" si="3"/>
        <v>0</v>
      </c>
      <c r="M32" s="92">
        <f t="shared" si="3"/>
        <v>0</v>
      </c>
      <c r="N32" s="92">
        <f t="shared" si="3"/>
        <v>0</v>
      </c>
      <c r="O32" s="92">
        <f t="shared" si="3"/>
        <v>0</v>
      </c>
      <c r="P32" s="91">
        <f t="shared" si="4"/>
        <v>0</v>
      </c>
      <c r="Q32" s="92">
        <f t="shared" si="4"/>
        <v>0</v>
      </c>
      <c r="R32" s="92">
        <f t="shared" si="4"/>
        <v>0</v>
      </c>
      <c r="S32" s="92">
        <f t="shared" si="4"/>
        <v>0</v>
      </c>
      <c r="T32" s="92">
        <f t="shared" si="4"/>
        <v>0</v>
      </c>
      <c r="U32" s="92">
        <f t="shared" si="4"/>
        <v>0</v>
      </c>
      <c r="V32" s="91">
        <f t="shared" si="19"/>
        <v>0</v>
      </c>
      <c r="W32" s="92">
        <f t="shared" si="19"/>
        <v>0</v>
      </c>
      <c r="X32" s="92">
        <f t="shared" si="19"/>
        <v>0</v>
      </c>
      <c r="Y32" s="92">
        <f t="shared" si="19"/>
        <v>0</v>
      </c>
      <c r="Z32" s="92">
        <f t="shared" si="19"/>
        <v>0</v>
      </c>
      <c r="AA32" s="92">
        <f t="shared" si="19"/>
        <v>0</v>
      </c>
      <c r="AB32" s="91">
        <f t="shared" si="20"/>
        <v>0</v>
      </c>
      <c r="AC32" s="92">
        <f t="shared" si="20"/>
        <v>0</v>
      </c>
      <c r="AD32" s="92">
        <f t="shared" si="20"/>
        <v>0</v>
      </c>
      <c r="AE32" s="92">
        <f t="shared" si="20"/>
        <v>0</v>
      </c>
      <c r="AF32" s="92">
        <f t="shared" si="20"/>
        <v>0</v>
      </c>
      <c r="AG32" s="92">
        <f t="shared" si="20"/>
        <v>0</v>
      </c>
      <c r="AH32" s="91">
        <f t="shared" si="24"/>
        <v>0</v>
      </c>
      <c r="AI32" s="92">
        <f t="shared" si="24"/>
        <v>0</v>
      </c>
      <c r="AJ32" s="92">
        <f t="shared" si="24"/>
        <v>0</v>
      </c>
      <c r="AK32" s="92">
        <f t="shared" si="24"/>
        <v>0</v>
      </c>
      <c r="AL32" s="92">
        <f t="shared" si="24"/>
        <v>0</v>
      </c>
      <c r="AM32" s="92">
        <f t="shared" si="24"/>
        <v>0</v>
      </c>
      <c r="AN32" s="91">
        <f t="shared" si="8"/>
        <v>0</v>
      </c>
      <c r="AO32" s="92">
        <f t="shared" si="8"/>
        <v>0</v>
      </c>
      <c r="AP32" s="92">
        <f t="shared" si="8"/>
        <v>0</v>
      </c>
      <c r="AQ32" s="92">
        <f t="shared" si="8"/>
        <v>0</v>
      </c>
      <c r="AR32" s="92">
        <f t="shared" si="8"/>
        <v>0</v>
      </c>
      <c r="AS32" s="92">
        <f>IF(AND(AS14&lt;&gt;"",AS14&gt;0),(VLOOKUP(AS$6,$CC$6:$CE$12,3,0)*AS14)/SUM($AN14:$AR14),0)</f>
        <v>0</v>
      </c>
      <c r="AT32" s="91">
        <f t="shared" si="9"/>
        <v>0</v>
      </c>
      <c r="AU32" s="92">
        <f t="shared" si="9"/>
        <v>0</v>
      </c>
      <c r="AV32" s="92">
        <f t="shared" si="9"/>
        <v>0</v>
      </c>
      <c r="AW32" s="92">
        <f t="shared" si="9"/>
        <v>0</v>
      </c>
      <c r="AX32" s="92">
        <f t="shared" si="9"/>
        <v>0</v>
      </c>
      <c r="AY32" s="92">
        <f t="shared" si="9"/>
        <v>0</v>
      </c>
      <c r="AZ32" s="91">
        <f t="shared" si="10"/>
        <v>0</v>
      </c>
      <c r="BA32" s="92">
        <f t="shared" si="10"/>
        <v>0</v>
      </c>
      <c r="BB32" s="92">
        <f t="shared" si="10"/>
        <v>0</v>
      </c>
      <c r="BC32" s="92">
        <f t="shared" si="10"/>
        <v>0</v>
      </c>
      <c r="BD32" s="92">
        <f t="shared" si="10"/>
        <v>0</v>
      </c>
      <c r="BE32" s="92">
        <f t="shared" si="10"/>
        <v>0</v>
      </c>
      <c r="BF32" s="92">
        <f t="shared" ref="BF32:BJ32" si="39">IF(AND(BF14&lt;&gt;"",BF14&gt;0),(VLOOKUP(BF$6,$CC$6:$CE$12,3,0)*BF14)/SUM($BF14:$BJ14),0)</f>
        <v>0</v>
      </c>
      <c r="BG32" s="92">
        <f t="shared" si="39"/>
        <v>0</v>
      </c>
      <c r="BH32" s="92">
        <f t="shared" si="39"/>
        <v>0</v>
      </c>
      <c r="BI32" s="92">
        <f t="shared" si="39"/>
        <v>0</v>
      </c>
      <c r="BJ32" s="92">
        <f t="shared" si="39"/>
        <v>0</v>
      </c>
      <c r="BK32" s="92">
        <f>IF(AND(BK14&lt;&gt;"",BK14&gt;0),(VLOOKUP(BK$6,$CC$6:$CE$12,3,0)*BK14)/SUM($BF14:$BJ14),0)</f>
        <v>0</v>
      </c>
      <c r="BL32" s="91">
        <f t="shared" ref="BL32:BQ32" si="40">IF(AND(BL14&lt;&gt;"",BL14&gt;0),(VLOOKUP(BL$6,$CC$6:$CE$12,3,0)*BL14)/SUM($BL14:$BP14),0)</f>
        <v>0</v>
      </c>
      <c r="BM32" s="91">
        <f t="shared" si="40"/>
        <v>0</v>
      </c>
      <c r="BN32" s="91">
        <f t="shared" si="40"/>
        <v>0</v>
      </c>
      <c r="BO32" s="91">
        <f t="shared" si="40"/>
        <v>0</v>
      </c>
      <c r="BP32" s="91">
        <f t="shared" si="40"/>
        <v>0</v>
      </c>
      <c r="BQ32" s="91">
        <f t="shared" si="40"/>
        <v>0</v>
      </c>
      <c r="BR32" s="91">
        <f t="shared" ref="BR32:BW32" si="41">IF(AND(BR14&lt;&gt;"",BR14&gt;0),(VLOOKUP(BR$6,$CC$6:$CE$12,3,0)*BR14)/SUM($BR14:$BV14),0)</f>
        <v>0</v>
      </c>
      <c r="BS32" s="91">
        <f>IF(AND(BS14&lt;&gt;"",BS14&gt;0),(VLOOKUP(BS$6,$CC$6:$CE$12,3,0)*BS14)/SUM($BR14:$BV14),0)</f>
        <v>0</v>
      </c>
      <c r="BT32" s="91">
        <f t="shared" si="41"/>
        <v>0</v>
      </c>
      <c r="BU32" s="91">
        <f t="shared" si="41"/>
        <v>0</v>
      </c>
      <c r="BV32" s="91">
        <f t="shared" si="41"/>
        <v>0</v>
      </c>
      <c r="BW32" s="91">
        <f t="shared" si="41"/>
        <v>0</v>
      </c>
    </row>
    <row r="33" spans="2:75" x14ac:dyDescent="0.3">
      <c r="B33" s="74">
        <v>9</v>
      </c>
      <c r="C33" s="75" t="str">
        <f t="shared" si="31"/>
        <v>ControlDeGestión</v>
      </c>
      <c r="D33" s="145">
        <f t="shared" si="14"/>
        <v>105</v>
      </c>
      <c r="E33" s="146">
        <f t="shared" si="32"/>
        <v>93</v>
      </c>
      <c r="F33" s="78">
        <f t="shared" si="15"/>
        <v>0.88571428571428568</v>
      </c>
      <c r="G33" s="77">
        <f t="shared" si="15"/>
        <v>12</v>
      </c>
      <c r="H33" s="78">
        <f t="shared" si="15"/>
        <v>0.11428571428571428</v>
      </c>
      <c r="I33" s="152">
        <f t="shared" si="15"/>
        <v>4</v>
      </c>
      <c r="J33" s="91">
        <f t="shared" si="3"/>
        <v>0</v>
      </c>
      <c r="K33" s="92">
        <f t="shared" si="3"/>
        <v>0</v>
      </c>
      <c r="L33" s="92">
        <f t="shared" si="3"/>
        <v>0</v>
      </c>
      <c r="M33" s="92">
        <f t="shared" si="3"/>
        <v>0</v>
      </c>
      <c r="N33" s="92">
        <f t="shared" si="3"/>
        <v>0</v>
      </c>
      <c r="O33" s="92">
        <f t="shared" si="3"/>
        <v>0</v>
      </c>
      <c r="P33" s="91">
        <f t="shared" si="4"/>
        <v>0</v>
      </c>
      <c r="Q33" s="92">
        <f t="shared" si="4"/>
        <v>0</v>
      </c>
      <c r="R33" s="92">
        <f t="shared" si="4"/>
        <v>0</v>
      </c>
      <c r="S33" s="92">
        <f t="shared" si="4"/>
        <v>0</v>
      </c>
      <c r="T33" s="92">
        <f t="shared" si="4"/>
        <v>0</v>
      </c>
      <c r="U33" s="92">
        <f t="shared" si="4"/>
        <v>0</v>
      </c>
      <c r="V33" s="91">
        <f t="shared" si="5"/>
        <v>0</v>
      </c>
      <c r="W33" s="92">
        <f t="shared" si="5"/>
        <v>0</v>
      </c>
      <c r="X33" s="92">
        <f t="shared" si="5"/>
        <v>0</v>
      </c>
      <c r="Y33" s="92">
        <f t="shared" si="5"/>
        <v>0</v>
      </c>
      <c r="Z33" s="92">
        <f t="shared" si="5"/>
        <v>0</v>
      </c>
      <c r="AA33" s="92">
        <f t="shared" si="5"/>
        <v>0</v>
      </c>
      <c r="AB33" s="91">
        <f t="shared" si="20"/>
        <v>0</v>
      </c>
      <c r="AC33" s="92">
        <f t="shared" si="20"/>
        <v>0</v>
      </c>
      <c r="AD33" s="92">
        <f t="shared" si="20"/>
        <v>0</v>
      </c>
      <c r="AE33" s="92">
        <f t="shared" si="20"/>
        <v>0</v>
      </c>
      <c r="AF33" s="92">
        <f t="shared" si="20"/>
        <v>0</v>
      </c>
      <c r="AG33" s="92">
        <f t="shared" si="20"/>
        <v>0</v>
      </c>
      <c r="AH33" s="91">
        <f t="shared" si="24"/>
        <v>0</v>
      </c>
      <c r="AI33" s="92">
        <f t="shared" si="24"/>
        <v>0</v>
      </c>
      <c r="AJ33" s="92">
        <f t="shared" si="24"/>
        <v>0</v>
      </c>
      <c r="AK33" s="92">
        <f t="shared" si="24"/>
        <v>0</v>
      </c>
      <c r="AL33" s="92">
        <f t="shared" si="24"/>
        <v>0</v>
      </c>
      <c r="AM33" s="92">
        <f t="shared" si="24"/>
        <v>0</v>
      </c>
      <c r="AN33" s="91">
        <f t="shared" si="8"/>
        <v>0</v>
      </c>
      <c r="AO33" s="92">
        <f t="shared" si="8"/>
        <v>0</v>
      </c>
      <c r="AP33" s="92">
        <f t="shared" si="8"/>
        <v>0</v>
      </c>
      <c r="AQ33" s="92">
        <f t="shared" si="8"/>
        <v>0</v>
      </c>
      <c r="AR33" s="92">
        <f t="shared" si="8"/>
        <v>0</v>
      </c>
      <c r="AS33" s="92">
        <f t="shared" si="8"/>
        <v>0</v>
      </c>
      <c r="AT33" s="91">
        <f t="shared" si="9"/>
        <v>0</v>
      </c>
      <c r="AU33" s="92">
        <f t="shared" si="9"/>
        <v>0</v>
      </c>
      <c r="AV33" s="92">
        <f t="shared" si="9"/>
        <v>0</v>
      </c>
      <c r="AW33" s="92">
        <f t="shared" si="9"/>
        <v>0</v>
      </c>
      <c r="AX33" s="92">
        <f t="shared" si="9"/>
        <v>0</v>
      </c>
      <c r="AY33" s="92">
        <f t="shared" si="9"/>
        <v>0</v>
      </c>
      <c r="AZ33" s="91">
        <f t="shared" si="10"/>
        <v>0</v>
      </c>
      <c r="BA33" s="92">
        <f t="shared" si="10"/>
        <v>0</v>
      </c>
      <c r="BB33" s="92">
        <f t="shared" si="10"/>
        <v>0</v>
      </c>
      <c r="BC33" s="92">
        <f t="shared" si="10"/>
        <v>0</v>
      </c>
      <c r="BD33" s="92">
        <f t="shared" si="10"/>
        <v>0</v>
      </c>
      <c r="BE33" s="92">
        <f t="shared" si="10"/>
        <v>0</v>
      </c>
      <c r="BF33" s="92">
        <f t="shared" ref="BF33:BK33" si="42">IF(AND(BF15&lt;&gt;"",BF15&gt;0),(VLOOKUP(BF$6,$CC$6:$CE$12,3,0)*BF15)/SUM($BF15:$BJ15),0)</f>
        <v>0</v>
      </c>
      <c r="BG33" s="92">
        <f t="shared" si="42"/>
        <v>0</v>
      </c>
      <c r="BH33" s="92">
        <f t="shared" si="42"/>
        <v>0</v>
      </c>
      <c r="BI33" s="92">
        <f t="shared" si="42"/>
        <v>0</v>
      </c>
      <c r="BJ33" s="92">
        <f>IF(AND(BJ15&lt;&gt;"",BJ15&gt;0),(VLOOKUP(BJ$6,$CC$6:$CE$12,3,0)*BJ15)/SUM($BF15:$BJ15),0)</f>
        <v>0</v>
      </c>
      <c r="BK33" s="92">
        <f t="shared" si="42"/>
        <v>0</v>
      </c>
      <c r="BL33" s="91">
        <f t="shared" ref="BL33:BP33" si="43">IF(AND(BL15&lt;&gt;"",BL15&gt;0),(VLOOKUP(BL$6,$CC$6:$CE$12,3,0)*BL15)/SUM($BL15:$BP15),0)</f>
        <v>0</v>
      </c>
      <c r="BM33" s="91">
        <f t="shared" si="43"/>
        <v>0</v>
      </c>
      <c r="BN33" s="91">
        <f t="shared" si="43"/>
        <v>0</v>
      </c>
      <c r="BO33" s="91">
        <f t="shared" si="43"/>
        <v>0</v>
      </c>
      <c r="BP33" s="91">
        <f t="shared" si="43"/>
        <v>0</v>
      </c>
      <c r="BQ33" s="91">
        <f>IF(AND(BQ15&lt;&gt;"",BQ15&gt;0),(VLOOKUP(BQ$6,$CC$6:$CE$12,3,0)*BQ15)/SUM($BL15:$BP15),0)</f>
        <v>0</v>
      </c>
      <c r="BR33" s="91">
        <f t="shared" ref="BR33:BW33" si="44">IF(AND(BR15&lt;&gt;"",BR15&gt;0),(VLOOKUP(BR$6,$CC$6:$CE$12,3,0)*BR15)/SUM($BR15:$BV15),0)</f>
        <v>0</v>
      </c>
      <c r="BS33" s="91">
        <f t="shared" si="44"/>
        <v>0</v>
      </c>
      <c r="BT33" s="91">
        <f t="shared" si="44"/>
        <v>0</v>
      </c>
      <c r="BU33" s="91">
        <f t="shared" si="44"/>
        <v>0</v>
      </c>
      <c r="BV33" s="91">
        <f t="shared" si="44"/>
        <v>0</v>
      </c>
      <c r="BW33" s="91">
        <f t="shared" si="44"/>
        <v>0</v>
      </c>
    </row>
    <row r="34" spans="2:75" x14ac:dyDescent="0.3">
      <c r="B34" s="74">
        <v>10</v>
      </c>
      <c r="C34" s="75" t="str">
        <f t="shared" si="31"/>
        <v>Compras</v>
      </c>
      <c r="D34" s="145">
        <f t="shared" si="14"/>
        <v>77</v>
      </c>
      <c r="E34" s="146">
        <f t="shared" si="32"/>
        <v>54</v>
      </c>
      <c r="F34" s="78">
        <f t="shared" si="15"/>
        <v>0.70129870129870131</v>
      </c>
      <c r="G34" s="77">
        <f t="shared" si="15"/>
        <v>23</v>
      </c>
      <c r="H34" s="78">
        <f t="shared" si="15"/>
        <v>0.29870129870129869</v>
      </c>
      <c r="I34" s="69">
        <f>I16</f>
        <v>7</v>
      </c>
      <c r="J34" s="91">
        <f t="shared" si="3"/>
        <v>0</v>
      </c>
      <c r="K34" s="92">
        <f t="shared" si="3"/>
        <v>0</v>
      </c>
      <c r="L34" s="92">
        <f t="shared" si="3"/>
        <v>0</v>
      </c>
      <c r="M34" s="92">
        <f t="shared" si="3"/>
        <v>0</v>
      </c>
      <c r="N34" s="92">
        <f t="shared" si="3"/>
        <v>0</v>
      </c>
      <c r="O34" s="92">
        <f t="shared" si="3"/>
        <v>0</v>
      </c>
      <c r="P34" s="91">
        <f t="shared" si="4"/>
        <v>0</v>
      </c>
      <c r="Q34" s="92">
        <f t="shared" si="4"/>
        <v>0</v>
      </c>
      <c r="R34" s="92">
        <f t="shared" si="4"/>
        <v>0</v>
      </c>
      <c r="S34" s="92">
        <f t="shared" si="4"/>
        <v>0</v>
      </c>
      <c r="T34" s="92">
        <f t="shared" si="4"/>
        <v>0</v>
      </c>
      <c r="U34" s="92">
        <f t="shared" si="4"/>
        <v>0</v>
      </c>
      <c r="V34" s="91">
        <f t="shared" si="5"/>
        <v>0</v>
      </c>
      <c r="W34" s="92">
        <f t="shared" si="5"/>
        <v>0</v>
      </c>
      <c r="X34" s="92">
        <f t="shared" si="5"/>
        <v>0</v>
      </c>
      <c r="Y34" s="92">
        <f t="shared" si="5"/>
        <v>0</v>
      </c>
      <c r="Z34" s="92">
        <f t="shared" si="5"/>
        <v>0</v>
      </c>
      <c r="AA34" s="92">
        <f t="shared" si="5"/>
        <v>0</v>
      </c>
      <c r="AB34" s="91">
        <f t="shared" si="20"/>
        <v>0</v>
      </c>
      <c r="AC34" s="92">
        <f t="shared" si="20"/>
        <v>0</v>
      </c>
      <c r="AD34" s="92">
        <f t="shared" si="20"/>
        <v>0</v>
      </c>
      <c r="AE34" s="92">
        <f t="shared" si="20"/>
        <v>0</v>
      </c>
      <c r="AF34" s="92">
        <f t="shared" si="20"/>
        <v>0</v>
      </c>
      <c r="AG34" s="92">
        <f t="shared" si="20"/>
        <v>0</v>
      </c>
      <c r="AH34" s="91">
        <f t="shared" si="24"/>
        <v>0</v>
      </c>
      <c r="AI34" s="92">
        <f t="shared" si="24"/>
        <v>0</v>
      </c>
      <c r="AJ34" s="92">
        <f t="shared" si="24"/>
        <v>0</v>
      </c>
      <c r="AK34" s="92">
        <f t="shared" si="24"/>
        <v>0</v>
      </c>
      <c r="AL34" s="92">
        <f t="shared" si="24"/>
        <v>0</v>
      </c>
      <c r="AM34" s="92">
        <f t="shared" si="24"/>
        <v>0</v>
      </c>
      <c r="AN34" s="91">
        <f t="shared" si="8"/>
        <v>0</v>
      </c>
      <c r="AO34" s="92">
        <f t="shared" si="8"/>
        <v>0</v>
      </c>
      <c r="AP34" s="92">
        <f t="shared" si="8"/>
        <v>0</v>
      </c>
      <c r="AQ34" s="92">
        <f t="shared" si="8"/>
        <v>0</v>
      </c>
      <c r="AR34" s="92">
        <f t="shared" si="8"/>
        <v>0</v>
      </c>
      <c r="AS34" s="92">
        <f t="shared" si="8"/>
        <v>0</v>
      </c>
      <c r="AT34" s="91">
        <f t="shared" si="9"/>
        <v>0</v>
      </c>
      <c r="AU34" s="92">
        <f t="shared" si="9"/>
        <v>0</v>
      </c>
      <c r="AV34" s="92">
        <f t="shared" si="9"/>
        <v>0</v>
      </c>
      <c r="AW34" s="92">
        <f t="shared" si="9"/>
        <v>0</v>
      </c>
      <c r="AX34" s="92">
        <f t="shared" si="9"/>
        <v>0</v>
      </c>
      <c r="AY34" s="92">
        <f t="shared" si="9"/>
        <v>0</v>
      </c>
      <c r="AZ34" s="91">
        <f t="shared" si="10"/>
        <v>0</v>
      </c>
      <c r="BA34" s="92">
        <f t="shared" si="10"/>
        <v>0</v>
      </c>
      <c r="BB34" s="92">
        <f t="shared" si="10"/>
        <v>0</v>
      </c>
      <c r="BC34" s="92">
        <f t="shared" si="10"/>
        <v>0</v>
      </c>
      <c r="BD34" s="92">
        <f t="shared" si="10"/>
        <v>0</v>
      </c>
      <c r="BE34" s="92">
        <f t="shared" si="10"/>
        <v>0</v>
      </c>
      <c r="BF34" s="92">
        <f t="shared" ref="BF34:BK34" si="45">IF(AND(BF16&lt;&gt;"",BF16&gt;0),(VLOOKUP(BF$6,$CC$6:$CE$12,3,0)*BF16)/SUM($BF16:$BJ16),0)</f>
        <v>0</v>
      </c>
      <c r="BG34" s="92">
        <f t="shared" si="45"/>
        <v>0</v>
      </c>
      <c r="BH34" s="92">
        <f>IF(AND(BH16&lt;&gt;"",BH16&gt;0),(VLOOKUP(BH$6,$CC$6:$CE$12,3,0)*BH16)/SUM($BF16:$BJ16),0)</f>
        <v>0</v>
      </c>
      <c r="BI34" s="92">
        <f>IF(AND(BI16&lt;&gt;"",BI16&gt;0),(VLOOKUP(BI$6,$CC$6:$CE$12,3,0)*BI16)/SUM($BF16:$BJ16),0)</f>
        <v>0</v>
      </c>
      <c r="BJ34" s="92">
        <f t="shared" si="45"/>
        <v>0</v>
      </c>
      <c r="BK34" s="92">
        <f t="shared" si="45"/>
        <v>0</v>
      </c>
      <c r="BL34" s="91">
        <f t="shared" ref="BL34:BQ34" si="46">IF(AND(BL16&lt;&gt;"",BL16&gt;0),(VLOOKUP(BL$6,$CC$6:$CE$12,3,0)*BL16)/SUM($BL16:$BP16),0)</f>
        <v>0</v>
      </c>
      <c r="BM34" s="91">
        <f>IF(AND(BM16&lt;&gt;"",BM16&gt;0),(VLOOKUP(BM$6,$CC$6:$CE$12,3,0)*BM16)/SUM($BL16:$BP16),0)</f>
        <v>0</v>
      </c>
      <c r="BN34" s="91">
        <f t="shared" si="46"/>
        <v>0</v>
      </c>
      <c r="BO34" s="91">
        <f t="shared" si="46"/>
        <v>0</v>
      </c>
      <c r="BP34" s="91">
        <f t="shared" si="46"/>
        <v>0</v>
      </c>
      <c r="BQ34" s="91">
        <f t="shared" si="46"/>
        <v>0</v>
      </c>
      <c r="BR34" s="91">
        <f>IF(AND(BR16&lt;&gt;"",BR16&gt;0),(VLOOKUP(BR$6,$CC$6:$CE$12,3,0)*BR16)/SUM($BR16:$BV16),0)</f>
        <v>0</v>
      </c>
      <c r="BS34" s="91">
        <f t="shared" ref="BS34:BW34" si="47">IF(AND(BS16&lt;&gt;"",BS16&gt;0),(VLOOKUP(BS$6,$CC$6:$CE$12,3,0)*BS16)/SUM($BR16:$BV16),0)</f>
        <v>0</v>
      </c>
      <c r="BT34" s="91">
        <f>IF(AND(BT16&lt;&gt;"",BT16&gt;0),(VLOOKUP(BT$6,$CC$6:$CE$12,3,0)*BT16)/SUM($BR16:$BV16),0)</f>
        <v>0</v>
      </c>
      <c r="BU34" s="91">
        <f t="shared" si="47"/>
        <v>0</v>
      </c>
      <c r="BV34" s="91">
        <f t="shared" si="47"/>
        <v>0</v>
      </c>
      <c r="BW34" s="91">
        <f t="shared" si="47"/>
        <v>0</v>
      </c>
    </row>
    <row r="35" spans="2:75" x14ac:dyDescent="0.3">
      <c r="B35" s="79">
        <v>11</v>
      </c>
      <c r="C35" s="75" t="str">
        <f t="shared" si="31"/>
        <v>RiesgosYCumplimiento</v>
      </c>
      <c r="D35" s="145">
        <f t="shared" si="14"/>
        <v>78</v>
      </c>
      <c r="E35" s="146">
        <f t="shared" si="32"/>
        <v>73</v>
      </c>
      <c r="F35" s="81">
        <f t="shared" si="15"/>
        <v>0.9358974358974359</v>
      </c>
      <c r="G35" s="80">
        <f t="shared" si="15"/>
        <v>5</v>
      </c>
      <c r="H35" s="81">
        <f t="shared" si="15"/>
        <v>6.4102564102564097E-2</v>
      </c>
      <c r="I35" s="153">
        <f t="shared" si="15"/>
        <v>3</v>
      </c>
      <c r="J35" s="93">
        <f t="shared" si="3"/>
        <v>0</v>
      </c>
      <c r="K35" s="94">
        <f t="shared" si="3"/>
        <v>0</v>
      </c>
      <c r="L35" s="94">
        <f t="shared" si="3"/>
        <v>0</v>
      </c>
      <c r="M35" s="94">
        <f t="shared" si="3"/>
        <v>0</v>
      </c>
      <c r="N35" s="94">
        <f t="shared" si="3"/>
        <v>0</v>
      </c>
      <c r="O35" s="94">
        <f t="shared" si="3"/>
        <v>0</v>
      </c>
      <c r="P35" s="93">
        <f t="shared" si="4"/>
        <v>0</v>
      </c>
      <c r="Q35" s="94">
        <f t="shared" si="4"/>
        <v>0</v>
      </c>
      <c r="R35" s="94">
        <f t="shared" si="4"/>
        <v>0</v>
      </c>
      <c r="S35" s="94">
        <f t="shared" si="4"/>
        <v>0</v>
      </c>
      <c r="T35" s="94">
        <f t="shared" si="4"/>
        <v>0</v>
      </c>
      <c r="U35" s="95">
        <f t="shared" si="4"/>
        <v>0</v>
      </c>
      <c r="V35" s="93">
        <f t="shared" si="5"/>
        <v>0</v>
      </c>
      <c r="W35" s="94">
        <f t="shared" si="5"/>
        <v>0</v>
      </c>
      <c r="X35" s="94">
        <f t="shared" si="5"/>
        <v>0</v>
      </c>
      <c r="Y35" s="94">
        <f t="shared" si="5"/>
        <v>0</v>
      </c>
      <c r="Z35" s="94">
        <f t="shared" si="5"/>
        <v>0</v>
      </c>
      <c r="AA35" s="95">
        <f t="shared" si="5"/>
        <v>0</v>
      </c>
      <c r="AB35" s="93">
        <f t="shared" si="20"/>
        <v>0</v>
      </c>
      <c r="AC35" s="94">
        <f t="shared" si="20"/>
        <v>0</v>
      </c>
      <c r="AD35" s="94">
        <f t="shared" si="20"/>
        <v>0</v>
      </c>
      <c r="AE35" s="94">
        <f t="shared" si="20"/>
        <v>0</v>
      </c>
      <c r="AF35" s="94">
        <f t="shared" si="20"/>
        <v>0</v>
      </c>
      <c r="AG35" s="95">
        <f t="shared" si="20"/>
        <v>0</v>
      </c>
      <c r="AH35" s="93">
        <f t="shared" si="24"/>
        <v>0</v>
      </c>
      <c r="AI35" s="94">
        <f t="shared" si="24"/>
        <v>0</v>
      </c>
      <c r="AJ35" s="94">
        <f t="shared" si="24"/>
        <v>0</v>
      </c>
      <c r="AK35" s="94">
        <f t="shared" si="24"/>
        <v>0</v>
      </c>
      <c r="AL35" s="94">
        <f t="shared" si="24"/>
        <v>0</v>
      </c>
      <c r="AM35" s="95">
        <f t="shared" si="24"/>
        <v>0</v>
      </c>
      <c r="AN35" s="93">
        <f t="shared" si="8"/>
        <v>0</v>
      </c>
      <c r="AO35" s="94">
        <f t="shared" si="8"/>
        <v>0</v>
      </c>
      <c r="AP35" s="94">
        <f t="shared" si="8"/>
        <v>0</v>
      </c>
      <c r="AQ35" s="94">
        <f t="shared" si="8"/>
        <v>0</v>
      </c>
      <c r="AR35" s="94">
        <f t="shared" si="8"/>
        <v>0</v>
      </c>
      <c r="AS35" s="95">
        <f t="shared" si="8"/>
        <v>0</v>
      </c>
      <c r="AT35" s="93">
        <f t="shared" si="9"/>
        <v>0</v>
      </c>
      <c r="AU35" s="94">
        <f t="shared" si="9"/>
        <v>0</v>
      </c>
      <c r="AV35" s="94">
        <f t="shared" si="9"/>
        <v>0</v>
      </c>
      <c r="AW35" s="94">
        <f t="shared" si="9"/>
        <v>0</v>
      </c>
      <c r="AX35" s="94">
        <f t="shared" si="9"/>
        <v>0</v>
      </c>
      <c r="AY35" s="95">
        <f t="shared" si="9"/>
        <v>0</v>
      </c>
      <c r="AZ35" s="93">
        <f t="shared" si="10"/>
        <v>0</v>
      </c>
      <c r="BA35" s="94">
        <f t="shared" si="10"/>
        <v>0</v>
      </c>
      <c r="BB35" s="94">
        <f t="shared" si="10"/>
        <v>0</v>
      </c>
      <c r="BC35" s="94">
        <f t="shared" si="10"/>
        <v>0</v>
      </c>
      <c r="BD35" s="94">
        <f t="shared" si="10"/>
        <v>0</v>
      </c>
      <c r="BE35" s="95">
        <f t="shared" si="10"/>
        <v>0</v>
      </c>
      <c r="BF35" s="92">
        <f t="shared" ref="BF35:BK35" si="48">IF(AND(BF17&lt;&gt;"",BF17&gt;0),(VLOOKUP(BF$6,$CC$6:$CE$12,3,0)*BF17)/SUM($BF17:$BJ17),0)</f>
        <v>0</v>
      </c>
      <c r="BG35" s="92">
        <f t="shared" si="48"/>
        <v>0</v>
      </c>
      <c r="BH35" s="92">
        <f t="shared" si="48"/>
        <v>0</v>
      </c>
      <c r="BI35" s="92">
        <f t="shared" si="48"/>
        <v>0</v>
      </c>
      <c r="BJ35" s="92">
        <f t="shared" si="48"/>
        <v>0</v>
      </c>
      <c r="BK35" s="92">
        <f t="shared" si="48"/>
        <v>0</v>
      </c>
      <c r="BL35" s="91">
        <f>IF(AND(BL17&lt;&gt;"",BL17&gt;0),(VLOOKUP(BL$6,$CC$6:$CE$12,3,0)*BL17)/SUM($BL17:$BP17),0)</f>
        <v>0</v>
      </c>
      <c r="BM35" s="91">
        <f t="shared" ref="BM35:BQ35" si="49">IF(AND(BM17&lt;&gt;"",BM17&gt;0),(VLOOKUP(BM$6,$CC$6:$CE$12,3,0)*BM17)/SUM($BL17:$BP17),0)</f>
        <v>0</v>
      </c>
      <c r="BN35" s="91">
        <f t="shared" si="49"/>
        <v>0</v>
      </c>
      <c r="BO35" s="91">
        <f t="shared" si="49"/>
        <v>0</v>
      </c>
      <c r="BP35" s="91">
        <f t="shared" si="49"/>
        <v>0</v>
      </c>
      <c r="BQ35" s="91">
        <f t="shared" si="49"/>
        <v>0</v>
      </c>
      <c r="BR35" s="91">
        <f t="shared" ref="BR35:BV35" si="50">IF(AND(BR17&lt;&gt;"",BR17&gt;0),(VLOOKUP(BR$6,$CC$6:$CE$12,3,0)*BR17)/SUM($BR17:$BV17),0)</f>
        <v>0</v>
      </c>
      <c r="BS35" s="91">
        <f t="shared" si="50"/>
        <v>0</v>
      </c>
      <c r="BT35" s="91">
        <f t="shared" si="50"/>
        <v>0</v>
      </c>
      <c r="BU35" s="91">
        <f>IF(AND(BU17&lt;&gt;"",BU17&gt;0),(VLOOKUP(BU$6,$CC$6:$CE$12,3,0)*BU17)/SUM($BR17:$BV17),0)</f>
        <v>0</v>
      </c>
      <c r="BV35" s="91">
        <f t="shared" si="50"/>
        <v>0</v>
      </c>
      <c r="BW35" s="91">
        <f>IF(AND(BW17&lt;&gt;"",BW17&gt;0),(VLOOKUP(BW$6,$CC$6:$CE$12,3,0)*BW17)/SUM($BR17:$BV17),0)</f>
        <v>0</v>
      </c>
    </row>
    <row r="36" spans="2:75" x14ac:dyDescent="0.3">
      <c r="D36" s="85">
        <f>SUM(D25:D35)</f>
        <v>1022</v>
      </c>
      <c r="E36" s="85">
        <f t="shared" si="15"/>
        <v>841</v>
      </c>
      <c r="F36" s="86">
        <f t="shared" si="15"/>
        <v>0.82289628180039143</v>
      </c>
      <c r="G36" s="85">
        <f t="shared" si="15"/>
        <v>181</v>
      </c>
      <c r="H36" s="86">
        <f t="shared" si="15"/>
        <v>0.1771037181996086</v>
      </c>
      <c r="I36" s="85">
        <f t="shared" si="15"/>
        <v>59</v>
      </c>
    </row>
    <row r="37" spans="2:75" x14ac:dyDescent="0.3">
      <c r="D37" s="85"/>
      <c r="E37" s="85"/>
      <c r="F37" s="86"/>
      <c r="G37" s="85"/>
      <c r="H37" s="86"/>
      <c r="I37" s="85"/>
    </row>
    <row r="38" spans="2:75" x14ac:dyDescent="0.3">
      <c r="D38" s="85"/>
      <c r="E38" s="85"/>
      <c r="F38" s="86"/>
      <c r="G38" s="85"/>
      <c r="H38" s="86"/>
      <c r="I38" s="85"/>
      <c r="J38" s="96"/>
    </row>
    <row r="39" spans="2:75" ht="15.6" x14ac:dyDescent="0.3">
      <c r="D39" s="85"/>
      <c r="E39" s="85"/>
      <c r="F39" s="86"/>
      <c r="G39" s="85"/>
      <c r="H39" s="86"/>
      <c r="I39" s="85"/>
      <c r="K39" s="97" t="s">
        <v>502</v>
      </c>
    </row>
    <row r="40" spans="2:75" x14ac:dyDescent="0.3">
      <c r="D40" s="85"/>
      <c r="E40" s="85"/>
      <c r="F40" s="86"/>
      <c r="G40" s="85"/>
      <c r="H40" s="86"/>
      <c r="I40" s="85"/>
    </row>
    <row r="41" spans="2:75" x14ac:dyDescent="0.3">
      <c r="D41" s="85"/>
      <c r="E41" s="85"/>
      <c r="F41" s="86"/>
      <c r="G41" s="85"/>
      <c r="H41" s="86"/>
      <c r="I41" s="85"/>
    </row>
    <row r="42" spans="2:75" x14ac:dyDescent="0.3">
      <c r="U42" s="98"/>
    </row>
    <row r="43" spans="2:75" x14ac:dyDescent="0.3">
      <c r="E43" s="173" t="s">
        <v>474</v>
      </c>
      <c r="F43" s="175" t="s">
        <v>5</v>
      </c>
      <c r="G43" s="176"/>
      <c r="H43" s="176"/>
      <c r="I43" s="177"/>
      <c r="J43" s="171" t="s">
        <v>503</v>
      </c>
      <c r="K43" s="169"/>
      <c r="L43" s="169"/>
      <c r="M43" s="169"/>
      <c r="N43" s="169"/>
      <c r="O43" s="169"/>
      <c r="P43" s="169"/>
      <c r="Q43" s="169"/>
      <c r="R43" s="169"/>
      <c r="S43" s="169"/>
      <c r="T43" s="169"/>
    </row>
    <row r="44" spans="2:75" x14ac:dyDescent="0.3">
      <c r="E44" s="174"/>
      <c r="F44" s="178"/>
      <c r="G44" s="179"/>
      <c r="H44" s="179"/>
      <c r="I44" s="180"/>
      <c r="J44" s="99">
        <v>1</v>
      </c>
      <c r="K44" s="100">
        <v>2</v>
      </c>
      <c r="L44" s="100">
        <v>3</v>
      </c>
      <c r="M44" s="100">
        <v>4</v>
      </c>
      <c r="N44" s="100">
        <v>5</v>
      </c>
      <c r="O44" s="100">
        <v>6</v>
      </c>
      <c r="P44" s="100">
        <v>7</v>
      </c>
      <c r="Q44" s="100">
        <v>8</v>
      </c>
      <c r="R44" s="155">
        <v>9</v>
      </c>
      <c r="S44" s="155">
        <v>10</v>
      </c>
      <c r="T44" s="155">
        <v>11</v>
      </c>
      <c r="U44" s="101" t="s">
        <v>504</v>
      </c>
      <c r="W44" s="101" t="s">
        <v>454</v>
      </c>
    </row>
    <row r="45" spans="2:75" x14ac:dyDescent="0.3">
      <c r="E45" s="65">
        <v>1</v>
      </c>
      <c r="F45" s="102" t="s">
        <v>442</v>
      </c>
      <c r="G45" s="103"/>
      <c r="H45" s="103"/>
      <c r="I45" s="104"/>
      <c r="J45" s="105">
        <f t="shared" ref="J45:J55" si="51">SUM(J25:O25)</f>
        <v>0</v>
      </c>
      <c r="K45" s="105">
        <f t="shared" ref="K45:K55" si="52">SUM(P25:U25)</f>
        <v>0</v>
      </c>
      <c r="L45" s="105">
        <f t="shared" ref="L45:L55" si="53">SUM(V25:AA25)</f>
        <v>0</v>
      </c>
      <c r="M45" s="105">
        <f t="shared" ref="M45:M55" si="54">SUM(AB25:AG25)</f>
        <v>0</v>
      </c>
      <c r="N45" s="105">
        <f t="shared" ref="N45:N55" si="55">SUM(AH25:AM25)</f>
        <v>0</v>
      </c>
      <c r="O45" s="105">
        <f t="shared" ref="O45:O55" si="56">SUM(AN25:AS25)</f>
        <v>0</v>
      </c>
      <c r="P45" s="105">
        <f t="shared" ref="P45:P55" si="57">SUM(AT25:AY25)</f>
        <v>0</v>
      </c>
      <c r="Q45" s="105">
        <f>SUM(AZ25:BE25)</f>
        <v>0</v>
      </c>
      <c r="R45" s="156">
        <f>SUM(BF25:BK25)</f>
        <v>0</v>
      </c>
      <c r="S45" s="156">
        <f>SUM(BL25:BQ25)</f>
        <v>0</v>
      </c>
      <c r="T45" s="156">
        <f>SUM(BR25:BW25)</f>
        <v>0</v>
      </c>
      <c r="U45" s="106">
        <f t="shared" ref="U45:U55" si="58">IFERROR(AVERAGEIF(J45:Q45,"&gt;0",J45:Q45),0)</f>
        <v>0</v>
      </c>
      <c r="V45" s="107"/>
      <c r="W45" s="106">
        <v>4.4600389863547756</v>
      </c>
    </row>
    <row r="46" spans="2:75" x14ac:dyDescent="0.3">
      <c r="E46" s="74">
        <v>2</v>
      </c>
      <c r="F46" s="108" t="s">
        <v>500</v>
      </c>
      <c r="I46" s="109"/>
      <c r="J46" s="110">
        <f t="shared" si="51"/>
        <v>0</v>
      </c>
      <c r="K46" s="110">
        <f t="shared" si="52"/>
        <v>0</v>
      </c>
      <c r="L46" s="110">
        <f t="shared" si="53"/>
        <v>0</v>
      </c>
      <c r="M46" s="110">
        <f t="shared" si="54"/>
        <v>0</v>
      </c>
      <c r="N46" s="110">
        <f t="shared" si="55"/>
        <v>0</v>
      </c>
      <c r="O46" s="110">
        <f t="shared" si="56"/>
        <v>0</v>
      </c>
      <c r="P46" s="110">
        <f t="shared" si="57"/>
        <v>0</v>
      </c>
      <c r="Q46" s="110">
        <f t="shared" ref="Q46:Q55" si="59">SUM(AZ26:BE26)</f>
        <v>0</v>
      </c>
      <c r="R46" s="156">
        <f t="shared" ref="R46:R55" si="60">SUM(BF26:BK26)</f>
        <v>0</v>
      </c>
      <c r="S46" s="156">
        <f t="shared" ref="S46:S55" si="61">SUM(BL26:BQ26)</f>
        <v>0</v>
      </c>
      <c r="T46" s="156">
        <f t="shared" ref="T46:T55" si="62">SUM(BR26:BW26)</f>
        <v>0</v>
      </c>
      <c r="U46" s="111">
        <f t="shared" si="58"/>
        <v>0</v>
      </c>
      <c r="V46" s="107"/>
      <c r="W46" s="112">
        <v>4.1269999999999998</v>
      </c>
    </row>
    <row r="47" spans="2:75" x14ac:dyDescent="0.3">
      <c r="E47" s="74">
        <v>3</v>
      </c>
      <c r="F47" s="108" t="s">
        <v>67</v>
      </c>
      <c r="I47" s="109"/>
      <c r="J47" s="110">
        <f t="shared" si="51"/>
        <v>0</v>
      </c>
      <c r="K47" s="110">
        <f t="shared" si="52"/>
        <v>0</v>
      </c>
      <c r="L47" s="110">
        <f t="shared" si="53"/>
        <v>0</v>
      </c>
      <c r="M47" s="110">
        <f t="shared" si="54"/>
        <v>0</v>
      </c>
      <c r="N47" s="110">
        <f t="shared" si="55"/>
        <v>0</v>
      </c>
      <c r="O47" s="110">
        <f t="shared" si="56"/>
        <v>0</v>
      </c>
      <c r="P47" s="110">
        <f t="shared" si="57"/>
        <v>0</v>
      </c>
      <c r="Q47" s="110">
        <f t="shared" si="59"/>
        <v>0</v>
      </c>
      <c r="R47" s="156">
        <f t="shared" si="60"/>
        <v>0</v>
      </c>
      <c r="S47" s="156">
        <f t="shared" si="61"/>
        <v>0</v>
      </c>
      <c r="T47" s="156">
        <f t="shared" si="62"/>
        <v>0</v>
      </c>
      <c r="U47" s="111">
        <f t="shared" si="58"/>
        <v>0</v>
      </c>
      <c r="V47" s="107"/>
      <c r="W47" s="112">
        <v>4.0410000000000004</v>
      </c>
    </row>
    <row r="48" spans="2:75" x14ac:dyDescent="0.3">
      <c r="E48" s="74">
        <v>4</v>
      </c>
      <c r="F48" s="108" t="s">
        <v>43</v>
      </c>
      <c r="I48" s="109"/>
      <c r="J48" s="110">
        <f t="shared" si="51"/>
        <v>0</v>
      </c>
      <c r="K48" s="110">
        <f t="shared" si="52"/>
        <v>0</v>
      </c>
      <c r="L48" s="110">
        <f t="shared" si="53"/>
        <v>0</v>
      </c>
      <c r="M48" s="110">
        <f t="shared" si="54"/>
        <v>0</v>
      </c>
      <c r="N48" s="110">
        <f t="shared" si="55"/>
        <v>0</v>
      </c>
      <c r="O48" s="110">
        <f t="shared" si="56"/>
        <v>0</v>
      </c>
      <c r="P48" s="110">
        <f t="shared" si="57"/>
        <v>0</v>
      </c>
      <c r="Q48" s="110">
        <f t="shared" si="59"/>
        <v>0</v>
      </c>
      <c r="R48" s="156">
        <f t="shared" si="60"/>
        <v>0</v>
      </c>
      <c r="S48" s="156">
        <f t="shared" si="61"/>
        <v>0</v>
      </c>
      <c r="T48" s="156">
        <f t="shared" si="62"/>
        <v>0</v>
      </c>
      <c r="U48" s="111">
        <f t="shared" si="58"/>
        <v>0</v>
      </c>
      <c r="V48" s="107"/>
      <c r="W48" s="112">
        <v>4.1500000000000004</v>
      </c>
    </row>
    <row r="49" spans="5:25" x14ac:dyDescent="0.3">
      <c r="E49" s="74">
        <v>5</v>
      </c>
      <c r="F49" s="108" t="s">
        <v>37</v>
      </c>
      <c r="I49" s="109"/>
      <c r="J49" s="110">
        <f t="shared" si="51"/>
        <v>0</v>
      </c>
      <c r="K49" s="110">
        <f t="shared" si="52"/>
        <v>0</v>
      </c>
      <c r="L49" s="110">
        <f t="shared" si="53"/>
        <v>0</v>
      </c>
      <c r="M49" s="110">
        <f t="shared" si="54"/>
        <v>0</v>
      </c>
      <c r="N49" s="110">
        <f t="shared" si="55"/>
        <v>0</v>
      </c>
      <c r="O49" s="110">
        <f t="shared" si="56"/>
        <v>0</v>
      </c>
      <c r="P49" s="110">
        <f t="shared" si="57"/>
        <v>0</v>
      </c>
      <c r="Q49" s="110">
        <f t="shared" si="59"/>
        <v>0</v>
      </c>
      <c r="R49" s="156">
        <f>SUM(BF29:BK29)</f>
        <v>0</v>
      </c>
      <c r="S49" s="156">
        <f t="shared" si="61"/>
        <v>0</v>
      </c>
      <c r="T49" s="156">
        <f t="shared" si="62"/>
        <v>0</v>
      </c>
      <c r="U49" s="113">
        <f t="shared" si="58"/>
        <v>0</v>
      </c>
      <c r="V49" s="107"/>
      <c r="W49" s="113">
        <v>4.5289999999999999</v>
      </c>
      <c r="Y49" s="161"/>
    </row>
    <row r="50" spans="5:25" x14ac:dyDescent="0.3">
      <c r="E50" s="74">
        <v>6</v>
      </c>
      <c r="F50" s="108" t="s">
        <v>18</v>
      </c>
      <c r="I50" s="109"/>
      <c r="J50" s="110">
        <f t="shared" si="51"/>
        <v>0</v>
      </c>
      <c r="K50" s="110">
        <f t="shared" si="52"/>
        <v>0</v>
      </c>
      <c r="L50" s="110">
        <f t="shared" si="53"/>
        <v>0</v>
      </c>
      <c r="M50" s="110">
        <f t="shared" si="54"/>
        <v>0</v>
      </c>
      <c r="N50" s="110">
        <f t="shared" si="55"/>
        <v>0</v>
      </c>
      <c r="O50" s="110">
        <f t="shared" si="56"/>
        <v>0</v>
      </c>
      <c r="P50" s="110">
        <f t="shared" si="57"/>
        <v>0</v>
      </c>
      <c r="Q50" s="110">
        <f t="shared" si="59"/>
        <v>0</v>
      </c>
      <c r="R50" s="156">
        <f t="shared" si="60"/>
        <v>0</v>
      </c>
      <c r="S50" s="156">
        <f>SUM(BL30:BQ30)</f>
        <v>0</v>
      </c>
      <c r="T50" s="156">
        <f t="shared" si="62"/>
        <v>0</v>
      </c>
      <c r="U50" s="111">
        <f t="shared" si="58"/>
        <v>0</v>
      </c>
      <c r="V50" s="107"/>
      <c r="W50" s="112">
        <v>4.0529999999999999</v>
      </c>
      <c r="Y50" s="161"/>
    </row>
    <row r="51" spans="5:25" x14ac:dyDescent="0.3">
      <c r="E51" s="74">
        <v>7</v>
      </c>
      <c r="F51" s="108" t="s">
        <v>7</v>
      </c>
      <c r="I51" s="109"/>
      <c r="J51" s="110">
        <f t="shared" si="51"/>
        <v>0</v>
      </c>
      <c r="K51" s="110">
        <f t="shared" si="52"/>
        <v>0</v>
      </c>
      <c r="L51" s="110">
        <f t="shared" si="53"/>
        <v>0</v>
      </c>
      <c r="M51" s="110">
        <f t="shared" si="54"/>
        <v>0</v>
      </c>
      <c r="N51" s="110">
        <f t="shared" si="55"/>
        <v>0</v>
      </c>
      <c r="O51" s="110">
        <f t="shared" si="56"/>
        <v>0</v>
      </c>
      <c r="P51" s="110">
        <f t="shared" si="57"/>
        <v>0</v>
      </c>
      <c r="Q51" s="110">
        <f t="shared" si="59"/>
        <v>0</v>
      </c>
      <c r="R51" s="156">
        <f t="shared" si="60"/>
        <v>0</v>
      </c>
      <c r="S51" s="156">
        <f t="shared" si="61"/>
        <v>0</v>
      </c>
      <c r="T51" s="156">
        <f t="shared" si="62"/>
        <v>0</v>
      </c>
      <c r="U51" s="111">
        <f t="shared" si="58"/>
        <v>0</v>
      </c>
      <c r="V51" s="107"/>
      <c r="W51" s="112">
        <v>4.2709999999999999</v>
      </c>
      <c r="Y51" s="161"/>
    </row>
    <row r="52" spans="5:25" x14ac:dyDescent="0.3">
      <c r="E52" s="74">
        <v>8</v>
      </c>
      <c r="F52" s="108" t="s">
        <v>12</v>
      </c>
      <c r="I52" s="109"/>
      <c r="J52" s="114">
        <f t="shared" si="51"/>
        <v>0</v>
      </c>
      <c r="K52" s="114">
        <f t="shared" si="52"/>
        <v>0</v>
      </c>
      <c r="L52" s="114">
        <f t="shared" si="53"/>
        <v>0</v>
      </c>
      <c r="M52" s="114">
        <f t="shared" si="54"/>
        <v>0</v>
      </c>
      <c r="N52" s="114">
        <f t="shared" si="55"/>
        <v>0</v>
      </c>
      <c r="O52" s="114">
        <f t="shared" si="56"/>
        <v>0</v>
      </c>
      <c r="P52" s="114">
        <f t="shared" si="57"/>
        <v>0</v>
      </c>
      <c r="Q52" s="114">
        <f t="shared" si="59"/>
        <v>0</v>
      </c>
      <c r="R52" s="156">
        <f t="shared" si="60"/>
        <v>0</v>
      </c>
      <c r="S52" s="156">
        <f t="shared" si="61"/>
        <v>0</v>
      </c>
      <c r="T52" s="156">
        <f t="shared" si="62"/>
        <v>0</v>
      </c>
      <c r="U52" s="111">
        <f t="shared" si="58"/>
        <v>0</v>
      </c>
      <c r="V52" s="107"/>
      <c r="W52" s="112">
        <v>4.1929999999999996</v>
      </c>
      <c r="Y52" s="161"/>
    </row>
    <row r="53" spans="5:25" x14ac:dyDescent="0.3">
      <c r="E53" s="74">
        <v>9</v>
      </c>
      <c r="F53" s="108" t="s">
        <v>93</v>
      </c>
      <c r="I53" s="109"/>
      <c r="J53" s="110">
        <f t="shared" si="51"/>
        <v>0</v>
      </c>
      <c r="K53" s="110">
        <f t="shared" si="52"/>
        <v>0</v>
      </c>
      <c r="L53" s="110">
        <f t="shared" si="53"/>
        <v>0</v>
      </c>
      <c r="M53" s="110">
        <f t="shared" si="54"/>
        <v>0</v>
      </c>
      <c r="N53" s="110">
        <f t="shared" si="55"/>
        <v>0</v>
      </c>
      <c r="O53" s="110">
        <f t="shared" si="56"/>
        <v>0</v>
      </c>
      <c r="P53" s="110">
        <f t="shared" si="57"/>
        <v>0</v>
      </c>
      <c r="Q53" s="110">
        <f t="shared" si="59"/>
        <v>0</v>
      </c>
      <c r="R53" s="156">
        <f>SUM(BF33:BK33)</f>
        <v>0</v>
      </c>
      <c r="S53" s="156">
        <f t="shared" si="61"/>
        <v>0</v>
      </c>
      <c r="T53" s="156">
        <f t="shared" si="62"/>
        <v>0</v>
      </c>
      <c r="U53" s="113">
        <f t="shared" si="58"/>
        <v>0</v>
      </c>
      <c r="V53" s="107"/>
      <c r="W53" s="113">
        <v>4.407</v>
      </c>
    </row>
    <row r="54" spans="5:25" x14ac:dyDescent="0.3">
      <c r="E54" s="74">
        <v>10</v>
      </c>
      <c r="F54" s="108" t="s">
        <v>44</v>
      </c>
      <c r="I54" s="109"/>
      <c r="J54" s="110">
        <f t="shared" si="51"/>
        <v>0</v>
      </c>
      <c r="K54" s="110">
        <f t="shared" si="52"/>
        <v>0</v>
      </c>
      <c r="L54" s="110">
        <f t="shared" si="53"/>
        <v>0</v>
      </c>
      <c r="M54" s="110">
        <f t="shared" si="54"/>
        <v>0</v>
      </c>
      <c r="N54" s="110">
        <f t="shared" si="55"/>
        <v>0</v>
      </c>
      <c r="O54" s="110">
        <f t="shared" si="56"/>
        <v>0</v>
      </c>
      <c r="P54" s="110">
        <f t="shared" si="57"/>
        <v>0</v>
      </c>
      <c r="Q54" s="110">
        <f t="shared" si="59"/>
        <v>0</v>
      </c>
      <c r="R54" s="156">
        <f t="shared" si="60"/>
        <v>0</v>
      </c>
      <c r="S54" s="156">
        <f t="shared" si="61"/>
        <v>0</v>
      </c>
      <c r="T54" s="156">
        <f t="shared" si="62"/>
        <v>0</v>
      </c>
      <c r="U54" s="111">
        <f t="shared" si="58"/>
        <v>0</v>
      </c>
      <c r="V54" s="107"/>
      <c r="W54" s="112">
        <v>3.5390000000000001</v>
      </c>
    </row>
    <row r="55" spans="5:25" x14ac:dyDescent="0.3">
      <c r="E55" s="79">
        <v>11</v>
      </c>
      <c r="F55" s="115" t="s">
        <v>29</v>
      </c>
      <c r="G55" s="116"/>
      <c r="H55" s="116"/>
      <c r="I55" s="117"/>
      <c r="J55" s="118">
        <f t="shared" si="51"/>
        <v>0</v>
      </c>
      <c r="K55" s="118">
        <f t="shared" si="52"/>
        <v>0</v>
      </c>
      <c r="L55" s="118">
        <f t="shared" si="53"/>
        <v>0</v>
      </c>
      <c r="M55" s="118">
        <f t="shared" si="54"/>
        <v>0</v>
      </c>
      <c r="N55" s="118">
        <f t="shared" si="55"/>
        <v>0</v>
      </c>
      <c r="O55" s="118">
        <f t="shared" si="56"/>
        <v>0</v>
      </c>
      <c r="P55" s="118">
        <f t="shared" si="57"/>
        <v>0</v>
      </c>
      <c r="Q55" s="118">
        <f t="shared" si="59"/>
        <v>0</v>
      </c>
      <c r="R55" s="156">
        <f t="shared" si="60"/>
        <v>0</v>
      </c>
      <c r="S55" s="156">
        <f t="shared" si="61"/>
        <v>0</v>
      </c>
      <c r="T55" s="156">
        <f t="shared" si="62"/>
        <v>0</v>
      </c>
      <c r="U55" s="119">
        <f t="shared" si="58"/>
        <v>0</v>
      </c>
      <c r="V55" s="107"/>
      <c r="W55" s="120">
        <v>4.2439999999999998</v>
      </c>
    </row>
    <row r="57" spans="5:25" ht="15.6" x14ac:dyDescent="0.3">
      <c r="J57" s="170" t="s">
        <v>489</v>
      </c>
      <c r="K57" s="170"/>
      <c r="L57" s="170"/>
      <c r="O57" s="97"/>
    </row>
    <row r="58" spans="5:25" x14ac:dyDescent="0.3">
      <c r="J58" s="64" t="s">
        <v>497</v>
      </c>
      <c r="K58" s="64" t="s">
        <v>498</v>
      </c>
      <c r="L58" s="64" t="s">
        <v>499</v>
      </c>
    </row>
    <row r="59" spans="5:25" x14ac:dyDescent="0.3">
      <c r="J59" s="72" t="s">
        <v>491</v>
      </c>
      <c r="K59" s="72" t="s">
        <v>471</v>
      </c>
      <c r="L59" s="73">
        <v>1</v>
      </c>
    </row>
    <row r="60" spans="5:25" x14ac:dyDescent="0.3">
      <c r="J60" s="72" t="s">
        <v>492</v>
      </c>
      <c r="K60" s="72" t="s">
        <v>470</v>
      </c>
      <c r="L60" s="73">
        <v>2</v>
      </c>
    </row>
    <row r="61" spans="5:25" x14ac:dyDescent="0.3">
      <c r="J61" s="72" t="s">
        <v>493</v>
      </c>
      <c r="K61" s="72" t="s">
        <v>469</v>
      </c>
      <c r="L61" s="73">
        <v>3</v>
      </c>
    </row>
    <row r="62" spans="5:25" x14ac:dyDescent="0.3">
      <c r="J62" s="72" t="s">
        <v>494</v>
      </c>
      <c r="K62" s="72" t="s">
        <v>467</v>
      </c>
      <c r="L62" s="73">
        <v>4</v>
      </c>
    </row>
    <row r="63" spans="5:25" x14ac:dyDescent="0.3">
      <c r="J63" s="72" t="s">
        <v>495</v>
      </c>
      <c r="K63" s="72" t="s">
        <v>468</v>
      </c>
      <c r="L63" s="73">
        <v>5</v>
      </c>
    </row>
    <row r="64" spans="5:25" x14ac:dyDescent="0.3">
      <c r="J64" s="72" t="s">
        <v>496</v>
      </c>
      <c r="K64" s="72" t="s">
        <v>473</v>
      </c>
      <c r="L64" s="73">
        <v>0</v>
      </c>
    </row>
    <row r="72" spans="10:10" ht="18" x14ac:dyDescent="0.4">
      <c r="J72" t="s">
        <v>505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:BF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1" t="s">
        <v>474</v>
      </c>
      <c r="C4" s="181" t="s">
        <v>5</v>
      </c>
      <c r="D4" s="181" t="s">
        <v>475</v>
      </c>
      <c r="E4" s="170" t="s">
        <v>476</v>
      </c>
      <c r="F4" s="170"/>
      <c r="G4" s="170"/>
      <c r="H4" s="170"/>
      <c r="I4" s="168" t="s">
        <v>477</v>
      </c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169"/>
      <c r="AH4" s="169"/>
      <c r="AI4" s="169"/>
      <c r="AJ4" s="169"/>
      <c r="AK4" s="169"/>
      <c r="AL4" s="169"/>
      <c r="AM4" s="169"/>
      <c r="AN4" s="169"/>
      <c r="AO4" s="169"/>
      <c r="AP4" s="169"/>
      <c r="AQ4" s="169"/>
      <c r="AR4" s="169"/>
      <c r="AS4" s="169"/>
      <c r="AT4" s="169"/>
      <c r="AU4" s="169"/>
      <c r="AV4" s="169"/>
      <c r="AW4" s="169"/>
      <c r="AX4" s="169"/>
      <c r="AY4" s="169"/>
      <c r="AZ4" s="169"/>
      <c r="BA4" s="169"/>
      <c r="BB4" s="169"/>
      <c r="BC4" s="169"/>
      <c r="BD4" s="169"/>
      <c r="BE4" s="169"/>
      <c r="BF4" s="169"/>
      <c r="BG4" s="169"/>
      <c r="BH4" s="169"/>
      <c r="BI4" s="169"/>
      <c r="BJ4" s="169"/>
      <c r="BK4" s="169"/>
      <c r="BL4" s="169"/>
      <c r="BM4" s="169"/>
      <c r="BN4" s="169"/>
      <c r="BO4" s="169"/>
      <c r="BP4" s="169"/>
      <c r="BQ4" s="169"/>
      <c r="BR4" s="169"/>
      <c r="BS4" s="169"/>
      <c r="BT4" s="169"/>
      <c r="BU4" s="169"/>
      <c r="BV4" s="169"/>
      <c r="BW4" s="169"/>
    </row>
    <row r="5" spans="2:83" x14ac:dyDescent="0.3">
      <c r="B5" s="181"/>
      <c r="C5" s="181"/>
      <c r="D5" s="181"/>
      <c r="E5" s="170" t="s">
        <v>478</v>
      </c>
      <c r="F5" s="170"/>
      <c r="G5" s="59" t="s">
        <v>479</v>
      </c>
      <c r="H5" s="59"/>
      <c r="I5" s="183" t="s">
        <v>480</v>
      </c>
      <c r="J5" s="172" t="s">
        <v>481</v>
      </c>
      <c r="K5" s="166"/>
      <c r="L5" s="166"/>
      <c r="M5" s="166"/>
      <c r="N5" s="166"/>
      <c r="O5" s="166"/>
      <c r="P5" s="166" t="s">
        <v>482</v>
      </c>
      <c r="Q5" s="166"/>
      <c r="R5" s="166"/>
      <c r="S5" s="166"/>
      <c r="T5" s="166"/>
      <c r="U5" s="166"/>
      <c r="V5" s="166" t="s">
        <v>483</v>
      </c>
      <c r="W5" s="166"/>
      <c r="X5" s="166"/>
      <c r="Y5" s="166"/>
      <c r="Z5" s="166"/>
      <c r="AA5" s="166"/>
      <c r="AB5" s="166" t="s">
        <v>484</v>
      </c>
      <c r="AC5" s="166"/>
      <c r="AD5" s="166"/>
      <c r="AE5" s="166"/>
      <c r="AF5" s="166"/>
      <c r="AG5" s="166"/>
      <c r="AH5" s="166" t="s">
        <v>485</v>
      </c>
      <c r="AI5" s="166"/>
      <c r="AJ5" s="166"/>
      <c r="AK5" s="166"/>
      <c r="AL5" s="166"/>
      <c r="AM5" s="166"/>
      <c r="AN5" s="166" t="s">
        <v>486</v>
      </c>
      <c r="AO5" s="166"/>
      <c r="AP5" s="166"/>
      <c r="AQ5" s="166"/>
      <c r="AR5" s="166"/>
      <c r="AS5" s="166"/>
      <c r="AT5" s="166" t="s">
        <v>487</v>
      </c>
      <c r="AU5" s="166"/>
      <c r="AV5" s="166"/>
      <c r="AW5" s="166"/>
      <c r="AX5" s="166"/>
      <c r="AY5" s="166"/>
      <c r="AZ5" s="166" t="s">
        <v>488</v>
      </c>
      <c r="BA5" s="166"/>
      <c r="BB5" s="166"/>
      <c r="BC5" s="166"/>
      <c r="BD5" s="166"/>
      <c r="BE5" s="167"/>
      <c r="BF5" s="166" t="s">
        <v>517</v>
      </c>
      <c r="BG5" s="166"/>
      <c r="BH5" s="166"/>
      <c r="BI5" s="166"/>
      <c r="BJ5" s="166"/>
      <c r="BK5" s="167"/>
      <c r="BL5" s="166" t="s">
        <v>518</v>
      </c>
      <c r="BM5" s="166"/>
      <c r="BN5" s="166"/>
      <c r="BO5" s="166"/>
      <c r="BP5" s="166"/>
      <c r="BQ5" s="167"/>
      <c r="BR5" s="166" t="s">
        <v>519</v>
      </c>
      <c r="BS5" s="166"/>
      <c r="BT5" s="166"/>
      <c r="BU5" s="166"/>
      <c r="BV5" s="166"/>
      <c r="BW5" s="167"/>
      <c r="CC5" s="170" t="s">
        <v>489</v>
      </c>
      <c r="CD5" s="170"/>
      <c r="CE5" s="170"/>
    </row>
    <row r="6" spans="2:83" x14ac:dyDescent="0.3">
      <c r="B6" s="182"/>
      <c r="C6" s="182"/>
      <c r="D6" s="182"/>
      <c r="E6" s="60" t="s">
        <v>480</v>
      </c>
      <c r="F6" s="60" t="s">
        <v>490</v>
      </c>
      <c r="G6" s="60" t="s">
        <v>480</v>
      </c>
      <c r="H6" s="60" t="s">
        <v>490</v>
      </c>
      <c r="I6" s="183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147" t="s">
        <v>66</v>
      </c>
      <c r="D7" s="133"/>
      <c r="E7" s="134"/>
      <c r="F7" s="68"/>
      <c r="G7" s="67"/>
      <c r="H7" s="68"/>
      <c r="I7" s="69"/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s="147" t="s">
        <v>70</v>
      </c>
      <c r="D8" s="76"/>
      <c r="E8" s="77"/>
      <c r="F8" s="78"/>
      <c r="G8" s="77"/>
      <c r="H8" s="78"/>
      <c r="I8" s="69"/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s="148" t="s">
        <v>62</v>
      </c>
      <c r="D9" s="76"/>
      <c r="E9" s="77"/>
      <c r="F9" s="78"/>
      <c r="G9" s="77"/>
      <c r="H9" s="78"/>
      <c r="I9" s="69"/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s="147" t="s">
        <v>74</v>
      </c>
      <c r="D10" s="76"/>
      <c r="E10" s="77"/>
      <c r="F10" s="78"/>
      <c r="G10" s="77"/>
      <c r="H10" s="78"/>
      <c r="I10" s="69"/>
      <c r="J10" s="70"/>
      <c r="P10" s="70"/>
      <c r="U10" s="71"/>
      <c r="V10" s="70"/>
      <c r="AA10" s="71"/>
      <c r="AB10" s="70"/>
      <c r="AG10" s="71"/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s="147" t="s">
        <v>89</v>
      </c>
      <c r="D11" s="76"/>
      <c r="E11" s="77"/>
      <c r="F11" s="78"/>
      <c r="G11" s="77"/>
      <c r="H11" s="78"/>
      <c r="I11" s="69"/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D12" s="85"/>
      <c r="E12" s="85"/>
      <c r="F12" s="86"/>
      <c r="G12" s="85"/>
      <c r="H12" s="86"/>
      <c r="I12" s="85">
        <f>SUM(I7:I11)</f>
        <v>0</v>
      </c>
      <c r="CC12" s="72" t="s">
        <v>496</v>
      </c>
      <c r="CD12" s="72" t="s">
        <v>473</v>
      </c>
      <c r="CE12" s="73">
        <v>0</v>
      </c>
    </row>
    <row r="13" spans="2:83" x14ac:dyDescent="0.3">
      <c r="D13" s="85"/>
      <c r="E13" s="85"/>
      <c r="F13" s="86"/>
      <c r="G13" s="85"/>
      <c r="H13" s="86"/>
      <c r="I13" s="85"/>
    </row>
    <row r="14" spans="2:83" ht="15.6" x14ac:dyDescent="0.3">
      <c r="B14" s="97" t="s">
        <v>580</v>
      </c>
      <c r="C14" s="88"/>
      <c r="E14" s="86"/>
      <c r="F14" s="86"/>
      <c r="G14" s="86"/>
      <c r="H14" s="86"/>
    </row>
    <row r="16" spans="2:83" x14ac:dyDescent="0.3">
      <c r="B16" s="181" t="s">
        <v>474</v>
      </c>
      <c r="C16" s="181" t="s">
        <v>5</v>
      </c>
      <c r="D16" s="181" t="s">
        <v>475</v>
      </c>
      <c r="E16" s="170" t="s">
        <v>476</v>
      </c>
      <c r="F16" s="170"/>
      <c r="G16" s="170"/>
      <c r="H16" s="170"/>
      <c r="I16" s="168" t="s">
        <v>477</v>
      </c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69"/>
      <c r="AZ16" s="169"/>
      <c r="BA16" s="169"/>
      <c r="BB16" s="169"/>
      <c r="BC16" s="169"/>
      <c r="BD16" s="169"/>
      <c r="BE16" s="169"/>
      <c r="BF16" s="169"/>
      <c r="BG16" s="169"/>
      <c r="BH16" s="169"/>
      <c r="BI16" s="169"/>
      <c r="BJ16" s="169"/>
      <c r="BK16" s="169"/>
      <c r="BL16" s="169"/>
      <c r="BM16" s="169"/>
      <c r="BN16" s="169"/>
      <c r="BO16" s="169"/>
      <c r="BP16" s="169"/>
      <c r="BQ16" s="169"/>
      <c r="BR16" s="169"/>
      <c r="BS16" s="169"/>
      <c r="BT16" s="169"/>
      <c r="BU16" s="169"/>
      <c r="BV16" s="169"/>
      <c r="BW16" s="169"/>
    </row>
    <row r="17" spans="2:75" x14ac:dyDescent="0.3">
      <c r="B17" s="181"/>
      <c r="C17" s="181"/>
      <c r="D17" s="181"/>
      <c r="E17" s="170" t="s">
        <v>478</v>
      </c>
      <c r="F17" s="170"/>
      <c r="G17" s="59" t="s">
        <v>479</v>
      </c>
      <c r="H17" s="59"/>
      <c r="I17" s="183" t="s">
        <v>480</v>
      </c>
      <c r="J17" s="172" t="s">
        <v>481</v>
      </c>
      <c r="K17" s="166"/>
      <c r="L17" s="166"/>
      <c r="M17" s="166"/>
      <c r="N17" s="166"/>
      <c r="O17" s="166"/>
      <c r="P17" s="166" t="s">
        <v>482</v>
      </c>
      <c r="Q17" s="166"/>
      <c r="R17" s="166"/>
      <c r="S17" s="166"/>
      <c r="T17" s="166"/>
      <c r="U17" s="166"/>
      <c r="V17" s="166" t="s">
        <v>483</v>
      </c>
      <c r="W17" s="166"/>
      <c r="X17" s="166"/>
      <c r="Y17" s="166"/>
      <c r="Z17" s="166"/>
      <c r="AA17" s="166"/>
      <c r="AB17" s="166" t="s">
        <v>484</v>
      </c>
      <c r="AC17" s="166"/>
      <c r="AD17" s="166"/>
      <c r="AE17" s="166"/>
      <c r="AF17" s="166"/>
      <c r="AG17" s="166"/>
      <c r="AH17" s="166" t="s">
        <v>485</v>
      </c>
      <c r="AI17" s="166"/>
      <c r="AJ17" s="166"/>
      <c r="AK17" s="166"/>
      <c r="AL17" s="166"/>
      <c r="AM17" s="166"/>
      <c r="AN17" s="166" t="s">
        <v>486</v>
      </c>
      <c r="AO17" s="166"/>
      <c r="AP17" s="166"/>
      <c r="AQ17" s="166"/>
      <c r="AR17" s="166"/>
      <c r="AS17" s="166"/>
      <c r="AT17" s="166" t="s">
        <v>487</v>
      </c>
      <c r="AU17" s="166"/>
      <c r="AV17" s="166"/>
      <c r="AW17" s="166"/>
      <c r="AX17" s="166"/>
      <c r="AY17" s="166"/>
      <c r="AZ17" s="166" t="s">
        <v>488</v>
      </c>
      <c r="BA17" s="166"/>
      <c r="BB17" s="166"/>
      <c r="BC17" s="166"/>
      <c r="BD17" s="166"/>
      <c r="BE17" s="167"/>
      <c r="BF17" s="166" t="s">
        <v>517</v>
      </c>
      <c r="BG17" s="166"/>
      <c r="BH17" s="166"/>
      <c r="BI17" s="166"/>
      <c r="BJ17" s="166"/>
      <c r="BK17" s="167"/>
      <c r="BL17" s="166" t="s">
        <v>518</v>
      </c>
      <c r="BM17" s="166"/>
      <c r="BN17" s="166"/>
      <c r="BO17" s="166"/>
      <c r="BP17" s="166"/>
      <c r="BQ17" s="167"/>
      <c r="BR17" s="166" t="s">
        <v>519</v>
      </c>
      <c r="BS17" s="166"/>
      <c r="BT17" s="166"/>
      <c r="BU17" s="166"/>
      <c r="BV17" s="166"/>
      <c r="BW17" s="167"/>
    </row>
    <row r="18" spans="2:75" x14ac:dyDescent="0.3">
      <c r="B18" s="182"/>
      <c r="C18" s="182"/>
      <c r="D18" s="182"/>
      <c r="E18" s="60" t="s">
        <v>480</v>
      </c>
      <c r="F18" s="60" t="s">
        <v>490</v>
      </c>
      <c r="G18" s="60" t="s">
        <v>480</v>
      </c>
      <c r="H18" s="60" t="s">
        <v>490</v>
      </c>
      <c r="I18" s="183"/>
      <c r="J18" s="89" t="s">
        <v>491</v>
      </c>
      <c r="K18" s="90" t="s">
        <v>492</v>
      </c>
      <c r="L18" s="90" t="s">
        <v>493</v>
      </c>
      <c r="M18" s="90" t="s">
        <v>494</v>
      </c>
      <c r="N18" s="90" t="s">
        <v>495</v>
      </c>
      <c r="O18" s="90" t="s">
        <v>496</v>
      </c>
      <c r="P18" s="62" t="s">
        <v>491</v>
      </c>
      <c r="Q18" s="62" t="s">
        <v>492</v>
      </c>
      <c r="R18" s="62" t="s">
        <v>493</v>
      </c>
      <c r="S18" s="62" t="s">
        <v>494</v>
      </c>
      <c r="T18" s="62" t="s">
        <v>495</v>
      </c>
      <c r="U18" s="62" t="s">
        <v>496</v>
      </c>
      <c r="V18" s="62" t="s">
        <v>491</v>
      </c>
      <c r="W18" s="62" t="s">
        <v>492</v>
      </c>
      <c r="X18" s="62" t="s">
        <v>493</v>
      </c>
      <c r="Y18" s="62" t="s">
        <v>494</v>
      </c>
      <c r="Z18" s="62" t="s">
        <v>495</v>
      </c>
      <c r="AA18" s="62" t="s">
        <v>496</v>
      </c>
      <c r="AB18" s="62" t="s">
        <v>491</v>
      </c>
      <c r="AC18" s="62" t="s">
        <v>492</v>
      </c>
      <c r="AD18" s="62" t="s">
        <v>493</v>
      </c>
      <c r="AE18" s="62" t="s">
        <v>494</v>
      </c>
      <c r="AF18" s="62" t="s">
        <v>495</v>
      </c>
      <c r="AG18" s="62" t="s">
        <v>496</v>
      </c>
      <c r="AH18" s="62" t="s">
        <v>491</v>
      </c>
      <c r="AI18" s="62" t="s">
        <v>492</v>
      </c>
      <c r="AJ18" s="62" t="s">
        <v>493</v>
      </c>
      <c r="AK18" s="62" t="s">
        <v>494</v>
      </c>
      <c r="AL18" s="62" t="s">
        <v>495</v>
      </c>
      <c r="AM18" s="62" t="s">
        <v>496</v>
      </c>
      <c r="AN18" s="62" t="s">
        <v>491</v>
      </c>
      <c r="AO18" s="62" t="s">
        <v>492</v>
      </c>
      <c r="AP18" s="62" t="s">
        <v>493</v>
      </c>
      <c r="AQ18" s="62" t="s">
        <v>494</v>
      </c>
      <c r="AR18" s="62" t="s">
        <v>495</v>
      </c>
      <c r="AS18" s="62" t="s">
        <v>496</v>
      </c>
      <c r="AT18" s="62" t="s">
        <v>491</v>
      </c>
      <c r="AU18" s="62" t="s">
        <v>492</v>
      </c>
      <c r="AV18" s="62" t="s">
        <v>493</v>
      </c>
      <c r="AW18" s="62" t="s">
        <v>494</v>
      </c>
      <c r="AX18" s="62" t="s">
        <v>495</v>
      </c>
      <c r="AY18" s="62" t="s">
        <v>496</v>
      </c>
      <c r="AZ18" s="62" t="s">
        <v>491</v>
      </c>
      <c r="BA18" s="62" t="s">
        <v>492</v>
      </c>
      <c r="BB18" s="62" t="s">
        <v>493</v>
      </c>
      <c r="BC18" s="62" t="s">
        <v>494</v>
      </c>
      <c r="BD18" s="62" t="s">
        <v>495</v>
      </c>
      <c r="BE18" s="63" t="s">
        <v>496</v>
      </c>
      <c r="BF18" s="62" t="s">
        <v>491</v>
      </c>
      <c r="BG18" s="62" t="s">
        <v>492</v>
      </c>
      <c r="BH18" s="62" t="s">
        <v>493</v>
      </c>
      <c r="BI18" s="62" t="s">
        <v>494</v>
      </c>
      <c r="BJ18" s="62" t="s">
        <v>495</v>
      </c>
      <c r="BK18" s="63" t="s">
        <v>496</v>
      </c>
      <c r="BL18" s="62" t="s">
        <v>491</v>
      </c>
      <c r="BM18" s="62" t="s">
        <v>492</v>
      </c>
      <c r="BN18" s="62" t="s">
        <v>493</v>
      </c>
      <c r="BO18" s="62" t="s">
        <v>494</v>
      </c>
      <c r="BP18" s="62" t="s">
        <v>495</v>
      </c>
      <c r="BQ18" s="63" t="s">
        <v>496</v>
      </c>
      <c r="BR18" s="62" t="s">
        <v>491</v>
      </c>
      <c r="BS18" s="62" t="s">
        <v>492</v>
      </c>
      <c r="BT18" s="62" t="s">
        <v>493</v>
      </c>
      <c r="BU18" s="62" t="s">
        <v>494</v>
      </c>
      <c r="BV18" s="62" t="s">
        <v>495</v>
      </c>
      <c r="BW18" s="63" t="s">
        <v>496</v>
      </c>
    </row>
    <row r="19" spans="2:75" x14ac:dyDescent="0.3">
      <c r="B19" s="65">
        <v>1</v>
      </c>
      <c r="C19" s="147" t="s">
        <v>66</v>
      </c>
      <c r="D19" s="145"/>
      <c r="E19" s="146"/>
      <c r="F19" s="68">
        <f t="shared" ref="F19:I24" si="0">F7</f>
        <v>0</v>
      </c>
      <c r="G19" s="67">
        <f t="shared" si="0"/>
        <v>0</v>
      </c>
      <c r="H19" s="68">
        <f t="shared" si="0"/>
        <v>0</v>
      </c>
      <c r="I19" s="69">
        <f t="shared" si="0"/>
        <v>0</v>
      </c>
      <c r="J19" s="91">
        <f>IF(AND(J7&lt;&gt;"",J7&gt;0),(VLOOKUP(J$6,$CC$6:$CE$11,3,0)*J7)/SUM($J7:$N7),0)</f>
        <v>0</v>
      </c>
      <c r="K19" s="92">
        <f t="shared" ref="J19:L23" si="1">IF(AND(K7&lt;&gt;"",K7&gt;0),(VLOOKUP(K$6,$CC$6:$CE$11,3,0)*K7)/SUM($J7:$N7),0)</f>
        <v>0</v>
      </c>
      <c r="L19" s="92">
        <f t="shared" si="1"/>
        <v>0</v>
      </c>
      <c r="M19" s="92">
        <f>IF(AND(M7&lt;&gt;"",M7&gt;0),(VLOOKUP(M$6,$CC$6:$CE$12,3,0)*M7)/SUM($J7:$N7),0)</f>
        <v>0</v>
      </c>
      <c r="N19" s="92">
        <f>IF(AND(N7&lt;&gt;"",N7&gt;0),(VLOOKUP(N$6,$CC$6:$CE$12,3,0)*N7)/SUM($J7:$N7),0)</f>
        <v>0</v>
      </c>
      <c r="O19" s="92">
        <f>IF(AND(O7&lt;&gt;"",O7&gt;0),(VLOOKUP(O$6,$CC$6:$CE$12,3,0)*O7)/SUM($J7:$N7),0)</f>
        <v>0</v>
      </c>
      <c r="P19" s="91">
        <f t="shared" ref="P19:T23" si="2">IF(AND(P7&lt;&gt;"",P7&gt;0),(VLOOKUP(P$6,$CC$6:$CE$11,3,0)*P7)/SUM($P7:$T7),0)</f>
        <v>0</v>
      </c>
      <c r="Q19" s="92">
        <f t="shared" si="2"/>
        <v>0</v>
      </c>
      <c r="R19" s="92">
        <f t="shared" si="2"/>
        <v>0</v>
      </c>
      <c r="S19" s="92">
        <f t="shared" si="2"/>
        <v>0</v>
      </c>
      <c r="T19" s="92">
        <f t="shared" si="2"/>
        <v>0</v>
      </c>
      <c r="U19" s="92">
        <f t="shared" ref="U19:U23" si="3">IF(AND(U7&lt;&gt;"",U7&gt;0),(VLOOKUP(U$6,$CC$6:$CE$12,3,0)*U7)/SUM($P7:$T7),0)</f>
        <v>0</v>
      </c>
      <c r="V19" s="91">
        <f t="shared" ref="V19:Z23" si="4">IF(AND(V7&lt;&gt;"",V7&gt;0),(VLOOKUP(V$6,$CC$6:$CE$11,3,0)*V7)/SUM($V7:$Z7),0)</f>
        <v>0</v>
      </c>
      <c r="W19" s="92">
        <f t="shared" si="4"/>
        <v>0</v>
      </c>
      <c r="X19" s="92">
        <f t="shared" si="4"/>
        <v>0</v>
      </c>
      <c r="Y19" s="92">
        <f t="shared" si="4"/>
        <v>0</v>
      </c>
      <c r="Z19" s="92">
        <f t="shared" si="4"/>
        <v>0</v>
      </c>
      <c r="AA19" s="92">
        <f>IF(AND(AA7&lt;&gt;"",AA7&gt;0),(VLOOKUP(AA$6,$CC$6:$CE$12,3,0)*AA7)/SUM($V7:$Z7),0)</f>
        <v>0</v>
      </c>
      <c r="AB19" s="91">
        <f t="shared" ref="AB19:AF23" si="5">IF(AND(AB7&lt;&gt;"",AB7&gt;0),(VLOOKUP(AB$6,$CC$6:$CE$11,3,0)*AB7)/SUM($AB7:$AF7),0)</f>
        <v>0</v>
      </c>
      <c r="AC19" s="92">
        <f t="shared" si="5"/>
        <v>0</v>
      </c>
      <c r="AD19" s="92">
        <f t="shared" si="5"/>
        <v>0</v>
      </c>
      <c r="AE19" s="92">
        <f t="shared" si="5"/>
        <v>0</v>
      </c>
      <c r="AF19" s="92">
        <f t="shared" si="5"/>
        <v>0</v>
      </c>
      <c r="AG19" s="92">
        <f>IF(AND(AG7&lt;&gt;"",AG7&gt;0),(VLOOKUP(AG$6,$CC$6:$CE$12,3,0)*AG7)/SUM($AB7:$AF7),0)</f>
        <v>0</v>
      </c>
      <c r="AH19" s="91">
        <f t="shared" ref="AH19:AL23" si="6">IF(AND(AH7&lt;&gt;"",AH7&gt;0),(VLOOKUP(AH$6,$CC$6:$CE$11,3,0)*AH7)/SUM($AH7:$AL7),0)</f>
        <v>0</v>
      </c>
      <c r="AI19" s="92">
        <f t="shared" si="6"/>
        <v>0</v>
      </c>
      <c r="AJ19" s="92">
        <f t="shared" si="6"/>
        <v>0</v>
      </c>
      <c r="AK19" s="92">
        <f t="shared" si="6"/>
        <v>0</v>
      </c>
      <c r="AL19" s="92">
        <f t="shared" si="6"/>
        <v>0</v>
      </c>
      <c r="AM19" s="92">
        <f>IF(AND(AM7&lt;&gt;"",AM7&gt;0),(VLOOKUP(AM$6,$CC$6:$CE$12,3,0)*AM7)/SUM($AH7:$AL7),0)</f>
        <v>0</v>
      </c>
      <c r="AN19" s="91">
        <f t="shared" ref="AN19:AR23" si="7">IF(AND(AN7&lt;&gt;"",AN7&gt;0),(VLOOKUP(AN$6,$CC$6:$CE$11,3,0)*AN7)/SUM($AN7:$AR7),0)</f>
        <v>0</v>
      </c>
      <c r="AO19" s="92">
        <f t="shared" si="7"/>
        <v>0</v>
      </c>
      <c r="AP19" s="92">
        <f t="shared" si="7"/>
        <v>0</v>
      </c>
      <c r="AQ19" s="92">
        <f t="shared" si="7"/>
        <v>0</v>
      </c>
      <c r="AR19" s="92">
        <f t="shared" si="7"/>
        <v>0</v>
      </c>
      <c r="AS19" s="92">
        <f>IF(AND(AS7&lt;&gt;"",AS7&gt;0),(VLOOKUP(AS$6,$CC$6:$CE$12,3,0)*AS7)/SUM($AN7:$AR7),0)</f>
        <v>0</v>
      </c>
      <c r="AT19" s="91">
        <f t="shared" ref="AT19:AX23" si="8">IF(AND(AT7&lt;&gt;"",AT7&gt;0),(VLOOKUP(AT$6,$CC$6:$CE$11,3,0)*AT7)/SUM($AT7:$AX7),0)</f>
        <v>0</v>
      </c>
      <c r="AU19" s="92">
        <f t="shared" si="8"/>
        <v>0</v>
      </c>
      <c r="AV19" s="92">
        <f t="shared" si="8"/>
        <v>0</v>
      </c>
      <c r="AW19" s="92">
        <f t="shared" si="8"/>
        <v>0</v>
      </c>
      <c r="AX19" s="92">
        <f t="shared" si="8"/>
        <v>0</v>
      </c>
      <c r="AY19" s="92">
        <f>IF(AND(AY7&lt;&gt;"",AY7&gt;0),(VLOOKUP(AY$6,$CC$6:$CE$12,3,0)*AY7)/SUM($AT7:$AX7),0)</f>
        <v>0</v>
      </c>
      <c r="AZ19" s="91">
        <f t="shared" ref="AZ19:BD23" si="9">IF(AND(AZ7&lt;&gt;"",AZ7&gt;0),(VLOOKUP(AZ$6,$CC$6:$CE$11,3,0)*AZ7)/SUM($AZ7:$BD7),0)</f>
        <v>0</v>
      </c>
      <c r="BA19" s="92">
        <f t="shared" si="9"/>
        <v>0</v>
      </c>
      <c r="BB19" s="92">
        <f t="shared" si="9"/>
        <v>0</v>
      </c>
      <c r="BC19" s="92">
        <f t="shared" si="9"/>
        <v>0</v>
      </c>
      <c r="BD19" s="92">
        <f t="shared" si="9"/>
        <v>0</v>
      </c>
      <c r="BE19" s="92">
        <f>IF(AND(BE7&lt;&gt;"",BE7&gt;0),(VLOOKUP(BE$6,$CC$6:$CE$12,3,0)*BE7)/SUM($AZ7:$BD7),0)</f>
        <v>0</v>
      </c>
      <c r="BF19" s="92">
        <f>IF(AND(BF7&lt;&gt;"",BF7&gt;0),(VLOOKUP(BF$6,$CC$6:$CE$12,3,0)*BF7)/SUM($BF7:$BJ7),0)</f>
        <v>0</v>
      </c>
      <c r="BG19" s="92">
        <f t="shared" ref="BG19:BJ19" si="10">IF(AND(BG7&lt;&gt;"",BG7&gt;0),(VLOOKUP(BG$6,$CC$6:$CE$12,3,0)*BG7)/SUM($BF7:$BJ7),0)</f>
        <v>0</v>
      </c>
      <c r="BH19" s="92">
        <f t="shared" si="10"/>
        <v>0</v>
      </c>
      <c r="BI19" s="92">
        <f t="shared" si="10"/>
        <v>0</v>
      </c>
      <c r="BJ19" s="92">
        <f t="shared" si="10"/>
        <v>0</v>
      </c>
      <c r="BK19" s="92">
        <f>IF(AND(BK7&lt;&gt;"",BK7&gt;0),(VLOOKUP(BK$6,$CC$6:$CE$12,3,0)*BK7)/SUM($BF7:$BJ7),0)</f>
        <v>0</v>
      </c>
      <c r="BL19" s="92">
        <f>IF(AND(BL7&lt;&gt;"",BL7&gt;0),(VLOOKUP(BL$6,$CC$6:$CE$12,3,0)*BL7)/SUM($BL7:$BP7),0)</f>
        <v>0</v>
      </c>
      <c r="BM19" s="92">
        <f t="shared" ref="BM19:BQ19" si="11">IF(AND(BM7&lt;&gt;"",BM7&gt;0),(VLOOKUP(BM$6,$CC$6:$CE$12,3,0)*BM7)/SUM($BL7:$BP7),0)</f>
        <v>0</v>
      </c>
      <c r="BN19" s="92">
        <f t="shared" si="11"/>
        <v>0</v>
      </c>
      <c r="BO19" s="92">
        <f t="shared" si="11"/>
        <v>0</v>
      </c>
      <c r="BP19" s="92">
        <f t="shared" si="11"/>
        <v>0</v>
      </c>
      <c r="BQ19" s="92">
        <f t="shared" si="11"/>
        <v>0</v>
      </c>
      <c r="BR19" s="92">
        <f>IF(AND(BR7&lt;&gt;"",BR7&gt;0),(VLOOKUP(BR$6,$CC$6:$CE$12,3,0)*BR7)/SUM($BR7:$BV7),0)</f>
        <v>0</v>
      </c>
      <c r="BS19" s="92">
        <f t="shared" ref="BS19:BW19" si="12">IF(AND(BS7&lt;&gt;"",BS7&gt;0),(VLOOKUP(BS$6,$CC$6:$CE$12,3,0)*BS7)/SUM($BR7:$BV7),0)</f>
        <v>0</v>
      </c>
      <c r="BT19" s="92">
        <f t="shared" si="12"/>
        <v>0</v>
      </c>
      <c r="BU19" s="92">
        <f t="shared" si="12"/>
        <v>0</v>
      </c>
      <c r="BV19" s="92">
        <f t="shared" si="12"/>
        <v>0</v>
      </c>
      <c r="BW19" s="92">
        <f t="shared" si="12"/>
        <v>0</v>
      </c>
    </row>
    <row r="20" spans="2:75" x14ac:dyDescent="0.3">
      <c r="B20" s="74">
        <v>2</v>
      </c>
      <c r="C20" s="147" t="s">
        <v>70</v>
      </c>
      <c r="D20" s="76"/>
      <c r="E20" s="77"/>
      <c r="F20" s="78">
        <f t="shared" si="0"/>
        <v>0</v>
      </c>
      <c r="G20" s="77">
        <f t="shared" si="0"/>
        <v>0</v>
      </c>
      <c r="H20" s="78">
        <f t="shared" si="0"/>
        <v>0</v>
      </c>
      <c r="I20" s="69">
        <f t="shared" si="0"/>
        <v>0</v>
      </c>
      <c r="J20" s="91">
        <f t="shared" si="1"/>
        <v>0</v>
      </c>
      <c r="K20" s="92">
        <f t="shared" si="1"/>
        <v>0</v>
      </c>
      <c r="L20" s="92">
        <f t="shared" si="1"/>
        <v>0</v>
      </c>
      <c r="M20" s="92">
        <f>IF(AND(M8&lt;&gt;"",M8&gt;0),(VLOOKUP(M$6,$CC$6:$CE$12,3,0)*M8)/SUM($J8:$N8),0)</f>
        <v>0</v>
      </c>
      <c r="N20" s="92">
        <f t="shared" ref="N20" si="13">IF(AND(N8&lt;&gt;"",N8&gt;0),(VLOOKUP(N$6,$CC$6:$CE$12,3,0)*N8)/SUM($J8:$N8),0)</f>
        <v>0</v>
      </c>
      <c r="O20" s="92">
        <f t="shared" ref="O20:O23" si="14">IF(AND(O8&lt;&gt;"",O8&gt;0),(VLOOKUP(O$6,$CC$6:$CE$12,3,0)*O8)/SUM($J8:$N8),0)</f>
        <v>0</v>
      </c>
      <c r="P20" s="91">
        <f t="shared" si="2"/>
        <v>0</v>
      </c>
      <c r="Q20" s="92">
        <f t="shared" si="2"/>
        <v>0</v>
      </c>
      <c r="R20" s="92">
        <f t="shared" si="2"/>
        <v>0</v>
      </c>
      <c r="S20" s="92">
        <f t="shared" si="2"/>
        <v>0</v>
      </c>
      <c r="T20" s="92">
        <f t="shared" si="2"/>
        <v>0</v>
      </c>
      <c r="U20" s="92">
        <f t="shared" si="3"/>
        <v>0</v>
      </c>
      <c r="V20" s="91">
        <f t="shared" si="4"/>
        <v>0</v>
      </c>
      <c r="W20" s="92">
        <f t="shared" si="4"/>
        <v>0</v>
      </c>
      <c r="X20" s="92">
        <f t="shared" si="4"/>
        <v>0</v>
      </c>
      <c r="Y20" s="92">
        <f t="shared" si="4"/>
        <v>0</v>
      </c>
      <c r="Z20" s="92">
        <f t="shared" si="4"/>
        <v>0</v>
      </c>
      <c r="AA20" s="92">
        <f t="shared" ref="AA20:AA23" si="15">IF(AND(AA8&lt;&gt;"",AA8&gt;0),(VLOOKUP(AA$6,$CC$6:$CE$12,3,0)*AA8)/SUM($V8:$Z8),0)</f>
        <v>0</v>
      </c>
      <c r="AB20" s="91">
        <f t="shared" si="5"/>
        <v>0</v>
      </c>
      <c r="AC20" s="92">
        <f t="shared" si="5"/>
        <v>0</v>
      </c>
      <c r="AD20" s="92">
        <f t="shared" si="5"/>
        <v>0</v>
      </c>
      <c r="AE20" s="92">
        <f t="shared" si="5"/>
        <v>0</v>
      </c>
      <c r="AF20" s="92">
        <f t="shared" si="5"/>
        <v>0</v>
      </c>
      <c r="AG20" s="92">
        <f>IF(AND(AG8&lt;&gt;"",AG8&gt;0),(VLOOKUP(AG$6,$CC$6:$CE$12,3,0)*AG8)/SUM($AB8:$AF8),0)</f>
        <v>0</v>
      </c>
      <c r="AH20" s="91">
        <f t="shared" si="6"/>
        <v>0</v>
      </c>
      <c r="AI20" s="92">
        <f t="shared" si="6"/>
        <v>0</v>
      </c>
      <c r="AJ20" s="92">
        <f t="shared" si="6"/>
        <v>0</v>
      </c>
      <c r="AK20" s="92">
        <f t="shared" si="6"/>
        <v>0</v>
      </c>
      <c r="AL20" s="92">
        <f t="shared" si="6"/>
        <v>0</v>
      </c>
      <c r="AM20" s="92">
        <f t="shared" ref="AM20:AM23" si="16">IF(AND(AM8&lt;&gt;"",AM8&gt;0),(VLOOKUP(AM$6,$CC$6:$CE$12,3,0)*AM8)/SUM($AH8:$AL8),0)</f>
        <v>0</v>
      </c>
      <c r="AN20" s="91">
        <f t="shared" si="7"/>
        <v>0</v>
      </c>
      <c r="AO20" s="92">
        <f t="shared" si="7"/>
        <v>0</v>
      </c>
      <c r="AP20" s="92">
        <f t="shared" si="7"/>
        <v>0</v>
      </c>
      <c r="AQ20" s="92">
        <f t="shared" si="7"/>
        <v>0</v>
      </c>
      <c r="AR20" s="92">
        <f t="shared" si="7"/>
        <v>0</v>
      </c>
      <c r="AS20" s="92">
        <f t="shared" ref="AS20:AS23" si="17">IF(AND(AS8&lt;&gt;"",AS8&gt;0),(VLOOKUP(AS$6,$CC$6:$CE$12,3,0)*AS8)/SUM($AN8:$AR8),0)</f>
        <v>0</v>
      </c>
      <c r="AT20" s="91">
        <f t="shared" si="8"/>
        <v>0</v>
      </c>
      <c r="AU20" s="92">
        <f t="shared" si="8"/>
        <v>0</v>
      </c>
      <c r="AV20" s="92">
        <f>IF(AND(AV8&lt;&gt;"",AV8&gt;0),(VLOOKUP(AV$6,$CC$6:$CE$11,3,0)*AV8)/SUM($AT8:$AX8),0)</f>
        <v>0</v>
      </c>
      <c r="AW20" s="92">
        <f t="shared" si="8"/>
        <v>0</v>
      </c>
      <c r="AX20" s="92">
        <f>IF(AND(AX8&lt;&gt;"",AX8&gt;0),(VLOOKUP(AX$6,$CC$6:$CE$11,3,0)*AX8)/SUM($AT8:$AX8),0)</f>
        <v>0</v>
      </c>
      <c r="AY20" s="92">
        <f t="shared" ref="AY20:AY22" si="18">IF(AND(AY8&lt;&gt;"",AY8&gt;0),(VLOOKUP(AY$6,$CC$6:$CE$12,3,0)*AY8)/SUM($AT8:$AX8),0)</f>
        <v>0</v>
      </c>
      <c r="AZ20" s="91">
        <f>IF(AND(AZ8&lt;&gt;"",AZ8&gt;0),(VLOOKUP(AZ$6,$CC$6:$CE$11,3,0)*AZ8)/SUM($AZ8:$BD8),0)</f>
        <v>0</v>
      </c>
      <c r="BA20" s="92">
        <f t="shared" si="9"/>
        <v>0</v>
      </c>
      <c r="BB20" s="92">
        <f t="shared" si="9"/>
        <v>0</v>
      </c>
      <c r="BC20" s="92">
        <f t="shared" si="9"/>
        <v>0</v>
      </c>
      <c r="BD20" s="92">
        <f t="shared" si="9"/>
        <v>0</v>
      </c>
      <c r="BE20" s="92">
        <f t="shared" ref="BE20:BE23" si="19">IF(AND(BE8&lt;&gt;"",BE8&gt;0),(VLOOKUP(BE$6,$CC$6:$CE$12,3,0)*BE8)/SUM($AZ8:$BD8),0)</f>
        <v>0</v>
      </c>
      <c r="BF20" s="92">
        <f t="shared" ref="BF20:BK23" si="20">IF(AND(BF8&lt;&gt;"",BF8&gt;0),(VLOOKUP(BF$6,$CC$6:$CE$12,3,0)*BF8)/SUM($BF8:$BJ8),0)</f>
        <v>0</v>
      </c>
      <c r="BG20" s="92">
        <f t="shared" si="20"/>
        <v>0</v>
      </c>
      <c r="BH20" s="92">
        <f t="shared" si="20"/>
        <v>0</v>
      </c>
      <c r="BI20" s="92">
        <f t="shared" si="20"/>
        <v>0</v>
      </c>
      <c r="BJ20" s="92">
        <f>IF(AND(BJ8&lt;&gt;"",BJ8&gt;0),(VLOOKUP(BJ$6,$CC$6:$CE$12,3,0)*BJ8)/SUM($BF8:$BJ8),0)</f>
        <v>0</v>
      </c>
      <c r="BK20" s="92">
        <f t="shared" si="20"/>
        <v>0</v>
      </c>
      <c r="BL20" s="92">
        <f t="shared" ref="BL20:BQ20" si="21">IF(AND(BL8&lt;&gt;"",BL8&gt;0),(VLOOKUP(BL$6,$CC$6:$CE$12,3,0)*BL8)/SUM($BL8:$BP8),0)</f>
        <v>0</v>
      </c>
      <c r="BM20" s="92">
        <f>IF(AND(BM8&lt;&gt;"",BM8&gt;0),(VLOOKUP(BM$6,$CC$6:$CE$12,3,0)*BM8)/SUM($BL8:$BP8),0)</f>
        <v>0</v>
      </c>
      <c r="BN20" s="92">
        <f t="shared" si="21"/>
        <v>0</v>
      </c>
      <c r="BO20" s="92">
        <f t="shared" si="21"/>
        <v>0</v>
      </c>
      <c r="BP20" s="92">
        <f>IF(AND(BP8&lt;&gt;"",BP8&gt;0),(VLOOKUP(BP$6,$CC$6:$CE$12,3,0)*BP8)/SUM($BL8:$BP8),0)</f>
        <v>0</v>
      </c>
      <c r="BQ20" s="92">
        <f t="shared" si="21"/>
        <v>0</v>
      </c>
      <c r="BR20" s="92">
        <f t="shared" ref="BR20:BW20" si="22">IF(AND(BR8&lt;&gt;"",BR8&gt;0),(VLOOKUP(BR$6,$CC$6:$CE$12,3,0)*BR8)/SUM($BR8:$BV8),0)</f>
        <v>0</v>
      </c>
      <c r="BS20" s="92">
        <f t="shared" si="22"/>
        <v>0</v>
      </c>
      <c r="BT20" s="92">
        <f t="shared" si="22"/>
        <v>0</v>
      </c>
      <c r="BU20" s="92">
        <f t="shared" si="22"/>
        <v>0</v>
      </c>
      <c r="BV20" s="92">
        <f t="shared" si="22"/>
        <v>0</v>
      </c>
      <c r="BW20" s="92">
        <f t="shared" si="22"/>
        <v>0</v>
      </c>
    </row>
    <row r="21" spans="2:75" x14ac:dyDescent="0.3">
      <c r="B21" s="74">
        <v>3</v>
      </c>
      <c r="C21" s="148" t="s">
        <v>62</v>
      </c>
      <c r="D21" s="76"/>
      <c r="E21" s="77"/>
      <c r="F21" s="78">
        <f t="shared" si="0"/>
        <v>0</v>
      </c>
      <c r="G21" s="77">
        <f t="shared" si="0"/>
        <v>0</v>
      </c>
      <c r="H21" s="78">
        <f t="shared" si="0"/>
        <v>0</v>
      </c>
      <c r="I21" s="69">
        <f t="shared" si="0"/>
        <v>0</v>
      </c>
      <c r="J21" s="91">
        <f t="shared" si="1"/>
        <v>0</v>
      </c>
      <c r="K21" s="92">
        <f t="shared" si="1"/>
        <v>0</v>
      </c>
      <c r="L21" s="92">
        <f t="shared" si="1"/>
        <v>0</v>
      </c>
      <c r="M21" s="92">
        <f t="shared" ref="M21:N21" si="23">IF(AND(M9&lt;&gt;"",M9&gt;0),(VLOOKUP(M$6,$CC$6:$CE$12,3,0)*M9)/SUM($J9:$N9),0)</f>
        <v>0</v>
      </c>
      <c r="N21" s="92">
        <f t="shared" si="23"/>
        <v>0</v>
      </c>
      <c r="O21" s="92">
        <f>IF(AND(O9&lt;&gt;"",O9&gt;0),(VLOOKUP(O$6,$CC$6:$CE$12,3,0)*O9)/SUM($J9:$N9),0)</f>
        <v>0</v>
      </c>
      <c r="P21" s="91">
        <f t="shared" si="2"/>
        <v>0</v>
      </c>
      <c r="Q21" s="92">
        <f t="shared" si="2"/>
        <v>0</v>
      </c>
      <c r="R21" s="92">
        <f t="shared" si="2"/>
        <v>0</v>
      </c>
      <c r="S21" s="92">
        <f t="shared" si="2"/>
        <v>0</v>
      </c>
      <c r="T21" s="92">
        <f t="shared" si="2"/>
        <v>0</v>
      </c>
      <c r="U21" s="92">
        <f t="shared" si="3"/>
        <v>0</v>
      </c>
      <c r="V21" s="91">
        <f t="shared" si="4"/>
        <v>0</v>
      </c>
      <c r="W21" s="92">
        <f t="shared" si="4"/>
        <v>0</v>
      </c>
      <c r="X21" s="92">
        <f t="shared" si="4"/>
        <v>0</v>
      </c>
      <c r="Y21" s="92">
        <f t="shared" si="4"/>
        <v>0</v>
      </c>
      <c r="Z21" s="92">
        <f t="shared" si="4"/>
        <v>0</v>
      </c>
      <c r="AA21" s="92">
        <f t="shared" si="15"/>
        <v>0</v>
      </c>
      <c r="AB21" s="91">
        <f t="shared" si="5"/>
        <v>0</v>
      </c>
      <c r="AC21" s="92">
        <f t="shared" si="5"/>
        <v>0</v>
      </c>
      <c r="AD21" s="92">
        <f t="shared" si="5"/>
        <v>0</v>
      </c>
      <c r="AE21" s="92">
        <f t="shared" si="5"/>
        <v>0</v>
      </c>
      <c r="AF21" s="92">
        <f t="shared" si="5"/>
        <v>0</v>
      </c>
      <c r="AG21" s="92">
        <f t="shared" ref="AG21:AG23" si="24">IF(AND(AG9&lt;&gt;"",AG9&gt;0),(VLOOKUP(AG$6,$CC$6:$CE$12,3,0)*AG9)/SUM($AB9:$AF9),0)</f>
        <v>0</v>
      </c>
      <c r="AH21" s="91">
        <f t="shared" si="6"/>
        <v>0</v>
      </c>
      <c r="AI21" s="92">
        <f t="shared" si="6"/>
        <v>0</v>
      </c>
      <c r="AJ21" s="92">
        <f t="shared" si="6"/>
        <v>0</v>
      </c>
      <c r="AK21" s="92">
        <f t="shared" si="6"/>
        <v>0</v>
      </c>
      <c r="AL21" s="92">
        <f t="shared" si="6"/>
        <v>0</v>
      </c>
      <c r="AM21" s="92">
        <f t="shared" si="16"/>
        <v>0</v>
      </c>
      <c r="AN21" s="91">
        <f t="shared" si="7"/>
        <v>0</v>
      </c>
      <c r="AO21" s="92">
        <f t="shared" si="7"/>
        <v>0</v>
      </c>
      <c r="AP21" s="92">
        <f t="shared" si="7"/>
        <v>0</v>
      </c>
      <c r="AQ21" s="92">
        <f t="shared" si="7"/>
        <v>0</v>
      </c>
      <c r="AR21" s="92">
        <f t="shared" si="7"/>
        <v>0</v>
      </c>
      <c r="AS21" s="92">
        <f t="shared" si="17"/>
        <v>0</v>
      </c>
      <c r="AT21" s="91">
        <f t="shared" si="8"/>
        <v>0</v>
      </c>
      <c r="AU21" s="92">
        <f t="shared" si="8"/>
        <v>0</v>
      </c>
      <c r="AV21" s="92">
        <f t="shared" si="8"/>
        <v>0</v>
      </c>
      <c r="AW21" s="92">
        <f t="shared" si="8"/>
        <v>0</v>
      </c>
      <c r="AX21" s="92">
        <f t="shared" si="8"/>
        <v>0</v>
      </c>
      <c r="AY21" s="92">
        <f t="shared" si="18"/>
        <v>0</v>
      </c>
      <c r="AZ21" s="91">
        <f t="shared" si="9"/>
        <v>0</v>
      </c>
      <c r="BA21" s="92">
        <f t="shared" si="9"/>
        <v>0</v>
      </c>
      <c r="BB21" s="92">
        <f t="shared" si="9"/>
        <v>0</v>
      </c>
      <c r="BC21" s="92">
        <f>IF(AND(BC9&lt;&gt;"",BC9&gt;0),(VLOOKUP(BC$6,$CC$6:$CE$11,3,0)*BC9)/SUM($AZ9:$BD9),0)</f>
        <v>0</v>
      </c>
      <c r="BD21" s="92">
        <f t="shared" si="9"/>
        <v>0</v>
      </c>
      <c r="BE21" s="92">
        <f t="shared" si="19"/>
        <v>0</v>
      </c>
      <c r="BF21" s="92">
        <f t="shared" si="20"/>
        <v>0</v>
      </c>
      <c r="BG21" s="92">
        <f t="shared" si="20"/>
        <v>0</v>
      </c>
      <c r="BH21" s="92">
        <f t="shared" si="20"/>
        <v>0</v>
      </c>
      <c r="BI21" s="92">
        <f t="shared" si="20"/>
        <v>0</v>
      </c>
      <c r="BJ21" s="92">
        <f>IF(AND(BJ9&lt;&gt;"",BJ9&gt;0),(VLOOKUP(BJ$6,$CC$6:$CE$12,3,0)*BJ9)/SUM($BF9:$BJ9),0)</f>
        <v>0</v>
      </c>
      <c r="BK21" s="92">
        <f t="shared" si="20"/>
        <v>0</v>
      </c>
      <c r="BL21" s="92">
        <f t="shared" ref="BL21:BO21" si="25">IF(AND(BL9&lt;&gt;"",BL9&gt;0),(VLOOKUP(BL$6,$CC$6:$CE$12,3,0)*BL9)/SUM($BL9:$BP9),0)</f>
        <v>0</v>
      </c>
      <c r="BM21" s="92">
        <f t="shared" si="25"/>
        <v>0</v>
      </c>
      <c r="BN21" s="92">
        <f t="shared" si="25"/>
        <v>0</v>
      </c>
      <c r="BO21" s="92">
        <f t="shared" si="25"/>
        <v>0</v>
      </c>
      <c r="BP21" s="92">
        <f>IF(AND(BP9&lt;&gt;"",BP9&gt;0),(VLOOKUP(BP$6,$CC$6:$CE$12,3,0)*BP9)/SUM($BL9:$BP9),0)</f>
        <v>0</v>
      </c>
      <c r="BQ21" s="92">
        <f>IF(AND(BQ9&lt;&gt;"",BQ9&gt;0),(VLOOKUP(BQ$6,$CC$6:$CE$12,3,0)*BQ9)/SUM($BL9:$BP9),0)</f>
        <v>0</v>
      </c>
      <c r="BR21" s="92">
        <f t="shared" ref="BR21:BW21" si="26">IF(AND(BR9&lt;&gt;"",BR9&gt;0),(VLOOKUP(BR$6,$CC$6:$CE$12,3,0)*BR9)/SUM($BR9:$BV9),0)</f>
        <v>0</v>
      </c>
      <c r="BS21" s="92">
        <f t="shared" si="26"/>
        <v>0</v>
      </c>
      <c r="BT21" s="92">
        <f t="shared" si="26"/>
        <v>0</v>
      </c>
      <c r="BU21" s="92">
        <f t="shared" si="26"/>
        <v>0</v>
      </c>
      <c r="BV21" s="92">
        <f t="shared" si="26"/>
        <v>0</v>
      </c>
      <c r="BW21" s="92">
        <f t="shared" si="26"/>
        <v>0</v>
      </c>
    </row>
    <row r="22" spans="2:75" x14ac:dyDescent="0.3">
      <c r="B22" s="74">
        <v>4</v>
      </c>
      <c r="C22" s="147" t="s">
        <v>74</v>
      </c>
      <c r="D22" s="76"/>
      <c r="E22" s="77"/>
      <c r="F22" s="78">
        <f t="shared" si="0"/>
        <v>0</v>
      </c>
      <c r="G22" s="77">
        <f t="shared" si="0"/>
        <v>0</v>
      </c>
      <c r="H22" s="78">
        <f t="shared" si="0"/>
        <v>0</v>
      </c>
      <c r="I22" s="69">
        <f t="shared" si="0"/>
        <v>0</v>
      </c>
      <c r="J22" s="91">
        <f t="shared" si="1"/>
        <v>0</v>
      </c>
      <c r="K22" s="92">
        <f t="shared" si="1"/>
        <v>0</v>
      </c>
      <c r="L22" s="92">
        <f t="shared" si="1"/>
        <v>0</v>
      </c>
      <c r="M22" s="92">
        <f t="shared" ref="M22:N22" si="27">IF(AND(M10&lt;&gt;"",M10&gt;0),(VLOOKUP(M$6,$CC$6:$CE$12,3,0)*M10)/SUM($J10:$N10),0)</f>
        <v>0</v>
      </c>
      <c r="N22" s="92">
        <f t="shared" si="27"/>
        <v>0</v>
      </c>
      <c r="O22" s="92">
        <f>IF(AND(O10&lt;&gt;"",O10&gt;0),(VLOOKUP(O$6,$CC$6:$CE$12,3,0)*O10)/SUM($J10:$N10),0)</f>
        <v>0</v>
      </c>
      <c r="P22" s="91">
        <f t="shared" si="2"/>
        <v>0</v>
      </c>
      <c r="Q22" s="92">
        <f t="shared" si="2"/>
        <v>0</v>
      </c>
      <c r="R22" s="92">
        <f t="shared" si="2"/>
        <v>0</v>
      </c>
      <c r="S22" s="92">
        <f t="shared" si="2"/>
        <v>0</v>
      </c>
      <c r="T22" s="92">
        <f t="shared" si="2"/>
        <v>0</v>
      </c>
      <c r="U22" s="92">
        <f t="shared" si="3"/>
        <v>0</v>
      </c>
      <c r="V22" s="91">
        <f t="shared" si="4"/>
        <v>0</v>
      </c>
      <c r="W22" s="92">
        <f t="shared" si="4"/>
        <v>0</v>
      </c>
      <c r="X22" s="92">
        <f t="shared" si="4"/>
        <v>0</v>
      </c>
      <c r="Y22" s="92">
        <f t="shared" si="4"/>
        <v>0</v>
      </c>
      <c r="Z22" s="92">
        <f t="shared" si="4"/>
        <v>0</v>
      </c>
      <c r="AA22" s="92">
        <f t="shared" si="15"/>
        <v>0</v>
      </c>
      <c r="AB22" s="91">
        <f t="shared" si="5"/>
        <v>0</v>
      </c>
      <c r="AC22" s="92">
        <f t="shared" si="5"/>
        <v>0</v>
      </c>
      <c r="AD22" s="92">
        <f t="shared" si="5"/>
        <v>0</v>
      </c>
      <c r="AE22" s="92">
        <f t="shared" si="5"/>
        <v>0</v>
      </c>
      <c r="AF22" s="92">
        <f t="shared" si="5"/>
        <v>0</v>
      </c>
      <c r="AG22" s="92">
        <f t="shared" si="24"/>
        <v>0</v>
      </c>
      <c r="AH22" s="91">
        <f t="shared" si="6"/>
        <v>0</v>
      </c>
      <c r="AI22" s="92">
        <f t="shared" si="6"/>
        <v>0</v>
      </c>
      <c r="AJ22" s="92">
        <f t="shared" si="6"/>
        <v>0</v>
      </c>
      <c r="AK22" s="92">
        <f t="shared" si="6"/>
        <v>0</v>
      </c>
      <c r="AL22" s="92">
        <f t="shared" si="6"/>
        <v>0</v>
      </c>
      <c r="AM22" s="92">
        <f t="shared" si="16"/>
        <v>0</v>
      </c>
      <c r="AN22" s="91">
        <f t="shared" si="7"/>
        <v>0</v>
      </c>
      <c r="AO22" s="92">
        <f t="shared" si="7"/>
        <v>0</v>
      </c>
      <c r="AP22" s="92">
        <f t="shared" si="7"/>
        <v>0</v>
      </c>
      <c r="AQ22" s="92">
        <f t="shared" si="7"/>
        <v>0</v>
      </c>
      <c r="AR22" s="92">
        <f t="shared" si="7"/>
        <v>0</v>
      </c>
      <c r="AS22" s="92">
        <f t="shared" si="17"/>
        <v>0</v>
      </c>
      <c r="AT22" s="91">
        <f t="shared" si="8"/>
        <v>0</v>
      </c>
      <c r="AU22" s="92">
        <f t="shared" si="8"/>
        <v>0</v>
      </c>
      <c r="AV22" s="92">
        <f t="shared" si="8"/>
        <v>0</v>
      </c>
      <c r="AW22" s="92">
        <f t="shared" si="8"/>
        <v>0</v>
      </c>
      <c r="AX22" s="92">
        <f t="shared" si="8"/>
        <v>0</v>
      </c>
      <c r="AY22" s="92">
        <f t="shared" si="18"/>
        <v>0</v>
      </c>
      <c r="AZ22" s="91">
        <f t="shared" si="9"/>
        <v>0</v>
      </c>
      <c r="BA22" s="92">
        <f t="shared" si="9"/>
        <v>0</v>
      </c>
      <c r="BB22" s="92">
        <f t="shared" si="9"/>
        <v>0</v>
      </c>
      <c r="BC22" s="92">
        <f t="shared" si="9"/>
        <v>0</v>
      </c>
      <c r="BD22" s="92">
        <f t="shared" si="9"/>
        <v>0</v>
      </c>
      <c r="BE22" s="92">
        <f t="shared" si="19"/>
        <v>0</v>
      </c>
      <c r="BF22" s="92">
        <f t="shared" si="20"/>
        <v>0</v>
      </c>
      <c r="BG22" s="92">
        <f t="shared" si="20"/>
        <v>0</v>
      </c>
      <c r="BH22" s="92">
        <f t="shared" si="20"/>
        <v>0</v>
      </c>
      <c r="BI22" s="92">
        <f t="shared" si="20"/>
        <v>0</v>
      </c>
      <c r="BJ22" s="92">
        <f>IF(AND(BJ10&lt;&gt;"",BJ10&gt;0),(VLOOKUP(BJ$6,$CC$6:$CE$12,3,0)*BJ10)/SUM($BF10:$BJ10),0)</f>
        <v>0</v>
      </c>
      <c r="BK22" s="92">
        <f>IF(AND(BK10&lt;&gt;"",BK10&gt;0),(VLOOKUP(BK$6,$CC$6:$CE$12,3,0)*BK10)/SUM($BF10:$BJ10),0)</f>
        <v>0</v>
      </c>
      <c r="BL22" s="92">
        <f t="shared" ref="BL22:BQ22" si="28">IF(AND(BL10&lt;&gt;"",BL10&gt;0),(VLOOKUP(BL$6,$CC$6:$CE$12,3,0)*BL10)/SUM($BL10:$BP10),0)</f>
        <v>0</v>
      </c>
      <c r="BM22" s="92">
        <f t="shared" si="28"/>
        <v>0</v>
      </c>
      <c r="BN22" s="92">
        <f t="shared" si="28"/>
        <v>0</v>
      </c>
      <c r="BO22" s="92">
        <f t="shared" si="28"/>
        <v>0</v>
      </c>
      <c r="BP22" s="92">
        <f t="shared" si="28"/>
        <v>0</v>
      </c>
      <c r="BQ22" s="92">
        <f t="shared" si="28"/>
        <v>0</v>
      </c>
      <c r="BR22" s="92">
        <f t="shared" ref="BR22:BW22" si="29">IF(AND(BR10&lt;&gt;"",BR10&gt;0),(VLOOKUP(BR$6,$CC$6:$CE$12,3,0)*BR10)/SUM($BR10:$BV10),0)</f>
        <v>0</v>
      </c>
      <c r="BS22" s="92">
        <f t="shared" si="29"/>
        <v>0</v>
      </c>
      <c r="BT22" s="92">
        <f t="shared" si="29"/>
        <v>0</v>
      </c>
      <c r="BU22" s="92">
        <f t="shared" si="29"/>
        <v>0</v>
      </c>
      <c r="BV22" s="92">
        <f t="shared" si="29"/>
        <v>0</v>
      </c>
      <c r="BW22" s="92">
        <f t="shared" si="29"/>
        <v>0</v>
      </c>
    </row>
    <row r="23" spans="2:75" x14ac:dyDescent="0.3">
      <c r="B23" s="74">
        <v>5</v>
      </c>
      <c r="C23" s="147" t="s">
        <v>89</v>
      </c>
      <c r="D23" s="76"/>
      <c r="E23" s="77"/>
      <c r="F23" s="78">
        <f t="shared" si="0"/>
        <v>0</v>
      </c>
      <c r="G23" s="77">
        <f t="shared" si="0"/>
        <v>0</v>
      </c>
      <c r="H23" s="78">
        <f t="shared" si="0"/>
        <v>0</v>
      </c>
      <c r="I23" s="69">
        <f t="shared" si="0"/>
        <v>0</v>
      </c>
      <c r="J23" s="91">
        <f t="shared" si="1"/>
        <v>0</v>
      </c>
      <c r="K23" s="92">
        <f t="shared" si="1"/>
        <v>0</v>
      </c>
      <c r="L23" s="92">
        <f t="shared" si="1"/>
        <v>0</v>
      </c>
      <c r="M23" s="92">
        <f t="shared" ref="M23:N23" si="30">IF(AND(M11&lt;&gt;"",M11&gt;0),(VLOOKUP(M$6,$CC$6:$CE$12,3,0)*M11)/SUM($J11:$N11),0)</f>
        <v>0</v>
      </c>
      <c r="N23" s="92">
        <f t="shared" si="30"/>
        <v>0</v>
      </c>
      <c r="O23" s="92">
        <f t="shared" si="14"/>
        <v>0</v>
      </c>
      <c r="P23" s="91">
        <f t="shared" si="2"/>
        <v>0</v>
      </c>
      <c r="Q23" s="92">
        <f t="shared" si="2"/>
        <v>0</v>
      </c>
      <c r="R23" s="92">
        <f t="shared" si="2"/>
        <v>0</v>
      </c>
      <c r="S23" s="92">
        <f t="shared" si="2"/>
        <v>0</v>
      </c>
      <c r="T23" s="92">
        <f t="shared" si="2"/>
        <v>0</v>
      </c>
      <c r="U23" s="92">
        <f t="shared" si="3"/>
        <v>0</v>
      </c>
      <c r="V23" s="91">
        <f t="shared" si="4"/>
        <v>0</v>
      </c>
      <c r="W23" s="92">
        <f t="shared" si="4"/>
        <v>0</v>
      </c>
      <c r="X23" s="92">
        <f t="shared" si="4"/>
        <v>0</v>
      </c>
      <c r="Y23" s="92">
        <f t="shared" si="4"/>
        <v>0</v>
      </c>
      <c r="Z23" s="92">
        <f t="shared" si="4"/>
        <v>0</v>
      </c>
      <c r="AA23" s="92">
        <f t="shared" si="15"/>
        <v>0</v>
      </c>
      <c r="AB23" s="91">
        <f t="shared" si="5"/>
        <v>0</v>
      </c>
      <c r="AC23" s="92">
        <f t="shared" si="5"/>
        <v>0</v>
      </c>
      <c r="AD23" s="92">
        <f t="shared" si="5"/>
        <v>0</v>
      </c>
      <c r="AE23" s="92">
        <f t="shared" si="5"/>
        <v>0</v>
      </c>
      <c r="AF23" s="92">
        <f t="shared" si="5"/>
        <v>0</v>
      </c>
      <c r="AG23" s="92">
        <f t="shared" si="24"/>
        <v>0</v>
      </c>
      <c r="AH23" s="91">
        <f t="shared" si="6"/>
        <v>0</v>
      </c>
      <c r="AI23" s="92">
        <f t="shared" si="6"/>
        <v>0</v>
      </c>
      <c r="AJ23" s="92">
        <f t="shared" si="6"/>
        <v>0</v>
      </c>
      <c r="AK23" s="92">
        <f t="shared" si="6"/>
        <v>0</v>
      </c>
      <c r="AL23" s="92">
        <f t="shared" si="6"/>
        <v>0</v>
      </c>
      <c r="AM23" s="92">
        <f t="shared" si="16"/>
        <v>0</v>
      </c>
      <c r="AN23" s="91">
        <f t="shared" si="7"/>
        <v>0</v>
      </c>
      <c r="AO23" s="92">
        <f t="shared" si="7"/>
        <v>0</v>
      </c>
      <c r="AP23" s="92">
        <f t="shared" si="7"/>
        <v>0</v>
      </c>
      <c r="AQ23" s="92">
        <f t="shared" si="7"/>
        <v>0</v>
      </c>
      <c r="AR23" s="92">
        <f t="shared" si="7"/>
        <v>0</v>
      </c>
      <c r="AS23" s="92">
        <f t="shared" si="17"/>
        <v>0</v>
      </c>
      <c r="AT23" s="91">
        <f t="shared" si="8"/>
        <v>0</v>
      </c>
      <c r="AU23" s="92">
        <f t="shared" si="8"/>
        <v>0</v>
      </c>
      <c r="AV23" s="92">
        <f t="shared" si="8"/>
        <v>0</v>
      </c>
      <c r="AW23" s="92">
        <f t="shared" si="8"/>
        <v>0</v>
      </c>
      <c r="AX23" s="92">
        <f t="shared" si="8"/>
        <v>0</v>
      </c>
      <c r="AY23" s="92">
        <f>IF(AND(AY11&lt;&gt;"",AY11&gt;0),(VLOOKUP(AY$6,$CC$6:$CE$12,3,0)*AY11)/SUM($AT11:$AX11),0)</f>
        <v>0</v>
      </c>
      <c r="AZ23" s="91">
        <f t="shared" si="9"/>
        <v>0</v>
      </c>
      <c r="BA23" s="92">
        <f t="shared" si="9"/>
        <v>0</v>
      </c>
      <c r="BB23" s="92">
        <f t="shared" si="9"/>
        <v>0</v>
      </c>
      <c r="BC23" s="92">
        <f t="shared" si="9"/>
        <v>0</v>
      </c>
      <c r="BD23" s="92">
        <f>IF(AND(BD11&lt;&gt;"",BD11&gt;0),(VLOOKUP(BD$6,$CC$6:$CE$11,3,0)*BD11)/SUM($AZ11:$BD11),0)</f>
        <v>0</v>
      </c>
      <c r="BE23" s="92">
        <f t="shared" si="19"/>
        <v>0</v>
      </c>
      <c r="BF23" s="92">
        <f t="shared" si="20"/>
        <v>0</v>
      </c>
      <c r="BG23" s="92">
        <f t="shared" si="20"/>
        <v>0</v>
      </c>
      <c r="BH23" s="92">
        <f t="shared" si="20"/>
        <v>0</v>
      </c>
      <c r="BI23" s="92">
        <f t="shared" si="20"/>
        <v>0</v>
      </c>
      <c r="BJ23" s="92">
        <f t="shared" si="20"/>
        <v>0</v>
      </c>
      <c r="BK23" s="92">
        <f>IF(AND(BK11&lt;&gt;"",BK11&gt;0),(VLOOKUP(BK$6,$CC$6:$CE$12,3,0)*BK11)/SUM($BF11:$BJ11),0)</f>
        <v>0</v>
      </c>
      <c r="BL23" s="92">
        <f t="shared" ref="BL23:BQ23" si="31">IF(AND(BL11&lt;&gt;"",BL11&gt;0),(VLOOKUP(BL$6,$CC$6:$CE$12,3,0)*BL11)/SUM($BL11:$BP11),0)</f>
        <v>0</v>
      </c>
      <c r="BM23" s="92">
        <f t="shared" si="31"/>
        <v>0</v>
      </c>
      <c r="BN23" s="92">
        <f t="shared" si="31"/>
        <v>0</v>
      </c>
      <c r="BO23" s="92">
        <f t="shared" si="31"/>
        <v>0</v>
      </c>
      <c r="BP23" s="92">
        <f t="shared" si="31"/>
        <v>0</v>
      </c>
      <c r="BQ23" s="92">
        <f t="shared" si="31"/>
        <v>0</v>
      </c>
      <c r="BR23" s="92">
        <f t="shared" ref="BR23:BW23" si="32">IF(AND(BR11&lt;&gt;"",BR11&gt;0),(VLOOKUP(BR$6,$CC$6:$CE$12,3,0)*BR11)/SUM($BR11:$BV11),0)</f>
        <v>0</v>
      </c>
      <c r="BS23" s="92">
        <f t="shared" si="32"/>
        <v>0</v>
      </c>
      <c r="BT23" s="92">
        <f t="shared" si="32"/>
        <v>0</v>
      </c>
      <c r="BU23" s="92">
        <f t="shared" si="32"/>
        <v>0</v>
      </c>
      <c r="BV23" s="92">
        <f t="shared" si="32"/>
        <v>0</v>
      </c>
      <c r="BW23" s="92">
        <f t="shared" si="32"/>
        <v>0</v>
      </c>
    </row>
    <row r="24" spans="2:75" x14ac:dyDescent="0.3">
      <c r="D24" s="85"/>
      <c r="E24" s="85"/>
      <c r="F24" s="86">
        <f t="shared" si="0"/>
        <v>0</v>
      </c>
      <c r="G24" s="85">
        <f t="shared" si="0"/>
        <v>0</v>
      </c>
      <c r="H24" s="86">
        <f t="shared" si="0"/>
        <v>0</v>
      </c>
      <c r="I24" s="85">
        <f t="shared" si="0"/>
        <v>0</v>
      </c>
    </row>
    <row r="25" spans="2:75" x14ac:dyDescent="0.3">
      <c r="D25" s="85"/>
      <c r="E25" s="85"/>
      <c r="F25" s="86"/>
      <c r="G25" s="85"/>
      <c r="H25" s="86"/>
      <c r="I25" s="85"/>
    </row>
    <row r="26" spans="2:75" x14ac:dyDescent="0.3">
      <c r="D26" s="85"/>
      <c r="E26" s="85"/>
      <c r="F26" s="86"/>
      <c r="G26" s="85"/>
      <c r="H26" s="86"/>
      <c r="I26" s="85"/>
      <c r="J26" s="96"/>
    </row>
    <row r="27" spans="2:75" ht="15.6" x14ac:dyDescent="0.3">
      <c r="D27" s="85"/>
      <c r="E27" s="85"/>
      <c r="F27" s="86"/>
      <c r="G27" s="85"/>
      <c r="H27" s="86"/>
      <c r="I27" s="85"/>
      <c r="K27" s="97" t="s">
        <v>502</v>
      </c>
    </row>
    <row r="28" spans="2:75" x14ac:dyDescent="0.3">
      <c r="D28" s="85"/>
      <c r="E28" s="85"/>
      <c r="F28" s="86"/>
      <c r="G28" s="85"/>
      <c r="H28" s="86"/>
      <c r="I28" s="85"/>
    </row>
    <row r="29" spans="2:75" x14ac:dyDescent="0.3">
      <c r="D29" s="85"/>
      <c r="E29" s="85"/>
      <c r="F29" s="86"/>
      <c r="G29" s="85"/>
      <c r="H29" s="86"/>
      <c r="I29" s="85"/>
    </row>
    <row r="30" spans="2:75" x14ac:dyDescent="0.3">
      <c r="U30" s="98"/>
    </row>
    <row r="31" spans="2:75" x14ac:dyDescent="0.3">
      <c r="E31" s="173" t="s">
        <v>474</v>
      </c>
      <c r="F31" s="175" t="s">
        <v>5</v>
      </c>
      <c r="G31" s="176"/>
      <c r="H31" s="176"/>
      <c r="I31" s="177"/>
      <c r="J31" s="171" t="s">
        <v>503</v>
      </c>
      <c r="K31" s="169"/>
      <c r="L31" s="169"/>
      <c r="M31" s="169"/>
      <c r="N31" s="169"/>
      <c r="O31" s="169"/>
      <c r="P31" s="169"/>
      <c r="Q31" s="169"/>
      <c r="R31" s="169"/>
      <c r="S31" s="169"/>
      <c r="T31" s="169"/>
    </row>
    <row r="32" spans="2:75" x14ac:dyDescent="0.3">
      <c r="E32" s="174"/>
      <c r="F32" s="178"/>
      <c r="G32" s="179"/>
      <c r="H32" s="179"/>
      <c r="I32" s="180"/>
      <c r="J32" s="99">
        <v>1</v>
      </c>
      <c r="K32" s="100">
        <v>2</v>
      </c>
      <c r="L32" s="100">
        <v>3</v>
      </c>
      <c r="M32" s="100">
        <v>4</v>
      </c>
      <c r="N32" s="100">
        <v>5</v>
      </c>
      <c r="O32" s="100">
        <v>6</v>
      </c>
      <c r="P32" s="100">
        <v>7</v>
      </c>
      <c r="Q32" s="100">
        <v>8</v>
      </c>
      <c r="R32" s="155">
        <v>9</v>
      </c>
      <c r="S32" s="155">
        <v>10</v>
      </c>
      <c r="T32" s="155">
        <v>11</v>
      </c>
      <c r="U32" s="101" t="s">
        <v>504</v>
      </c>
      <c r="X32" s="101" t="s">
        <v>454</v>
      </c>
    </row>
    <row r="33" spans="5:24" x14ac:dyDescent="0.3">
      <c r="E33" s="65">
        <v>1</v>
      </c>
      <c r="F33" s="102" t="s">
        <v>66</v>
      </c>
      <c r="G33" s="103"/>
      <c r="H33" s="103"/>
      <c r="I33" s="104"/>
      <c r="J33" s="105">
        <f>SUM(J19:O19)</f>
        <v>0</v>
      </c>
      <c r="K33" s="105">
        <f>SUM(P19:U19)</f>
        <v>0</v>
      </c>
      <c r="L33" s="105">
        <f>SUM(V19:AA19)</f>
        <v>0</v>
      </c>
      <c r="M33" s="105">
        <f>SUM(AB19:AG19)</f>
        <v>0</v>
      </c>
      <c r="N33" s="105">
        <f>SUM(AH19:AM19)</f>
        <v>0</v>
      </c>
      <c r="O33" s="105">
        <f>SUM(AN19:AS19)</f>
        <v>0</v>
      </c>
      <c r="P33" s="105">
        <f>SUM(AT19:AY19)</f>
        <v>0</v>
      </c>
      <c r="Q33" s="105">
        <f>SUM(AZ19:BE19)</f>
        <v>0</v>
      </c>
      <c r="R33" s="105">
        <f>SUM(BF19:BK19)</f>
        <v>0</v>
      </c>
      <c r="S33" s="156">
        <f>SUM(BL19:BQ19)</f>
        <v>0</v>
      </c>
      <c r="T33" s="156">
        <f>SUM(BR19:BW19)</f>
        <v>0</v>
      </c>
      <c r="U33" s="106">
        <f>IFERROR(AVERAGEIF(J33:Q33,"&gt;0",J33:Q33),0)</f>
        <v>0</v>
      </c>
      <c r="V33" s="107"/>
      <c r="X33" s="106">
        <v>4.4600389863547756</v>
      </c>
    </row>
    <row r="34" spans="5:24" x14ac:dyDescent="0.3">
      <c r="E34" s="74">
        <v>2</v>
      </c>
      <c r="F34" s="108" t="s">
        <v>70</v>
      </c>
      <c r="I34" s="109"/>
      <c r="J34" s="110">
        <f>SUM(J20:O20)</f>
        <v>0</v>
      </c>
      <c r="K34" s="110">
        <f>SUM(P20:U20)</f>
        <v>0</v>
      </c>
      <c r="L34" s="110">
        <f>SUM(V20:AA20)</f>
        <v>0</v>
      </c>
      <c r="M34" s="110">
        <f>SUM(AB20:AG20)</f>
        <v>0</v>
      </c>
      <c r="N34" s="110">
        <f>SUM(AH20:AM20)</f>
        <v>0</v>
      </c>
      <c r="O34" s="110">
        <f>SUM(AN20:AS20)</f>
        <v>0</v>
      </c>
      <c r="P34" s="110">
        <f>SUM(AT20:AY20)</f>
        <v>0</v>
      </c>
      <c r="Q34" s="110">
        <f>SUM(AZ20:BE20)</f>
        <v>0</v>
      </c>
      <c r="R34" s="105">
        <f t="shared" ref="R34:R37" si="33">SUM(BF20:BK20)</f>
        <v>0</v>
      </c>
      <c r="S34" s="156">
        <f t="shared" ref="S34:S37" si="34">SUM(BL20:BQ20)</f>
        <v>0</v>
      </c>
      <c r="T34" s="156">
        <f t="shared" ref="T34:T37" si="35">SUM(BR20:BW20)</f>
        <v>0</v>
      </c>
      <c r="U34" s="111">
        <f>IFERROR(AVERAGEIF(J34:Q34,"&gt;0",J34:Q34),0)</f>
        <v>0</v>
      </c>
      <c r="V34" s="107"/>
      <c r="X34" s="112">
        <v>4.1269999999999998</v>
      </c>
    </row>
    <row r="35" spans="5:24" x14ac:dyDescent="0.3">
      <c r="E35" s="74">
        <v>3</v>
      </c>
      <c r="F35" s="108" t="s">
        <v>62</v>
      </c>
      <c r="I35" s="109"/>
      <c r="J35" s="110">
        <f>SUM(J21:O21)</f>
        <v>0</v>
      </c>
      <c r="K35" s="110">
        <f>SUM(P21:U21)</f>
        <v>0</v>
      </c>
      <c r="L35" s="110">
        <f>SUM(V21:AA21)</f>
        <v>0</v>
      </c>
      <c r="M35" s="110">
        <f>SUM(AB21:AG21)</f>
        <v>0</v>
      </c>
      <c r="N35" s="110">
        <f>SUM(AH21:AM21)</f>
        <v>0</v>
      </c>
      <c r="O35" s="110">
        <f>SUM(AN21:AS21)</f>
        <v>0</v>
      </c>
      <c r="P35" s="110">
        <f>SUM(AT21:AY21)</f>
        <v>0</v>
      </c>
      <c r="Q35" s="110">
        <f>SUM(AZ21:BE21)</f>
        <v>0</v>
      </c>
      <c r="R35" s="105">
        <f t="shared" si="33"/>
        <v>0</v>
      </c>
      <c r="S35" s="156">
        <f t="shared" si="34"/>
        <v>0</v>
      </c>
      <c r="T35" s="156">
        <f>SUM(BR21:BW21)</f>
        <v>0</v>
      </c>
      <c r="U35" s="111">
        <f>IFERROR(AVERAGEIF(J35:Q35,"&gt;0",J35:Q35),0)</f>
        <v>0</v>
      </c>
      <c r="V35" s="107"/>
      <c r="X35" s="112">
        <v>4.0410000000000004</v>
      </c>
    </row>
    <row r="36" spans="5:24" x14ac:dyDescent="0.3">
      <c r="E36" s="74">
        <v>4</v>
      </c>
      <c r="F36" s="108" t="s">
        <v>74</v>
      </c>
      <c r="I36" s="109"/>
      <c r="J36" s="110">
        <f>SUM(J22:O22)</f>
        <v>0</v>
      </c>
      <c r="K36" s="110">
        <f>SUM(P22:U22)</f>
        <v>0</v>
      </c>
      <c r="L36" s="110">
        <f>SUM(V22:AA22)</f>
        <v>0</v>
      </c>
      <c r="M36" s="110">
        <f>SUM(AB22:AG22)</f>
        <v>0</v>
      </c>
      <c r="N36" s="110">
        <f>SUM(AH22:AM22)</f>
        <v>0</v>
      </c>
      <c r="O36" s="110">
        <f>SUM(AN22:AS22)</f>
        <v>0</v>
      </c>
      <c r="P36" s="110">
        <f>SUM(AT22:AY22)</f>
        <v>0</v>
      </c>
      <c r="Q36" s="110">
        <f>SUM(AZ22:BE22)</f>
        <v>0</v>
      </c>
      <c r="R36" s="105">
        <f>SUM(BF22:BK22)</f>
        <v>0</v>
      </c>
      <c r="S36" s="156">
        <f t="shared" si="34"/>
        <v>0</v>
      </c>
      <c r="T36" s="156">
        <f t="shared" si="35"/>
        <v>0</v>
      </c>
      <c r="U36" s="111">
        <f>IFERROR(AVERAGEIF(J36:Q36,"&gt;0",J36:Q36),0)</f>
        <v>0</v>
      </c>
      <c r="V36" s="107"/>
      <c r="X36" s="112">
        <v>4.1500000000000004</v>
      </c>
    </row>
    <row r="37" spans="5:24" x14ac:dyDescent="0.3">
      <c r="E37" s="74">
        <v>5</v>
      </c>
      <c r="F37" s="108" t="s">
        <v>89</v>
      </c>
      <c r="I37" s="109"/>
      <c r="J37" s="110">
        <f>SUM(J23:O23)</f>
        <v>0</v>
      </c>
      <c r="K37" s="110">
        <f>SUM(P23:U23)</f>
        <v>0</v>
      </c>
      <c r="L37" s="110">
        <f>SUM(V23:AA23)</f>
        <v>0</v>
      </c>
      <c r="M37" s="110">
        <f>SUM(AB23:AG23)</f>
        <v>0</v>
      </c>
      <c r="N37" s="110">
        <f>SUM(AH23:AM23)</f>
        <v>0</v>
      </c>
      <c r="O37" s="110">
        <f>SUM(AN23:AS23)</f>
        <v>0</v>
      </c>
      <c r="P37" s="110">
        <f>SUM(AT23:AY23)</f>
        <v>0</v>
      </c>
      <c r="Q37" s="110">
        <f>SUM(AZ23:BE23)</f>
        <v>0</v>
      </c>
      <c r="R37" s="105">
        <f t="shared" si="33"/>
        <v>0</v>
      </c>
      <c r="S37" s="156">
        <f t="shared" si="34"/>
        <v>0</v>
      </c>
      <c r="T37" s="156">
        <f t="shared" si="35"/>
        <v>0</v>
      </c>
      <c r="U37" s="113">
        <f>IFERROR(AVERAGEIF(J37:Q37,"&gt;0",J37:Q37),0)</f>
        <v>0</v>
      </c>
      <c r="V37" s="107"/>
      <c r="X37" s="113">
        <v>4.5289999999999999</v>
      </c>
    </row>
    <row r="39" spans="5:24" ht="15.6" x14ac:dyDescent="0.3">
      <c r="J39" s="170" t="s">
        <v>489</v>
      </c>
      <c r="K39" s="170"/>
      <c r="L39" s="170"/>
      <c r="O39" s="97"/>
    </row>
    <row r="40" spans="5:24" x14ac:dyDescent="0.3">
      <c r="J40" s="64" t="s">
        <v>497</v>
      </c>
      <c r="K40" s="64" t="s">
        <v>498</v>
      </c>
      <c r="L40" s="64" t="s">
        <v>499</v>
      </c>
    </row>
    <row r="41" spans="5:24" x14ac:dyDescent="0.3">
      <c r="J41" s="72" t="s">
        <v>491</v>
      </c>
      <c r="K41" s="72" t="s">
        <v>471</v>
      </c>
      <c r="L41" s="73">
        <v>1</v>
      </c>
    </row>
    <row r="42" spans="5:24" x14ac:dyDescent="0.3">
      <c r="J42" s="72" t="s">
        <v>492</v>
      </c>
      <c r="K42" s="72" t="s">
        <v>470</v>
      </c>
      <c r="L42" s="73">
        <v>2</v>
      </c>
    </row>
    <row r="43" spans="5:24" x14ac:dyDescent="0.3">
      <c r="J43" s="72" t="s">
        <v>493</v>
      </c>
      <c r="K43" s="72" t="s">
        <v>469</v>
      </c>
      <c r="L43" s="73">
        <v>3</v>
      </c>
    </row>
    <row r="44" spans="5:24" x14ac:dyDescent="0.3">
      <c r="J44" s="72" t="s">
        <v>494</v>
      </c>
      <c r="K44" s="72" t="s">
        <v>467</v>
      </c>
      <c r="L44" s="73">
        <v>4</v>
      </c>
    </row>
    <row r="45" spans="5:24" x14ac:dyDescent="0.3">
      <c r="J45" s="72" t="s">
        <v>495</v>
      </c>
      <c r="K45" s="72" t="s">
        <v>468</v>
      </c>
      <c r="L45" s="73">
        <v>5</v>
      </c>
    </row>
    <row r="46" spans="5:24" x14ac:dyDescent="0.3">
      <c r="J46" s="72" t="s">
        <v>496</v>
      </c>
      <c r="K46" s="72" t="s">
        <v>473</v>
      </c>
      <c r="L46" s="73">
        <v>0</v>
      </c>
    </row>
    <row r="54" spans="10:10" ht="18" x14ac:dyDescent="0.4">
      <c r="J54" t="s">
        <v>505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2024-12-23T16:24:41Z</dcterms:modified>
</cp:coreProperties>
</file>