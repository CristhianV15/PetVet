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1.- 2024\2.- Cosecha - 2024\2024\12.- Diciembre\"/>
    </mc:Choice>
  </mc:AlternateContent>
  <xr:revisionPtr revIDLastSave="0" documentId="13_ncr:1_{77C3BFD1-80F9-4971-8359-9C6101AA23C1}" xr6:coauthVersionLast="47" xr6:coauthVersionMax="47" xr10:uidLastSave="{00000000-0000-0000-0000-000000000000}"/>
  <bookViews>
    <workbookView xWindow="-120" yWindow="-120" windowWidth="29040" windowHeight="17640" tabRatio="890" activeTab="4" xr2:uid="{00000000-000D-0000-FFFF-FFFF00000000}"/>
  </bookViews>
  <sheets>
    <sheet name="TD-Rdtos" sheetId="151" r:id="rId1"/>
    <sheet name="TD-Areas" sheetId="22" r:id="rId2"/>
    <sheet name="TD-Edades" sheetId="152" r:id="rId3"/>
    <sheet name="TD-%ART" sheetId="140" r:id="rId4"/>
    <sheet name="TD-Proyección" sheetId="14" r:id="rId5"/>
    <sheet name="TD-Por Tipo de Cosecha" sheetId="161" r:id="rId6"/>
    <sheet name="VER-DETALLE-01" sheetId="155" r:id="rId7"/>
    <sheet name="BaseDatos" sheetId="1" r:id="rId8"/>
    <sheet name="Tasas de Maduración." sheetId="55" state="hidden" r:id="rId9"/>
    <sheet name="Fundos-Gerencias" sheetId="150" state="hidden" r:id="rId10"/>
  </sheets>
  <definedNames>
    <definedName name="_xlnm._FilterDatabase" localSheetId="7" hidden="1">BaseDatos!#REF!</definedName>
    <definedName name="_xlnm._FilterDatabase" localSheetId="4" hidden="1">'TD-Proyección'!#REF!</definedName>
    <definedName name="_xlnm.Print_Area" localSheetId="3">'TD-%ART'!$B$3:$N$13</definedName>
    <definedName name="_xlnm.Print_Area" localSheetId="1">'TD-Areas'!$B$3:$N$13</definedName>
    <definedName name="_xlnm.Print_Area" localSheetId="2">'TD-Edades'!$B$3:$N$13</definedName>
    <definedName name="_xlnm.Print_Area" localSheetId="5">'TD-Por Tipo de Cosecha'!$B$2:$N$12</definedName>
    <definedName name="_xlnm.Print_Area" localSheetId="4">'TD-Proyección'!$B$2:$N$44</definedName>
    <definedName name="_xlnm.Print_Area" localSheetId="0">'TD-Rdtos'!$B$3:$L$12</definedName>
    <definedName name="_xlnm.Print_Area" localSheetId="6">'VER-DETALLE-01'!$B:$U</definedName>
    <definedName name="SegmentaciónDeDatos_Año_C">#N/A</definedName>
    <definedName name="SegmentaciónDeDatos_Año_C1">#N/A</definedName>
    <definedName name="SegmentaciónDeDatos_MF1">#N/A</definedName>
    <definedName name="_xlnm.Print_Titles" localSheetId="6">'VER-DETALLE-01'!$5:$6</definedName>
  </definedNames>
  <calcPr calcId="191029"/>
  <pivotCaches>
    <pivotCache cacheId="131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4" i="14" l="1"/>
  <c r="X29" i="14" l="1"/>
  <c r="B464" i="1"/>
  <c r="B465" i="1"/>
  <c r="B466" i="1"/>
  <c r="B467" i="1"/>
  <c r="B468" i="1"/>
  <c r="B469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L38" i="14" l="1"/>
  <c r="K38" i="14"/>
  <c r="N27" i="14" l="1"/>
  <c r="M27" i="14"/>
  <c r="L27" i="14"/>
  <c r="K27" i="14"/>
  <c r="J27" i="14"/>
  <c r="I27" i="14"/>
  <c r="H27" i="14"/>
  <c r="G27" i="14"/>
  <c r="F27" i="14"/>
  <c r="E27" i="14"/>
  <c r="D27" i="14"/>
  <c r="C27" i="14"/>
  <c r="H38" i="14" l="1"/>
  <c r="E40" i="14" l="1"/>
  <c r="R14" i="14"/>
  <c r="Q29" i="14" l="1"/>
  <c r="B389" i="1" l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330" i="1" l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O26" i="14" l="1"/>
  <c r="O25" i="14"/>
  <c r="O24" i="14"/>
  <c r="W32" i="14"/>
  <c r="W33" i="14"/>
  <c r="W34" i="14"/>
  <c r="W35" i="14"/>
  <c r="W36" i="14"/>
  <c r="W37" i="14"/>
  <c r="W38" i="14"/>
  <c r="W39" i="14"/>
  <c r="W40" i="14"/>
  <c r="W30" i="14"/>
  <c r="W31" i="14"/>
  <c r="N31" i="14"/>
  <c r="D30" i="14"/>
  <c r="E30" i="14"/>
  <c r="F30" i="14"/>
  <c r="G30" i="14"/>
  <c r="H30" i="14"/>
  <c r="I30" i="14"/>
  <c r="J30" i="14"/>
  <c r="K30" i="14"/>
  <c r="L30" i="14"/>
  <c r="D31" i="14"/>
  <c r="E31" i="14"/>
  <c r="F31" i="14"/>
  <c r="G31" i="14"/>
  <c r="H31" i="14"/>
  <c r="I31" i="14"/>
  <c r="J31" i="14"/>
  <c r="K31" i="14"/>
  <c r="L31" i="14"/>
  <c r="M31" i="14"/>
  <c r="N30" i="14" l="1"/>
  <c r="M30" i="14"/>
  <c r="C31" i="14" l="1"/>
  <c r="C30" i="14"/>
  <c r="O30" i="14" l="1"/>
  <c r="O31" i="14"/>
  <c r="N40" i="14"/>
  <c r="N28" i="14" s="1"/>
  <c r="M40" i="14"/>
  <c r="M28" i="14" s="1"/>
  <c r="L40" i="14"/>
  <c r="L28" i="14" s="1"/>
  <c r="K40" i="14"/>
  <c r="K28" i="14" s="1"/>
  <c r="J40" i="14"/>
  <c r="J28" i="14" s="1"/>
  <c r="I40" i="14"/>
  <c r="I28" i="14" s="1"/>
  <c r="H40" i="14"/>
  <c r="H28" i="14" s="1"/>
  <c r="G40" i="14"/>
  <c r="G28" i="14" s="1"/>
  <c r="F40" i="14"/>
  <c r="F28" i="14" s="1"/>
  <c r="E28" i="14"/>
  <c r="D40" i="14"/>
  <c r="D28" i="14" s="1"/>
  <c r="O39" i="14"/>
  <c r="O38" i="14"/>
  <c r="O37" i="14"/>
  <c r="C40" i="14"/>
  <c r="C28" i="14" s="1"/>
  <c r="J32" i="14" l="1"/>
  <c r="D32" i="14"/>
  <c r="L32" i="14"/>
  <c r="F32" i="14"/>
  <c r="G32" i="14"/>
  <c r="C32" i="14"/>
  <c r="I32" i="14"/>
  <c r="K32" i="14"/>
  <c r="E32" i="14"/>
  <c r="M32" i="14"/>
  <c r="H32" i="14"/>
  <c r="N43" i="14"/>
  <c r="N32" i="14"/>
  <c r="J43" i="14"/>
  <c r="I43" i="14"/>
  <c r="K43" i="14"/>
  <c r="D43" i="14"/>
  <c r="L43" i="14"/>
  <c r="M43" i="14"/>
  <c r="F43" i="14"/>
  <c r="E43" i="14"/>
  <c r="G43" i="14"/>
  <c r="C43" i="14"/>
  <c r="H43" i="14"/>
  <c r="C34" i="14"/>
  <c r="M29" i="14"/>
  <c r="O43" i="14" l="1"/>
  <c r="C29" i="14"/>
  <c r="C35" i="14" s="1"/>
  <c r="D29" i="14"/>
  <c r="N29" i="14"/>
  <c r="L29" i="14"/>
  <c r="J29" i="14"/>
  <c r="I29" i="14"/>
  <c r="H29" i="14"/>
  <c r="G29" i="14"/>
  <c r="F29" i="14"/>
  <c r="E29" i="14"/>
  <c r="E35" i="14" s="1"/>
  <c r="E47" i="14" l="1"/>
  <c r="E51" i="14" s="1"/>
  <c r="E41" i="14"/>
  <c r="E42" i="14" s="1"/>
  <c r="D34" i="14"/>
  <c r="E48" i="14" l="1"/>
  <c r="E49" i="14" s="1"/>
  <c r="E52" i="14" s="1"/>
  <c r="E50" i="14"/>
  <c r="E34" i="14"/>
  <c r="F34" i="14"/>
  <c r="G34" i="14"/>
  <c r="H34" i="14"/>
  <c r="I34" i="14"/>
  <c r="J34" i="14"/>
  <c r="L34" i="14"/>
  <c r="M34" i="14"/>
  <c r="N34" i="14"/>
  <c r="E53" i="14" l="1"/>
  <c r="E54" i="14" s="1"/>
  <c r="F35" i="14"/>
  <c r="G35" i="14"/>
  <c r="H35" i="14"/>
  <c r="I35" i="14"/>
  <c r="J35" i="14"/>
  <c r="L35" i="14"/>
  <c r="M35" i="14"/>
  <c r="N35" i="14"/>
  <c r="I47" i="14" l="1"/>
  <c r="I51" i="14" s="1"/>
  <c r="I41" i="14"/>
  <c r="I42" i="14" s="1"/>
  <c r="I44" i="14" s="1"/>
  <c r="J47" i="14"/>
  <c r="J48" i="14" s="1"/>
  <c r="J49" i="14" s="1"/>
  <c r="J41" i="14"/>
  <c r="J42" i="14" s="1"/>
  <c r="J44" i="14" s="1"/>
  <c r="H47" i="14"/>
  <c r="H50" i="14" s="1"/>
  <c r="H41" i="14"/>
  <c r="H42" i="14" s="1"/>
  <c r="H44" i="14" s="1"/>
  <c r="G47" i="14"/>
  <c r="G51" i="14" s="1"/>
  <c r="G41" i="14"/>
  <c r="G42" i="14" s="1"/>
  <c r="G44" i="14" s="1"/>
  <c r="F47" i="14"/>
  <c r="F50" i="14" s="1"/>
  <c r="F41" i="14"/>
  <c r="F42" i="14" s="1"/>
  <c r="F44" i="14" s="1"/>
  <c r="N47" i="14"/>
  <c r="N50" i="14" s="1"/>
  <c r="N41" i="14"/>
  <c r="N42" i="14" s="1"/>
  <c r="N44" i="14" s="1"/>
  <c r="M47" i="14"/>
  <c r="M50" i="14" s="1"/>
  <c r="M41" i="14"/>
  <c r="M42" i="14" s="1"/>
  <c r="M44" i="14" s="1"/>
  <c r="L47" i="14"/>
  <c r="L51" i="14" s="1"/>
  <c r="L41" i="14"/>
  <c r="L42" i="14" s="1"/>
  <c r="L44" i="14" s="1"/>
  <c r="H51" i="14" l="1"/>
  <c r="I50" i="14"/>
  <c r="J50" i="14"/>
  <c r="N48" i="14"/>
  <c r="N49" i="14" s="1"/>
  <c r="N51" i="14"/>
  <c r="F48" i="14"/>
  <c r="F49" i="14" s="1"/>
  <c r="J51" i="14"/>
  <c r="J52" i="14" s="1"/>
  <c r="F51" i="14"/>
  <c r="H48" i="14"/>
  <c r="H49" i="14" s="1"/>
  <c r="I48" i="14"/>
  <c r="I49" i="14" s="1"/>
  <c r="I52" i="14" s="1"/>
  <c r="M48" i="14"/>
  <c r="M49" i="14" s="1"/>
  <c r="L50" i="14"/>
  <c r="L48" i="14"/>
  <c r="L49" i="14" s="1"/>
  <c r="L52" i="14" s="1"/>
  <c r="M51" i="14"/>
  <c r="G48" i="14"/>
  <c r="G49" i="14" s="1"/>
  <c r="G52" i="14" s="1"/>
  <c r="G50" i="14"/>
  <c r="D35" i="14"/>
  <c r="O40" i="14"/>
  <c r="O34" i="14" s="1"/>
  <c r="E44" i="14"/>
  <c r="H52" i="14" l="1"/>
  <c r="H53" i="14" s="1"/>
  <c r="H54" i="14" s="1"/>
  <c r="I53" i="14"/>
  <c r="I54" i="14" s="1"/>
  <c r="F52" i="14"/>
  <c r="F53" i="14" s="1"/>
  <c r="F54" i="14" s="1"/>
  <c r="J53" i="14"/>
  <c r="J54" i="14" s="1"/>
  <c r="N52" i="14"/>
  <c r="N53" i="14" s="1"/>
  <c r="N54" i="14" s="1"/>
  <c r="L53" i="14"/>
  <c r="L54" i="14" s="1"/>
  <c r="M52" i="14"/>
  <c r="M53" i="14" s="1"/>
  <c r="M54" i="14" s="1"/>
  <c r="G53" i="14"/>
  <c r="G54" i="14" s="1"/>
  <c r="C47" i="14"/>
  <c r="C48" i="14" s="1"/>
  <c r="C49" i="14" s="1"/>
  <c r="C41" i="14"/>
  <c r="D47" i="14"/>
  <c r="D51" i="14" s="1"/>
  <c r="D41" i="14"/>
  <c r="D42" i="14" s="1"/>
  <c r="D44" i="14" s="1"/>
  <c r="C51" i="14" l="1"/>
  <c r="C52" i="14" s="1"/>
  <c r="C50" i="14"/>
  <c r="D48" i="14"/>
  <c r="D49" i="14" s="1"/>
  <c r="D52" i="14" s="1"/>
  <c r="D50" i="14"/>
  <c r="C42" i="14"/>
  <c r="C53" i="14" l="1"/>
  <c r="C54" i="14" s="1"/>
  <c r="D53" i="14"/>
  <c r="D54" i="14" s="1"/>
  <c r="C44" i="14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4" i="150" l="1"/>
  <c r="B5" i="150"/>
  <c r="B6" i="150"/>
  <c r="B7" i="150"/>
  <c r="B8" i="150"/>
  <c r="B9" i="150"/>
  <c r="B10" i="150"/>
  <c r="B11" i="150"/>
  <c r="B12" i="150"/>
  <c r="B13" i="150"/>
  <c r="B14" i="150"/>
  <c r="B15" i="150"/>
  <c r="B16" i="150"/>
  <c r="B17" i="150"/>
  <c r="B18" i="150"/>
  <c r="K29" i="14" l="1"/>
  <c r="O23" i="14" l="1"/>
  <c r="K34" i="14"/>
  <c r="K35" i="14"/>
  <c r="O29" i="14"/>
  <c r="Y29" i="14" s="1"/>
  <c r="R23" i="14" l="1"/>
  <c r="Y23" i="14"/>
  <c r="O35" i="14"/>
  <c r="R29" i="14"/>
  <c r="K47" i="14"/>
  <c r="K48" i="14" s="1"/>
  <c r="K49" i="14" s="1"/>
  <c r="K41" i="14"/>
  <c r="K50" i="14" l="1"/>
  <c r="K51" i="14"/>
  <c r="K52" i="14" s="1"/>
  <c r="K42" i="14"/>
  <c r="O41" i="14"/>
  <c r="K53" i="14" l="1"/>
  <c r="K54" i="14" s="1"/>
  <c r="O42" i="14"/>
  <c r="O44" i="14" s="1"/>
  <c r="K44" i="14"/>
</calcChain>
</file>

<file path=xl/sharedStrings.xml><?xml version="1.0" encoding="utf-8"?>
<sst xmlns="http://schemas.openxmlformats.org/spreadsheetml/2006/main" count="9071" uniqueCount="894">
  <si>
    <t>LB</t>
  </si>
  <si>
    <t>LB01</t>
  </si>
  <si>
    <t>EQ01</t>
  </si>
  <si>
    <t>TR01</t>
  </si>
  <si>
    <t>TR02</t>
  </si>
  <si>
    <t>TR03</t>
  </si>
  <si>
    <t>TR04</t>
  </si>
  <si>
    <t>TR05</t>
  </si>
  <si>
    <t>TR06</t>
  </si>
  <si>
    <t>EQ02</t>
  </si>
  <si>
    <t>EQ03</t>
  </si>
  <si>
    <t>EQ04</t>
  </si>
  <si>
    <t>EQ05</t>
  </si>
  <si>
    <t>EQ06</t>
  </si>
  <si>
    <t>EQ07</t>
  </si>
  <si>
    <t>EQ08</t>
  </si>
  <si>
    <t>BT01</t>
  </si>
  <si>
    <t>HC</t>
  </si>
  <si>
    <t>HC01</t>
  </si>
  <si>
    <t>SV</t>
  </si>
  <si>
    <t>SV01</t>
  </si>
  <si>
    <t>EQ09</t>
  </si>
  <si>
    <t>ML</t>
  </si>
  <si>
    <t>ML01</t>
  </si>
  <si>
    <t>ML02</t>
  </si>
  <si>
    <t>ML03</t>
  </si>
  <si>
    <t>EQ10</t>
  </si>
  <si>
    <t>EQ11</t>
  </si>
  <si>
    <t>EQ12</t>
  </si>
  <si>
    <t>ML04</t>
  </si>
  <si>
    <t>EQ13</t>
  </si>
  <si>
    <t>EQ14</t>
  </si>
  <si>
    <t>ML06</t>
  </si>
  <si>
    <t>EQ18</t>
  </si>
  <si>
    <t>EQ19</t>
  </si>
  <si>
    <t>EQ20</t>
  </si>
  <si>
    <t>EQ21</t>
  </si>
  <si>
    <t>TR07</t>
  </si>
  <si>
    <t>EQ22</t>
  </si>
  <si>
    <t>SJ01</t>
  </si>
  <si>
    <t>TR08</t>
  </si>
  <si>
    <t>ML05</t>
  </si>
  <si>
    <t>EQ15</t>
  </si>
  <si>
    <t>EQ16</t>
  </si>
  <si>
    <t>EQ17</t>
  </si>
  <si>
    <t>HT01</t>
  </si>
  <si>
    <t>Total general</t>
  </si>
  <si>
    <t>Valores</t>
  </si>
  <si>
    <t>CT01</t>
  </si>
  <si>
    <t>CT02</t>
  </si>
  <si>
    <t>H0</t>
  </si>
  <si>
    <t>H19</t>
  </si>
  <si>
    <t>LB02</t>
  </si>
  <si>
    <t>Mes</t>
  </si>
  <si>
    <t>Datos Reales, suelo mediano.</t>
  </si>
  <si>
    <t>Estas tasas so negativas pues fueron tomadas en cañas que recibieron lluvias.</t>
  </si>
  <si>
    <t>por lo tanto dejó de acumular azúcares para incrementer biomasa.</t>
  </si>
  <si>
    <t>Colum.</t>
  </si>
  <si>
    <t>TASAS DE MADURACIÓN DIARIA (2 MESES ANTES DE COSECHA) POR GRUPO DE SUELO</t>
  </si>
  <si>
    <t>Tn.</t>
  </si>
  <si>
    <t>C01</t>
  </si>
  <si>
    <t>C05</t>
  </si>
  <si>
    <t>C04</t>
  </si>
  <si>
    <t>C00</t>
  </si>
  <si>
    <t>C02</t>
  </si>
  <si>
    <t>Proy.</t>
  </si>
  <si>
    <t>REAL-PROY.</t>
  </si>
  <si>
    <t>GROUP REAL-PROY.</t>
  </si>
  <si>
    <t>C03</t>
  </si>
  <si>
    <t>CHI02</t>
  </si>
  <si>
    <t>CHI01</t>
  </si>
  <si>
    <t>CHI03</t>
  </si>
  <si>
    <t>Liviano</t>
  </si>
  <si>
    <t>Medio</t>
  </si>
  <si>
    <t>Pesado</t>
  </si>
  <si>
    <t>LB2</t>
  </si>
  <si>
    <t>%ART.</t>
  </si>
  <si>
    <t>Etiquetas de fila</t>
  </si>
  <si>
    <t>GR</t>
  </si>
  <si>
    <t>H9</t>
  </si>
  <si>
    <t>C08</t>
  </si>
  <si>
    <t>MF</t>
  </si>
  <si>
    <t>FD</t>
  </si>
  <si>
    <t>EQ</t>
  </si>
  <si>
    <t>TR</t>
  </si>
  <si>
    <t>%ART</t>
  </si>
  <si>
    <t>%ARTxTN</t>
  </si>
  <si>
    <t>EDADxAREA</t>
  </si>
  <si>
    <t>KGAZUCARxAREA</t>
  </si>
  <si>
    <t>Suma de TN</t>
  </si>
  <si>
    <t>Area.</t>
  </si>
  <si>
    <t>Tn/Ha.</t>
  </si>
  <si>
    <t>Tn/Ha/Mes.</t>
  </si>
  <si>
    <t>Tn/Ha/Año.</t>
  </si>
  <si>
    <t>KgAzucar/ha/Año.</t>
  </si>
  <si>
    <t>Macrofundo</t>
  </si>
  <si>
    <t>Gerencia</t>
  </si>
  <si>
    <t>Javier Armas</t>
  </si>
  <si>
    <t>Gonzalo Peña</t>
  </si>
  <si>
    <t>Manuel Atarama</t>
  </si>
  <si>
    <t>Fundo</t>
  </si>
  <si>
    <t>Concatenar</t>
  </si>
  <si>
    <t>Agrupador</t>
  </si>
  <si>
    <t>BT01EQ01TR02</t>
  </si>
  <si>
    <t>BT01EQ01TR03</t>
  </si>
  <si>
    <t>BT01EQ01TR04</t>
  </si>
  <si>
    <t>BT01EQ01TR05</t>
  </si>
  <si>
    <t>BT01EQ01TR06</t>
  </si>
  <si>
    <t>BT01EQ01TR07</t>
  </si>
  <si>
    <t>BT01EQ01TR08</t>
  </si>
  <si>
    <t>CT01EQ01TR01</t>
  </si>
  <si>
    <t>CT02EQ01TR01</t>
  </si>
  <si>
    <t>HC01EQ01TR03</t>
  </si>
  <si>
    <t>HC01EQ02TR01</t>
  </si>
  <si>
    <t>HC01EQ02TR04</t>
  </si>
  <si>
    <t>HC01EQ05TR04</t>
  </si>
  <si>
    <t>HC01EQ06TR01</t>
  </si>
  <si>
    <t>HC01EQ06TR02</t>
  </si>
  <si>
    <t>HC01EQ06TR03</t>
  </si>
  <si>
    <t>HC01EQ06TR04</t>
  </si>
  <si>
    <t>HC01EQ06TR05</t>
  </si>
  <si>
    <t>LB01EQ01TR05</t>
  </si>
  <si>
    <t>LB01EQ02TR01</t>
  </si>
  <si>
    <t>LB01EQ02TR03</t>
  </si>
  <si>
    <t>LB01EQ02TR06</t>
  </si>
  <si>
    <t>LB01EQ03TR03</t>
  </si>
  <si>
    <t>LB01EQ04TR04</t>
  </si>
  <si>
    <t>LB01EQ04TR05</t>
  </si>
  <si>
    <t>LB01EQ04TR06</t>
  </si>
  <si>
    <t>LB01EQ06TR01</t>
  </si>
  <si>
    <t>LB01EQ06TR02</t>
  </si>
  <si>
    <t>LB01EQ06TR03</t>
  </si>
  <si>
    <t>LB01EQ07TR02</t>
  </si>
  <si>
    <t>LB01EQ07TR03</t>
  </si>
  <si>
    <t>LB01EQ07TR05</t>
  </si>
  <si>
    <t>LB01EQ08TR01</t>
  </si>
  <si>
    <t>LB01EQ08TR04</t>
  </si>
  <si>
    <t>LB01EQ08TR05</t>
  </si>
  <si>
    <t>LB01EQ08TR06</t>
  </si>
  <si>
    <t>LB02EQ09TR04</t>
  </si>
  <si>
    <t>LB02EQ09TR05</t>
  </si>
  <si>
    <t>LB02EQ10TR01</t>
  </si>
  <si>
    <t>LB02EQ10TR02</t>
  </si>
  <si>
    <t>LB02EQ10TR03</t>
  </si>
  <si>
    <t>LB02EQ10TR04</t>
  </si>
  <si>
    <t>LB02EQ10TR05</t>
  </si>
  <si>
    <t>LB02EQ11TR01</t>
  </si>
  <si>
    <t>LB02EQ12TR01</t>
  </si>
  <si>
    <t>LB02EQ12TR02</t>
  </si>
  <si>
    <t>LB02EQ12TR03</t>
  </si>
  <si>
    <t>LB02EQ12TR04</t>
  </si>
  <si>
    <t>LB02EQ13TR01</t>
  </si>
  <si>
    <t>LB02EQ13TR02</t>
  </si>
  <si>
    <t>LB02EQ13TR03</t>
  </si>
  <si>
    <t>LB02EQ13TR04</t>
  </si>
  <si>
    <t>LB02EQ13TR05</t>
  </si>
  <si>
    <t>LB02EQ14TR02</t>
  </si>
  <si>
    <t>LB02EQ14TR05</t>
  </si>
  <si>
    <t>LB02EQ15TR01</t>
  </si>
  <si>
    <t>LB02EQ15TR02</t>
  </si>
  <si>
    <t>LB02EQ15TR03</t>
  </si>
  <si>
    <t>LB02EQ15TR04</t>
  </si>
  <si>
    <t>LB02EQ16TR02</t>
  </si>
  <si>
    <t>LB02EQ17TR01</t>
  </si>
  <si>
    <t>LB02EQ17TR03</t>
  </si>
  <si>
    <t>LB02EQ17TR04</t>
  </si>
  <si>
    <t>LB02EQ18TR01</t>
  </si>
  <si>
    <t>LB02EQ18TR03</t>
  </si>
  <si>
    <t>LB02EQ18TR05</t>
  </si>
  <si>
    <t>LB02EQ19TR01</t>
  </si>
  <si>
    <t>LB02EQ19TR02</t>
  </si>
  <si>
    <t>LB02EQ19TR03</t>
  </si>
  <si>
    <t>LB02EQ19TR04</t>
  </si>
  <si>
    <t>LB02EQ20TR01</t>
  </si>
  <si>
    <t>LB02EQ20TR02</t>
  </si>
  <si>
    <t>LB02EQ20TR03</t>
  </si>
  <si>
    <t>LB02EQ20TR04</t>
  </si>
  <si>
    <t>ML01EQ01TR05</t>
  </si>
  <si>
    <t>ML01EQ01TR06</t>
  </si>
  <si>
    <t>ML01EQ02TR02</t>
  </si>
  <si>
    <t>ML01EQ02TR04</t>
  </si>
  <si>
    <t>ML01EQ02TR05</t>
  </si>
  <si>
    <t>ML01EQ02TR06</t>
  </si>
  <si>
    <t>ML01EQ03TR04</t>
  </si>
  <si>
    <t>ML01EQ03TR05</t>
  </si>
  <si>
    <t>ML01EQ03TR06</t>
  </si>
  <si>
    <t>ML01EQ04TR01</t>
  </si>
  <si>
    <t>ML01EQ04TR02</t>
  </si>
  <si>
    <t>ML02EQ05TR04</t>
  </si>
  <si>
    <t>ML02EQ05TR05</t>
  </si>
  <si>
    <t>ML02EQ05TR06</t>
  </si>
  <si>
    <t>ML02EQ06TR01</t>
  </si>
  <si>
    <t>ML02EQ06TR02</t>
  </si>
  <si>
    <t>ML02EQ06TR04</t>
  </si>
  <si>
    <t>ML02EQ06TR05</t>
  </si>
  <si>
    <t>ML02EQ07TR03</t>
  </si>
  <si>
    <t>ML02EQ07TR04</t>
  </si>
  <si>
    <t>ML02EQ07TR05</t>
  </si>
  <si>
    <t>ML02EQ07TR06</t>
  </si>
  <si>
    <t>ML02EQ08TR01</t>
  </si>
  <si>
    <t>ML02EQ08TR02</t>
  </si>
  <si>
    <t>ML02EQ08TR03</t>
  </si>
  <si>
    <t>ML02EQ08TR04</t>
  </si>
  <si>
    <t>ML03EQ09TR04</t>
  </si>
  <si>
    <t>ML03EQ09TR05</t>
  </si>
  <si>
    <t>ML03EQ09TR06</t>
  </si>
  <si>
    <t>ML03EQ10TR03</t>
  </si>
  <si>
    <t>ML03EQ10TR04</t>
  </si>
  <si>
    <t>ML03EQ10TR05</t>
  </si>
  <si>
    <t>ML03EQ10TR06</t>
  </si>
  <si>
    <t>ML03EQ11TR01</t>
  </si>
  <si>
    <t>ML03EQ11TR02</t>
  </si>
  <si>
    <t>ML03EQ11TR03</t>
  </si>
  <si>
    <t>ML04EQ13TR03</t>
  </si>
  <si>
    <t>ML04EQ13TR05</t>
  </si>
  <si>
    <t>ML04EQ14TR04</t>
  </si>
  <si>
    <t>ML04EQ14TR05</t>
  </si>
  <si>
    <t>ML04EQ14TR06</t>
  </si>
  <si>
    <t>ML05EQ15TR01</t>
  </si>
  <si>
    <t>ML05EQ15TR02</t>
  </si>
  <si>
    <t>ML05EQ15TR03</t>
  </si>
  <si>
    <t>ML05EQ15TR04</t>
  </si>
  <si>
    <t>ML05EQ15TR05</t>
  </si>
  <si>
    <t>ML05EQ15TR06</t>
  </si>
  <si>
    <t>ML05EQ15TR07</t>
  </si>
  <si>
    <t>ML05EQ17TR05</t>
  </si>
  <si>
    <t>ML05EQ17TR06</t>
  </si>
  <si>
    <t>ML06EQ19TR04</t>
  </si>
  <si>
    <t>ML06EQ19TR05</t>
  </si>
  <si>
    <t>ML06EQ19TR06</t>
  </si>
  <si>
    <t>ML06EQ20TR02</t>
  </si>
  <si>
    <t>ML06EQ20TR03</t>
  </si>
  <si>
    <t>ML06EQ20TR04</t>
  </si>
  <si>
    <t>ML06EQ21TR05</t>
  </si>
  <si>
    <t>ML06EQ22TR01</t>
  </si>
  <si>
    <t>ML06EQ22TR02</t>
  </si>
  <si>
    <t>ML06EQ22TR03</t>
  </si>
  <si>
    <t>ML06EQ22TR04</t>
  </si>
  <si>
    <t>ML06EQ22TR05</t>
  </si>
  <si>
    <t>SJ01EQ02TR02</t>
  </si>
  <si>
    <t>SJ01EQ02TR03</t>
  </si>
  <si>
    <t>SJ01EQ02TR05</t>
  </si>
  <si>
    <t>SV01EQ01TR01</t>
  </si>
  <si>
    <t>SV01EQ01TR02</t>
  </si>
  <si>
    <t>SV01EQ01TR03</t>
  </si>
  <si>
    <t>SV01EQ01TR05</t>
  </si>
  <si>
    <t>SV01EQ02TR01</t>
  </si>
  <si>
    <t>SV01EQ02TR02</t>
  </si>
  <si>
    <t>SV01EQ02TR03</t>
  </si>
  <si>
    <t>SV01EQ02TR07</t>
  </si>
  <si>
    <t>SV01EQ03TR04</t>
  </si>
  <si>
    <t>SV01EQ03TR06</t>
  </si>
  <si>
    <t>SV01EQ05TR01</t>
  </si>
  <si>
    <t>SV01EQ05TR04</t>
  </si>
  <si>
    <t>SV01EQ06TR01</t>
  </si>
  <si>
    <t>SV01EQ06TR03</t>
  </si>
  <si>
    <t>SV01EQ06TR04</t>
  </si>
  <si>
    <t>SV01EQ06TR05</t>
  </si>
  <si>
    <t>SV01EQ07TR01</t>
  </si>
  <si>
    <t>SV01EQ07TR02</t>
  </si>
  <si>
    <t>SV01EQ07TR04</t>
  </si>
  <si>
    <t>SV01EQ08TR02</t>
  </si>
  <si>
    <t>SV01EQ08TR05</t>
  </si>
  <si>
    <t>SV01EQ09TR03</t>
  </si>
  <si>
    <t>SV01EQ09TR04</t>
  </si>
  <si>
    <t>SV01EQ09TR05</t>
  </si>
  <si>
    <t>SV01EQ10TR01</t>
  </si>
  <si>
    <t>SV01EQ10TR03</t>
  </si>
  <si>
    <t>SV01EQ10TR05</t>
  </si>
  <si>
    <t>Estado</t>
  </si>
  <si>
    <t>FCultivo</t>
  </si>
  <si>
    <t>Var</t>
  </si>
  <si>
    <t>Edad</t>
  </si>
  <si>
    <t>Area_Cosecha</t>
  </si>
  <si>
    <t>Tn/Ha</t>
  </si>
  <si>
    <t>Tn/Ha/Mes</t>
  </si>
  <si>
    <t>Tn</t>
  </si>
  <si>
    <t>Kg_Azucar</t>
  </si>
  <si>
    <t>FCosecha</t>
  </si>
  <si>
    <t>Año_C</t>
  </si>
  <si>
    <t>Mes_C</t>
  </si>
  <si>
    <t>Total PROPIA</t>
  </si>
  <si>
    <t>Total TERCEROS</t>
  </si>
  <si>
    <t>C09</t>
  </si>
  <si>
    <t>CAPACIDAD DE MOLIENDA:</t>
  </si>
  <si>
    <t>DIFERENCIA</t>
  </si>
  <si>
    <t>ML01EQ04TR03</t>
  </si>
  <si>
    <t>SJ01EQ02TR01</t>
  </si>
  <si>
    <t>SJ01EQ02TR04</t>
  </si>
  <si>
    <t>C10</t>
  </si>
  <si>
    <t>Valor</t>
  </si>
  <si>
    <t>Mes cosecha</t>
  </si>
  <si>
    <t>Edad (mes)</t>
  </si>
  <si>
    <t>Edad (días)</t>
  </si>
  <si>
    <t>Total 1</t>
  </si>
  <si>
    <t>Total 2</t>
  </si>
  <si>
    <t>Total 4</t>
  </si>
  <si>
    <t>Total 5</t>
  </si>
  <si>
    <t>Total 9</t>
  </si>
  <si>
    <t>Total 10</t>
  </si>
  <si>
    <t>Total 11</t>
  </si>
  <si>
    <t>Año cosecha</t>
  </si>
  <si>
    <t>Safra</t>
  </si>
  <si>
    <t>Total 3</t>
  </si>
  <si>
    <t>C11</t>
  </si>
  <si>
    <t>Superficial</t>
  </si>
  <si>
    <t>Area_Total</t>
  </si>
  <si>
    <t>%POL</t>
  </si>
  <si>
    <t>%POLxTN</t>
  </si>
  <si>
    <t>%POL.</t>
  </si>
  <si>
    <t>Total 12</t>
  </si>
  <si>
    <t>…</t>
  </si>
  <si>
    <t>Total 6</t>
  </si>
  <si>
    <t>Total 7</t>
  </si>
  <si>
    <t>Total 8</t>
  </si>
  <si>
    <t>C12</t>
  </si>
  <si>
    <t>Tramo corto</t>
  </si>
  <si>
    <t>Zona humeda</t>
  </si>
  <si>
    <t>Manual</t>
  </si>
  <si>
    <t>Mecanizada</t>
  </si>
  <si>
    <t>Normal</t>
  </si>
  <si>
    <t>(ALL)</t>
  </si>
  <si>
    <t>Edad (Dias)</t>
  </si>
  <si>
    <t>Edad (Mes)</t>
  </si>
  <si>
    <t>Extraccion</t>
  </si>
  <si>
    <t>Condicion</t>
  </si>
  <si>
    <t>PAR</t>
  </si>
  <si>
    <t>CONCATENAR2</t>
  </si>
  <si>
    <t>Total Tm</t>
  </si>
  <si>
    <t>Tm</t>
  </si>
  <si>
    <t>Total Area</t>
  </si>
  <si>
    <t>Area</t>
  </si>
  <si>
    <t>Enterrada 100%</t>
  </si>
  <si>
    <t>Ult_Art</t>
  </si>
  <si>
    <t>Ult_Pol</t>
  </si>
  <si>
    <t>Ult_Pur</t>
  </si>
  <si>
    <t>Ult_Fibra</t>
  </si>
  <si>
    <t>Ult_Hum</t>
  </si>
  <si>
    <t>Ult_EntBroza</t>
  </si>
  <si>
    <t>PenUlt_EntBroza</t>
  </si>
  <si>
    <t>Ult_Imp_Veg</t>
  </si>
  <si>
    <t>Ult_Imp_Min</t>
  </si>
  <si>
    <t>DATOS DE LA CAMPAÑA ANTERIOR</t>
  </si>
  <si>
    <t>CT02EQ01TR02</t>
  </si>
  <si>
    <t>Saldo</t>
  </si>
  <si>
    <t>PROPIA + TERCEROS</t>
  </si>
  <si>
    <t>Caña Corta:</t>
  </si>
  <si>
    <t>Caña Larga:</t>
  </si>
  <si>
    <t>Áreas.</t>
  </si>
  <si>
    <t>Edades.</t>
  </si>
  <si>
    <t>ARTs.</t>
  </si>
  <si>
    <t>C13</t>
  </si>
  <si>
    <t>CT01EQ01TR02</t>
  </si>
  <si>
    <t>HC01EQ06TR06</t>
  </si>
  <si>
    <t>H82</t>
  </si>
  <si>
    <t>Molienda/diaria (Larga):</t>
  </si>
  <si>
    <t>Molienda/diaria (TOTAL):</t>
  </si>
  <si>
    <t>Chiclayo SPOT:</t>
  </si>
  <si>
    <t>SV01EQ05TR03</t>
  </si>
  <si>
    <t>CP01</t>
  </si>
  <si>
    <t>SV01EQ04TR02</t>
  </si>
  <si>
    <t>LT39</t>
  </si>
  <si>
    <t>LT18</t>
  </si>
  <si>
    <t>LT25</t>
  </si>
  <si>
    <t>SV01EQ04TR01</t>
  </si>
  <si>
    <t>LT20</t>
  </si>
  <si>
    <t>Dias:</t>
  </si>
  <si>
    <t>PP:</t>
  </si>
  <si>
    <t>PNP:</t>
  </si>
  <si>
    <t>Días de molienda:</t>
  </si>
  <si>
    <t>Velocidad (t/día):</t>
  </si>
  <si>
    <t>LB01EQ07TR04</t>
  </si>
  <si>
    <t>LB01EQ02TR04</t>
  </si>
  <si>
    <t>C. Total</t>
  </si>
  <si>
    <t>C. Larga</t>
  </si>
  <si>
    <t>Factor</t>
  </si>
  <si>
    <t>SV01EQ08TR06</t>
  </si>
  <si>
    <t>Piura contrato (Corta-Mecanizada):</t>
  </si>
  <si>
    <t>Piura contrato (Larga-Manual):</t>
  </si>
  <si>
    <t>CALCULO PARA AFINAR LARGA y CAÑA TOTAL</t>
  </si>
  <si>
    <t>LB02EQ15TR05</t>
  </si>
  <si>
    <t>C14</t>
  </si>
  <si>
    <t>Cod. Find</t>
  </si>
  <si>
    <t>Caña total / día (Según Plan)</t>
  </si>
  <si>
    <t>Caña total / día (según tabla de referencia)</t>
  </si>
  <si>
    <t>Diferencia de caña total / día.</t>
  </si>
  <si>
    <t>Caña larga que corresponde (según tabla de referencia)</t>
  </si>
  <si>
    <t>Factor de ajuste de caña larga (según tabla de referencia)</t>
  </si>
  <si>
    <t>Ajuste de caña larga.</t>
  </si>
  <si>
    <t>Caña larga total/día con el ajuste</t>
  </si>
  <si>
    <t>Capacidad máxima de SPOT (Chiclayo)</t>
  </si>
  <si>
    <t>RESUMEN DE ÁREAS - 2024</t>
  </si>
  <si>
    <t>RESUMEN DE EDADES - 2024</t>
  </si>
  <si>
    <t>RESUMEN DE %ART - 2024</t>
  </si>
  <si>
    <t>RESUMEN DE RENDIMIENTO - 2024</t>
  </si>
  <si>
    <t>LB01EQ04TR02</t>
  </si>
  <si>
    <t>LB01EQ03TR06</t>
  </si>
  <si>
    <t>ML06EQ18TR05</t>
  </si>
  <si>
    <t>ML01EQ01TR04</t>
  </si>
  <si>
    <t>HC01EQ01TR01</t>
  </si>
  <si>
    <t>LB02EQ16TR03</t>
  </si>
  <si>
    <t>LB02EQ17TR05</t>
  </si>
  <si>
    <t>LB01EQ05TR03</t>
  </si>
  <si>
    <t>H8</t>
  </si>
  <si>
    <t>ML06EQ18TR04</t>
  </si>
  <si>
    <t>SV01EQ02TR05</t>
  </si>
  <si>
    <t>SV01EQ04TR04</t>
  </si>
  <si>
    <t>SV01EQ10TR02</t>
  </si>
  <si>
    <t>HC01EQ03TR03</t>
  </si>
  <si>
    <t>ML06EQ21TR01</t>
  </si>
  <si>
    <t>C06</t>
  </si>
  <si>
    <t>LB02EQ14TR01</t>
  </si>
  <si>
    <t>ML03EQ12TR02</t>
  </si>
  <si>
    <t>ML03EQ12TR03</t>
  </si>
  <si>
    <t>HC01EQ04TR01</t>
  </si>
  <si>
    <t>HC01EQ03TR01</t>
  </si>
  <si>
    <t>ML01EQ02TR01</t>
  </si>
  <si>
    <t>SV01EQ04TR06</t>
  </si>
  <si>
    <t>ML03EQ10TR01</t>
  </si>
  <si>
    <t>SV01EQ03TR02</t>
  </si>
  <si>
    <t>LB02EQ18TR02</t>
  </si>
  <si>
    <t>ML06EQ21TR04</t>
  </si>
  <si>
    <t>LB02EQ16TR04</t>
  </si>
  <si>
    <t>SV01EQ04TR05</t>
  </si>
  <si>
    <t>HC01EQ03TR04</t>
  </si>
  <si>
    <t>ML03EQ12TR01</t>
  </si>
  <si>
    <t>SV01EQ03TR03</t>
  </si>
  <si>
    <t>ML06EQ21TR03</t>
  </si>
  <si>
    <t>HC01EQ05TR01</t>
  </si>
  <si>
    <t>ML06EQ21TR02</t>
  </si>
  <si>
    <t>ML06EQ18TR06</t>
  </si>
  <si>
    <t>LB01EQ01TR04</t>
  </si>
  <si>
    <t>ML03EQ10TR02</t>
  </si>
  <si>
    <t>LB01EQ05TR05</t>
  </si>
  <si>
    <t>SV01EQ08TR04</t>
  </si>
  <si>
    <t>LB01EQ02TR02</t>
  </si>
  <si>
    <t>SV01EQ09TR02</t>
  </si>
  <si>
    <t>PROYECCIÓN DE COSECHA - 2024</t>
  </si>
  <si>
    <t>PROYECCIÓN DE COSECHA - 2024.</t>
  </si>
  <si>
    <t>HC01EQ05TR02</t>
  </si>
  <si>
    <t>ML01EQ04TR05</t>
  </si>
  <si>
    <t>ML03EQ11TR06</t>
  </si>
  <si>
    <t>ML02EQ06TR06</t>
  </si>
  <si>
    <t>ML06EQ20TR05</t>
  </si>
  <si>
    <t>ML03EQ11TR04</t>
  </si>
  <si>
    <t>ML06EQ20TR01</t>
  </si>
  <si>
    <t>ML03EQ11TR05</t>
  </si>
  <si>
    <t>ML02EQ08TR05</t>
  </si>
  <si>
    <t>ML02EQ08TR06</t>
  </si>
  <si>
    <t>HC01EQ01TR02</t>
  </si>
  <si>
    <t>ML06EQ20TR06</t>
  </si>
  <si>
    <t>Extracción/día (Corta):</t>
  </si>
  <si>
    <t>ML03EQ09TR02</t>
  </si>
  <si>
    <t>SV01EQ07TR05</t>
  </si>
  <si>
    <t>SV01EQ05TR05</t>
  </si>
  <si>
    <t>ML03EQ09TR01</t>
  </si>
  <si>
    <t>ML03EQ09TR03</t>
  </si>
  <si>
    <t>ML01EQ02TR03</t>
  </si>
  <si>
    <t>PS01EQ01TR05</t>
  </si>
  <si>
    <t>PS01</t>
  </si>
  <si>
    <t>SV01EQ01TR06</t>
  </si>
  <si>
    <t>PS01EQ01TR06</t>
  </si>
  <si>
    <t>SV01EQ01TR07</t>
  </si>
  <si>
    <t>LB01EQ01TR02</t>
  </si>
  <si>
    <t>LB01EQ05TR06</t>
  </si>
  <si>
    <t>HC01EQ05TR03</t>
  </si>
  <si>
    <t>LB01EQ01TR03</t>
  </si>
  <si>
    <t>LB01EQ05TR02</t>
  </si>
  <si>
    <t>HC01EQ05TR05</t>
  </si>
  <si>
    <t>HC01EQ01TR04</t>
  </si>
  <si>
    <t>ML01EQ04TR04</t>
  </si>
  <si>
    <t>ML02EQ06TR03</t>
  </si>
  <si>
    <t>LB01EQ01TR01</t>
  </si>
  <si>
    <t>H134</t>
  </si>
  <si>
    <t>H10</t>
  </si>
  <si>
    <t>LB01EQ05TR01</t>
  </si>
  <si>
    <t>LB02EQ19TR05</t>
  </si>
  <si>
    <t>SV01EQ06TR02</t>
  </si>
  <si>
    <t>SV01EQ09TR01</t>
  </si>
  <si>
    <t>LB01EQ03TR01</t>
  </si>
  <si>
    <t>LB01EQ03TR02</t>
  </si>
  <si>
    <t>SV01EQ08TR03</t>
  </si>
  <si>
    <t>SV01EQ08TR01</t>
  </si>
  <si>
    <t>LB02EQ17TR02</t>
  </si>
  <si>
    <t>LB01EQ02TR05</t>
  </si>
  <si>
    <t>LB01EQ04TR01</t>
  </si>
  <si>
    <t>HC01EQ04TR04</t>
  </si>
  <si>
    <t>ML05EQ17TR02</t>
  </si>
  <si>
    <t>ML04EQ13TR04</t>
  </si>
  <si>
    <t>HC01EQ02TR02</t>
  </si>
  <si>
    <t>SV01EQ10TR04</t>
  </si>
  <si>
    <t>ML05EQ17TR03</t>
  </si>
  <si>
    <t>ML03EQ12TR04</t>
  </si>
  <si>
    <t>ML01EQ01TR01</t>
  </si>
  <si>
    <t>ML05EQ16TR07</t>
  </si>
  <si>
    <t>ML05EQ17TR01</t>
  </si>
  <si>
    <t>ML05EQ16TR01</t>
  </si>
  <si>
    <t>ML05EQ16TR03</t>
  </si>
  <si>
    <t>ML04EQ13TR02</t>
  </si>
  <si>
    <t>LB01EQ06TR06</t>
  </si>
  <si>
    <t>LB02EQ18TR04</t>
  </si>
  <si>
    <t>ML04EQ13TR01</t>
  </si>
  <si>
    <t>LB02EQ16TR05</t>
  </si>
  <si>
    <t>ML01EQ03TR01</t>
  </si>
  <si>
    <t>ML06EQ19TR02</t>
  </si>
  <si>
    <t>ML02EQ07TR02</t>
  </si>
  <si>
    <t>SV01EQ07TR03</t>
  </si>
  <si>
    <t>HC01EQ03TR02</t>
  </si>
  <si>
    <t>ML06EQ19TR03</t>
  </si>
  <si>
    <t>ML05EQ16TR02</t>
  </si>
  <si>
    <t>ML01EQ01TR03</t>
  </si>
  <si>
    <t>LB02EQ14TR03</t>
  </si>
  <si>
    <t>SV01EQ03TR01</t>
  </si>
  <si>
    <t>LB02EQ20TR05</t>
  </si>
  <si>
    <t>ML04EQ14TR03</t>
  </si>
  <si>
    <t>ML02EQ07TR01</t>
  </si>
  <si>
    <t>ML03EQ12TR06</t>
  </si>
  <si>
    <t>ML01EQ03TR03</t>
  </si>
  <si>
    <t>ML05EQ16TR05</t>
  </si>
  <si>
    <t>HC01EQ04TR03</t>
  </si>
  <si>
    <t>LB01EQ08TR02</t>
  </si>
  <si>
    <t>ML01EQ04TR06</t>
  </si>
  <si>
    <t>LB02EQ09TR03</t>
  </si>
  <si>
    <t>ML01EQ03TR02</t>
  </si>
  <si>
    <t>LB02EQ11TR04</t>
  </si>
  <si>
    <t>ML05EQ17TR04</t>
  </si>
  <si>
    <t>LB02EQ14TR04</t>
  </si>
  <si>
    <t>ML05EQ17TR07</t>
  </si>
  <si>
    <t>ML05EQ16TR04</t>
  </si>
  <si>
    <t>HC01EQ02TR03</t>
  </si>
  <si>
    <t>ML05EQ16TR06</t>
  </si>
  <si>
    <t>LB02EQ16TR01</t>
  </si>
  <si>
    <t>ML06EQ19TR01</t>
  </si>
  <si>
    <t>ML04EQ14TR02</t>
  </si>
  <si>
    <t>ML04EQ13TR06</t>
  </si>
  <si>
    <t>LB01EQ03TR04</t>
  </si>
  <si>
    <t>ML02EQ05TR01</t>
  </si>
  <si>
    <t>LT14</t>
  </si>
  <si>
    <t>ML03EQ12TR05</t>
  </si>
  <si>
    <t>ML02EQ05TR03</t>
  </si>
  <si>
    <t>ML04EQ14TR01</t>
  </si>
  <si>
    <t>LB01EQ03TR05</t>
  </si>
  <si>
    <t>LT10</t>
  </si>
  <si>
    <t>ML02EQ05TR02</t>
  </si>
  <si>
    <t>LTSF</t>
  </si>
  <si>
    <t>C07</t>
  </si>
  <si>
    <t>PS01EQ01TR04</t>
  </si>
  <si>
    <t>PS01EQ01TR02</t>
  </si>
  <si>
    <t>PS01EQ01TR01</t>
  </si>
  <si>
    <t>PS01EQ01TR03</t>
  </si>
  <si>
    <t>99.- Cosecha 2013 - Real</t>
  </si>
  <si>
    <t>Real</t>
  </si>
  <si>
    <t>HC01E02T2</t>
  </si>
  <si>
    <t>HC01E03T2</t>
  </si>
  <si>
    <t>HC01E04T3</t>
  </si>
  <si>
    <t>LB01E03T4</t>
  </si>
  <si>
    <t>ML01E01T1</t>
  </si>
  <si>
    <t>ML01E01T3</t>
  </si>
  <si>
    <t>ML02E07T2</t>
  </si>
  <si>
    <t>ML03E09T1</t>
  </si>
  <si>
    <t>ML03E09T2</t>
  </si>
  <si>
    <t>ML03E10T1</t>
  </si>
  <si>
    <t>ML03E10T2</t>
  </si>
  <si>
    <t>ML04E13T1</t>
  </si>
  <si>
    <t>ML04E13T2</t>
  </si>
  <si>
    <t>ML04E13T4</t>
  </si>
  <si>
    <t>ML04E13T6</t>
  </si>
  <si>
    <t>ML05E16T1</t>
  </si>
  <si>
    <t>PS01E01T1</t>
  </si>
  <si>
    <t>PS01E01T2</t>
  </si>
  <si>
    <t>PS01E01T3</t>
  </si>
  <si>
    <t>PS01E01T4</t>
  </si>
  <si>
    <t>SV01E04T4</t>
  </si>
  <si>
    <t>SV01E04T5</t>
  </si>
  <si>
    <t>SV01E07T3</t>
  </si>
  <si>
    <t>SV01E08T1</t>
  </si>
  <si>
    <t>SV01E08T3</t>
  </si>
  <si>
    <t>SV01E09T1</t>
  </si>
  <si>
    <t>LB01E05T3</t>
  </si>
  <si>
    <t>ML01E02T1</t>
  </si>
  <si>
    <t>ML01E02T3</t>
  </si>
  <si>
    <t>ML01E04T4</t>
  </si>
  <si>
    <t>ML01E04T5</t>
  </si>
  <si>
    <t>ML01E04T6</t>
  </si>
  <si>
    <t>ML02E08T5</t>
  </si>
  <si>
    <t>ML02E08T6</t>
  </si>
  <si>
    <t>ML03E09T3</t>
  </si>
  <si>
    <t>ML03E11T4</t>
  </si>
  <si>
    <t>ML03E11T5</t>
  </si>
  <si>
    <t>ML03E11T6</t>
  </si>
  <si>
    <t>ML06E18T4</t>
  </si>
  <si>
    <t>ML06E18T5</t>
  </si>
  <si>
    <t>ML06E18T6</t>
  </si>
  <si>
    <t>ML06E21T1</t>
  </si>
  <si>
    <t>ML06E21T2</t>
  </si>
  <si>
    <t>ML06E21T3</t>
  </si>
  <si>
    <t>LB02EQ11TR02</t>
  </si>
  <si>
    <t>ML03E12T1</t>
  </si>
  <si>
    <t>ML06E21T5</t>
  </si>
  <si>
    <t>ML02E06T6</t>
  </si>
  <si>
    <t>ML06E21T4</t>
  </si>
  <si>
    <t>ML01E01T4</t>
  </si>
  <si>
    <t>ML02E06T3</t>
  </si>
  <si>
    <t>LB02EQ12TR05</t>
  </si>
  <si>
    <t>HC01E01T1</t>
  </si>
  <si>
    <t>HC01E02T4</t>
  </si>
  <si>
    <t>HC01E03T1</t>
  </si>
  <si>
    <t>HC01E05T1</t>
  </si>
  <si>
    <t>LB01E02T3</t>
  </si>
  <si>
    <t>LB02E14T1</t>
  </si>
  <si>
    <t>LB02E16T3</t>
  </si>
  <si>
    <t>ML03E12T2</t>
  </si>
  <si>
    <t>ML03E12T3</t>
  </si>
  <si>
    <t>SV01E03T2</t>
  </si>
  <si>
    <t>SV01E03T3</t>
  </si>
  <si>
    <t>SV01E04T6</t>
  </si>
  <si>
    <t>SV01E05T5</t>
  </si>
  <si>
    <t>SV01E08T2</t>
  </si>
  <si>
    <t>SV01E08T4</t>
  </si>
  <si>
    <t>SV01E08T6</t>
  </si>
  <si>
    <t>SV01E10T2</t>
  </si>
  <si>
    <t>SV01E10T3</t>
  </si>
  <si>
    <t>LB02E16T4</t>
  </si>
  <si>
    <t>SV01E07T5</t>
  </si>
  <si>
    <t>LB01E05T5</t>
  </si>
  <si>
    <t>LB02E10T1</t>
  </si>
  <si>
    <t>LB01E01T4</t>
  </si>
  <si>
    <t>LB02E13T2</t>
  </si>
  <si>
    <t>ML01E04T1</t>
  </si>
  <si>
    <t>ML04E14T4</t>
  </si>
  <si>
    <t>ML04E14T5</t>
  </si>
  <si>
    <t>ML04E14T6</t>
  </si>
  <si>
    <t>LB01E02T2</t>
  </si>
  <si>
    <t>LB02E09T5</t>
  </si>
  <si>
    <t>LB02E15T3</t>
  </si>
  <si>
    <t>ML06E19T5</t>
  </si>
  <si>
    <t>ML06E19T6</t>
  </si>
  <si>
    <t>ML06E20T2</t>
  </si>
  <si>
    <t>ML06E20T3</t>
  </si>
  <si>
    <t>ML06E20T4</t>
  </si>
  <si>
    <t>LB02E11T1</t>
  </si>
  <si>
    <t>LB02E13T1</t>
  </si>
  <si>
    <t>ML01E03T4</t>
  </si>
  <si>
    <t>ML01E04T2</t>
  </si>
  <si>
    <t>ML01E04T3</t>
  </si>
  <si>
    <t>ML06E19T4</t>
  </si>
  <si>
    <t>LB02E15T5</t>
  </si>
  <si>
    <t>LB02E18T2</t>
  </si>
  <si>
    <t>ML01E03T5</t>
  </si>
  <si>
    <t>SV01E05T4</t>
  </si>
  <si>
    <t>SV01E07T4</t>
  </si>
  <si>
    <t>SV01E09T2</t>
  </si>
  <si>
    <t>SV01E09T5</t>
  </si>
  <si>
    <t>LB02E12T1</t>
  </si>
  <si>
    <t>SV01E01T3</t>
  </si>
  <si>
    <t>HC01E06T3</t>
  </si>
  <si>
    <t>HC01E06T5</t>
  </si>
  <si>
    <t>LB01E03T6</t>
  </si>
  <si>
    <t>LB02E14T5</t>
  </si>
  <si>
    <t>ML03E09T4</t>
  </si>
  <si>
    <t>ML03E09T5</t>
  </si>
  <si>
    <t>BT01E01T3</t>
  </si>
  <si>
    <t>HC01E03T3</t>
  </si>
  <si>
    <t>HC01E03T4</t>
  </si>
  <si>
    <t>LB01E04T2</t>
  </si>
  <si>
    <t>LB02E09T4</t>
  </si>
  <si>
    <t>LB02E13T4</t>
  </si>
  <si>
    <t>LB02E17T5</t>
  </si>
  <si>
    <t>ML01E02T2</t>
  </si>
  <si>
    <t>ML01E02T4</t>
  </si>
  <si>
    <t>ML01E02T5</t>
  </si>
  <si>
    <t>ML01E02T6</t>
  </si>
  <si>
    <t>ML03E09T6</t>
  </si>
  <si>
    <t>SV01E02T5</t>
  </si>
  <si>
    <t>SV01E06T3</t>
  </si>
  <si>
    <t>RLAMTR05</t>
  </si>
  <si>
    <t>LB02E10T4</t>
  </si>
  <si>
    <t>SJ01E02T4</t>
  </si>
  <si>
    <t>HC01E06T4</t>
  </si>
  <si>
    <t>LB01E01T5</t>
  </si>
  <si>
    <t>SV01E05T3</t>
  </si>
  <si>
    <t>CP01LT14</t>
  </si>
  <si>
    <t>CP01LT18</t>
  </si>
  <si>
    <t>CP01LT25</t>
  </si>
  <si>
    <t>CP01LT39</t>
  </si>
  <si>
    <t>LB02E10T3</t>
  </si>
  <si>
    <t>LB02E12T2</t>
  </si>
  <si>
    <t>LB02E13T3</t>
  </si>
  <si>
    <t>LB02E17T1</t>
  </si>
  <si>
    <t>LB02E18T1</t>
  </si>
  <si>
    <t>LB02E19T2</t>
  </si>
  <si>
    <t>ML01E03T6</t>
  </si>
  <si>
    <t>ML02E06T5</t>
  </si>
  <si>
    <t>PS01E01T5</t>
  </si>
  <si>
    <t>PS01E01T6</t>
  </si>
  <si>
    <t>SJ01E02T3</t>
  </si>
  <si>
    <t>SJ01E02T5</t>
  </si>
  <si>
    <t>SV01E01T2</t>
  </si>
  <si>
    <t>SV01E01T5</t>
  </si>
  <si>
    <t>SV01E02T3</t>
  </si>
  <si>
    <t>CP01LT10</t>
  </si>
  <si>
    <t>CP01LT20</t>
  </si>
  <si>
    <t>CP01LTSF</t>
  </si>
  <si>
    <t>RLAMTR04</t>
  </si>
  <si>
    <t>BT01E01T2</t>
  </si>
  <si>
    <t>BT01E01T5</t>
  </si>
  <si>
    <t>RLAMTR01</t>
  </si>
  <si>
    <t>RLAMTR02</t>
  </si>
  <si>
    <t>RLAMTR03</t>
  </si>
  <si>
    <t>LB01E08T5</t>
  </si>
  <si>
    <t>LB01E08T6</t>
  </si>
  <si>
    <t>LB02E12T4</t>
  </si>
  <si>
    <t>LB02E17T3</t>
  </si>
  <si>
    <t>ML03E10T4</t>
  </si>
  <si>
    <t>ML03E10T5</t>
  </si>
  <si>
    <t>ML03E10T6</t>
  </si>
  <si>
    <t>035-A</t>
  </si>
  <si>
    <t>BT01E01T4</t>
  </si>
  <si>
    <t>BT01E01T6</t>
  </si>
  <si>
    <t>BT01E01T7</t>
  </si>
  <si>
    <t>BT01E01T8</t>
  </si>
  <si>
    <t>LB01E02T1</t>
  </si>
  <si>
    <t>LB02E10T2</t>
  </si>
  <si>
    <t>LB02E14T2</t>
  </si>
  <si>
    <t>LB02E15T1</t>
  </si>
  <si>
    <t>LB02E15T2</t>
  </si>
  <si>
    <t>LB02E15T4</t>
  </si>
  <si>
    <t>LB02E18T3</t>
  </si>
  <si>
    <t>LB02E18T5</t>
  </si>
  <si>
    <t>ML02E05T4</t>
  </si>
  <si>
    <t>ML02E05T5</t>
  </si>
  <si>
    <t>ML02E05T6</t>
  </si>
  <si>
    <t>ML02E06T4</t>
  </si>
  <si>
    <t>ML03E10T3</t>
  </si>
  <si>
    <t>ML05E15T4</t>
  </si>
  <si>
    <t>ML05E15T5</t>
  </si>
  <si>
    <t>ML05E17T5</t>
  </si>
  <si>
    <t>ML05E17T6</t>
  </si>
  <si>
    <t>RL01EQ01TR01</t>
  </si>
  <si>
    <t>RL01</t>
  </si>
  <si>
    <t>SV01E01T6</t>
  </si>
  <si>
    <t>SV01E01T7</t>
  </si>
  <si>
    <t>SV01E02T1</t>
  </si>
  <si>
    <t>SV01E04T1</t>
  </si>
  <si>
    <t>SV01E04T2</t>
  </si>
  <si>
    <t>SV01E05T1</t>
  </si>
  <si>
    <t>SV01E08T5</t>
  </si>
  <si>
    <t>SV01E09T3</t>
  </si>
  <si>
    <t>SV01E10T1</t>
  </si>
  <si>
    <t>CP01EQ01LT10</t>
  </si>
  <si>
    <t>CP01EQ01LT14</t>
  </si>
  <si>
    <t>CP01EQ01LT18</t>
  </si>
  <si>
    <t>CP01EQ01LT20</t>
  </si>
  <si>
    <t>CP01EQ01LT25</t>
  </si>
  <si>
    <t>CP01EQ01LT39</t>
  </si>
  <si>
    <t>CP01EQ01LTSF</t>
  </si>
  <si>
    <t>RL01EQ01TR02</t>
  </si>
  <si>
    <t>RL01EQ01TR03</t>
  </si>
  <si>
    <t>RL01EQ01TR04</t>
  </si>
  <si>
    <t>RL01EQ01TR05</t>
  </si>
  <si>
    <t>LB01E01T3</t>
  </si>
  <si>
    <t>LB01E04T4</t>
  </si>
  <si>
    <t>LB01E04T5</t>
  </si>
  <si>
    <t>LB01E04T6</t>
  </si>
  <si>
    <t>LB01E07T3</t>
  </si>
  <si>
    <t>LB01E07T5</t>
  </si>
  <si>
    <t>LB02E10T5</t>
  </si>
  <si>
    <t>LB02E12T3</t>
  </si>
  <si>
    <t>LB02E13T5</t>
  </si>
  <si>
    <t>LB02E16T2</t>
  </si>
  <si>
    <t>LB02E20T1</t>
  </si>
  <si>
    <t>LB02E20T2</t>
  </si>
  <si>
    <t>LB02E20T3</t>
  </si>
  <si>
    <t>LB02E20T4</t>
  </si>
  <si>
    <t>ML02E07T5</t>
  </si>
  <si>
    <t>ML04E13T3</t>
  </si>
  <si>
    <t>ML04E13T5</t>
  </si>
  <si>
    <t>SV01E01T1</t>
  </si>
  <si>
    <t>SV01E02T2</t>
  </si>
  <si>
    <t>SV01E03T4</t>
  </si>
  <si>
    <t>CT01E01T2</t>
  </si>
  <si>
    <t>CT02E01T1</t>
  </si>
  <si>
    <t>CT02E01T2</t>
  </si>
  <si>
    <t>LB01E07T2</t>
  </si>
  <si>
    <t>ML02E06T1</t>
  </si>
  <si>
    <t>ML02E07T3</t>
  </si>
  <si>
    <t>ML02E07T4</t>
  </si>
  <si>
    <t>ML02E07T6</t>
  </si>
  <si>
    <t>ML02E08T1</t>
  </si>
  <si>
    <t>ML02E08T2</t>
  </si>
  <si>
    <t>ML02E08T3</t>
  </si>
  <si>
    <t>HC01E01T3</t>
  </si>
  <si>
    <t>HC01E01T4</t>
  </si>
  <si>
    <t>HC01E06T1</t>
  </si>
  <si>
    <t>LB01E01T2</t>
  </si>
  <si>
    <t>LB01E02T4</t>
  </si>
  <si>
    <t>LB01E05T2</t>
  </si>
  <si>
    <t>LB01E06T2</t>
  </si>
  <si>
    <t>LB01E07T4</t>
  </si>
  <si>
    <t>LB01E08T1</t>
  </si>
  <si>
    <t>LB01E08T4</t>
  </si>
  <si>
    <t>LB02E19T1</t>
  </si>
  <si>
    <t>LB02E19T3</t>
  </si>
  <si>
    <t>LB02E19T4</t>
  </si>
  <si>
    <t>ML06E20T1</t>
  </si>
  <si>
    <t>ML06E20T5</t>
  </si>
  <si>
    <t>ML06E20T6</t>
  </si>
  <si>
    <t>ML06E22T1</t>
  </si>
  <si>
    <t>ML06E22T2</t>
  </si>
  <si>
    <t>ML06E22T3</t>
  </si>
  <si>
    <t>ML06E22T4</t>
  </si>
  <si>
    <t>ML06E22T5</t>
  </si>
  <si>
    <t>ML02E06T2</t>
  </si>
  <si>
    <t>ML02E08T4</t>
  </si>
  <si>
    <t>LB01E06T1</t>
  </si>
  <si>
    <t>LB02E18T4</t>
  </si>
  <si>
    <t>ML05E15T3</t>
  </si>
  <si>
    <t>HC01E05T5</t>
  </si>
  <si>
    <t>HC01E06T2</t>
  </si>
  <si>
    <t>LB01E03T3</t>
  </si>
  <si>
    <t>LB01E05T1</t>
  </si>
  <si>
    <t>LB01E06T3</t>
  </si>
  <si>
    <t>LB01E06T6</t>
  </si>
  <si>
    <t>LB02E14T4</t>
  </si>
  <si>
    <t>LB02E17T2</t>
  </si>
  <si>
    <t>LB02E17T4</t>
  </si>
  <si>
    <t>LB02E19T5</t>
  </si>
  <si>
    <t>ML01E01T5</t>
  </si>
  <si>
    <t>ML01E01T6</t>
  </si>
  <si>
    <t>ML03E11T1</t>
  </si>
  <si>
    <t>ML03E11T2</t>
  </si>
  <si>
    <t>ML03E11T3</t>
  </si>
  <si>
    <t>ML05E15T1</t>
  </si>
  <si>
    <t>ML05E15T2</t>
  </si>
  <si>
    <t>ML05E15T6</t>
  </si>
  <si>
    <t>ML05E15T7</t>
  </si>
  <si>
    <t>ML05E16T2</t>
  </si>
  <si>
    <t>ML05E16T3</t>
  </si>
  <si>
    <t>ML05E16T4</t>
  </si>
  <si>
    <t>ML05E16T6</t>
  </si>
  <si>
    <t>ML05E16T7</t>
  </si>
  <si>
    <t>SJ01E02T1</t>
  </si>
  <si>
    <t>HC01EQ04TR02</t>
  </si>
  <si>
    <t>C15</t>
  </si>
  <si>
    <t>HC01E06T6</t>
  </si>
  <si>
    <t>LB01E02T6</t>
  </si>
  <si>
    <t>ML04E14T1</t>
  </si>
  <si>
    <t>ML04E14T2</t>
  </si>
  <si>
    <t>ML04E14T3</t>
  </si>
  <si>
    <t>SJ01E02T2</t>
  </si>
  <si>
    <t>SV01E03T6</t>
  </si>
  <si>
    <t>HC01E05T2</t>
  </si>
  <si>
    <t>HC01E05T3</t>
  </si>
  <si>
    <t>HC01E05T4</t>
  </si>
  <si>
    <t>ML03E12T6</t>
  </si>
  <si>
    <t>SV01E02T7</t>
  </si>
  <si>
    <t>SV01E10T5</t>
  </si>
  <si>
    <t>HC01E01T2</t>
  </si>
  <si>
    <t>HC01E02T1</t>
  </si>
  <si>
    <t>LB01E05T6</t>
  </si>
  <si>
    <t>LB01E08T2</t>
  </si>
  <si>
    <t>LB02E09T3</t>
  </si>
  <si>
    <t>LB02E14T3</t>
  </si>
  <si>
    <t>LB02E20T5</t>
  </si>
  <si>
    <t>ML01E03T1</t>
  </si>
  <si>
    <t>ML01E03T2</t>
  </si>
  <si>
    <t>ML01E03T3</t>
  </si>
  <si>
    <t>ML02E07T1</t>
  </si>
  <si>
    <t>ML03E12T4</t>
  </si>
  <si>
    <t>ML03E12T5</t>
  </si>
  <si>
    <t>ML05E16T5</t>
  </si>
  <si>
    <t>ML05E17T2</t>
  </si>
  <si>
    <t>ML05E17T3</t>
  </si>
  <si>
    <t>ML05E17T4</t>
  </si>
  <si>
    <t>ML06E19T1</t>
  </si>
  <si>
    <t>ML06E19T2</t>
  </si>
  <si>
    <t>ML06E19T3</t>
  </si>
  <si>
    <t>PB-2024</t>
  </si>
  <si>
    <t>PY03-2024</t>
  </si>
  <si>
    <t>OOO - Plan de Cosecha 2024</t>
  </si>
  <si>
    <t>CT01E01T1</t>
  </si>
  <si>
    <t>HC01E02T3</t>
  </si>
  <si>
    <t>HC01E04T2</t>
  </si>
  <si>
    <t>LB01E03T1</t>
  </si>
  <si>
    <t>LB01E03T5</t>
  </si>
  <si>
    <t>LB01E04T1</t>
  </si>
  <si>
    <t>LB02E16T5</t>
  </si>
  <si>
    <t>SV01E06T4</t>
  </si>
  <si>
    <t>SV01E06T5</t>
  </si>
  <si>
    <t>SV01E07T1</t>
  </si>
  <si>
    <t>SV01E07T2</t>
  </si>
  <si>
    <t>HC01E04T1</t>
  </si>
  <si>
    <t>HC01E04T4</t>
  </si>
  <si>
    <t>ML02E05T2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</si>
</sst>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_ * #,##0.00_ ;_ * \-#,##0.00_ ;_ * &quot;-&quot;??_ ;_ @_ "/>
    <numFmt numFmtId="165" formatCode="_-* #,##0.00\ _€_-;\-* #,##0.00\ _€_-;_-* &quot;-&quot;??\ _€_-;_-@_-"/>
    <numFmt numFmtId="166" formatCode="_ * #,##0_ ;_ * \-#,##0_ ;_ * &quot;-&quot;??_ ;_ @_ "/>
    <numFmt numFmtId="167" formatCode="_ * #,##0.0_ ;_ * \-#,##0.0_ ;_ * &quot;-&quot;??_ ;_ @_ "/>
    <numFmt numFmtId="168" formatCode="0.0"/>
    <numFmt numFmtId="169" formatCode="0.0000"/>
    <numFmt numFmtId="170" formatCode="#,##0_ ;\-#,##0\ "/>
    <numFmt numFmtId="171" formatCode="#,##0.0_ ;\-#,##0.0\ "/>
    <numFmt numFmtId="172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name val="Arial"/>
      <family val="2"/>
    </font>
    <font>
      <b/>
      <sz val="11"/>
      <name val="Calibri"/>
      <family val="2"/>
      <scheme val="minor"/>
    </font>
    <font>
      <b/>
      <sz val="18"/>
      <color theme="0"/>
      <name val="Arial"/>
      <family val="2"/>
    </font>
    <font>
      <b/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0"/>
      <name val="Arial"/>
      <family val="2"/>
    </font>
    <font>
      <b/>
      <sz val="11"/>
      <name val="Arial"/>
      <family val="2"/>
    </font>
    <font>
      <b/>
      <sz val="9"/>
      <color theme="1"/>
      <name val="Arial"/>
      <family val="2"/>
    </font>
    <font>
      <b/>
      <sz val="11"/>
      <color theme="0" tint="-0.3499862666707357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595959"/>
      <name val="Calibri"/>
      <family val="2"/>
      <scheme val="minor"/>
    </font>
    <font>
      <sz val="9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theme="7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 tint="-0.249977111117893"/>
      </top>
      <bottom style="medium">
        <color theme="6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theme="6" tint="-0.249977111117893"/>
      </top>
      <bottom style="hair">
        <color theme="6" tint="-0.249977111117893"/>
      </bottom>
      <diagonal/>
    </border>
    <border>
      <left/>
      <right/>
      <top style="hair">
        <color theme="6" tint="-0.249977111117893"/>
      </top>
      <bottom style="thin">
        <color theme="6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6" tint="-0.249977111117893"/>
      </top>
      <bottom/>
      <diagonal/>
    </border>
  </borders>
  <cellStyleXfs count="49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0" applyNumberFormat="0" applyFill="0" applyAlignment="0" applyProtection="0"/>
    <xf numFmtId="0" fontId="9" fillId="0" borderId="11" applyNumberFormat="0" applyFill="0" applyAlignment="0" applyProtection="0"/>
    <xf numFmtId="0" fontId="10" fillId="0" borderId="12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13" applyNumberFormat="0" applyAlignment="0" applyProtection="0"/>
    <xf numFmtId="0" fontId="15" fillId="8" borderId="14" applyNumberFormat="0" applyAlignment="0" applyProtection="0"/>
    <xf numFmtId="0" fontId="16" fillId="8" borderId="13" applyNumberFormat="0" applyAlignment="0" applyProtection="0"/>
    <xf numFmtId="0" fontId="17" fillId="0" borderId="15" applyNumberFormat="0" applyFill="0" applyAlignment="0" applyProtection="0"/>
    <xf numFmtId="0" fontId="4" fillId="9" borderId="16" applyNumberFormat="0" applyAlignment="0" applyProtection="0"/>
    <xf numFmtId="0" fontId="18" fillId="0" borderId="0" applyNumberFormat="0" applyFill="0" applyBorder="0" applyAlignment="0" applyProtection="0"/>
    <xf numFmtId="0" fontId="1" fillId="10" borderId="17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8" applyNumberFormat="0" applyFill="0" applyAlignment="0" applyProtection="0"/>
    <xf numFmtId="0" fontId="20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0" fillId="34" borderId="0" applyNumberFormat="0" applyBorder="0" applyAlignment="0" applyProtection="0"/>
    <xf numFmtId="0" fontId="21" fillId="0" borderId="0"/>
    <xf numFmtId="164" fontId="1" fillId="0" borderId="0" applyFont="0" applyFill="0" applyBorder="0" applyAlignment="0" applyProtection="0"/>
    <xf numFmtId="0" fontId="22" fillId="0" borderId="0"/>
    <xf numFmtId="0" fontId="2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0" borderId="0"/>
  </cellStyleXfs>
  <cellXfs count="155">
    <xf numFmtId="0" fontId="0" fillId="0" borderId="0" xfId="0"/>
    <xf numFmtId="0" fontId="2" fillId="0" borderId="0" xfId="0" applyFont="1"/>
    <xf numFmtId="1" fontId="0" fillId="0" borderId="0" xfId="0" applyNumberFormat="1"/>
    <xf numFmtId="167" fontId="0" fillId="0" borderId="0" xfId="1" applyNumberFormat="1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169" fontId="0" fillId="3" borderId="4" xfId="0" applyNumberFormat="1" applyFill="1" applyBorder="1"/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69" fontId="0" fillId="0" borderId="4" xfId="0" applyNumberFormat="1" applyBorder="1"/>
    <xf numFmtId="169" fontId="0" fillId="0" borderId="1" xfId="0" applyNumberFormat="1" applyBorder="1"/>
    <xf numFmtId="0" fontId="0" fillId="0" borderId="6" xfId="0" applyBorder="1" applyAlignment="1">
      <alignment horizontal="center"/>
    </xf>
    <xf numFmtId="169" fontId="0" fillId="0" borderId="3" xfId="0" applyNumberFormat="1" applyBorder="1"/>
    <xf numFmtId="169" fontId="0" fillId="0" borderId="5" xfId="0" applyNumberFormat="1" applyBorder="1"/>
    <xf numFmtId="0" fontId="5" fillId="0" borderId="0" xfId="0" applyFont="1" applyAlignment="1">
      <alignment horizontal="center" vertical="center" wrapText="1"/>
    </xf>
    <xf numFmtId="166" fontId="0" fillId="0" borderId="0" xfId="0" applyNumberFormat="1"/>
    <xf numFmtId="0" fontId="3" fillId="0" borderId="0" xfId="0" applyFont="1"/>
    <xf numFmtId="0" fontId="23" fillId="0" borderId="0" xfId="0" applyFont="1"/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164" fontId="3" fillId="0" borderId="0" xfId="1" applyFont="1" applyFill="1" applyBorder="1"/>
    <xf numFmtId="0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/>
    <xf numFmtId="0" fontId="3" fillId="0" borderId="0" xfId="1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vertical="center"/>
    </xf>
    <xf numFmtId="14" fontId="3" fillId="0" borderId="0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20" xfId="0" applyFont="1" applyBorder="1" applyAlignment="1">
      <alignment horizontal="center"/>
    </xf>
    <xf numFmtId="164" fontId="3" fillId="0" borderId="0" xfId="1" applyFont="1" applyFill="1" applyBorder="1" applyAlignment="1" applyProtection="1">
      <alignment horizontal="center"/>
      <protection locked="0"/>
    </xf>
    <xf numFmtId="43" fontId="23" fillId="0" borderId="0" xfId="0" applyNumberFormat="1" applyFont="1"/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5" fillId="0" borderId="0" xfId="0" applyFont="1" applyAlignment="1">
      <alignment horizontal="right"/>
    </xf>
    <xf numFmtId="166" fontId="0" fillId="0" borderId="21" xfId="0" applyNumberFormat="1" applyBorder="1"/>
    <xf numFmtId="166" fontId="23" fillId="0" borderId="21" xfId="0" applyNumberFormat="1" applyFont="1" applyBorder="1"/>
    <xf numFmtId="166" fontId="0" fillId="0" borderId="22" xfId="0" applyNumberFormat="1" applyBorder="1"/>
    <xf numFmtId="166" fontId="23" fillId="0" borderId="22" xfId="0" applyNumberFormat="1" applyFont="1" applyBorder="1"/>
    <xf numFmtId="0" fontId="29" fillId="0" borderId="0" xfId="0" applyFont="1" applyAlignment="1">
      <alignment horizontal="center"/>
    </xf>
    <xf numFmtId="0" fontId="29" fillId="35" borderId="0" xfId="0" applyFont="1" applyFill="1" applyAlignment="1">
      <alignment horizontal="center"/>
    </xf>
    <xf numFmtId="0" fontId="29" fillId="0" borderId="0" xfId="0" applyFont="1" applyAlignment="1" applyProtection="1">
      <alignment horizontal="center"/>
      <protection locked="0"/>
    </xf>
    <xf numFmtId="14" fontId="29" fillId="0" borderId="0" xfId="0" applyNumberFormat="1" applyFont="1" applyAlignment="1">
      <alignment horizontal="center"/>
    </xf>
    <xf numFmtId="166" fontId="29" fillId="0" borderId="0" xfId="1" applyNumberFormat="1" applyFont="1" applyFill="1" applyBorder="1" applyAlignment="1">
      <alignment horizontal="center"/>
    </xf>
    <xf numFmtId="164" fontId="29" fillId="0" borderId="0" xfId="1" applyFont="1" applyFill="1" applyBorder="1"/>
    <xf numFmtId="164" fontId="29" fillId="0" borderId="0" xfId="1" applyFont="1" applyFill="1" applyBorder="1" applyProtection="1">
      <protection locked="0"/>
    </xf>
    <xf numFmtId="14" fontId="29" fillId="0" borderId="0" xfId="1" applyNumberFormat="1" applyFont="1" applyFill="1" applyBorder="1" applyAlignment="1">
      <alignment horizontal="center"/>
    </xf>
    <xf numFmtId="0" fontId="29" fillId="0" borderId="0" xfId="1" applyNumberFormat="1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vertical="center"/>
    </xf>
    <xf numFmtId="166" fontId="5" fillId="37" borderId="19" xfId="0" applyNumberFormat="1" applyFont="1" applyFill="1" applyBorder="1"/>
    <xf numFmtId="0" fontId="26" fillId="2" borderId="0" xfId="0" applyFont="1" applyFill="1"/>
    <xf numFmtId="0" fontId="5" fillId="37" borderId="19" xfId="0" applyFont="1" applyFill="1" applyBorder="1" applyAlignment="1">
      <alignment horizontal="left"/>
    </xf>
    <xf numFmtId="166" fontId="25" fillId="37" borderId="19" xfId="0" applyNumberFormat="1" applyFont="1" applyFill="1" applyBorder="1"/>
    <xf numFmtId="4" fontId="2" fillId="0" borderId="0" xfId="0" applyNumberFormat="1" applyFont="1"/>
    <xf numFmtId="166" fontId="23" fillId="0" borderId="0" xfId="0" applyNumberFormat="1" applyFont="1"/>
    <xf numFmtId="166" fontId="23" fillId="0" borderId="0" xfId="1" applyNumberFormat="1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4" fontId="0" fillId="0" borderId="0" xfId="0" applyNumberFormat="1" applyAlignment="1">
      <alignment vertical="center" wrapText="1"/>
    </xf>
    <xf numFmtId="3" fontId="2" fillId="0" borderId="0" xfId="0" applyNumberFormat="1" applyFont="1"/>
    <xf numFmtId="164" fontId="2" fillId="0" borderId="0" xfId="1" applyFont="1"/>
    <xf numFmtId="164" fontId="2" fillId="0" borderId="4" xfId="1" applyFont="1" applyBorder="1"/>
    <xf numFmtId="0" fontId="5" fillId="0" borderId="4" xfId="0" applyFont="1" applyBorder="1" applyAlignment="1">
      <alignment horizontal="center"/>
    </xf>
    <xf numFmtId="164" fontId="5" fillId="0" borderId="4" xfId="1" applyFont="1" applyBorder="1" applyAlignment="1">
      <alignment horizontal="center"/>
    </xf>
    <xf numFmtId="166" fontId="2" fillId="0" borderId="0" xfId="1" applyNumberFormat="1" applyFont="1"/>
    <xf numFmtId="43" fontId="31" fillId="0" borderId="0" xfId="0" applyNumberFormat="1" applyFont="1"/>
    <xf numFmtId="166" fontId="32" fillId="0" borderId="19" xfId="0" applyNumberFormat="1" applyFont="1" applyBorder="1"/>
    <xf numFmtId="0" fontId="33" fillId="0" borderId="0" xfId="0" applyFont="1"/>
    <xf numFmtId="164" fontId="2" fillId="37" borderId="4" xfId="1" applyFont="1" applyFill="1" applyBorder="1"/>
    <xf numFmtId="0" fontId="5" fillId="0" borderId="24" xfId="0" applyFont="1" applyBorder="1" applyAlignment="1">
      <alignment horizontal="left"/>
    </xf>
    <xf numFmtId="166" fontId="25" fillId="0" borderId="24" xfId="0" applyNumberFormat="1" applyFont="1" applyBorder="1"/>
    <xf numFmtId="166" fontId="25" fillId="0" borderId="24" xfId="1" applyNumberFormat="1" applyFont="1" applyBorder="1"/>
    <xf numFmtId="166" fontId="5" fillId="0" borderId="24" xfId="1" applyNumberFormat="1" applyFont="1" applyBorder="1"/>
    <xf numFmtId="166" fontId="32" fillId="0" borderId="19" xfId="0" applyNumberFormat="1" applyFont="1" applyBorder="1" applyAlignment="1">
      <alignment horizontal="right"/>
    </xf>
    <xf numFmtId="164" fontId="23" fillId="0" borderId="21" xfId="1" applyFont="1" applyFill="1" applyBorder="1"/>
    <xf numFmtId="164" fontId="0" fillId="0" borderId="21" xfId="1" applyFont="1" applyFill="1" applyBorder="1"/>
    <xf numFmtId="43" fontId="0" fillId="0" borderId="0" xfId="0" applyNumberFormat="1"/>
    <xf numFmtId="166" fontId="5" fillId="0" borderId="0" xfId="0" applyNumberFormat="1" applyFont="1"/>
    <xf numFmtId="166" fontId="25" fillId="0" borderId="0" xfId="0" applyNumberFormat="1" applyFont="1"/>
    <xf numFmtId="166" fontId="34" fillId="0" borderId="21" xfId="0" applyNumberFormat="1" applyFont="1" applyBorder="1"/>
    <xf numFmtId="164" fontId="3" fillId="0" borderId="0" xfId="1" applyFont="1" applyFill="1" applyBorder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6" fontId="3" fillId="0" borderId="0" xfId="1" applyNumberFormat="1" applyFont="1" applyFill="1" applyBorder="1" applyAlignment="1">
      <alignment horizontal="center"/>
    </xf>
    <xf numFmtId="0" fontId="3" fillId="35" borderId="0" xfId="0" applyFont="1" applyFill="1" applyAlignment="1">
      <alignment horizontal="center"/>
    </xf>
    <xf numFmtId="0" fontId="35" fillId="0" borderId="0" xfId="0" applyFont="1" applyAlignment="1">
      <alignment horizontal="left" vertical="center" readingOrder="1"/>
    </xf>
    <xf numFmtId="166" fontId="32" fillId="0" borderId="0" xfId="0" applyNumberFormat="1" applyFont="1" applyAlignment="1">
      <alignment horizontal="right"/>
    </xf>
    <xf numFmtId="166" fontId="32" fillId="0" borderId="26" xfId="0" applyNumberFormat="1" applyFont="1" applyBorder="1" applyAlignment="1">
      <alignment horizontal="right"/>
    </xf>
    <xf numFmtId="166" fontId="32" fillId="0" borderId="26" xfId="0" applyNumberFormat="1" applyFont="1" applyBorder="1"/>
    <xf numFmtId="0" fontId="5" fillId="38" borderId="23" xfId="0" applyFont="1" applyFill="1" applyBorder="1" applyAlignment="1">
      <alignment horizontal="left"/>
    </xf>
    <xf numFmtId="166" fontId="25" fillId="38" borderId="24" xfId="0" applyNumberFormat="1" applyFont="1" applyFill="1" applyBorder="1"/>
    <xf numFmtId="166" fontId="5" fillId="38" borderId="25" xfId="0" applyNumberFormat="1" applyFont="1" applyFill="1" applyBorder="1"/>
    <xf numFmtId="164" fontId="32" fillId="0" borderId="26" xfId="1" applyFont="1" applyFill="1" applyBorder="1"/>
    <xf numFmtId="166" fontId="2" fillId="0" borderId="0" xfId="0" applyNumberFormat="1" applyFont="1"/>
    <xf numFmtId="43" fontId="0" fillId="0" borderId="0" xfId="0" applyNumberFormat="1" applyAlignment="1">
      <alignment vertical="center" wrapText="1"/>
    </xf>
    <xf numFmtId="164" fontId="36" fillId="0" borderId="0" xfId="1" applyFont="1" applyFill="1" applyBorder="1" applyAlignment="1" applyProtection="1">
      <alignment horizontal="center"/>
      <protection locked="0"/>
    </xf>
    <xf numFmtId="0" fontId="36" fillId="35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14" fontId="36" fillId="0" borderId="0" xfId="0" applyNumberFormat="1" applyFont="1" applyAlignment="1">
      <alignment horizontal="center"/>
    </xf>
    <xf numFmtId="166" fontId="36" fillId="0" borderId="0" xfId="1" applyNumberFormat="1" applyFont="1" applyFill="1" applyBorder="1" applyAlignment="1">
      <alignment horizontal="center"/>
    </xf>
    <xf numFmtId="164" fontId="36" fillId="0" borderId="0" xfId="1" applyFont="1" applyFill="1" applyBorder="1"/>
    <xf numFmtId="164" fontId="36" fillId="0" borderId="0" xfId="1" applyFont="1" applyFill="1" applyBorder="1" applyAlignment="1">
      <alignment horizontal="center"/>
    </xf>
    <xf numFmtId="14" fontId="36" fillId="0" borderId="0" xfId="1" applyNumberFormat="1" applyFont="1" applyFill="1" applyBorder="1" applyAlignment="1">
      <alignment horizontal="center"/>
    </xf>
    <xf numFmtId="0" fontId="36" fillId="0" borderId="0" xfId="1" applyNumberFormat="1" applyFont="1" applyFill="1" applyBorder="1" applyAlignment="1" applyProtection="1">
      <alignment horizontal="center"/>
      <protection locked="0"/>
    </xf>
    <xf numFmtId="164" fontId="36" fillId="0" borderId="0" xfId="1" applyFont="1" applyFill="1" applyBorder="1" applyProtection="1">
      <protection locked="0"/>
    </xf>
    <xf numFmtId="166" fontId="25" fillId="39" borderId="19" xfId="0" applyNumberFormat="1" applyFont="1" applyFill="1" applyBorder="1"/>
    <xf numFmtId="43" fontId="2" fillId="0" borderId="0" xfId="0" applyNumberFormat="1" applyFont="1"/>
    <xf numFmtId="166" fontId="5" fillId="39" borderId="19" xfId="0" applyNumberFormat="1" applyFont="1" applyFill="1" applyBorder="1"/>
    <xf numFmtId="166" fontId="0" fillId="0" borderId="0" xfId="1" applyNumberFormat="1" applyFont="1" applyAlignment="1">
      <alignment vertical="center" wrapText="1"/>
    </xf>
    <xf numFmtId="166" fontId="31" fillId="0" borderId="0" xfId="1" applyNumberFormat="1" applyFont="1"/>
    <xf numFmtId="166" fontId="0" fillId="0" borderId="0" xfId="1" applyNumberFormat="1" applyFont="1"/>
    <xf numFmtId="164" fontId="3" fillId="0" borderId="0" xfId="1" applyFont="1" applyFill="1" applyAlignment="1" applyProtection="1">
      <alignment horizontal="center"/>
      <protection locked="0"/>
    </xf>
    <xf numFmtId="164" fontId="3" fillId="0" borderId="0" xfId="1" applyFont="1" applyFill="1" applyBorder="1" applyAlignment="1">
      <alignment horizontal="center"/>
    </xf>
    <xf numFmtId="164" fontId="3" fillId="0" borderId="0" xfId="1" applyFont="1" applyFill="1" applyAlignment="1">
      <alignment horizontal="center"/>
    </xf>
    <xf numFmtId="164" fontId="3" fillId="0" borderId="0" xfId="1" applyFont="1" applyFill="1" applyProtection="1">
      <protection locked="0"/>
    </xf>
    <xf numFmtId="0" fontId="3" fillId="0" borderId="0" xfId="1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166" fontId="0" fillId="37" borderId="0" xfId="0" applyNumberFormat="1" applyFill="1"/>
    <xf numFmtId="164" fontId="0" fillId="0" borderId="0" xfId="0" applyNumberFormat="1"/>
    <xf numFmtId="168" fontId="0" fillId="0" borderId="0" xfId="0" applyNumberFormat="1"/>
    <xf numFmtId="0" fontId="5" fillId="0" borderId="0" xfId="0" pivotButton="1" applyFont="1" applyAlignment="1">
      <alignment horizontal="center"/>
    </xf>
    <xf numFmtId="0" fontId="0" fillId="0" borderId="0" xfId="0" pivotButton="1"/>
    <xf numFmtId="170" fontId="0" fillId="0" borderId="0" xfId="0" applyNumberFormat="1"/>
    <xf numFmtId="0" fontId="0" fillId="0" borderId="0" xfId="0" pivotButton="1" applyAlignment="1">
      <alignment horizontal="center" vertical="center" wrapText="1"/>
    </xf>
    <xf numFmtId="14" fontId="0" fillId="0" borderId="0" xfId="0" applyNumberFormat="1"/>
    <xf numFmtId="171" fontId="0" fillId="0" borderId="0" xfId="0" applyNumberFormat="1"/>
    <xf numFmtId="14" fontId="0" fillId="0" borderId="0" xfId="0" applyNumberFormat="1" applyAlignment="1">
      <alignment horizontal="center"/>
    </xf>
    <xf numFmtId="166" fontId="0" fillId="36" borderId="0" xfId="0" applyNumberFormat="1" applyFill="1"/>
    <xf numFmtId="171" fontId="0" fillId="36" borderId="0" xfId="0" applyNumberFormat="1" applyFill="1"/>
    <xf numFmtId="168" fontId="0" fillId="36" borderId="0" xfId="0" applyNumberFormat="1" applyFill="1"/>
    <xf numFmtId="164" fontId="0" fillId="36" borderId="0" xfId="0" applyNumberFormat="1" applyFill="1"/>
    <xf numFmtId="0" fontId="0" fillId="36" borderId="0" xfId="0" applyFill="1"/>
    <xf numFmtId="164" fontId="0" fillId="37" borderId="0" xfId="0" applyNumberFormat="1" applyFill="1"/>
    <xf numFmtId="0" fontId="0" fillId="0" borderId="0" xfId="0" pivotButton="1" applyAlignment="1">
      <alignment wrapText="1"/>
    </xf>
    <xf numFmtId="172" fontId="0" fillId="0" borderId="0" xfId="0" applyNumberFormat="1"/>
    <xf numFmtId="2" fontId="0" fillId="0" borderId="0" xfId="0" applyNumberFormat="1"/>
    <xf numFmtId="166" fontId="23" fillId="37" borderId="0" xfId="0" applyNumberFormat="1" applyFont="1" applyFill="1"/>
    <xf numFmtId="0" fontId="0" fillId="37" borderId="0" xfId="0" applyFill="1" applyAlignment="1">
      <alignment horizontal="left"/>
    </xf>
    <xf numFmtId="0" fontId="28" fillId="0" borderId="0" xfId="0" applyFont="1"/>
    <xf numFmtId="166" fontId="0" fillId="39" borderId="0" xfId="0" applyNumberFormat="1" applyFill="1"/>
    <xf numFmtId="0" fontId="27" fillId="2" borderId="0" xfId="0" applyFont="1" applyFill="1" applyAlignment="1">
      <alignment horizontal="center"/>
    </xf>
    <xf numFmtId="0" fontId="31" fillId="0" borderId="0" xfId="0" applyFont="1" applyAlignment="1">
      <alignment horizontal="right" vertical="center"/>
    </xf>
    <xf numFmtId="0" fontId="31" fillId="0" borderId="0" xfId="0" applyFont="1" applyAlignment="1">
      <alignment horizontal="right" vertical="center" wrapText="1"/>
    </xf>
    <xf numFmtId="0" fontId="26" fillId="2" borderId="0" xfId="0" applyFont="1" applyFill="1" applyAlignment="1">
      <alignment horizontal="center"/>
    </xf>
    <xf numFmtId="0" fontId="30" fillId="38" borderId="23" xfId="0" applyFont="1" applyFill="1" applyBorder="1" applyAlignment="1">
      <alignment horizontal="center"/>
    </xf>
    <xf numFmtId="0" fontId="30" fillId="38" borderId="24" xfId="0" applyFont="1" applyFill="1" applyBorder="1" applyAlignment="1">
      <alignment horizontal="center"/>
    </xf>
    <xf numFmtId="0" fontId="30" fillId="38" borderId="2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6" fontId="0" fillId="0" borderId="0" xfId="0" applyNumberFormat="1" applyFill="1"/>
    <xf numFmtId="166" fontId="23" fillId="0" borderId="0" xfId="0" applyNumberFormat="1" applyFont="1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indent="1"/>
    </xf>
  </cellXfs>
  <cellStyles count="49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Millares 2" xfId="44" xr:uid="{00000000-0005-0000-0000-000021000000}"/>
    <cellStyle name="Millares 3" xfId="46" xr:uid="{00000000-0005-0000-0000-000022000000}"/>
    <cellStyle name="Millares 4" xfId="47" xr:uid="{00000000-0005-0000-0000-000023000000}"/>
    <cellStyle name="Neutral" xfId="9" builtinId="28" customBuiltin="1"/>
    <cellStyle name="Normal" xfId="0" builtinId="0"/>
    <cellStyle name="Normal 2" xfId="43" xr:uid="{00000000-0005-0000-0000-000026000000}"/>
    <cellStyle name="Normal 2 2" xfId="45" xr:uid="{00000000-0005-0000-0000-000027000000}"/>
    <cellStyle name="Normal 2 2 2" xfId="48" xr:uid="{D22FA7EF-E46C-43FB-8E28-0541D53DA737}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916"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" formatCode="0"/>
    </dxf>
    <dxf>
      <numFmt numFmtId="168" formatCode="0.0"/>
    </dxf>
    <dxf>
      <numFmt numFmtId="166" formatCode="_ * #,##0_ ;_ * \-#,##0_ ;_ * &quot;-&quot;??_ ;_ @_ "/>
    </dxf>
    <dxf>
      <numFmt numFmtId="166" formatCode="_ * #,##0_ ;_ * \-#,##0_ ;_ * &quot;-&quot;??_ ;_ @_ 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71" formatCode="#,##0.0_ ;\-#,##0.0\ 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71" formatCode="#,##0.0_ ;\-#,##0.0\ 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fill>
        <patternFill patternType="solid">
          <bgColor theme="2" tint="-0.249977111117893"/>
        </patternFill>
      </fill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6" formatCode="_ * #,##0_ ;_ * \-#,##0_ ;_ * &quot;-&quot;??_ ;_ @_ 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auto="1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20"/>
      </font>
    </dxf>
    <dxf>
      <font>
        <sz val="20"/>
      </font>
    </dxf>
    <dxf>
      <numFmt numFmtId="166" formatCode="_ * #,##0_ ;_ * \-#,##0_ ;_ * &quot;-&quot;??_ ;_ @_ 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auto="1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66" formatCode="_ * #,##0_ ;_ * \-#,##0_ ;_ * &quot;-&quot;??_ ;_ @_ "/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numFmt numFmtId="166" formatCode="_ * #,##0_ ;_ * \-#,##0_ ;_ * &quot;-&quot;??_ ;_ @_ 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auto="1"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numFmt numFmtId="166" formatCode="_ * #,##0_ ;_ * \-#,##0_ ;_ * &quot;-&quot;??_ ;_ @_ "/>
    </dxf>
    <dxf>
      <numFmt numFmtId="170" formatCode="#,##0_ ;\-#,##0\ "/>
    </dxf>
    <dxf>
      <alignment horizontal="center" readingOrder="0"/>
    </dxf>
    <dxf>
      <numFmt numFmtId="166" formatCode="_ * #,##0_ ;_ * \-#,##0_ ;_ * &quot;-&quot;??_ ;_ @_ "/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" formatCode="0"/>
    </dxf>
    <dxf>
      <numFmt numFmtId="168" formatCode="0.0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4" formatCode="_ * #,##0.00_ ;_ * \-#,##0.00_ ;_ * &quot;-&quot;??_ ;_ @_ "/>
    </dxf>
    <dxf>
      <fill>
        <patternFill patternType="solid">
          <bgColor rgb="FFFFFF00"/>
        </patternFill>
      </fill>
    </dxf>
    <dxf>
      <numFmt numFmtId="172" formatCode="#,##0.00_ ;\-#,##0.00\ "/>
    </dxf>
    <dxf>
      <numFmt numFmtId="172" formatCode="#,##0.00_ ;\-#,##0.00\ "/>
    </dxf>
    <dxf>
      <numFmt numFmtId="2" formatCode="0.00"/>
    </dxf>
    <dxf>
      <numFmt numFmtId="164" formatCode="_ * #,##0.00_ ;_ * \-#,##0.00_ ;_ * &quot;-&quot;??_ ;_ @_ 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theme="7" tint="0.79998168889431442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theme="7" tint="0.79998168889431442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000"/>
      <fill>
        <patternFill patternType="none">
          <fgColor theme="7" tint="0.79998168889431442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7" tint="0.79998168889431442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 * #,##0.00_ ;_ * \-#,##0.00_ ;_ * &quot;-&quot;??_ ;_ @_ 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6" formatCode="_ * #,##0_ ;_ * \-#,##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6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ill>
        <patternFill patternType="solid">
          <bgColor theme="2" tint="-0.249977111117893"/>
        </patternFill>
      </fill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71" formatCode="#,##0.0_ ;\-#,##0.0\ 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numFmt numFmtId="171" formatCode="#,##0.0_ ;\-#,##0.0\ 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8" formatCode="0.0"/>
    </dxf>
    <dxf>
      <numFmt numFmtId="1" formatCode="0"/>
    </dxf>
    <dxf>
      <numFmt numFmtId="164" formatCode="_ * #,##0.00_ ;_ * \-#,##0.00_ ;_ * &quot;-&quot;??_ ;_ @_ "/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66" formatCode="_ * #,##0_ ;_ * \-#,##0_ ;_ * &quot;-&quot;??_ ;_ @_ 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auto="1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_ * #,##0_ ;_ * \-#,##0_ ;_ * &quot;-&quot;??_ ;_ @_ "/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auto="1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_ * #,##0_ ;_ * \-#,##0_ ;_ * &quot;-&quot;??_ ;_ @_ "/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numFmt numFmtId="166" formatCode="_ * #,##0_ ;_ * \-#,##0_ ;_ * &quot;-&quot;??_ ;_ @_ 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auto="1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_ * #,##0_ ;_ * \-#,##0_ ;_ * &quot;-&quot;??_ ;_ @_ 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#,##0_ ;\-#,##0\ "/>
    </dxf>
    <dxf>
      <numFmt numFmtId="166" formatCode="_ * #,##0_ ;_ * \-#,##0_ ;_ * &quot;-&quot;??_ ;_ @_ "/>
    </dxf>
    <dxf>
      <alignment horizontal="center" readingOrder="0"/>
    </dxf>
    <dxf>
      <fill>
        <patternFill patternType="none">
          <bgColor auto="1"/>
        </patternFill>
      </fill>
    </dxf>
    <dxf>
      <numFmt numFmtId="166" formatCode="_ * #,##0_ ;_ * \-#,##0_ ;_ * &quot;-&quot;??_ ;_ @_ "/>
    </dxf>
    <dxf>
      <alignment horizontal="center" readingOrder="0"/>
    </dxf>
    <dxf>
      <numFmt numFmtId="164" formatCode="_ * #,##0.00_ ;_ * \-#,##0.00_ ;_ * &quot;-&quot;??_ ;_ @_ "/>
    </dxf>
    <dxf>
      <numFmt numFmtId="2" formatCode="0.00"/>
    </dxf>
    <dxf>
      <numFmt numFmtId="172" formatCode="#,##0.00_ ;\-#,##0.00\ "/>
    </dxf>
    <dxf>
      <numFmt numFmtId="172" formatCode="#,##0.00_ ;\-#,##0.00\ "/>
    </dxf>
    <dxf>
      <fill>
        <patternFill patternType="solid">
          <bgColor rgb="FFFFFF00"/>
        </patternFill>
      </fill>
    </dxf>
    <dxf>
      <numFmt numFmtId="164" formatCode="_ * #,##0.00_ ;_ * \-#,##0.0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8" formatCode="0.0"/>
    </dxf>
    <dxf>
      <numFmt numFmtId="1" formatCode="0"/>
    </dxf>
    <dxf>
      <numFmt numFmtId="164" formatCode="_ * #,##0.00_ ;_ * \-#,##0.00_ ;_ * &quot;-&quot;??_ ;_ @_ "/>
    </dxf>
    <dxf>
      <numFmt numFmtId="166" formatCode="_ * #,##0_ ;_ * \-#,##0_ ;_ * &quot;-&quot;??_ ;_ @_ "/>
    </dxf>
    <dxf>
      <numFmt numFmtId="164" formatCode="_ * #,##0.00_ ;_ * \-#,##0.00_ ;_ * &quot;-&quot;??_ ;_ @_ "/>
    </dxf>
    <dxf>
      <numFmt numFmtId="166" formatCode="_ * #,##0_ ;_ * \-#,##0_ ;_ * &quot;-&quot;??_ ;_ @_ 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</dxf>
    <dxf>
      <font>
        <b/>
        <color theme="1"/>
      </font>
      <fill>
        <patternFill>
          <bgColor theme="0" tint="-0.14996795556505021"/>
        </patternFill>
      </fill>
    </dxf>
    <dxf>
      <font>
        <b/>
        <color theme="1"/>
      </font>
      <fill>
        <patternFill patternType="solid">
          <fgColor theme="6" tint="0.59999389629810485"/>
          <bgColor theme="0" tint="-0.24994659260841701"/>
        </patternFill>
      </fill>
    </dxf>
    <dxf>
      <font>
        <b/>
        <color theme="1"/>
      </font>
      <border>
        <left style="medium">
          <color theme="6" tint="0.59999389629810485"/>
        </left>
        <right style="medium">
          <color theme="6" tint="0.59999389629810485"/>
        </right>
        <top style="medium">
          <color theme="6" tint="0.59999389629810485"/>
        </top>
        <bottom style="medium">
          <color theme="6" tint="0.59999389629810485"/>
        </bottom>
      </border>
    </dxf>
    <dxf>
      <border>
        <left style="thin">
          <color theme="6" tint="0.39997558519241921"/>
        </left>
        <right style="thin">
          <color theme="6" tint="0.39997558519241921"/>
        </right>
      </border>
    </dxf>
    <dxf>
      <border>
        <top style="thin">
          <color theme="6" tint="0.39997558519241921"/>
        </top>
        <bottom style="thin">
          <color theme="6" tint="0.39997558519241921"/>
        </bottom>
        <horizontal style="thin">
          <color theme="6" tint="0.39997558519241921"/>
        </horizontal>
      </border>
    </dxf>
    <dxf>
      <font>
        <b/>
        <color theme="1"/>
      </font>
      <border>
        <top style="thin">
          <color theme="6" tint="-0.249977111117893"/>
        </top>
        <bottom style="medium">
          <color theme="6" tint="-0.249977111117893"/>
        </bottom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top style="medium">
          <color theme="6" tint="-0.249977111117893"/>
        </top>
      </border>
    </dxf>
    <dxf>
      <font>
        <color theme="1"/>
      </font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6" tint="0.59999389629810485"/>
          <bgColor theme="6" tint="0.59999389629810485"/>
        </patternFill>
      </fill>
    </dxf>
    <dxf>
      <font>
        <b/>
        <color theme="1"/>
      </font>
      <border>
        <left style="medium">
          <color theme="6" tint="0.59999389629810485"/>
        </left>
        <right style="medium">
          <color theme="6" tint="0.59999389629810485"/>
        </right>
        <top style="medium">
          <color theme="6" tint="0.59999389629810485"/>
        </top>
        <bottom style="medium">
          <color theme="6" tint="0.59999389629810485"/>
        </bottom>
      </border>
    </dxf>
    <dxf>
      <border>
        <left style="thin">
          <color theme="6" tint="0.39997558519241921"/>
        </left>
        <right style="thin">
          <color theme="6" tint="0.39997558519241921"/>
        </right>
      </border>
    </dxf>
    <dxf>
      <border>
        <top style="thin">
          <color theme="6" tint="0.39997558519241921"/>
        </top>
        <bottom style="thin">
          <color theme="6" tint="0.39997558519241921"/>
        </bottom>
        <horizontal style="thin">
          <color theme="6" tint="0.39997558519241921"/>
        </horizontal>
      </border>
    </dxf>
    <dxf>
      <font>
        <b/>
        <color theme="1"/>
      </font>
      <border>
        <top style="thin">
          <color theme="6" tint="-0.249977111117893"/>
        </top>
        <bottom style="medium">
          <color theme="6" tint="-0.249977111117893"/>
        </bottom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top style="medium">
          <color theme="6" tint="-0.249977111117893"/>
        </top>
      </border>
    </dxf>
    <dxf>
      <font>
        <color theme="1"/>
      </font>
      <border>
        <horizontal style="hair">
          <color auto="1"/>
        </horizontal>
      </border>
    </dxf>
    <dxf>
      <fill>
        <patternFill>
          <bgColor theme="8" tint="0.39994506668294322"/>
        </patternFill>
      </fill>
    </dxf>
    <dxf>
      <font>
        <color theme="5" tint="-0.249977111117893"/>
      </font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ont>
        <color theme="5" tint="-0.249977111117893"/>
      </font>
    </dxf>
    <dxf>
      <font>
        <color theme="5" tint="-0.249977111117893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5" tint="-0.249977111117893"/>
      </font>
      <fill>
        <patternFill patternType="none">
          <bgColor auto="1"/>
        </patternFill>
      </fill>
    </dxf>
    <dxf>
      <fill>
        <patternFill patternType="solid">
          <fgColor theme="5" tint="0.79995117038483843"/>
          <bgColor theme="6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i val="0"/>
        <color theme="5" tint="-0.249977111117893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  <horizontal/>
      </border>
    </dxf>
    <dxf>
      <font>
        <color theme="5" tint="-0.249977111117893"/>
      </font>
      <border>
        <top style="thin">
          <color theme="5"/>
        </top>
      </border>
    </dxf>
    <dxf>
      <font>
        <b/>
        <i val="0"/>
        <color theme="5" tint="-0.249977111117893"/>
      </font>
      <fill>
        <patternFill>
          <bgColor rgb="FF92D050"/>
        </patternFill>
      </fill>
      <border>
        <bottom style="thin">
          <color theme="5"/>
        </bottom>
      </border>
    </dxf>
    <dxf>
      <font>
        <color theme="5" tint="-0.249977111117893"/>
      </font>
      <fill>
        <patternFill>
          <bgColor theme="0" tint="-4.9989318521683403E-2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hair">
          <color theme="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fill>
        <patternFill>
          <bgColor theme="0" tint="-0.14996795556505021"/>
        </patternFill>
      </fill>
      <border>
        <bottom style="thin">
          <color theme="4" tint="0.39997558519241921"/>
        </bottom>
      </border>
    </dxf>
    <dxf>
      <font>
        <b/>
        <color theme="1"/>
      </font>
      <fill>
        <patternFill>
          <bgColor theme="0" tint="-0.14996795556505021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none">
          <fgColor indexed="64"/>
          <bgColor auto="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</dxfs>
  <tableStyles count="4" defaultTableStyle="TableStyleMedium9" defaultPivotStyle="PivotStyleLight16">
    <tableStyle name="PivotStyleLight16 2" table="0" count="11" xr9:uid="{00000000-0011-0000-FFFF-FFFF00000000}">
      <tableStyleElement type="headerRow" dxfId="915"/>
      <tableStyleElement type="totalRow" dxfId="914"/>
      <tableStyleElement type="firstRowStripe" dxfId="913"/>
      <tableStyleElement type="firstColumnStripe" dxfId="912"/>
      <tableStyleElement type="firstSubtotalColumn" dxfId="911"/>
      <tableStyleElement type="firstSubtotalRow" dxfId="910"/>
      <tableStyleElement type="secondSubtotalRow" dxfId="909"/>
      <tableStyleElement type="firstRowSubheading" dxfId="908"/>
      <tableStyleElement type="secondRowSubheading" dxfId="907"/>
      <tableStyleElement type="pageFieldLabels" dxfId="906"/>
      <tableStyleElement type="pageFieldValues" dxfId="905"/>
    </tableStyle>
    <tableStyle name="PivotStyleLight24 2" table="0" count="15" xr9:uid="{00000000-0011-0000-FFFF-FFFF01000000}">
      <tableStyleElement type="wholeTable" dxfId="904"/>
      <tableStyleElement type="headerRow" dxfId="903"/>
      <tableStyleElement type="totalRow" dxfId="902"/>
      <tableStyleElement type="firstColumn" dxfId="901"/>
      <tableStyleElement type="firstRowStripe" dxfId="900"/>
      <tableStyleElement type="firstColumnStripe" dxfId="899"/>
      <tableStyleElement type="firstSubtotalColumn" dxfId="898"/>
      <tableStyleElement type="secondSubtotalColumn" dxfId="897"/>
      <tableStyleElement type="thirdSubtotalColumn" dxfId="896"/>
      <tableStyleElement type="firstSubtotalRow" dxfId="895"/>
      <tableStyleElement type="secondSubtotalRow" dxfId="894"/>
      <tableStyleElement type="firstRowSubheading" dxfId="893"/>
      <tableStyleElement type="secondRowSubheading" dxfId="892"/>
      <tableStyleElement type="pageFieldLabels" dxfId="891"/>
      <tableStyleElement type="pageFieldValues" dxfId="890"/>
    </tableStyle>
    <tableStyle name="PivotStyleMedium11 2" table="0" count="12" xr9:uid="{00000000-0011-0000-FFFF-FFFF02000000}">
      <tableStyleElement type="wholeTable" dxfId="889"/>
      <tableStyleElement type="headerRow" dxfId="888"/>
      <tableStyleElement type="totalRow" dxfId="887"/>
      <tableStyleElement type="firstRowStripe" dxfId="886"/>
      <tableStyleElement type="firstColumnStripe" dxfId="885"/>
      <tableStyleElement type="firstSubtotalColumn" dxfId="884"/>
      <tableStyleElement type="firstSubtotalRow" dxfId="883"/>
      <tableStyleElement type="secondSubtotalRow" dxfId="882"/>
      <tableStyleElement type="firstRowSubheading" dxfId="881"/>
      <tableStyleElement type="secondRowSubheading" dxfId="880"/>
      <tableStyleElement type="pageFieldLabels" dxfId="879"/>
      <tableStyleElement type="pageFieldValues" dxfId="878"/>
    </tableStyle>
    <tableStyle name="PivotStyleMedium11 3" table="0" count="12" xr9:uid="{00000000-0011-0000-FFFF-FFFF03000000}">
      <tableStyleElement type="wholeTable" dxfId="877"/>
      <tableStyleElement type="headerRow" dxfId="876"/>
      <tableStyleElement type="totalRow" dxfId="875"/>
      <tableStyleElement type="firstRowStripe" dxfId="874"/>
      <tableStyleElement type="firstColumnStripe" dxfId="873"/>
      <tableStyleElement type="firstSubtotalColumn" dxfId="872"/>
      <tableStyleElement type="firstSubtotalRow" dxfId="871"/>
      <tableStyleElement type="secondSubtotalRow" dxfId="870"/>
      <tableStyleElement type="firstRowSubheading" dxfId="869"/>
      <tableStyleElement type="secondRowSubheading" dxfId="868"/>
      <tableStyleElement type="pageFieldLabels" dxfId="867"/>
      <tableStyleElement type="pageFieldValues" dxfId="866"/>
    </tableStyle>
  </tableStyles>
  <colors>
    <mruColors>
      <color rgb="FF00FF00"/>
      <color rgb="FFFF7C80"/>
      <color rgb="FFFF6969"/>
      <color rgb="FFFFFFCC"/>
      <color rgb="FF663300"/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</c:pivotFmts>
    <c:plotArea>
      <c:layout>
        <c:manualLayout>
          <c:layoutTarget val="inner"/>
          <c:xMode val="edge"/>
          <c:yMode val="edge"/>
          <c:x val="9.770821644837388E-2"/>
          <c:y val="0.14671899554876394"/>
          <c:w val="0.86940883618055342"/>
          <c:h val="0.72767325714386488"/>
        </c:manualLayout>
      </c:layout>
      <c:lineChart>
        <c:grouping val="standard"/>
        <c:varyColors val="0"/>
        <c:ser>
          <c:idx val="0"/>
          <c:order val="0"/>
          <c:tx>
            <c:v>CHIC001-Liviano</c:v>
          </c:tx>
          <c:cat>
            <c:strLit>
              <c:ptCount val="1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(en blanco)</c:v>
              </c:pt>
            </c:strLit>
          </c:cat>
          <c:val>
            <c:numRef>
              <c:f>'Tasas de Maduración.'!$C$8:$C$19</c:f>
              <c:numCache>
                <c:formatCode>0.0000</c:formatCode>
                <c:ptCount val="12"/>
                <c:pt idx="0">
                  <c:v>1.4410940888120012E-2</c:v>
                </c:pt>
                <c:pt idx="1">
                  <c:v>7.9694484376350173E-3</c:v>
                </c:pt>
                <c:pt idx="2">
                  <c:v>3.8257112364978242E-3</c:v>
                </c:pt>
                <c:pt idx="3">
                  <c:v>1.6165970610667796E-2</c:v>
                </c:pt>
                <c:pt idx="4">
                  <c:v>5.1105572593275986E-2</c:v>
                </c:pt>
                <c:pt idx="5">
                  <c:v>3.7804988808976411E-2</c:v>
                </c:pt>
                <c:pt idx="6">
                  <c:v>5.386533993676404E-2</c:v>
                </c:pt>
                <c:pt idx="7">
                  <c:v>4.7785897990510265E-2</c:v>
                </c:pt>
                <c:pt idx="8">
                  <c:v>6.6045810940235719E-2</c:v>
                </c:pt>
                <c:pt idx="9">
                  <c:v>3.4972513625659438E-2</c:v>
                </c:pt>
                <c:pt idx="10">
                  <c:v>2.3805320761893602E-2</c:v>
                </c:pt>
                <c:pt idx="11">
                  <c:v>4.5087544038252637E-2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E-4275-BEA3-6713FB338ABD}"/>
            </c:ext>
          </c:extLst>
        </c:ser>
        <c:ser>
          <c:idx val="1"/>
          <c:order val="1"/>
          <c:tx>
            <c:v>CHIC002-Mediano</c:v>
          </c:tx>
          <c:cat>
            <c:strLit>
              <c:ptCount val="1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(en blanco)</c:v>
              </c:pt>
            </c:strLit>
          </c:cat>
          <c:val>
            <c:numRef>
              <c:f>'Tasas de Maduración.'!$D$8:$D$19</c:f>
              <c:numCache>
                <c:formatCode>0.0000</c:formatCode>
                <c:ptCount val="12"/>
                <c:pt idx="0">
                  <c:v>1.4111543267720631E-2</c:v>
                </c:pt>
                <c:pt idx="1">
                  <c:v>6.8248670759602885E-3</c:v>
                </c:pt>
                <c:pt idx="2">
                  <c:v>1.0707180212022339E-2</c:v>
                </c:pt>
                <c:pt idx="3">
                  <c:v>1.3598558870612364E-2</c:v>
                </c:pt>
                <c:pt idx="4">
                  <c:v>4.5783403404679027E-2</c:v>
                </c:pt>
                <c:pt idx="5">
                  <c:v>3.9916508196139476E-2</c:v>
                </c:pt>
                <c:pt idx="6">
                  <c:v>5.8889791619946862E-2</c:v>
                </c:pt>
                <c:pt idx="7">
                  <c:v>3.1992687640082174E-2</c:v>
                </c:pt>
                <c:pt idx="8">
                  <c:v>5.3595236147255546E-2</c:v>
                </c:pt>
                <c:pt idx="9">
                  <c:v>3.4908401688945351E-2</c:v>
                </c:pt>
                <c:pt idx="10">
                  <c:v>4.324114434606622E-2</c:v>
                </c:pt>
                <c:pt idx="11">
                  <c:v>3.2871923325346525E-2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E-4275-BEA3-6713FB338ABD}"/>
            </c:ext>
          </c:extLst>
        </c:ser>
        <c:ser>
          <c:idx val="2"/>
          <c:order val="2"/>
          <c:tx>
            <c:v>CHIC003-Pesado</c:v>
          </c:tx>
          <c:cat>
            <c:strLit>
              <c:ptCount val="1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(en blanco)</c:v>
              </c:pt>
            </c:strLit>
          </c:cat>
          <c:val>
            <c:numRef>
              <c:f>'Tasas de Maduración.'!$E$8:$E$19</c:f>
              <c:numCache>
                <c:formatCode>0.0000</c:formatCode>
                <c:ptCount val="12"/>
                <c:pt idx="0">
                  <c:v>1.381214564732125E-2</c:v>
                </c:pt>
                <c:pt idx="1">
                  <c:v>5.6802857142855597E-3</c:v>
                </c:pt>
                <c:pt idx="2">
                  <c:v>1.7588649187546854E-2</c:v>
                </c:pt>
                <c:pt idx="3">
                  <c:v>3.4024909154353501E-2</c:v>
                </c:pt>
                <c:pt idx="4">
                  <c:v>3.039157596632009E-2</c:v>
                </c:pt>
                <c:pt idx="5">
                  <c:v>5.1299092913300405E-2</c:v>
                </c:pt>
                <c:pt idx="6">
                  <c:v>2.1590228691688917E-2</c:v>
                </c:pt>
                <c:pt idx="7">
                  <c:v>4.3394426562720488E-2</c:v>
                </c:pt>
                <c:pt idx="8">
                  <c:v>4.4687492623132014E-2</c:v>
                </c:pt>
                <c:pt idx="9">
                  <c:v>5.198989856902362E-2</c:v>
                </c:pt>
                <c:pt idx="10">
                  <c:v>6.4813257575757677E-2</c:v>
                </c:pt>
                <c:pt idx="11">
                  <c:v>5.1324999999999898E-2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4E-4275-BEA3-6713FB33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62688"/>
        <c:axId val="134176768"/>
      </c:lineChart>
      <c:catAx>
        <c:axId val="134162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176768"/>
        <c:crosses val="autoZero"/>
        <c:auto val="1"/>
        <c:lblAlgn val="ctr"/>
        <c:lblOffset val="100"/>
        <c:noMultiLvlLbl val="0"/>
      </c:catAx>
      <c:valAx>
        <c:axId val="13417676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34162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892749585665879"/>
          <c:y val="3.0546244415372896E-2"/>
          <c:w val="0.5426013271682566"/>
          <c:h val="9.2444400562782567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8965</xdr:colOff>
      <xdr:row>0</xdr:row>
      <xdr:rowOff>98613</xdr:rowOff>
    </xdr:from>
    <xdr:to>
      <xdr:col>1</xdr:col>
      <xdr:colOff>2052918</xdr:colOff>
      <xdr:row>2</xdr:row>
      <xdr:rowOff>71717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_C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_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047" y="98613"/>
              <a:ext cx="2043953" cy="4034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178734</xdr:colOff>
      <xdr:row>30</xdr:row>
      <xdr:rowOff>46503</xdr:rowOff>
    </xdr:from>
    <xdr:to>
      <xdr:col>23</xdr:col>
      <xdr:colOff>383678</xdr:colOff>
      <xdr:row>44</xdr:row>
      <xdr:rowOff>35299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0B9148D-F52A-4AE9-A04D-268F770D1A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934" r="5165" b="2788"/>
        <a:stretch/>
      </xdr:blipFill>
      <xdr:spPr>
        <a:xfrm>
          <a:off x="13923309" y="5294778"/>
          <a:ext cx="1967069" cy="26653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67236</xdr:colOff>
      <xdr:row>9</xdr:row>
      <xdr:rowOff>165848</xdr:rowOff>
    </xdr:from>
    <xdr:to>
      <xdr:col>24</xdr:col>
      <xdr:colOff>372035</xdr:colOff>
      <xdr:row>23</xdr:row>
      <xdr:rowOff>22973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F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35736" y="217170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67235</xdr:colOff>
      <xdr:row>3</xdr:row>
      <xdr:rowOff>87407</xdr:rowOff>
    </xdr:from>
    <xdr:to>
      <xdr:col>24</xdr:col>
      <xdr:colOff>372034</xdr:colOff>
      <xdr:row>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ño cosecha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cos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35735" y="759760"/>
              <a:ext cx="1828800" cy="12348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142874</xdr:rowOff>
    </xdr:from>
    <xdr:to>
      <xdr:col>9</xdr:col>
      <xdr:colOff>228600</xdr:colOff>
      <xdr:row>35</xdr:row>
      <xdr:rowOff>133349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xslier Vasquez Pinday" refreshedDate="45629.339921527775" missingItemsLimit="0" createdVersion="4" refreshedVersion="8" minRefreshableVersion="3" recordCount="466" xr:uid="{00000000-000A-0000-FFFF-FFFF8F0A0000}">
  <cacheSource type="worksheet">
    <worksheetSource name="Tabla2"/>
  </cacheSource>
  <cacheFields count="50">
    <cacheField name="Valor" numFmtId="164">
      <sharedItems containsSemiMixedTypes="0" containsString="0" containsNumber="1" minValue="5.7238356164383557" maxValue="19.791383919958093"/>
    </cacheField>
    <cacheField name="Agrupador" numFmtId="0">
      <sharedItems/>
    </cacheField>
    <cacheField name="Extraccion" numFmtId="0">
      <sharedItems count="3">
        <s v="Mecanizada"/>
        <s v="Manual"/>
        <s v="Real"/>
      </sharedItems>
    </cacheField>
    <cacheField name="Condicion" numFmtId="0">
      <sharedItems/>
    </cacheField>
    <cacheField name="CONCATENAR2" numFmtId="0">
      <sharedItems/>
    </cacheField>
    <cacheField name="MF" numFmtId="0">
      <sharedItems count="7">
        <s v="ML"/>
        <s v="LB2"/>
        <s v="LB"/>
        <s v="SV"/>
        <s v="HC"/>
        <s v="GR"/>
        <s v="TR"/>
      </sharedItems>
    </cacheField>
    <cacheField name="FD" numFmtId="0">
      <sharedItems count="17">
        <s v="ML04"/>
        <s v="ML01"/>
        <s v="ML02"/>
        <s v="LB02"/>
        <s v="LB01"/>
        <s v="SV01"/>
        <s v="ML03"/>
        <s v="ML05"/>
        <s v="ML06"/>
        <s v="HC01"/>
        <s v="BT01"/>
        <s v="CP01"/>
        <s v="CT01"/>
        <s v="CT02"/>
        <s v="PS01"/>
        <s v="RL01"/>
        <s v="SJ01"/>
      </sharedItems>
    </cacheField>
    <cacheField name="EQ" numFmtId="0">
      <sharedItems count="22">
        <s v="EQ13"/>
        <s v="EQ04"/>
        <s v="EQ05"/>
        <s v="EQ01"/>
        <s v="EQ16"/>
        <s v="EQ03"/>
        <s v="EQ08"/>
        <s v="EQ11"/>
        <s v="EQ02"/>
        <s v="EQ12"/>
        <s v="EQ09"/>
        <s v="EQ17"/>
        <s v="EQ21"/>
        <s v="EQ10"/>
        <s v="EQ06"/>
        <s v="EQ07"/>
        <s v="EQ14"/>
        <s v="EQ15"/>
        <s v="EQ18"/>
        <s v="EQ19"/>
        <s v="EQ20"/>
        <s v="EQ22"/>
      </sharedItems>
    </cacheField>
    <cacheField name="TR" numFmtId="0">
      <sharedItems count="15">
        <s v="TR06"/>
        <s v="TR03"/>
        <s v="TR01"/>
        <s v="TR02"/>
        <s v="TR04"/>
        <s v="TR05"/>
        <s v="TR07"/>
        <s v="TR08"/>
        <s v="LT10"/>
        <s v="LT14"/>
        <s v="LT18"/>
        <s v="LT20"/>
        <s v="LT25"/>
        <s v="LT39"/>
        <s v="LTSF"/>
      </sharedItems>
    </cacheField>
    <cacheField name="PAR" numFmtId="0">
      <sharedItems containsMixedTypes="1" containsNumber="1" containsInteger="1" minValue="2" maxValue="48"/>
    </cacheField>
    <cacheField name="Safra" numFmtId="0">
      <sharedItems containsSemiMixedTypes="0" containsString="0" containsNumber="1" containsInteger="1" minValue="2021" maxValue="2024" count="4">
        <n v="2023"/>
        <n v="2022"/>
        <n v="2024"/>
        <n v="2021"/>
      </sharedItems>
    </cacheField>
    <cacheField name="Estado" numFmtId="14">
      <sharedItems count="16">
        <s v="C14"/>
        <s v="C11"/>
        <s v="C12"/>
        <s v="C03"/>
        <s v="C10"/>
        <s v="C01"/>
        <s v="C08"/>
        <s v="C15"/>
        <s v="C05"/>
        <s v="C13"/>
        <s v="C04"/>
        <s v="C06"/>
        <s v="C09"/>
        <s v="C00"/>
        <s v="C02"/>
        <s v="C07"/>
      </sharedItems>
    </cacheField>
    <cacheField name="FCultivo" numFmtId="14">
      <sharedItems containsSemiMixedTypes="0" containsNonDate="0" containsDate="1" containsString="0" minDate="2022-08-10T00:00:00" maxDate="2024-02-21T00:00:00" count="243">
        <d v="2024-01-20T00:00:00"/>
        <d v="2024-01-27T00:00:00"/>
        <d v="2024-01-03T00:00:00"/>
        <d v="2024-01-11T00:00:00"/>
        <d v="2023-12-26T00:00:00"/>
        <d v="2024-02-06T00:00:00"/>
        <d v="2023-12-12T00:00:00"/>
        <d v="2023-12-30T00:00:00"/>
        <d v="2024-02-03T00:00:00"/>
        <d v="2024-02-07T00:00:00"/>
        <d v="2023-11-12T00:00:00"/>
        <d v="2024-01-02T00:00:00"/>
        <d v="2024-01-28T00:00:00"/>
        <d v="2024-02-01T00:00:00"/>
        <d v="2024-01-04T00:00:00"/>
        <d v="2024-01-18T00:00:00"/>
        <d v="2023-11-10T00:00:00"/>
        <d v="2024-02-12T00:00:00"/>
        <d v="2023-12-28T00:00:00"/>
        <d v="2024-01-24T00:00:00"/>
        <d v="2023-12-02T00:00:00"/>
        <d v="2023-12-27T00:00:00"/>
        <d v="2023-12-16T00:00:00"/>
        <d v="2023-11-07T00:00:00"/>
        <d v="2023-11-14T00:00:00"/>
        <d v="2023-11-25T00:00:00"/>
        <d v="2023-11-27T00:00:00"/>
        <d v="2023-12-15T00:00:00"/>
        <d v="2024-01-23T00:00:00"/>
        <d v="2024-01-13T00:00:00"/>
        <d v="2024-01-15T00:00:00"/>
        <d v="2024-01-10T00:00:00"/>
        <d v="2023-12-14T00:00:00"/>
        <d v="2024-01-25T00:00:00"/>
        <d v="2023-11-18T00:00:00"/>
        <d v="2024-01-26T00:00:00"/>
        <d v="2024-01-06T00:00:00"/>
        <d v="2022-11-24T00:00:00"/>
        <d v="2022-10-29T00:00:00"/>
        <d v="2023-02-11T00:00:00"/>
        <d v="2023-02-07T00:00:00"/>
        <d v="2023-02-13T00:00:00"/>
        <d v="2023-02-18T00:00:00"/>
        <d v="2023-02-24T00:00:00"/>
        <d v="2023-07-10T00:00:00"/>
        <d v="2023-02-10T00:00:00"/>
        <d v="2023-02-23T00:00:00"/>
        <d v="2023-02-15T00:00:00"/>
        <d v="2023-02-12T00:00:00"/>
        <d v="2023-06-30T00:00:00"/>
        <d v="2023-10-27T00:00:00"/>
        <d v="2023-08-24T00:00:00"/>
        <d v="2023-06-28T00:00:00"/>
        <d v="2023-09-18T00:00:00"/>
        <d v="2023-09-13T00:00:00"/>
        <d v="2022-11-16T00:00:00"/>
        <d v="2023-01-27T00:00:00"/>
        <d v="2023-01-17T00:00:00"/>
        <d v="2022-11-02T00:00:00"/>
        <d v="2023-12-21T00:00:00"/>
        <d v="2023-03-27T00:00:00"/>
        <d v="2023-04-10T00:00:00"/>
        <d v="2023-11-17T00:00:00"/>
        <d v="2022-11-07T00:00:00"/>
        <d v="2022-10-31T00:00:00"/>
        <d v="2023-11-15T00:00:00"/>
        <d v="2023-09-07T00:00:00"/>
        <d v="2023-05-16T00:00:00"/>
        <d v="2023-05-15T00:00:00"/>
        <d v="2023-05-04T00:00:00"/>
        <d v="2023-11-04T00:00:00"/>
        <d v="2023-09-28T00:00:00"/>
        <d v="2023-09-02T00:00:00"/>
        <d v="2022-12-07T00:00:00"/>
        <d v="2023-05-24T00:00:00"/>
        <d v="2023-08-01T00:00:00"/>
        <d v="2022-11-25T00:00:00"/>
        <d v="2023-02-16T00:00:00"/>
        <d v="2023-10-04T00:00:00"/>
        <d v="2023-12-04T00:00:00"/>
        <d v="2023-12-11T00:00:00"/>
        <d v="2022-12-27T00:00:00"/>
        <d v="2022-12-23T00:00:00"/>
        <d v="2022-11-15T00:00:00"/>
        <d v="2023-08-19T00:00:00"/>
        <d v="2023-09-05T00:00:00"/>
        <d v="2023-09-11T00:00:00"/>
        <d v="2023-11-24T00:00:00"/>
        <d v="2023-09-21T00:00:00"/>
        <d v="2023-01-16T00:00:00"/>
        <d v="2022-11-30T00:00:00"/>
        <d v="2023-12-05T00:00:00"/>
        <d v="2023-10-21T00:00:00"/>
        <d v="2023-12-07T00:00:00"/>
        <d v="2023-08-29T00:00:00"/>
        <d v="2023-08-28T00:00:00"/>
        <d v="2023-07-24T00:00:00"/>
        <d v="2023-07-04T00:00:00"/>
        <d v="2023-05-12T00:00:00"/>
        <d v="2023-03-08T00:00:00"/>
        <d v="2023-03-15T00:00:00"/>
        <d v="2023-08-03T00:00:00"/>
        <d v="2023-05-17T00:00:00"/>
        <d v="2023-06-01T00:00:00"/>
        <d v="2023-08-15T00:00:00"/>
        <d v="2023-05-02T00:00:00"/>
        <d v="2023-05-08T00:00:00"/>
        <d v="2023-06-16T00:00:00"/>
        <d v="2023-08-07T00:00:00"/>
        <d v="2023-06-19T00:00:00"/>
        <d v="2023-03-04T00:00:00"/>
        <d v="2023-06-23T00:00:00"/>
        <d v="2023-05-10T00:00:00"/>
        <d v="2023-08-12T00:00:00"/>
        <d v="2022-11-14T00:00:00"/>
        <d v="2023-07-18T00:00:00"/>
        <d v="2023-11-13T00:00:00"/>
        <d v="2023-05-06T00:00:00"/>
        <d v="2023-07-22T00:00:00"/>
        <d v="2023-07-20T00:00:00"/>
        <d v="2023-03-02T00:00:00"/>
        <d v="2023-07-15T00:00:00"/>
        <d v="2023-08-10T00:00:00"/>
        <d v="2022-12-14T00:00:00"/>
        <d v="2022-12-31T00:00:00"/>
        <d v="2023-12-22T00:00:00"/>
        <d v="2023-06-26T00:00:00"/>
        <d v="2023-10-24T00:00:00"/>
        <d v="2023-06-09T00:00:00"/>
        <d v="2023-10-30T00:00:00"/>
        <d v="2023-01-13T00:00:00"/>
        <d v="2023-05-27T00:00:00"/>
        <d v="2022-12-18T00:00:00"/>
        <d v="2023-07-31T00:00:00"/>
        <d v="2023-11-06T00:00:00"/>
        <d v="2023-07-12T00:00:00"/>
        <d v="2023-10-18T00:00:00"/>
        <d v="2023-09-01T00:00:00"/>
        <d v="2023-08-17T00:00:00"/>
        <d v="2023-08-18T00:00:00"/>
        <d v="2023-08-21T00:00:00"/>
        <d v="2023-08-23T00:00:00"/>
        <d v="2023-08-26T00:00:00"/>
        <d v="2022-12-10T00:00:00"/>
        <d v="2023-11-29T00:00:00"/>
        <d v="2022-12-20T00:00:00"/>
        <d v="2022-12-26T00:00:00"/>
        <d v="2023-02-20T00:00:00"/>
        <d v="2023-12-13T00:00:00"/>
        <d v="2023-12-18T00:00:00"/>
        <d v="2023-02-06T00:00:00"/>
        <d v="2023-07-17T00:00:00"/>
        <d v="2023-01-25T00:00:00"/>
        <d v="2023-01-23T00:00:00"/>
        <d v="2023-03-11T00:00:00"/>
        <d v="2022-12-12T00:00:00"/>
        <d v="2024-02-10T00:00:00"/>
        <d v="2024-01-31T00:00:00"/>
        <d v="2022-12-15T00:00:00"/>
        <d v="2023-07-14T00:00:00"/>
        <d v="2023-09-29T00:00:00"/>
        <d v="2022-12-03T00:00:00"/>
        <d v="2023-08-04T00:00:00"/>
        <d v="2023-05-26T00:00:00"/>
        <d v="2022-11-09T00:00:00"/>
        <d v="2023-10-09T00:00:00"/>
        <d v="2023-09-08T00:00:00"/>
        <d v="2023-09-10T00:00:00"/>
        <d v="2023-09-06T00:00:00"/>
        <d v="2023-10-16T00:00:00"/>
        <d v="2022-11-29T00:00:00"/>
        <d v="2022-11-22T00:00:00"/>
        <d v="2022-11-26T00:00:00"/>
        <d v="2023-01-06T00:00:00"/>
        <d v="2023-01-03T00:00:00"/>
        <d v="2023-07-07T00:00:00"/>
        <d v="2023-06-03T00:00:00"/>
        <d v="2023-06-06T00:00:00"/>
        <d v="2023-11-16T00:00:00"/>
        <d v="2022-10-20T00:00:00"/>
        <d v="2022-10-27T00:00:00"/>
        <d v="2022-12-30T00:00:00"/>
        <d v="2023-12-06T00:00:00"/>
        <d v="2022-11-23T00:00:00"/>
        <d v="2024-01-08T00:00:00"/>
        <d v="2022-11-21T00:00:00"/>
        <d v="2024-01-14T00:00:00"/>
        <d v="2023-08-08T00:00:00"/>
        <d v="2024-01-16T00:00:00"/>
        <d v="2023-08-05T00:00:00"/>
        <d v="2022-11-18T00:00:00"/>
        <d v="2023-12-01T00:00:00"/>
        <d v="2023-11-22T00:00:00"/>
        <d v="2023-11-20T00:00:00"/>
        <d v="2023-07-03T00:00:00"/>
        <d v="2022-12-17T00:00:00"/>
        <d v="2023-11-23T00:00:00"/>
        <d v="2024-01-05T00:00:00"/>
        <d v="2023-11-28T00:00:00"/>
        <d v="2023-01-20T00:00:00"/>
        <d v="2023-01-18T00:00:00"/>
        <d v="2023-01-22T00:00:00"/>
        <d v="2024-01-01T00:00:00"/>
        <d v="2023-01-26T00:00:00"/>
        <d v="2023-01-28T00:00:00"/>
        <d v="2023-02-02T00:00:00"/>
        <d v="2023-11-08T00:00:00"/>
        <d v="2023-02-03T00:00:00"/>
        <d v="2023-10-26T00:00:00"/>
        <d v="2023-10-28T00:00:00"/>
        <d v="2023-01-05T00:00:00"/>
        <d v="2023-01-07T00:00:00"/>
        <d v="2023-01-12T00:00:00"/>
        <d v="2023-10-20T00:00:00"/>
        <d v="2023-10-07T00:00:00"/>
        <d v="2022-08-16T00:00:00"/>
        <d v="2022-08-22T00:00:00"/>
        <d v="2022-08-15T00:00:00"/>
        <d v="2022-08-10T00:00:00"/>
        <d v="2023-01-24T00:00:00"/>
        <d v="2023-03-07T00:00:00"/>
        <d v="2023-06-04T00:00:00"/>
        <d v="2023-06-13T00:00:00"/>
        <d v="2023-06-17T00:00:00"/>
        <d v="2023-07-13T00:00:00"/>
        <d v="2023-06-14T00:00:00"/>
        <d v="2023-01-10T00:00:00"/>
        <d v="2023-07-01T00:00:00"/>
        <d v="2022-12-21T00:00:00"/>
        <d v="2022-12-22T00:00:00"/>
        <d v="2023-06-24T00:00:00"/>
        <d v="2023-05-19T00:00:00"/>
        <d v="2022-12-24T00:00:00"/>
        <d v="2023-09-14T00:00:00"/>
        <d v="2023-09-16T00:00:00"/>
        <d v="2022-09-10T00:00:00"/>
        <d v="2023-03-06T00:00:00"/>
        <d v="2023-01-02T00:00:00"/>
        <d v="2024-02-20T00:00:00"/>
        <d v="2023-01-21T00:00:00"/>
        <d v="2023-01-19T00:00:00"/>
        <d v="2023-06-12T00:00:00"/>
        <d v="2022-11-01T00:00:00"/>
      </sharedItems>
    </cacheField>
    <cacheField name="Var" numFmtId="0">
      <sharedItems count="7">
        <s v="H0"/>
        <s v="H8"/>
        <s v="H9"/>
        <s v="H19"/>
        <s v="H134"/>
        <s v="H82"/>
        <s v="H10"/>
      </sharedItems>
    </cacheField>
    <cacheField name="Edad" numFmtId="166">
      <sharedItems containsSemiMixedTypes="0" containsString="0" containsNumber="1" minValue="174.1" maxValue="601.98792756539206"/>
    </cacheField>
    <cacheField name="Area_Total" numFmtId="166">
      <sharedItems containsSemiMixedTypes="0" containsString="0" containsNumber="1" minValue="3.43" maxValue="50.92"/>
    </cacheField>
    <cacheField name="Area_Cosecha" numFmtId="164">
      <sharedItems containsSemiMixedTypes="0" containsString="0" containsNumber="1" minValue="7.0000000000000007E-2" maxValue="47.32"/>
    </cacheField>
    <cacheField name="Tn/Ha" numFmtId="164">
      <sharedItems containsSemiMixedTypes="0" containsString="0" containsNumber="1" minValue="19.559999999999999" maxValue="1523.86"/>
    </cacheField>
    <cacheField name="Tn/Ha/Mes" numFmtId="164">
      <sharedItems containsSemiMixedTypes="0" containsString="0" containsNumber="1" minValue="1.39" maxValue="77.12"/>
    </cacheField>
    <cacheField name="%ART" numFmtId="164">
      <sharedItems containsString="0" containsBlank="1" containsNumber="1" minValue="10.644" maxValue="16.366139152513298"/>
    </cacheField>
    <cacheField name="%POL" numFmtId="164">
      <sharedItems containsString="0" containsBlank="1" containsNumber="1" minValue="9.0850000000000009" maxValue="14.874723078998599"/>
    </cacheField>
    <cacheField name="Tn" numFmtId="164">
      <sharedItems containsSemiMixedTypes="0" containsString="0" containsNumber="1" minValue="6.3" maxValue="7232.02699999999"/>
    </cacheField>
    <cacheField name="Kg_Azucar" numFmtId="164">
      <sharedItems containsString="0" containsBlank="1" containsNumber="1" minValue="1913.75" maxValue="3734271.36"/>
    </cacheField>
    <cacheField name="FCosecha" numFmtId="14">
      <sharedItems containsSemiMixedTypes="0" containsNonDate="0" containsDate="1" containsString="0" minDate="2024-01-02T00:00:00" maxDate="2024-12-31T00:00:00" count="251">
        <d v="2024-12-15T00:00:00"/>
        <d v="2024-12-01T00:00:00"/>
        <d v="2024-12-13T00:00:00"/>
        <d v="2024-12-21T00:00:00"/>
        <d v="2024-12-04T00:00:00"/>
        <d v="2024-12-20T00:00:00"/>
        <d v="2024-12-16T00:00:00"/>
        <d v="2024-12-10T00:00:00"/>
        <d v="2024-12-25T00:00:00"/>
        <d v="2024-12-26T00:00:00"/>
        <d v="2024-12-24T00:00:00"/>
        <d v="2024-12-08T00:00:00"/>
        <d v="2024-12-23T00:00:00"/>
        <d v="2024-12-06T00:00:00"/>
        <d v="2024-12-30T00:00:00"/>
        <d v="2024-12-12T00:00:00"/>
        <d v="2024-12-09T00:00:00"/>
        <d v="2024-12-18T00:00:00"/>
        <d v="2024-12-03T00:00:00"/>
        <d v="2024-12-28T00:00:00"/>
        <d v="2024-12-22T00:00:00"/>
        <d v="2024-12-11T00:00:00"/>
        <d v="2024-12-19T00:00:00"/>
        <d v="2024-12-29T00:00:00"/>
        <d v="2024-12-05T00:00:00"/>
        <d v="2024-12-07T00:00:00"/>
        <d v="2024-12-27T00:00:00"/>
        <d v="2024-06-26T00:00:00"/>
        <d v="2024-07-17T00:00:00"/>
        <d v="2024-05-22T00:00:00"/>
        <d v="2024-06-24T00:00:00"/>
        <d v="2024-07-21T00:00:00"/>
        <d v="2024-06-25T00:00:00"/>
        <d v="2024-07-06T00:00:00"/>
        <d v="2024-07-07T00:00:00"/>
        <d v="2024-07-10T00:00:00"/>
        <d v="2024-07-08T00:00:00"/>
        <d v="2024-06-21T00:00:00"/>
        <d v="2024-06-17T00:00:00"/>
        <d v="2024-06-23T00:00:00"/>
        <d v="2024-06-20T00:00:00"/>
        <d v="2024-06-27T00:00:00"/>
        <d v="2024-11-21T00:00:00"/>
        <d v="2024-08-30T00:00:00"/>
        <d v="2024-08-27T00:00:00"/>
        <d v="2024-09-29T00:00:00"/>
        <d v="2024-08-24T00:00:00"/>
        <d v="2024-10-16T00:00:00"/>
        <d v="2024-02-29T00:00:00"/>
        <d v="2024-03-01T00:00:00"/>
        <d v="2024-04-19T00:00:00"/>
        <d v="2024-05-20T00:00:00"/>
        <d v="2024-06-19T00:00:00"/>
        <d v="2024-11-03T00:00:00"/>
        <d v="2024-09-12T00:00:00"/>
        <d v="2024-09-11T00:00:00"/>
        <d v="2024-11-30T00:00:00"/>
        <d v="2024-01-10T00:00:00"/>
        <d v="2024-11-28T00:00:00"/>
        <d v="2024-02-21T00:00:00"/>
        <d v="2024-02-19T00:00:00"/>
        <d v="2024-11-26T00:00:00"/>
        <d v="2024-05-28T00:00:00"/>
        <d v="2024-06-12T00:00:00"/>
        <d v="2024-11-24T00:00:00"/>
        <d v="2024-01-08T00:00:00"/>
        <d v="2024-11-29T00:00:00"/>
        <d v="2024-02-15T00:00:00"/>
        <d v="2024-10-31T00:00:00"/>
        <d v="2024-11-01T00:00:00"/>
        <d v="2024-11-09T00:00:00"/>
        <d v="2024-11-02T00:00:00"/>
        <d v="2024-10-23T00:00:00"/>
        <d v="2024-09-09T00:00:00"/>
        <d v="2024-10-29T00:00:00"/>
        <d v="2024-11-17T00:00:00"/>
        <d v="2024-05-31T00:00:00"/>
        <d v="2024-05-30T00:00:00"/>
        <d v="2024-05-05T00:00:00"/>
        <d v="2024-09-14T00:00:00"/>
        <d v="2024-08-22T00:00:00"/>
        <d v="2024-03-31T00:00:00"/>
        <d v="2024-04-02T00:00:00"/>
        <d v="2024-06-05T00:00:00"/>
        <d v="2024-07-16T00:00:00"/>
        <d v="2024-04-16T00:00:00"/>
        <d v="2024-02-25T00:00:00"/>
        <d v="2024-09-13T00:00:00"/>
        <d v="2024-10-28T00:00:00"/>
        <d v="2024-11-16T00:00:00"/>
        <d v="2024-10-25T00:00:00"/>
        <d v="2024-01-07T00:00:00"/>
        <d v="2024-11-19T00:00:00"/>
        <d v="2024-05-09T00:00:00"/>
        <d v="2024-08-18T00:00:00"/>
        <d v="2024-08-16T00:00:00"/>
        <d v="2024-10-14T00:00:00"/>
        <d v="2024-01-31T00:00:00"/>
        <d v="2024-02-02T00:00:00"/>
        <d v="2024-03-30T00:00:00"/>
        <d v="2024-04-08T00:00:00"/>
        <d v="2024-11-11T00:00:00"/>
        <d v="2024-09-18T00:00:00"/>
        <d v="2024-10-11T00:00:00"/>
        <d v="2024-10-17T00:00:00"/>
        <d v="2024-08-31T00:00:00"/>
        <d v="2024-09-01T00:00:00"/>
        <d v="2024-09-02T00:00:00"/>
        <d v="2024-08-20T00:00:00"/>
        <d v="2024-09-21T00:00:00"/>
        <d v="2024-11-10T00:00:00"/>
        <d v="2024-09-26T00:00:00"/>
        <d v="2024-06-28T00:00:00"/>
        <d v="2024-07-13T00:00:00"/>
        <d v="2024-11-05T00:00:00"/>
        <d v="2024-04-03T00:00:00"/>
        <d v="2024-03-26T00:00:00"/>
        <d v="2024-07-31T00:00:00"/>
        <d v="2024-08-01T00:00:00"/>
        <d v="2024-06-13T00:00:00"/>
        <d v="2024-08-03T00:00:00"/>
        <d v="2024-04-20T00:00:00"/>
        <d v="2024-04-30T00:00:00"/>
        <d v="2024-05-02T00:00:00"/>
        <d v="2024-06-09T00:00:00"/>
        <d v="2024-08-08T00:00:00"/>
        <d v="2024-06-30T00:00:00"/>
        <d v="2024-04-15T00:00:00"/>
        <d v="2024-04-04T00:00:00"/>
        <d v="2024-05-11T00:00:00"/>
        <d v="2024-08-06T00:00:00"/>
        <d v="2024-02-06T00:00:00"/>
        <d v="2024-11-14T00:00:00"/>
        <d v="2024-10-19T00:00:00"/>
        <d v="2024-05-08T00:00:00"/>
        <d v="2024-07-19T00:00:00"/>
        <d v="2024-04-07T00:00:00"/>
        <d v="2024-07-29T00:00:00"/>
        <d v="2024-04-26T00:00:00"/>
        <d v="2024-08-10T00:00:00"/>
        <d v="2024-02-24T00:00:00"/>
        <d v="2024-06-22T00:00:00"/>
        <d v="2024-10-06T00:00:00"/>
        <d v="2024-07-05T00:00:00"/>
        <d v="2024-10-08T00:00:00"/>
        <d v="2024-05-24T00:00:00"/>
        <d v="2024-06-18T00:00:00"/>
        <d v="2024-07-30T00:00:00"/>
        <d v="2024-10-04T00:00:00"/>
        <d v="2024-07-24T00:00:00"/>
        <d v="2024-09-05T00:00:00"/>
        <d v="2024-06-07T00:00:00"/>
        <d v="2024-09-08T00:00:00"/>
        <d v="2024-10-21T00:00:00"/>
        <d v="2024-08-14T00:00:00"/>
        <d v="2024-08-13T00:00:00"/>
        <d v="2024-11-12T00:00:00"/>
        <d v="2024-01-03T00:00:00"/>
        <d v="2024-01-02T00:00:00"/>
        <d v="2024-10-10T00:00:00"/>
        <d v="2024-10-07T00:00:00"/>
        <d v="2024-01-17T00:00:00"/>
        <d v="2024-05-25T00:00:00"/>
        <d v="2024-01-28T00:00:00"/>
        <d v="2024-02-05T00:00:00"/>
        <d v="2024-05-17T00:00:00"/>
        <d v="2024-05-16T00:00:00"/>
        <d v="2024-06-02T00:00:00"/>
        <d v="2024-11-18T00:00:00"/>
        <d v="2024-11-07T00:00:00"/>
        <d v="2024-04-22T00:00:00"/>
        <d v="2024-05-07T00:00:00"/>
        <d v="2024-06-15T00:00:00"/>
        <d v="2024-04-11T00:00:00"/>
        <d v="2024-02-04T00:00:00"/>
        <d v="2024-01-22T00:00:00"/>
        <d v="2024-01-21T00:00:00"/>
        <d v="2024-07-22T00:00:00"/>
        <d v="2024-07-20T00:00:00"/>
        <d v="2024-09-25T00:00:00"/>
        <d v="2024-01-30T00:00:00"/>
        <d v="2024-02-08T00:00:00"/>
        <d v="2024-11-08T00:00:00"/>
        <d v="2024-01-05T00:00:00"/>
        <d v="2024-08-26T00:00:00"/>
        <d v="2024-08-29T00:00:00"/>
        <d v="2024-09-06T00:00:00"/>
        <d v="2024-08-28T00:00:00"/>
        <d v="2024-09-15T00:00:00"/>
        <d v="2024-09-27T00:00:00"/>
        <d v="2024-01-06T00:00:00"/>
        <d v="2024-01-12T00:00:00"/>
        <d v="2024-05-10T00:00:00"/>
        <d v="2024-05-12T00:00:00"/>
        <d v="2024-05-27T00:00:00"/>
        <d v="2024-01-19T00:00:00"/>
        <d v="2024-07-03T00:00:00"/>
        <d v="2024-07-02T00:00:00"/>
        <d v="2024-07-01T00:00:00"/>
        <d v="2024-10-20T00:00:00"/>
        <d v="2024-10-22T00:00:00"/>
        <d v="2024-01-18T00:00:00"/>
        <d v="2024-01-26T00:00:00"/>
        <d v="2024-02-14T00:00:00"/>
        <d v="2024-01-04T00:00:00"/>
        <d v="2024-11-23T00:00:00"/>
        <d v="2024-11-20T00:00:00"/>
        <d v="2024-01-13T00:00:00"/>
        <d v="2024-08-07T00:00:00"/>
        <d v="2024-10-27T00:00:00"/>
        <d v="2024-10-26T00:00:00"/>
        <d v="2024-10-18T00:00:00"/>
        <d v="2024-10-24T00:00:00"/>
        <d v="2024-10-03T00:00:00"/>
        <d v="2024-11-06T00:00:00"/>
        <d v="2024-11-13T00:00:00"/>
        <d v="2024-11-15T00:00:00"/>
        <d v="2024-07-09T00:00:00"/>
        <d v="2024-01-23T00:00:00"/>
        <d v="2024-01-24T00:00:00"/>
        <d v="2024-04-10T00:00:00"/>
        <d v="2024-04-06T00:00:00"/>
        <d v="2024-01-27T00:00:00"/>
        <d v="2024-09-19T00:00:00"/>
        <d v="2024-09-22T00:00:00"/>
        <d v="2024-09-16T00:00:00"/>
        <d v="2024-01-11T00:00:00"/>
        <d v="2024-01-16T00:00:00"/>
        <d v="2024-06-29T00:00:00"/>
        <d v="2024-10-30T00:00:00"/>
        <d v="2024-06-10T00:00:00"/>
        <d v="2024-05-01T00:00:00"/>
        <d v="2024-06-14T00:00:00"/>
        <d v="2024-07-27T00:00:00"/>
        <d v="2024-07-26T00:00:00"/>
        <d v="2024-08-09T00:00:00"/>
        <d v="2024-06-08T00:00:00"/>
        <d v="2024-02-26T00:00:00"/>
        <d v="2024-08-11T00:00:00"/>
        <d v="2024-07-15T00:00:00"/>
        <d v="2024-07-18T00:00:00"/>
        <d v="2024-04-27T00:00:00"/>
        <d v="2024-02-16T00:00:00"/>
        <d v="2024-05-18T00:00:00"/>
        <d v="2024-11-27T00:00:00"/>
        <d v="2024-02-28T00:00:00"/>
        <d v="2024-03-23T00:00:00"/>
        <d v="2024-02-09T00:00:00"/>
        <d v="2024-02-27T00:00:00"/>
        <d v="2024-05-04T00:00:00"/>
        <d v="2024-07-25T00:00:00"/>
      </sharedItems>
    </cacheField>
    <cacheField name="Año_C" numFmtId="0">
      <sharedItems containsSemiMixedTypes="0" containsString="0" containsNumber="1" containsInteger="1" minValue="2024" maxValue="2024" count="1">
        <n v="2024"/>
      </sharedItems>
    </cacheField>
    <cacheField name="Mes_C" numFmtId="0">
      <sharedItems containsSemiMixedTypes="0" containsString="0" containsNumber="1" containsInteger="1" minValue="1" maxValue="12" count="12">
        <n v="12"/>
        <n v="6"/>
        <n v="7"/>
        <n v="5"/>
        <n v="11"/>
        <n v="8"/>
        <n v="9"/>
        <n v="10"/>
        <n v="2"/>
        <n v="3"/>
        <n v="4"/>
        <n v="1"/>
      </sharedItems>
    </cacheField>
    <cacheField name="%ARTxTN" numFmtId="164">
      <sharedItems containsString="0" containsBlank="1" containsNumber="1" minValue="96.894000000000005" maxValue="107776.46995878"/>
    </cacheField>
    <cacheField name="%POLxTN" numFmtId="164">
      <sharedItems containsString="0" containsBlank="1" containsNumber="1" minValue="87.129000000000005" maxValue="96814.985389744994"/>
    </cacheField>
    <cacheField name="EDADxAREA" numFmtId="164">
      <sharedItems containsSemiMixedTypes="0" containsString="0" containsNumber="1" minValue="34.6" maxValue="22439.5799999999"/>
    </cacheField>
    <cacheField name="KGAZUCARxAREA" numFmtId="164">
      <sharedItems containsString="0" containsBlank="1" containsNumber="1" minValue="969.55520000000001" maxValue="1077764.6995878001"/>
    </cacheField>
    <cacheField name="REAL-PROY." numFmtId="0">
      <sharedItems count="2">
        <s v="Proy."/>
        <s v="Real"/>
      </sharedItems>
    </cacheField>
    <cacheField name="GROUP REAL-PROY." numFmtId="0">
      <sharedItems/>
    </cacheField>
    <cacheField name="Ult_Art" numFmtId="0">
      <sharedItems containsString="0" containsBlank="1" containsNumber="1" minValue="12.9" maxValue="16"/>
    </cacheField>
    <cacheField name="Ult_Pol" numFmtId="0">
      <sharedItems containsString="0" containsBlank="1" containsNumber="1" minValue="11.3" maxValue="14.5"/>
    </cacheField>
    <cacheField name="Ult_Pur" numFmtId="0">
      <sharedItems containsString="0" containsBlank="1" containsNumber="1" minValue="78.900000000000006" maxValue="85.9"/>
    </cacheField>
    <cacheField name="Ult_Fibra" numFmtId="0">
      <sharedItems containsString="0" containsBlank="1" containsNumber="1" minValue="12.3" maxValue="14.2"/>
    </cacheField>
    <cacheField name="Ult_Hum" numFmtId="0">
      <sharedItems containsString="0" containsBlank="1" containsNumber="1" minValue="66.3" maxValue="71.099999999999994"/>
    </cacheField>
    <cacheField name="Ult_EntBroza" numFmtId="0">
      <sharedItems containsNonDate="0" containsString="0" containsBlank="1"/>
    </cacheField>
    <cacheField name="PenUlt_EntBroza" numFmtId="0">
      <sharedItems containsBlank="1"/>
    </cacheField>
    <cacheField name="Ult_Imp_Veg" numFmtId="0">
      <sharedItems containsNonDate="0" containsString="0" containsBlank="1"/>
    </cacheField>
    <cacheField name="Ult_Imp_Min" numFmtId="0">
      <sharedItems containsNonDate="0" containsString="0" containsBlank="1"/>
    </cacheField>
    <cacheField name="Edad_Mes_Pond" numFmtId="0" formula="Edad_Pond*12/365" databaseField="0"/>
    <cacheField name="Tn/Ha_Pond" numFmtId="0" formula="Tn/Area_Cosecha" databaseField="0"/>
    <cacheField name="Edad_Pond" numFmtId="0" formula="EDADxAREA/Area_Cosecha" databaseField="0"/>
    <cacheField name="%ART_Pond" numFmtId="0" formula="'%ARTxTN'/Tn" databaseField="0"/>
    <cacheField name="Edad_Mes" numFmtId="0" formula="#NAME?*12/365" databaseField="0"/>
    <cacheField name="%POL_Pond" numFmtId="0" formula="'%POLxTN'/Tn" databaseField="0"/>
    <cacheField name="KgAzucar/ha/Anho_Pond" numFmtId="0" formula="'%ART_Pond'*'Tn/Ha/Anho_Pond'*10" databaseField="0"/>
    <cacheField name="Tn/Ha/Anho_Pond" numFmtId="0" formula="('Tn/Ha_Pond'/Edad_Pond)*365" databaseField="0"/>
    <cacheField name="Tn/Ha/Mes_Pond" numFmtId="0" formula="'Tn/Ha_Pond'/Edad_Pond*365/12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">
  <r>
    <n v="10.849315068493151"/>
    <s v="OOO - Plan de Cosecha 2024"/>
    <x v="0"/>
    <s v="Normal"/>
    <s v="ML04EQ13TR06"/>
    <x v="0"/>
    <x v="0"/>
    <x v="0"/>
    <x v="0"/>
    <s v="Saldo"/>
    <x v="0"/>
    <x v="0"/>
    <x v="0"/>
    <x v="0"/>
    <n v="330"/>
    <n v="17.18"/>
    <n v="16.149999999999999"/>
    <n v="89.78"/>
    <n v="8.2799999999999994"/>
    <n v="15.63"/>
    <n v="14.08"/>
    <n v="1449.9469999999999"/>
    <n v="14032.614"/>
    <x v="0"/>
    <x v="0"/>
    <x v="0"/>
    <n v="22662.671610000001"/>
    <n v="20415.25376"/>
    <n v="5329.5"/>
    <n v="226626.71609999999"/>
    <x v="0"/>
    <s v="REAL-PROY."/>
    <n v="14.3"/>
    <n v="12.9"/>
    <n v="83.3"/>
    <n v="14"/>
    <n v="67.7"/>
    <m/>
    <m/>
    <m/>
    <m/>
  </r>
  <r>
    <n v="10.849315068493151"/>
    <s v="OOO - Plan de Cosecha 2024"/>
    <x v="1"/>
    <s v="Zona humeda"/>
    <s v="ML04EQ13TR06"/>
    <x v="0"/>
    <x v="0"/>
    <x v="0"/>
    <x v="0"/>
    <n v="42"/>
    <x v="0"/>
    <x v="0"/>
    <x v="0"/>
    <x v="0"/>
    <n v="330"/>
    <n v="17.18"/>
    <n v="0.63"/>
    <n v="89.78"/>
    <n v="8.2799999999999994"/>
    <n v="15.63"/>
    <n v="14.08"/>
    <n v="56.561399999999999"/>
    <n v="14032.614"/>
    <x v="0"/>
    <x v="0"/>
    <x v="0"/>
    <n v="884.05468199999996"/>
    <n v="796.38451199999997"/>
    <n v="207.9"/>
    <n v="8840.5468199999996"/>
    <x v="0"/>
    <s v="REAL-PROY."/>
    <n v="14.3"/>
    <n v="12.9"/>
    <n v="83.3"/>
    <n v="14"/>
    <n v="67.7"/>
    <m/>
    <m/>
    <m/>
    <m/>
  </r>
  <r>
    <n v="10.849315068493151"/>
    <s v="OOO - Plan de Cosecha 2024"/>
    <x v="1"/>
    <s v="Zona humeda"/>
    <s v="ML04EQ13TR06"/>
    <x v="0"/>
    <x v="0"/>
    <x v="0"/>
    <x v="0"/>
    <n v="48"/>
    <x v="0"/>
    <x v="0"/>
    <x v="0"/>
    <x v="0"/>
    <n v="330"/>
    <n v="17.18"/>
    <n v="0.4"/>
    <n v="89.78"/>
    <n v="8.2799999999999994"/>
    <n v="15.63"/>
    <n v="14.08"/>
    <n v="35.911999999999999"/>
    <n v="14032.614"/>
    <x v="0"/>
    <x v="0"/>
    <x v="0"/>
    <n v="561.30456000000004"/>
    <n v="505.64096000000001"/>
    <n v="132"/>
    <n v="5613.0456000000004"/>
    <x v="0"/>
    <s v="REAL-PROY."/>
    <n v="14.3"/>
    <n v="12.9"/>
    <n v="83.3"/>
    <n v="14"/>
    <n v="67.7"/>
    <m/>
    <m/>
    <m/>
    <m/>
  </r>
  <r>
    <n v="10.158904109589042"/>
    <s v="OOO - Plan de Cosecha 2024"/>
    <x v="0"/>
    <s v="Normal"/>
    <s v="ML01EQ04TR06"/>
    <x v="0"/>
    <x v="1"/>
    <x v="1"/>
    <x v="0"/>
    <s v="(ALL)"/>
    <x v="0"/>
    <x v="1"/>
    <x v="1"/>
    <x v="0"/>
    <n v="309"/>
    <n v="18.41"/>
    <n v="4.3099999999999996"/>
    <n v="119.46"/>
    <n v="11.76"/>
    <n v="15.49"/>
    <n v="13.94"/>
    <n v="514.87"/>
    <n v="18504.353999999999"/>
    <x v="1"/>
    <x v="0"/>
    <x v="0"/>
    <n v="7975.3362999999999"/>
    <n v="7177.2878000000001"/>
    <n v="1331.79"/>
    <n v="79753.765740000003"/>
    <x v="0"/>
    <s v="REAL-PROY."/>
    <n v="13.8"/>
    <n v="12.3"/>
    <n v="80.7"/>
    <n v="13.4"/>
    <n v="68.7"/>
    <m/>
    <m/>
    <m/>
    <m/>
  </r>
  <r>
    <n v="11.342465753424657"/>
    <s v="OOO - Plan de Cosecha 2024"/>
    <x v="0"/>
    <s v="Normal"/>
    <s v="ML02EQ05TR03"/>
    <x v="0"/>
    <x v="2"/>
    <x v="2"/>
    <x v="1"/>
    <s v="Saldo"/>
    <x v="0"/>
    <x v="2"/>
    <x v="2"/>
    <x v="0"/>
    <n v="345"/>
    <n v="16.12"/>
    <n v="15.77"/>
    <n v="120.08"/>
    <n v="10.59"/>
    <n v="15.49"/>
    <n v="13.94"/>
    <n v="1893.6615999999999"/>
    <n v="18600.392"/>
    <x v="2"/>
    <x v="0"/>
    <x v="0"/>
    <n v="29332.818184"/>
    <n v="26397.642704000002"/>
    <n v="5440.65"/>
    <n v="293328.18183999998"/>
    <x v="0"/>
    <s v="REAL-PROY."/>
    <n v="15.7"/>
    <n v="14.2"/>
    <n v="84.7"/>
    <n v="13.6"/>
    <n v="66.7"/>
    <m/>
    <m/>
    <m/>
    <m/>
  </r>
  <r>
    <n v="11.342465753424657"/>
    <s v="OOO - Plan de Cosecha 2024"/>
    <x v="1"/>
    <s v="Zona humeda"/>
    <s v="ML02EQ05TR03"/>
    <x v="0"/>
    <x v="2"/>
    <x v="2"/>
    <x v="1"/>
    <n v="26"/>
    <x v="0"/>
    <x v="2"/>
    <x v="2"/>
    <x v="0"/>
    <n v="345"/>
    <n v="16.12"/>
    <n v="0.35"/>
    <n v="120.08"/>
    <n v="10.59"/>
    <n v="15.49"/>
    <n v="13.94"/>
    <n v="42.027999999999999"/>
    <n v="18600.392"/>
    <x v="2"/>
    <x v="0"/>
    <x v="0"/>
    <n v="651.01372000000003"/>
    <n v="585.87031999999999"/>
    <n v="120.75"/>
    <n v="6510.1372000000001"/>
    <x v="0"/>
    <s v="REAL-PROY."/>
    <n v="15.7"/>
    <n v="14.2"/>
    <n v="84.7"/>
    <n v="13.6"/>
    <n v="66.7"/>
    <m/>
    <m/>
    <m/>
    <m/>
  </r>
  <r>
    <n v="11.342465753424657"/>
    <s v="OOO - Plan de Cosecha 2024"/>
    <x v="0"/>
    <s v="Normal"/>
    <s v="ML01EQ01TR01"/>
    <x v="0"/>
    <x v="1"/>
    <x v="3"/>
    <x v="2"/>
    <s v="(ALL)"/>
    <x v="0"/>
    <x v="2"/>
    <x v="3"/>
    <x v="0"/>
    <n v="345"/>
    <n v="20.170000000000002"/>
    <n v="20.170000000000002"/>
    <n v="115"/>
    <n v="10.14"/>
    <n v="15.63"/>
    <n v="14.08"/>
    <n v="2319.5500000000002"/>
    <n v="17974.5"/>
    <x v="3"/>
    <x v="0"/>
    <x v="0"/>
    <n v="36254.566500000001"/>
    <n v="32659.263999999999"/>
    <n v="6958.65"/>
    <n v="362545.66499999998"/>
    <x v="0"/>
    <s v="REAL-PROY."/>
    <n v="14.5"/>
    <n v="13"/>
    <n v="82.4"/>
    <n v="13.8"/>
    <n v="67.7"/>
    <m/>
    <m/>
    <m/>
    <m/>
  </r>
  <r>
    <n v="11.30958904109589"/>
    <s v="OOO - Plan de Cosecha 2024"/>
    <x v="0"/>
    <s v="Normal"/>
    <s v="LB02EQ16TR01"/>
    <x v="1"/>
    <x v="3"/>
    <x v="4"/>
    <x v="2"/>
    <s v="(ALL)"/>
    <x v="1"/>
    <x v="3"/>
    <x v="4"/>
    <x v="0"/>
    <n v="344"/>
    <n v="34.79"/>
    <n v="34.79"/>
    <n v="105"/>
    <n v="9.2799999999999994"/>
    <n v="15.27"/>
    <n v="13.72"/>
    <n v="3652.95"/>
    <n v="16033.5"/>
    <x v="4"/>
    <x v="0"/>
    <x v="0"/>
    <n v="55780.546499999997"/>
    <n v="50118.474000000002"/>
    <n v="11967.76"/>
    <n v="557805.46499999997"/>
    <x v="0"/>
    <s v="REAL-PROY."/>
    <n v="15.8"/>
    <n v="14.3"/>
    <n v="84.9"/>
    <n v="13.1"/>
    <n v="67.3"/>
    <m/>
    <m/>
    <m/>
    <m/>
  </r>
  <r>
    <n v="10.454794520547946"/>
    <s v="OOO - Plan de Cosecha 2024"/>
    <x v="0"/>
    <s v="Normal"/>
    <s v="LB01EQ05TR03"/>
    <x v="2"/>
    <x v="4"/>
    <x v="2"/>
    <x v="1"/>
    <s v="(ALL)"/>
    <x v="2"/>
    <x v="4"/>
    <x v="5"/>
    <x v="1"/>
    <n v="318"/>
    <n v="41.88"/>
    <n v="41.88"/>
    <n v="41"/>
    <n v="3.92"/>
    <n v="15.72"/>
    <n v="14.17"/>
    <n v="1717.08"/>
    <n v="6445.2"/>
    <x v="5"/>
    <x v="0"/>
    <x v="0"/>
    <n v="26992.497599999999"/>
    <n v="24331.0236"/>
    <n v="13317.84"/>
    <n v="269924.97600000002"/>
    <x v="0"/>
    <s v="REAL-PROY."/>
    <n v="13.8"/>
    <n v="12.4"/>
    <n v="81.7"/>
    <n v="14.2"/>
    <n v="68.099999999999994"/>
    <m/>
    <m/>
    <m/>
    <m/>
  </r>
  <r>
    <n v="12.164383561643836"/>
    <s v="OOO - Plan de Cosecha 2024"/>
    <x v="0"/>
    <s v="Normal"/>
    <s v="LB01EQ03TR02"/>
    <x v="2"/>
    <x v="4"/>
    <x v="5"/>
    <x v="3"/>
    <s v="(ALL)"/>
    <x v="0"/>
    <x v="5"/>
    <x v="6"/>
    <x v="0"/>
    <n v="370"/>
    <n v="40.950000000000003"/>
    <n v="40.950000000000003"/>
    <n v="117"/>
    <n v="9.6199999999999992"/>
    <n v="15.37"/>
    <n v="13.82"/>
    <n v="4791.1499999999996"/>
    <n v="17982.900000000001"/>
    <x v="6"/>
    <x v="0"/>
    <x v="0"/>
    <n v="73639.9755"/>
    <n v="66213.692999999999"/>
    <n v="15151.5"/>
    <n v="736399.755"/>
    <x v="0"/>
    <s v="REAL-PROY."/>
    <n v="15.2"/>
    <n v="13.7"/>
    <n v="84.4"/>
    <n v="13.2"/>
    <n v="67.7"/>
    <m/>
    <m/>
    <m/>
    <m/>
  </r>
  <r>
    <n v="11.375342465753425"/>
    <s v="OOO - Plan de Cosecha 2024"/>
    <x v="0"/>
    <s v="Normal"/>
    <s v="ML02EQ05TR02"/>
    <x v="0"/>
    <x v="2"/>
    <x v="2"/>
    <x v="3"/>
    <s v="Saldo"/>
    <x v="0"/>
    <x v="1"/>
    <x v="7"/>
    <x v="0"/>
    <n v="346"/>
    <n v="17.190000000000001"/>
    <n v="16.14"/>
    <n v="124.81"/>
    <n v="10.97"/>
    <n v="15.49"/>
    <n v="13.94"/>
    <n v="2014.4333999999999"/>
    <n v="19333.069"/>
    <x v="7"/>
    <x v="0"/>
    <x v="0"/>
    <n v="31203.573366000001"/>
    <n v="28081.201595999999"/>
    <n v="5584.44"/>
    <n v="312035.73366000003"/>
    <x v="0"/>
    <s v="REAL-PROY."/>
    <n v="15.5"/>
    <n v="14"/>
    <n v="84.2"/>
    <n v="13.3"/>
    <n v="67.3"/>
    <m/>
    <m/>
    <m/>
    <m/>
  </r>
  <r>
    <n v="11.375342465753425"/>
    <s v="OOO - Plan de Cosecha 2024"/>
    <x v="1"/>
    <s v="Tramo corto"/>
    <s v="ML02EQ05TR02"/>
    <x v="0"/>
    <x v="2"/>
    <x v="2"/>
    <x v="3"/>
    <n v="13"/>
    <x v="0"/>
    <x v="1"/>
    <x v="7"/>
    <x v="0"/>
    <n v="346"/>
    <n v="17.190000000000001"/>
    <n v="0.1"/>
    <n v="124.81"/>
    <n v="10.97"/>
    <n v="15.49"/>
    <n v="13.94"/>
    <n v="12.481"/>
    <n v="19333.069"/>
    <x v="7"/>
    <x v="0"/>
    <x v="0"/>
    <n v="193.33069"/>
    <n v="173.98514"/>
    <n v="34.6"/>
    <n v="1933.3069"/>
    <x v="0"/>
    <s v="REAL-PROY."/>
    <n v="15.5"/>
    <n v="14"/>
    <n v="84.2"/>
    <n v="13.3"/>
    <n v="67.3"/>
    <m/>
    <m/>
    <m/>
    <m/>
  </r>
  <r>
    <n v="10.717808219178082"/>
    <s v="OOO - Plan de Cosecha 2024"/>
    <x v="1"/>
    <s v="Zona humeda"/>
    <s v="ML02EQ08TR06"/>
    <x v="0"/>
    <x v="2"/>
    <x v="6"/>
    <x v="0"/>
    <n v="36"/>
    <x v="0"/>
    <x v="4"/>
    <x v="8"/>
    <x v="0"/>
    <n v="326"/>
    <n v="17.38"/>
    <n v="0.4"/>
    <n v="121"/>
    <n v="11.29"/>
    <n v="15.39"/>
    <n v="13.84"/>
    <n v="48.4"/>
    <n v="18621.900000000001"/>
    <x v="8"/>
    <x v="0"/>
    <x v="0"/>
    <n v="744.87599999999998"/>
    <n v="669.85599999999999"/>
    <n v="130.4"/>
    <n v="7448.76"/>
    <x v="0"/>
    <s v="REAL-PROY."/>
    <n v="14"/>
    <n v="12.5"/>
    <n v="80.400000000000006"/>
    <n v="13.4"/>
    <n v="68.400000000000006"/>
    <m/>
    <m/>
    <m/>
    <m/>
  </r>
  <r>
    <n v="10.717808219178082"/>
    <s v="OOO - Plan de Cosecha 2024"/>
    <x v="0"/>
    <s v="Normal"/>
    <s v="ML02EQ08TR06"/>
    <x v="0"/>
    <x v="2"/>
    <x v="6"/>
    <x v="0"/>
    <s v="Saldo"/>
    <x v="0"/>
    <x v="4"/>
    <x v="8"/>
    <x v="0"/>
    <n v="326"/>
    <n v="17.38"/>
    <n v="16.98"/>
    <n v="121"/>
    <n v="11.29"/>
    <n v="15.39"/>
    <n v="13.84"/>
    <n v="2054.58"/>
    <n v="18621.900000000001"/>
    <x v="8"/>
    <x v="0"/>
    <x v="0"/>
    <n v="31619.986199999999"/>
    <n v="28435.387200000001"/>
    <n v="5535.48"/>
    <n v="316199.86200000002"/>
    <x v="0"/>
    <s v="REAL-PROY."/>
    <n v="14"/>
    <n v="12.5"/>
    <n v="80.400000000000006"/>
    <n v="13.4"/>
    <n v="68.400000000000006"/>
    <m/>
    <m/>
    <m/>
    <m/>
  </r>
  <r>
    <n v="10.61917808219178"/>
    <s v="OOO - Plan de Cosecha 2024"/>
    <x v="0"/>
    <s v="Normal"/>
    <s v="ML01EQ01TR04"/>
    <x v="0"/>
    <x v="1"/>
    <x v="3"/>
    <x v="4"/>
    <s v="(ALL)"/>
    <x v="2"/>
    <x v="6"/>
    <x v="9"/>
    <x v="2"/>
    <n v="323"/>
    <n v="18.45"/>
    <n v="18.45"/>
    <n v="115"/>
    <n v="10.83"/>
    <n v="15.63"/>
    <n v="14.08"/>
    <n v="2121.75"/>
    <n v="17974.5"/>
    <x v="9"/>
    <x v="0"/>
    <x v="0"/>
    <n v="33162.952499999999"/>
    <n v="29874.240000000002"/>
    <n v="5959.35"/>
    <n v="331629.52500000002"/>
    <x v="0"/>
    <s v="REAL-PROY."/>
    <n v="14"/>
    <n v="12.6"/>
    <n v="81.7"/>
    <n v="14.2"/>
    <n v="67.599999999999994"/>
    <m/>
    <m/>
    <m/>
    <m/>
  </r>
  <r>
    <n v="13.413698630136986"/>
    <s v="OOO - Plan de Cosecha 2024"/>
    <x v="0"/>
    <s v="Normal"/>
    <s v="SV01EQ03TR01"/>
    <x v="3"/>
    <x v="5"/>
    <x v="5"/>
    <x v="2"/>
    <s v="(ALL)"/>
    <x v="3"/>
    <x v="5"/>
    <x v="10"/>
    <x v="0"/>
    <n v="408"/>
    <n v="26.05"/>
    <n v="26.05"/>
    <n v="75"/>
    <n v="5.59"/>
    <n v="15.02"/>
    <n v="13.47"/>
    <n v="1953.75"/>
    <n v="11265"/>
    <x v="10"/>
    <x v="0"/>
    <x v="0"/>
    <n v="29345.325000000001"/>
    <n v="26317.012500000001"/>
    <n v="10628.4"/>
    <n v="293453.25"/>
    <x v="0"/>
    <s v="REAL-PROY."/>
    <n v="14.6"/>
    <n v="13.1"/>
    <n v="83.6"/>
    <n v="12.8"/>
    <n v="69"/>
    <m/>
    <s v="Superficial"/>
    <m/>
    <m/>
  </r>
  <r>
    <n v="11.210958904109589"/>
    <s v="OOO - Plan de Cosecha 2024"/>
    <x v="0"/>
    <s v="Normal"/>
    <s v="LB02EQ11TR02"/>
    <x v="1"/>
    <x v="3"/>
    <x v="7"/>
    <x v="3"/>
    <s v="(ALL)"/>
    <x v="0"/>
    <x v="5"/>
    <x v="11"/>
    <x v="0"/>
    <n v="341"/>
    <n v="34.64"/>
    <n v="34.64"/>
    <n v="148"/>
    <n v="13.2"/>
    <n v="15.2"/>
    <n v="13.65"/>
    <n v="5126.72"/>
    <n v="22496"/>
    <x v="11"/>
    <x v="0"/>
    <x v="0"/>
    <n v="77926.144"/>
    <n v="69979.728000000003"/>
    <n v="11812.24"/>
    <n v="779261.43999999994"/>
    <x v="0"/>
    <s v="REAL-PROY."/>
    <n v="14.7"/>
    <n v="13.2"/>
    <n v="83.9"/>
    <n v="13"/>
    <n v="68.7"/>
    <m/>
    <m/>
    <m/>
    <m/>
  </r>
  <r>
    <n v="10.849315068493151"/>
    <s v="OOO - Plan de Cosecha 2024"/>
    <x v="0"/>
    <s v="Normal"/>
    <s v="ML01EQ02TR01"/>
    <x v="0"/>
    <x v="1"/>
    <x v="8"/>
    <x v="2"/>
    <s v="(ALL)"/>
    <x v="2"/>
    <x v="7"/>
    <x v="12"/>
    <x v="0"/>
    <n v="330"/>
    <n v="19.100000000000001"/>
    <n v="19.100000000000001"/>
    <n v="135"/>
    <n v="12.44"/>
    <n v="15.49"/>
    <n v="13.94"/>
    <n v="2578.5"/>
    <n v="20911.5"/>
    <x v="12"/>
    <x v="0"/>
    <x v="0"/>
    <n v="39940.964999999997"/>
    <n v="35944.29"/>
    <n v="6303"/>
    <n v="399409.65"/>
    <x v="0"/>
    <s v="REAL-PROY."/>
    <n v="14.5"/>
    <n v="12.9"/>
    <n v="81"/>
    <n v="13.4"/>
    <n v="68.3"/>
    <m/>
    <m/>
    <m/>
    <m/>
  </r>
  <r>
    <n v="10.75068493150685"/>
    <s v="OOO - Plan de Cosecha 2024"/>
    <x v="0"/>
    <s v="Normal"/>
    <s v="ML02EQ08TR05"/>
    <x v="0"/>
    <x v="2"/>
    <x v="6"/>
    <x v="5"/>
    <s v="(ALL)"/>
    <x v="0"/>
    <x v="4"/>
    <x v="13"/>
    <x v="0"/>
    <n v="327"/>
    <n v="18.899999999999999"/>
    <n v="18.899999999999999"/>
    <n v="118"/>
    <n v="10.98"/>
    <n v="15.39"/>
    <n v="13.84"/>
    <n v="2230.1999999999998"/>
    <n v="18160.2"/>
    <x v="10"/>
    <x v="0"/>
    <x v="0"/>
    <n v="34322.777999999998"/>
    <n v="30865.968000000001"/>
    <n v="6180.3"/>
    <n v="343227.78"/>
    <x v="0"/>
    <s v="REAL-PROY."/>
    <n v="13.9"/>
    <n v="12.3"/>
    <n v="80.900000000000006"/>
    <n v="13.3"/>
    <n v="69"/>
    <m/>
    <m/>
    <m/>
    <m/>
  </r>
  <r>
    <n v="11.079452054794521"/>
    <s v="OOO - Plan de Cosecha 2024"/>
    <x v="0"/>
    <s v="Normal"/>
    <s v="LB02EQ12TR05"/>
    <x v="1"/>
    <x v="3"/>
    <x v="9"/>
    <x v="5"/>
    <s v="(ALL)"/>
    <x v="2"/>
    <x v="3"/>
    <x v="14"/>
    <x v="0"/>
    <n v="337"/>
    <n v="34.51"/>
    <n v="34.51"/>
    <n v="122"/>
    <n v="11.01"/>
    <n v="15.38"/>
    <n v="13.83"/>
    <n v="4210.22"/>
    <n v="18763.599999999999"/>
    <x v="13"/>
    <x v="0"/>
    <x v="0"/>
    <n v="64753.183599999997"/>
    <n v="58227.342600000004"/>
    <n v="11629.87"/>
    <n v="647531.83600000001"/>
    <x v="0"/>
    <s v="REAL-PROY."/>
    <n v="14.9"/>
    <n v="13.4"/>
    <n v="84.3"/>
    <n v="13.5"/>
    <n v="68"/>
    <m/>
    <m/>
    <m/>
    <m/>
  </r>
  <r>
    <n v="10.454794520547946"/>
    <s v="OOO - Plan de Cosecha 2024"/>
    <x v="0"/>
    <s v="Normal"/>
    <s v="ML03EQ09TR01"/>
    <x v="0"/>
    <x v="6"/>
    <x v="10"/>
    <x v="2"/>
    <s v="(ALL)"/>
    <x v="0"/>
    <x v="2"/>
    <x v="15"/>
    <x v="0"/>
    <n v="318"/>
    <n v="19.170000000000002"/>
    <n v="3.57"/>
    <n v="129.06"/>
    <n v="12.34"/>
    <n v="15.49"/>
    <n v="13.94"/>
    <n v="460.74"/>
    <n v="19991.394"/>
    <x v="1"/>
    <x v="0"/>
    <x v="0"/>
    <n v="7136.8626000000004"/>
    <n v="6422.7156000000004"/>
    <n v="1135.26"/>
    <n v="71369.276580000005"/>
    <x v="0"/>
    <s v="REAL-PROY."/>
    <n v="15.1"/>
    <n v="13.6"/>
    <n v="84.2"/>
    <n v="13.6"/>
    <n v="67.599999999999994"/>
    <m/>
    <m/>
    <m/>
    <m/>
  </r>
  <r>
    <n v="11.079452054794521"/>
    <s v="OOO - Plan de Cosecha 2024"/>
    <x v="0"/>
    <s v="Normal"/>
    <s v="ML05EQ17TR07"/>
    <x v="0"/>
    <x v="7"/>
    <x v="11"/>
    <x v="6"/>
    <s v="Saldo"/>
    <x v="0"/>
    <x v="8"/>
    <x v="11"/>
    <x v="0"/>
    <n v="337"/>
    <n v="15.14"/>
    <n v="14.89"/>
    <n v="125.98"/>
    <n v="11.37"/>
    <n v="15.54"/>
    <n v="13.99"/>
    <n v="1875.8422"/>
    <n v="19577.292000000001"/>
    <x v="4"/>
    <x v="0"/>
    <x v="0"/>
    <n v="29150.587788000001"/>
    <n v="26243.032378"/>
    <n v="5017.93"/>
    <n v="291505.87787999999"/>
    <x v="0"/>
    <s v="REAL-PROY."/>
    <n v="15.9"/>
    <n v="14.4"/>
    <n v="84.9"/>
    <n v="13.1"/>
    <n v="67.2"/>
    <m/>
    <m/>
    <m/>
    <m/>
  </r>
  <r>
    <n v="11.079452054794521"/>
    <s v="OOO - Plan de Cosecha 2024"/>
    <x v="1"/>
    <s v="Zona humeda"/>
    <s v="ML05EQ17TR07"/>
    <x v="0"/>
    <x v="7"/>
    <x v="11"/>
    <x v="6"/>
    <n v="26"/>
    <x v="0"/>
    <x v="8"/>
    <x v="11"/>
    <x v="0"/>
    <n v="337"/>
    <n v="15.14"/>
    <n v="0.25"/>
    <n v="125.98"/>
    <n v="11.37"/>
    <n v="15.54"/>
    <n v="13.99"/>
    <n v="31.495000000000001"/>
    <n v="19577.292000000001"/>
    <x v="4"/>
    <x v="0"/>
    <x v="0"/>
    <n v="489.4323"/>
    <n v="440.61505"/>
    <n v="84.25"/>
    <n v="4894.3230000000003"/>
    <x v="0"/>
    <s v="REAL-PROY."/>
    <n v="15.9"/>
    <n v="14.4"/>
    <n v="84.9"/>
    <n v="13.1"/>
    <n v="67.2"/>
    <m/>
    <m/>
    <m/>
    <m/>
  </r>
  <r>
    <n v="13.512328767123288"/>
    <s v="OOO - Plan de Cosecha 2024"/>
    <x v="0"/>
    <s v="Normal"/>
    <s v="SV01EQ09TR04"/>
    <x v="3"/>
    <x v="5"/>
    <x v="10"/>
    <x v="4"/>
    <s v="(ALL)"/>
    <x v="0"/>
    <x v="4"/>
    <x v="16"/>
    <x v="0"/>
    <n v="411"/>
    <n v="47.32"/>
    <n v="47.32"/>
    <n v="97.62"/>
    <n v="7.22"/>
    <n v="15.33"/>
    <n v="13.78"/>
    <n v="4619.57"/>
    <n v="14965.146000000001"/>
    <x v="8"/>
    <x v="0"/>
    <x v="0"/>
    <n v="70818.008100000006"/>
    <n v="63657.674599999998"/>
    <n v="19448.52"/>
    <n v="708150.70872"/>
    <x v="0"/>
    <s v="REAL-PROY."/>
    <n v="14.5"/>
    <n v="13"/>
    <n v="84.2"/>
    <n v="12.9"/>
    <n v="69"/>
    <m/>
    <m/>
    <m/>
    <m/>
  </r>
  <r>
    <n v="10.586301369863014"/>
    <s v="OOO - Plan de Cosecha 2024"/>
    <x v="0"/>
    <s v="Normal"/>
    <s v="ML06EQ21TR05"/>
    <x v="0"/>
    <x v="8"/>
    <x v="12"/>
    <x v="5"/>
    <s v="(ALL)"/>
    <x v="0"/>
    <x v="9"/>
    <x v="17"/>
    <x v="0"/>
    <n v="322"/>
    <n v="18.82"/>
    <n v="18.82"/>
    <n v="120"/>
    <n v="11.34"/>
    <n v="15.68"/>
    <n v="14.13"/>
    <n v="2258.4"/>
    <n v="18816"/>
    <x v="14"/>
    <x v="0"/>
    <x v="0"/>
    <n v="35411.712"/>
    <n v="31911.191999999999"/>
    <n v="6060.04"/>
    <n v="354117.12"/>
    <x v="0"/>
    <s v="REAL-PROY."/>
    <n v="14.4"/>
    <n v="12.9"/>
    <n v="82.4"/>
    <n v="13.7"/>
    <n v="68.099999999999994"/>
    <m/>
    <m/>
    <m/>
    <m/>
  </r>
  <r>
    <n v="11.506849315068493"/>
    <s v="OOO - Plan de Cosecha 2024"/>
    <x v="1"/>
    <s v="Zona humeda"/>
    <s v="ML02EQ05TR01"/>
    <x v="0"/>
    <x v="2"/>
    <x v="2"/>
    <x v="2"/>
    <n v="2"/>
    <x v="0"/>
    <x v="2"/>
    <x v="18"/>
    <x v="0"/>
    <n v="350"/>
    <n v="16.350000000000001"/>
    <n v="0.5"/>
    <n v="126.63"/>
    <n v="11"/>
    <n v="15.49"/>
    <n v="13.94"/>
    <n v="63.314999999999998"/>
    <n v="19614.987000000001"/>
    <x v="15"/>
    <x v="0"/>
    <x v="0"/>
    <n v="980.74935000000005"/>
    <n v="882.61109999999996"/>
    <n v="175"/>
    <n v="9807.4935000000005"/>
    <x v="0"/>
    <s v="REAL-PROY."/>
    <n v="15.6"/>
    <n v="14.1"/>
    <n v="84.7"/>
    <n v="13.9"/>
    <n v="66.3"/>
    <m/>
    <m/>
    <m/>
    <m/>
  </r>
  <r>
    <n v="11.506849315068493"/>
    <s v="OOO - Plan de Cosecha 2024"/>
    <x v="0"/>
    <s v="Normal"/>
    <s v="ML02EQ05TR01"/>
    <x v="0"/>
    <x v="2"/>
    <x v="2"/>
    <x v="2"/>
    <s v="Saldo"/>
    <x v="0"/>
    <x v="2"/>
    <x v="18"/>
    <x v="0"/>
    <n v="350"/>
    <n v="16.350000000000001"/>
    <n v="15.45"/>
    <n v="126.63"/>
    <n v="11"/>
    <n v="15.49"/>
    <n v="13.94"/>
    <n v="1956.4335000000001"/>
    <n v="19614.987000000001"/>
    <x v="15"/>
    <x v="0"/>
    <x v="0"/>
    <n v="30305.154914999999"/>
    <n v="27272.682990000001"/>
    <n v="5407.5"/>
    <n v="303051.54914999998"/>
    <x v="0"/>
    <s v="REAL-PROY."/>
    <n v="15.6"/>
    <n v="14.1"/>
    <n v="84.7"/>
    <n v="13.9"/>
    <n v="66.3"/>
    <m/>
    <m/>
    <m/>
    <m/>
  </r>
  <r>
    <n v="10.520547945205479"/>
    <s v="OOO - Plan de Cosecha 2024"/>
    <x v="0"/>
    <s v="Normal"/>
    <s v="ML03EQ09TR02"/>
    <x v="0"/>
    <x v="6"/>
    <x v="10"/>
    <x v="3"/>
    <s v="(ALL)"/>
    <x v="0"/>
    <x v="2"/>
    <x v="19"/>
    <x v="0"/>
    <n v="320"/>
    <n v="18.62"/>
    <n v="18.62"/>
    <n v="117.52"/>
    <n v="11.17"/>
    <n v="15.49"/>
    <n v="13.94"/>
    <n v="2188.2199999999998"/>
    <n v="18203.848000000002"/>
    <x v="16"/>
    <x v="0"/>
    <x v="0"/>
    <n v="33895.527800000003"/>
    <n v="30503.786800000002"/>
    <n v="5958.4"/>
    <n v="338955.64976"/>
    <x v="0"/>
    <s v="REAL-PROY."/>
    <n v="15.5"/>
    <n v="14"/>
    <n v="85.4"/>
    <n v="14"/>
    <n v="66.7"/>
    <m/>
    <m/>
    <m/>
    <m/>
  </r>
  <r>
    <n v="12.46027397260274"/>
    <s v="OOO - Plan de Cosecha 2024"/>
    <x v="0"/>
    <s v="Normal"/>
    <s v="SV01EQ10TR04"/>
    <x v="3"/>
    <x v="5"/>
    <x v="13"/>
    <x v="4"/>
    <s v="(ALL)"/>
    <x v="1"/>
    <x v="5"/>
    <x v="20"/>
    <x v="0"/>
    <n v="379"/>
    <n v="23.88"/>
    <n v="23.88"/>
    <n v="75"/>
    <n v="6.02"/>
    <n v="14.82"/>
    <n v="13.27"/>
    <n v="1791"/>
    <n v="11115"/>
    <x v="0"/>
    <x v="0"/>
    <x v="0"/>
    <n v="26542.62"/>
    <n v="23766.57"/>
    <n v="9050.52"/>
    <n v="265426.2"/>
    <x v="0"/>
    <s v="REAL-PROY."/>
    <n v="14.4"/>
    <n v="12.9"/>
    <n v="83.4"/>
    <n v="13.1"/>
    <n v="68.900000000000006"/>
    <m/>
    <s v="Enterrada 100%"/>
    <m/>
    <m/>
  </r>
  <r>
    <n v="11.079452054794521"/>
    <s v="OOO - Plan de Cosecha 2024"/>
    <x v="0"/>
    <s v="Normal"/>
    <s v="HC01EQ02TR03"/>
    <x v="4"/>
    <x v="9"/>
    <x v="8"/>
    <x v="1"/>
    <s v="(ALL)"/>
    <x v="0"/>
    <x v="8"/>
    <x v="7"/>
    <x v="0"/>
    <n v="337"/>
    <n v="17.55"/>
    <n v="0.35"/>
    <n v="104.92"/>
    <n v="9.4700000000000006"/>
    <n v="15.28"/>
    <n v="13.73"/>
    <n v="36.72"/>
    <n v="16031.776"/>
    <x v="1"/>
    <x v="0"/>
    <x v="0"/>
    <n v="561.08159999999998"/>
    <n v="504.16559999999998"/>
    <n v="117.95"/>
    <n v="5611.1216000000004"/>
    <x v="0"/>
    <s v="REAL-PROY."/>
    <n v="14.8"/>
    <n v="13.3"/>
    <n v="82.7"/>
    <n v="13.2"/>
    <n v="67.900000000000006"/>
    <m/>
    <m/>
    <m/>
    <m/>
  </r>
  <r>
    <n v="11.178082191780822"/>
    <s v="OOO - Plan de Cosecha 2024"/>
    <x v="0"/>
    <s v="Normal"/>
    <s v="HC01EQ04TR04"/>
    <x v="4"/>
    <x v="9"/>
    <x v="1"/>
    <x v="4"/>
    <s v="(ALL)"/>
    <x v="0"/>
    <x v="10"/>
    <x v="21"/>
    <x v="0"/>
    <n v="340"/>
    <n v="19.27"/>
    <n v="3.59"/>
    <n v="110"/>
    <n v="9.84"/>
    <n v="14.91"/>
    <n v="13.36"/>
    <n v="394.9"/>
    <n v="16401"/>
    <x v="1"/>
    <x v="0"/>
    <x v="0"/>
    <n v="5887.9589999999998"/>
    <n v="5275.8639999999996"/>
    <n v="1220.5999999999999"/>
    <n v="58879.59"/>
    <x v="0"/>
    <s v="REAL-PROY."/>
    <n v="14.8"/>
    <n v="13.3"/>
    <n v="84.2"/>
    <n v="13.8"/>
    <n v="67.599999999999994"/>
    <m/>
    <m/>
    <m/>
    <m/>
  </r>
  <r>
    <n v="12.098630136986301"/>
    <s v="OOO - Plan de Cosecha 2024"/>
    <x v="0"/>
    <s v="Normal"/>
    <s v="LB01EQ02TR05"/>
    <x v="2"/>
    <x v="4"/>
    <x v="8"/>
    <x v="5"/>
    <s v="(ALL)"/>
    <x v="0"/>
    <x v="3"/>
    <x v="22"/>
    <x v="0"/>
    <n v="368"/>
    <n v="41.88"/>
    <n v="41.88"/>
    <n v="105"/>
    <n v="8.68"/>
    <n v="15.38"/>
    <n v="13.83"/>
    <n v="4397.3999999999996"/>
    <n v="16149"/>
    <x v="17"/>
    <x v="0"/>
    <x v="0"/>
    <n v="67632.012000000002"/>
    <n v="60816.042000000001"/>
    <n v="15411.84"/>
    <n v="676320.12"/>
    <x v="0"/>
    <s v="REAL-PROY."/>
    <n v="12.9"/>
    <n v="11.3"/>
    <n v="78.900000000000006"/>
    <n v="12.3"/>
    <n v="71.099999999999994"/>
    <m/>
    <m/>
    <m/>
    <m/>
  </r>
  <r>
    <n v="13.315068493150685"/>
    <s v="OOO - Plan de Cosecha 2024"/>
    <x v="0"/>
    <s v="Normal"/>
    <s v="SV01EQ06TR01"/>
    <x v="3"/>
    <x v="5"/>
    <x v="14"/>
    <x v="2"/>
    <s v="(ALL)"/>
    <x v="0"/>
    <x v="3"/>
    <x v="23"/>
    <x v="0"/>
    <n v="405"/>
    <n v="40.83"/>
    <n v="40.83"/>
    <n v="100"/>
    <n v="7.51"/>
    <n v="14.92"/>
    <n v="13.37"/>
    <n v="4083"/>
    <n v="14920"/>
    <x v="6"/>
    <x v="0"/>
    <x v="0"/>
    <n v="60918.36"/>
    <n v="54589.71"/>
    <n v="16536.150000000001"/>
    <n v="609183.6"/>
    <x v="0"/>
    <s v="REAL-PROY."/>
    <n v="14.4"/>
    <n v="12.9"/>
    <n v="83.8"/>
    <n v="12.6"/>
    <n v="69.400000000000006"/>
    <m/>
    <m/>
    <m/>
    <m/>
  </r>
  <r>
    <n v="12.591780821917808"/>
    <s v="OOO - Plan de Cosecha 2024"/>
    <x v="0"/>
    <s v="Normal"/>
    <s v="HC01EQ05TR02"/>
    <x v="4"/>
    <x v="9"/>
    <x v="2"/>
    <x v="3"/>
    <s v="(ALL)"/>
    <x v="1"/>
    <x v="11"/>
    <x v="24"/>
    <x v="0"/>
    <n v="383"/>
    <n v="21.34"/>
    <n v="1.65"/>
    <n v="123"/>
    <n v="9.77"/>
    <n v="15.28"/>
    <n v="13.73"/>
    <n v="202.95"/>
    <n v="18794.400000000001"/>
    <x v="1"/>
    <x v="0"/>
    <x v="0"/>
    <n v="3101.076"/>
    <n v="2786.5034999999998"/>
    <n v="631.95000000000005"/>
    <n v="31010.76"/>
    <x v="0"/>
    <s v="REAL-PROY."/>
    <n v="15.2"/>
    <n v="13.7"/>
    <n v="83.8"/>
    <n v="12.7"/>
    <n v="68.3"/>
    <m/>
    <m/>
    <m/>
    <m/>
  </r>
  <r>
    <n v="11.243835616438357"/>
    <s v="OOO - Plan de Cosecha 2024"/>
    <x v="0"/>
    <s v="Normal"/>
    <s v="ML05EQ17TR01"/>
    <x v="0"/>
    <x v="7"/>
    <x v="11"/>
    <x v="2"/>
    <s v="(ALL)"/>
    <x v="0"/>
    <x v="8"/>
    <x v="21"/>
    <x v="0"/>
    <n v="342"/>
    <n v="13.35"/>
    <n v="13.35"/>
    <n v="115.97"/>
    <n v="10.31"/>
    <n v="15.05"/>
    <n v="13.5"/>
    <n v="1548.2"/>
    <n v="17453.485000000001"/>
    <x v="18"/>
    <x v="0"/>
    <x v="0"/>
    <n v="23300.41"/>
    <n v="20900.7"/>
    <n v="4565.7"/>
    <n v="233004.02475000001"/>
    <x v="0"/>
    <s v="REAL-PROY."/>
    <n v="16"/>
    <n v="14.5"/>
    <n v="85.9"/>
    <n v="13.5"/>
    <n v="66.8"/>
    <m/>
    <m/>
    <m/>
    <m/>
  </r>
  <r>
    <n v="12.230136986301369"/>
    <s v="OOO - Plan de Cosecha 2024"/>
    <x v="0"/>
    <s v="Normal"/>
    <s v="HC01EQ01TR02"/>
    <x v="4"/>
    <x v="9"/>
    <x v="3"/>
    <x v="3"/>
    <s v="(ALL)"/>
    <x v="0"/>
    <x v="11"/>
    <x v="25"/>
    <x v="0"/>
    <n v="372"/>
    <n v="26.27"/>
    <n v="22.77"/>
    <n v="117"/>
    <n v="9.57"/>
    <n v="15.28"/>
    <n v="13.73"/>
    <n v="2664.09"/>
    <n v="17877.599999999999"/>
    <x v="1"/>
    <x v="0"/>
    <x v="0"/>
    <n v="40707.2952"/>
    <n v="36577.955699999999"/>
    <n v="8470.44"/>
    <n v="407072.95199999999"/>
    <x v="0"/>
    <s v="REAL-PROY."/>
    <n v="15.6"/>
    <n v="14.1"/>
    <n v="83.7"/>
    <n v="13.3"/>
    <n v="67"/>
    <m/>
    <m/>
    <m/>
    <m/>
  </r>
  <r>
    <n v="12.230136986301369"/>
    <s v="OOO - Plan de Cosecha 2024"/>
    <x v="0"/>
    <s v="Normal"/>
    <s v="HC01EQ02TR01"/>
    <x v="4"/>
    <x v="9"/>
    <x v="8"/>
    <x v="2"/>
    <s v="(ALL)"/>
    <x v="0"/>
    <x v="9"/>
    <x v="26"/>
    <x v="0"/>
    <n v="372"/>
    <n v="14.98"/>
    <n v="10.56"/>
    <n v="92"/>
    <n v="7.52"/>
    <n v="14.91"/>
    <n v="13.36"/>
    <n v="971.52"/>
    <n v="13717.2"/>
    <x v="18"/>
    <x v="0"/>
    <x v="0"/>
    <n v="14485.3632"/>
    <n v="12979.5072"/>
    <n v="3928.32"/>
    <n v="144853.63200000001"/>
    <x v="0"/>
    <s v="REAL-PROY."/>
    <n v="15.7"/>
    <n v="14.2"/>
    <n v="85.2"/>
    <n v="13.6"/>
    <n v="66.599999999999994"/>
    <m/>
    <m/>
    <m/>
    <m/>
  </r>
  <r>
    <n v="11.671232876712329"/>
    <s v="OOO - Plan de Cosecha 2024"/>
    <x v="0"/>
    <s v="Normal"/>
    <s v="LB01EQ04TR01"/>
    <x v="2"/>
    <x v="4"/>
    <x v="1"/>
    <x v="2"/>
    <s v="(ALL)"/>
    <x v="0"/>
    <x v="10"/>
    <x v="27"/>
    <x v="0"/>
    <n v="355"/>
    <n v="41.38"/>
    <n v="0.1"/>
    <n v="63.04"/>
    <n v="5.4"/>
    <n v="15.38"/>
    <n v="13.83"/>
    <n v="6.3"/>
    <n v="9695.5519999999997"/>
    <x v="4"/>
    <x v="0"/>
    <x v="0"/>
    <n v="96.894000000000005"/>
    <n v="87.129000000000005"/>
    <n v="35.5"/>
    <n v="969.55520000000001"/>
    <x v="0"/>
    <s v="REAL-PROY."/>
    <n v="15.6"/>
    <n v="14.1"/>
    <n v="84.8"/>
    <n v="13.7"/>
    <n v="67.099999999999994"/>
    <m/>
    <m/>
    <m/>
    <m/>
  </r>
  <r>
    <n v="12.821917808219178"/>
    <s v="OOO - Plan de Cosecha 2024"/>
    <x v="0"/>
    <s v="Normal"/>
    <s v="HC01EQ06TR02"/>
    <x v="4"/>
    <x v="9"/>
    <x v="14"/>
    <x v="3"/>
    <s v="(ALL)"/>
    <x v="1"/>
    <x v="3"/>
    <x v="23"/>
    <x v="0"/>
    <n v="390"/>
    <n v="16.43"/>
    <n v="1.08"/>
    <n v="103"/>
    <n v="8.0299999999999994"/>
    <n v="14.96"/>
    <n v="13.41"/>
    <n v="111.24"/>
    <n v="15408.8"/>
    <x v="1"/>
    <x v="0"/>
    <x v="0"/>
    <n v="1664.1504"/>
    <n v="1491.7284"/>
    <n v="421.2"/>
    <n v="16641.504000000001"/>
    <x v="0"/>
    <s v="REAL-PROY."/>
    <n v="14.3"/>
    <n v="12.8"/>
    <n v="81.8"/>
    <n v="12.8"/>
    <n v="69.099999999999994"/>
    <m/>
    <m/>
    <m/>
    <m/>
  </r>
  <r>
    <n v="11.178082191780822"/>
    <s v="OOO - Plan de Cosecha 2024"/>
    <x v="0"/>
    <s v="Normal"/>
    <s v="SV01EQ07TR03"/>
    <x v="3"/>
    <x v="5"/>
    <x v="15"/>
    <x v="1"/>
    <s v="(ALL)"/>
    <x v="0"/>
    <x v="5"/>
    <x v="28"/>
    <x v="0"/>
    <n v="340"/>
    <n v="32.909999999999997"/>
    <n v="32.909999999999997"/>
    <n v="110.55"/>
    <n v="9.89"/>
    <n v="14.83"/>
    <n v="13.28"/>
    <n v="3638.24"/>
    <n v="16394.564999999999"/>
    <x v="19"/>
    <x v="0"/>
    <x v="0"/>
    <n v="53955.099199999997"/>
    <n v="48315.8272"/>
    <n v="11189.4"/>
    <n v="539545.13415000006"/>
    <x v="0"/>
    <s v="REAL-PROY."/>
    <n v="13.6"/>
    <n v="12.2"/>
    <n v="82"/>
    <n v="13.1"/>
    <n v="69.5"/>
    <m/>
    <m/>
    <m/>
    <m/>
  </r>
  <r>
    <n v="11.30958904109589"/>
    <s v="OOO - Plan de Cosecha 2024"/>
    <x v="0"/>
    <s v="Normal"/>
    <s v="SV01EQ08TR03"/>
    <x v="3"/>
    <x v="5"/>
    <x v="6"/>
    <x v="1"/>
    <s v="(ALL)"/>
    <x v="0"/>
    <x v="3"/>
    <x v="29"/>
    <x v="0"/>
    <n v="344"/>
    <n v="40.67"/>
    <n v="40.67"/>
    <n v="65"/>
    <n v="5.75"/>
    <n v="15.27"/>
    <n v="13.72"/>
    <n v="2643.55"/>
    <n v="9925.5"/>
    <x v="20"/>
    <x v="0"/>
    <x v="0"/>
    <n v="40367.008500000004"/>
    <n v="36269.506000000001"/>
    <n v="13990.48"/>
    <n v="403670.08500000002"/>
    <x v="0"/>
    <s v="REAL-PROY."/>
    <n v="15"/>
    <n v="13.5"/>
    <n v="83.7"/>
    <n v="13.5"/>
    <n v="67.5"/>
    <m/>
    <m/>
    <m/>
    <m/>
  </r>
  <r>
    <n v="11.868493150684932"/>
    <s v="OOO - Plan de Cosecha 2024"/>
    <x v="0"/>
    <s v="Normal"/>
    <s v="LB02EQ11TR04"/>
    <x v="1"/>
    <x v="3"/>
    <x v="7"/>
    <x v="4"/>
    <s v="(ALL)"/>
    <x v="0"/>
    <x v="5"/>
    <x v="22"/>
    <x v="0"/>
    <n v="361"/>
    <n v="34.64"/>
    <n v="34.64"/>
    <n v="155"/>
    <n v="13.06"/>
    <n v="14.72"/>
    <n v="13.17"/>
    <n v="5369.2"/>
    <n v="22816"/>
    <x v="21"/>
    <x v="0"/>
    <x v="0"/>
    <n v="79034.623999999996"/>
    <n v="70712.364000000001"/>
    <n v="12505.04"/>
    <n v="790346.23999999999"/>
    <x v="0"/>
    <s v="REAL-PROY."/>
    <n v="15.3"/>
    <n v="13.8"/>
    <n v="84.4"/>
    <n v="13"/>
    <n v="67.900000000000006"/>
    <m/>
    <m/>
    <m/>
    <m/>
  </r>
  <r>
    <n v="10.61917808219178"/>
    <s v="OOO - Plan de Cosecha 2024"/>
    <x v="0"/>
    <s v="Normal"/>
    <s v="HC01EQ04TR03"/>
    <x v="4"/>
    <x v="9"/>
    <x v="1"/>
    <x v="1"/>
    <s v="(ALL)"/>
    <x v="0"/>
    <x v="10"/>
    <x v="29"/>
    <x v="0"/>
    <n v="323"/>
    <n v="18.489999999999998"/>
    <n v="0.42"/>
    <n v="90"/>
    <n v="8.48"/>
    <n v="14.91"/>
    <n v="13.36"/>
    <n v="37.799999999999997"/>
    <n v="13419"/>
    <x v="1"/>
    <x v="0"/>
    <x v="0"/>
    <n v="563.59799999999996"/>
    <n v="505.00799999999998"/>
    <n v="135.66"/>
    <n v="5635.98"/>
    <x v="0"/>
    <s v="REAL-PROY."/>
    <n v="14.5"/>
    <n v="13"/>
    <n v="82.4"/>
    <n v="13.7"/>
    <n v="67.8"/>
    <m/>
    <m/>
    <m/>
    <m/>
  </r>
  <r>
    <n v="10.61917808219178"/>
    <s v="OOO - Plan de Cosecha 2024"/>
    <x v="0"/>
    <s v="Normal"/>
    <s v="HC01EQ02TR02"/>
    <x v="4"/>
    <x v="9"/>
    <x v="8"/>
    <x v="3"/>
    <s v="(ALL)"/>
    <x v="0"/>
    <x v="2"/>
    <x v="30"/>
    <x v="0"/>
    <n v="323"/>
    <n v="18.190000000000001"/>
    <n v="18.190000000000001"/>
    <n v="90.76"/>
    <n v="8.5500000000000007"/>
    <n v="14.91"/>
    <n v="13.36"/>
    <n v="1650.84"/>
    <n v="13532.316000000001"/>
    <x v="18"/>
    <x v="0"/>
    <x v="0"/>
    <n v="24614.024399999998"/>
    <n v="22055.222399999999"/>
    <n v="5875.37"/>
    <n v="246152.82803999999"/>
    <x v="0"/>
    <s v="REAL-PROY."/>
    <n v="14.5"/>
    <n v="13"/>
    <n v="82.7"/>
    <n v="13.7"/>
    <n v="68"/>
    <m/>
    <m/>
    <m/>
    <m/>
  </r>
  <r>
    <n v="11.30958904109589"/>
    <s v="OOO - Plan de Cosecha 2024"/>
    <x v="0"/>
    <s v="Normal"/>
    <s v="SV01EQ06TR02"/>
    <x v="3"/>
    <x v="5"/>
    <x v="14"/>
    <x v="3"/>
    <s v="(ALL)"/>
    <x v="0"/>
    <x v="3"/>
    <x v="31"/>
    <x v="0"/>
    <n v="344"/>
    <n v="40.51"/>
    <n v="40.51"/>
    <n v="82"/>
    <n v="7.25"/>
    <n v="15.27"/>
    <n v="13.72"/>
    <n v="3321.82"/>
    <n v="12521.4"/>
    <x v="22"/>
    <x v="0"/>
    <x v="0"/>
    <n v="50724.191400000003"/>
    <n v="45575.3704"/>
    <n v="13935.44"/>
    <n v="507241.91399999999"/>
    <x v="0"/>
    <s v="REAL-PROY."/>
    <n v="14.6"/>
    <n v="13.1"/>
    <n v="83.9"/>
    <n v="13.7"/>
    <n v="67.900000000000006"/>
    <m/>
    <m/>
    <m/>
    <m/>
  </r>
  <r>
    <n v="11.30958904109589"/>
    <s v="OOO - Plan de Cosecha 2024"/>
    <x v="0"/>
    <s v="Normal"/>
    <s v="ML01EQ01TR03"/>
    <x v="0"/>
    <x v="1"/>
    <x v="3"/>
    <x v="1"/>
    <s v="(ALL)"/>
    <x v="0"/>
    <x v="2"/>
    <x v="29"/>
    <x v="0"/>
    <n v="344"/>
    <n v="18.920000000000002"/>
    <n v="18.920000000000002"/>
    <n v="110"/>
    <n v="9.73"/>
    <n v="15.63"/>
    <n v="14.08"/>
    <n v="2081.1999999999998"/>
    <n v="17193"/>
    <x v="20"/>
    <x v="0"/>
    <x v="0"/>
    <n v="32529.155999999999"/>
    <n v="29303.295999999998"/>
    <n v="6508.48"/>
    <n v="325291.56"/>
    <x v="0"/>
    <s v="REAL-PROY."/>
    <n v="14"/>
    <n v="12.5"/>
    <n v="82.6"/>
    <n v="13.8"/>
    <n v="68.2"/>
    <m/>
    <m/>
    <m/>
    <m/>
  </r>
  <r>
    <n v="12"/>
    <s v="OOO - Plan de Cosecha 2024"/>
    <x v="0"/>
    <s v="Normal"/>
    <s v="LB01EQ01TR01"/>
    <x v="2"/>
    <x v="4"/>
    <x v="3"/>
    <x v="2"/>
    <s v="(ALL)"/>
    <x v="0"/>
    <x v="5"/>
    <x v="32"/>
    <x v="0"/>
    <n v="365"/>
    <n v="41.88"/>
    <n v="41.88"/>
    <n v="142"/>
    <n v="11.83"/>
    <n v="15.07"/>
    <n v="13.52"/>
    <n v="5946.96"/>
    <n v="21399.4"/>
    <x v="2"/>
    <x v="0"/>
    <x v="0"/>
    <n v="89620.6872"/>
    <n v="80402.8992"/>
    <n v="15286.2"/>
    <n v="896206.87199999997"/>
    <x v="0"/>
    <s v="REAL-PROY."/>
    <n v="15"/>
    <n v="13.5"/>
    <n v="84.4"/>
    <n v="13.2"/>
    <n v="68"/>
    <m/>
    <m/>
    <m/>
    <m/>
  </r>
  <r>
    <n v="10.553424657534247"/>
    <s v="OOO - Plan de Cosecha 2024"/>
    <x v="0"/>
    <s v="Normal"/>
    <s v="ML06EQ21TR04"/>
    <x v="0"/>
    <x v="8"/>
    <x v="12"/>
    <x v="4"/>
    <s v="(ALL)"/>
    <x v="0"/>
    <x v="9"/>
    <x v="17"/>
    <x v="0"/>
    <n v="321"/>
    <n v="18.559999999999999"/>
    <n v="18.559999999999999"/>
    <n v="125"/>
    <n v="11.84"/>
    <n v="15.68"/>
    <n v="14.13"/>
    <n v="2320"/>
    <n v="19600"/>
    <x v="23"/>
    <x v="0"/>
    <x v="0"/>
    <n v="36377.599999999999"/>
    <n v="32781.599999999999"/>
    <n v="5957.76"/>
    <n v="363776"/>
    <x v="0"/>
    <s v="REAL-PROY."/>
    <n v="13.7"/>
    <n v="12.3"/>
    <n v="82.1"/>
    <n v="13.8"/>
    <n v="68.400000000000006"/>
    <m/>
    <m/>
    <m/>
    <m/>
  </r>
  <r>
    <n v="10.356164383561644"/>
    <s v="OOO - Plan de Cosecha 2024"/>
    <x v="0"/>
    <s v="Normal"/>
    <s v="ML03EQ10TR01"/>
    <x v="0"/>
    <x v="6"/>
    <x v="13"/>
    <x v="2"/>
    <s v="Saldo"/>
    <x v="0"/>
    <x v="4"/>
    <x v="33"/>
    <x v="0"/>
    <n v="315"/>
    <n v="18.87"/>
    <n v="15.84"/>
    <n v="121.55"/>
    <n v="11.74"/>
    <n v="15.54"/>
    <n v="13.99"/>
    <n v="1925.3520000000001"/>
    <n v="18888.87"/>
    <x v="24"/>
    <x v="0"/>
    <x v="0"/>
    <n v="29919.970079999999"/>
    <n v="26935.674480000001"/>
    <n v="4989.6000000000004"/>
    <n v="299199.70079999999"/>
    <x v="0"/>
    <s v="REAL-PROY."/>
    <n v="13.8"/>
    <n v="12.4"/>
    <n v="81.8"/>
    <n v="13.9"/>
    <n v="68.400000000000006"/>
    <m/>
    <m/>
    <m/>
    <m/>
  </r>
  <r>
    <n v="10.356164383561644"/>
    <s v="OOO - Plan de Cosecha 2024"/>
    <x v="1"/>
    <s v="Zona humeda"/>
    <s v="ML03EQ10TR01"/>
    <x v="0"/>
    <x v="6"/>
    <x v="13"/>
    <x v="2"/>
    <n v="35"/>
    <x v="0"/>
    <x v="4"/>
    <x v="33"/>
    <x v="0"/>
    <n v="315"/>
    <n v="18.87"/>
    <n v="1.79"/>
    <n v="121.55"/>
    <n v="11.74"/>
    <n v="15.54"/>
    <n v="13.99"/>
    <n v="217.5745"/>
    <n v="18888.87"/>
    <x v="24"/>
    <x v="0"/>
    <x v="0"/>
    <n v="3381.1077300000002"/>
    <n v="3043.8672550000001"/>
    <n v="563.85"/>
    <n v="33811.077299999997"/>
    <x v="0"/>
    <s v="REAL-PROY."/>
    <n v="13.8"/>
    <n v="12.4"/>
    <n v="81.8"/>
    <n v="13.9"/>
    <n v="68.400000000000006"/>
    <m/>
    <m/>
    <m/>
    <m/>
  </r>
  <r>
    <n v="10.356164383561644"/>
    <s v="OOO - Plan de Cosecha 2024"/>
    <x v="1"/>
    <s v="Zona humeda"/>
    <s v="ML03EQ10TR01"/>
    <x v="0"/>
    <x v="6"/>
    <x v="13"/>
    <x v="2"/>
    <s v="035-A"/>
    <x v="0"/>
    <x v="4"/>
    <x v="33"/>
    <x v="0"/>
    <n v="315"/>
    <n v="18.87"/>
    <n v="1.24"/>
    <n v="121.55"/>
    <n v="11.74"/>
    <n v="15.54"/>
    <n v="13.99"/>
    <n v="150.72200000000001"/>
    <n v="18888.87"/>
    <x v="24"/>
    <x v="0"/>
    <x v="0"/>
    <n v="2342.2198800000001"/>
    <n v="2108.6007800000002"/>
    <n v="390.6"/>
    <n v="23422.198799999998"/>
    <x v="0"/>
    <s v="REAL-PROY."/>
    <n v="13.8"/>
    <n v="12.4"/>
    <n v="81.8"/>
    <n v="13.9"/>
    <n v="68.400000000000006"/>
    <m/>
    <m/>
    <m/>
    <m/>
  </r>
  <r>
    <n v="12.558904109589042"/>
    <s v="OOO - Plan de Cosecha 2024"/>
    <x v="0"/>
    <s v="Normal"/>
    <s v="HC01EQ05TR03"/>
    <x v="4"/>
    <x v="9"/>
    <x v="2"/>
    <x v="1"/>
    <s v="(ALL)"/>
    <x v="1"/>
    <x v="11"/>
    <x v="34"/>
    <x v="0"/>
    <n v="382"/>
    <n v="16.010000000000002"/>
    <n v="3.93"/>
    <n v="120"/>
    <n v="9.5500000000000007"/>
    <n v="15.28"/>
    <n v="13.73"/>
    <n v="471.6"/>
    <n v="18336"/>
    <x v="4"/>
    <x v="0"/>
    <x v="0"/>
    <n v="7206.0479999999998"/>
    <n v="6475.0680000000002"/>
    <n v="1501.26"/>
    <n v="72060.479999999996"/>
    <x v="0"/>
    <s v="REAL-PROY."/>
    <n v="16"/>
    <n v="14.5"/>
    <n v="84.9"/>
    <n v="13.3"/>
    <n v="66.900000000000006"/>
    <m/>
    <m/>
    <m/>
    <m/>
  </r>
  <r>
    <n v="10.389041095890411"/>
    <s v="OOO - Plan de Cosecha 2024"/>
    <x v="0"/>
    <s v="Normal"/>
    <s v="ML03EQ10TR02"/>
    <x v="0"/>
    <x v="6"/>
    <x v="13"/>
    <x v="3"/>
    <s v="(ALL)"/>
    <x v="0"/>
    <x v="4"/>
    <x v="35"/>
    <x v="0"/>
    <n v="316"/>
    <n v="16.97"/>
    <n v="16.97"/>
    <n v="123.81"/>
    <n v="11.92"/>
    <n v="15.54"/>
    <n v="13.99"/>
    <n v="2101.06"/>
    <n v="19240.074000000001"/>
    <x v="25"/>
    <x v="0"/>
    <x v="0"/>
    <n v="32650.472399999999"/>
    <n v="29393.829399999999"/>
    <n v="5362.52"/>
    <n v="326504.05578"/>
    <x v="0"/>
    <s v="REAL-PROY."/>
    <n v="14.2"/>
    <n v="12.7"/>
    <n v="82.6"/>
    <n v="13.5"/>
    <n v="68.3"/>
    <m/>
    <m/>
    <m/>
    <m/>
  </r>
  <r>
    <n v="10.849315068493151"/>
    <s v="OOO - Plan de Cosecha 2024"/>
    <x v="0"/>
    <s v="Normal"/>
    <s v="ML05EQ16TR01"/>
    <x v="0"/>
    <x v="7"/>
    <x v="4"/>
    <x v="2"/>
    <s v="Saldo"/>
    <x v="0"/>
    <x v="8"/>
    <x v="36"/>
    <x v="0"/>
    <n v="330"/>
    <n v="19.36"/>
    <n v="19.11"/>
    <n v="130"/>
    <n v="11.98"/>
    <n v="15.63"/>
    <n v="14.08"/>
    <n v="2484.3000000000002"/>
    <n v="20319"/>
    <x v="1"/>
    <x v="0"/>
    <x v="0"/>
    <n v="38829.608999999997"/>
    <n v="34978.944000000003"/>
    <n v="6306.3"/>
    <n v="388296.09"/>
    <x v="0"/>
    <s v="REAL-PROY."/>
    <n v="14.6"/>
    <n v="13.1"/>
    <n v="82.6"/>
    <n v="13.4"/>
    <n v="68"/>
    <m/>
    <m/>
    <m/>
    <m/>
  </r>
  <r>
    <n v="10.849315068493151"/>
    <s v="OOO - Plan de Cosecha 2024"/>
    <x v="1"/>
    <s v="Zona humeda"/>
    <s v="ML05EQ16TR01"/>
    <x v="0"/>
    <x v="7"/>
    <x v="4"/>
    <x v="2"/>
    <n v="7"/>
    <x v="0"/>
    <x v="8"/>
    <x v="36"/>
    <x v="0"/>
    <n v="330"/>
    <n v="19.36"/>
    <n v="0.25"/>
    <n v="130"/>
    <n v="11.98"/>
    <n v="15.63"/>
    <n v="14.08"/>
    <n v="32.5"/>
    <n v="20319"/>
    <x v="1"/>
    <x v="0"/>
    <x v="0"/>
    <n v="507.97500000000002"/>
    <n v="457.6"/>
    <n v="82.5"/>
    <n v="5079.75"/>
    <x v="0"/>
    <s v="REAL-PROY."/>
    <n v="14.6"/>
    <n v="13.1"/>
    <n v="82.6"/>
    <n v="13.4"/>
    <n v="68"/>
    <m/>
    <m/>
    <m/>
    <m/>
  </r>
  <r>
    <n v="11.145205479452056"/>
    <s v="OOO - Plan de Cosecha 2024"/>
    <x v="0"/>
    <s v="Normal"/>
    <s v="HC01EQ04TR01"/>
    <x v="4"/>
    <x v="9"/>
    <x v="1"/>
    <x v="2"/>
    <s v="(ALL)"/>
    <x v="0"/>
    <x v="10"/>
    <x v="18"/>
    <x v="0"/>
    <n v="339"/>
    <n v="21.45"/>
    <n v="0.66"/>
    <n v="85"/>
    <n v="7.63"/>
    <n v="15.23"/>
    <n v="13.68"/>
    <n v="56.1"/>
    <n v="12945.5"/>
    <x v="1"/>
    <x v="0"/>
    <x v="0"/>
    <n v="854.40300000000002"/>
    <n v="767.44799999999998"/>
    <n v="223.74"/>
    <n v="8544.0300000000007"/>
    <x v="0"/>
    <s v="REAL-PROY."/>
    <n v="14.8"/>
    <n v="13.3"/>
    <n v="83.7"/>
    <n v="13.8"/>
    <n v="67.8"/>
    <m/>
    <m/>
    <m/>
    <m/>
  </r>
  <r>
    <n v="10.487671232876712"/>
    <s v="OOO - Plan de Cosecha 2024"/>
    <x v="0"/>
    <s v="Normal"/>
    <s v="ML01EQ02TR03"/>
    <x v="0"/>
    <x v="1"/>
    <x v="8"/>
    <x v="1"/>
    <s v="(ALL)"/>
    <x v="2"/>
    <x v="7"/>
    <x v="17"/>
    <x v="0"/>
    <n v="319"/>
    <n v="20.36"/>
    <n v="20.36"/>
    <n v="125"/>
    <n v="11.92"/>
    <n v="15.54"/>
    <n v="13.99"/>
    <n v="2545"/>
    <n v="19425"/>
    <x v="26"/>
    <x v="0"/>
    <x v="0"/>
    <n v="39549.300000000003"/>
    <n v="35604.550000000003"/>
    <n v="6494.84"/>
    <n v="395493"/>
    <x v="0"/>
    <s v="REAL-PROY."/>
    <n v="14.6"/>
    <n v="13.1"/>
    <n v="82.5"/>
    <n v="13.3"/>
    <n v="68.5"/>
    <m/>
    <m/>
    <m/>
    <m/>
  </r>
  <r>
    <n v="10.520547945205479"/>
    <s v="OOO - Plan de Cosecha 2024"/>
    <x v="0"/>
    <s v="Normal"/>
    <s v="ML06EQ21TR02"/>
    <x v="0"/>
    <x v="8"/>
    <x v="12"/>
    <x v="3"/>
    <s v="(ALL)"/>
    <x v="0"/>
    <x v="9"/>
    <x v="17"/>
    <x v="0"/>
    <n v="320"/>
    <n v="18.8"/>
    <n v="18.8"/>
    <n v="125"/>
    <n v="11.88"/>
    <n v="15.68"/>
    <n v="14.13"/>
    <n v="2350"/>
    <n v="19600"/>
    <x v="19"/>
    <x v="0"/>
    <x v="0"/>
    <n v="36848"/>
    <n v="33205.5"/>
    <n v="6016"/>
    <n v="368480"/>
    <x v="0"/>
    <s v="REAL-PROY."/>
    <n v="14"/>
    <n v="12.6"/>
    <n v="83.3"/>
    <n v="13.8"/>
    <n v="68.3"/>
    <m/>
    <m/>
    <m/>
    <m/>
  </r>
  <r>
    <n v="18.989194774913198"/>
    <s v="99.- Cosecha 2013 - Real"/>
    <x v="2"/>
    <s v="Real"/>
    <s v="BT01EQ01TR02"/>
    <x v="5"/>
    <x v="10"/>
    <x v="3"/>
    <x v="3"/>
    <s v="BT01E01T2"/>
    <x v="3"/>
    <x v="12"/>
    <x v="37"/>
    <x v="0"/>
    <n v="577.58800773694304"/>
    <n v="10.41"/>
    <n v="10.34"/>
    <n v="135.96"/>
    <n v="7.16"/>
    <n v="14.449435224914099"/>
    <n v="12.971754534558601"/>
    <n v="1405.87"/>
    <n v="636236.66"/>
    <x v="27"/>
    <x v="0"/>
    <x v="1"/>
    <n v="20314.027499649899"/>
    <n v="18236.600547499998"/>
    <n v="5972.2599999999902"/>
    <n v="203140.27499649901"/>
    <x v="1"/>
    <s v="REAL-PROY."/>
    <m/>
    <m/>
    <m/>
    <m/>
    <m/>
    <m/>
    <m/>
    <m/>
    <m/>
  </r>
  <r>
    <n v="19.758904109589039"/>
    <s v="99.- Cosecha 2013 - Real"/>
    <x v="2"/>
    <s v="Real"/>
    <s v="BT01EQ01TR02"/>
    <x v="5"/>
    <x v="10"/>
    <x v="3"/>
    <x v="3"/>
    <s v="BT01E01T2"/>
    <x v="3"/>
    <x v="12"/>
    <x v="37"/>
    <x v="0"/>
    <n v="601"/>
    <n v="10.41"/>
    <n v="7.0000000000000007E-2"/>
    <n v="1523.86"/>
    <n v="77.12"/>
    <n v="14.449434999999999"/>
    <n v="12.971754000000001"/>
    <n v="106.67"/>
    <n v="1625498.41"/>
    <x v="28"/>
    <x v="0"/>
    <x v="2"/>
    <n v="1541.3212314499999"/>
    <n v="1383.6969991799999"/>
    <n v="42.07"/>
    <n v="15413.2123144999"/>
    <x v="1"/>
    <s v="REAL-PROY."/>
    <m/>
    <m/>
    <m/>
    <m/>
    <m/>
    <m/>
    <m/>
    <m/>
    <m/>
  </r>
  <r>
    <n v="18.747287671232876"/>
    <s v="99.- Cosecha 2013 - Real"/>
    <x v="2"/>
    <s v="Real"/>
    <s v="BT01EQ01TR03"/>
    <x v="5"/>
    <x v="10"/>
    <x v="3"/>
    <x v="1"/>
    <s v="BT01E01T3"/>
    <x v="3"/>
    <x v="2"/>
    <x v="38"/>
    <x v="0"/>
    <n v="570.23"/>
    <n v="5.97"/>
    <n v="1"/>
    <n v="245.19"/>
    <n v="13.08"/>
    <n v="13.858665999999999"/>
    <n v="12.334499999999901"/>
    <n v="245.19"/>
    <n v="300590.68"/>
    <x v="29"/>
    <x v="0"/>
    <x v="3"/>
    <n v="3398.0063165399902"/>
    <n v="3024.2960549999998"/>
    <n v="570.23"/>
    <n v="33980.063165399901"/>
    <x v="1"/>
    <s v="REAL-PROY."/>
    <m/>
    <m/>
    <m/>
    <m/>
    <m/>
    <m/>
    <m/>
    <m/>
    <m/>
  </r>
  <r>
    <n v="19.791383919958093"/>
    <s v="99.- Cosecha 2013 - Real"/>
    <x v="2"/>
    <s v="Real"/>
    <s v="BT01EQ01TR03"/>
    <x v="5"/>
    <x v="10"/>
    <x v="3"/>
    <x v="1"/>
    <s v="BT01E01T3"/>
    <x v="3"/>
    <x v="2"/>
    <x v="38"/>
    <x v="0"/>
    <n v="601.98792756539206"/>
    <n v="5.97"/>
    <n v="4.97"/>
    <n v="178.68"/>
    <n v="9.0299999999999994"/>
    <n v="14.5722447299671"/>
    <n v="13.080081341043099"/>
    <n v="888.04"/>
    <n v="316459.62"/>
    <x v="30"/>
    <x v="0"/>
    <x v="1"/>
    <n v="12940.736209999999"/>
    <n v="11615.635434100001"/>
    <n v="2991.88"/>
    <n v="129407.36209999899"/>
    <x v="1"/>
    <s v="REAL-PROY."/>
    <m/>
    <m/>
    <m/>
    <m/>
    <m/>
    <m/>
    <m/>
    <m/>
    <m/>
  </r>
  <r>
    <n v="16.915981735159793"/>
    <s v="99.- Cosecha 2013 - Real"/>
    <x v="2"/>
    <s v="Real"/>
    <s v="BT01EQ01TR04"/>
    <x v="5"/>
    <x v="10"/>
    <x v="3"/>
    <x v="4"/>
    <s v="BT01E01T4"/>
    <x v="3"/>
    <x v="2"/>
    <x v="39"/>
    <x v="0"/>
    <n v="514.52777777777703"/>
    <n v="6.12"/>
    <n v="6.12"/>
    <n v="181.85"/>
    <n v="10.75"/>
    <n v="15.0554695284297"/>
    <n v="13.5651464184128"/>
    <n v="1112.9199999999901"/>
    <n v="678148.79"/>
    <x v="31"/>
    <x v="0"/>
    <x v="2"/>
    <n v="16755.533147580001"/>
    <n v="15096.922751979901"/>
    <n v="3148.91"/>
    <n v="167555.33147579999"/>
    <x v="1"/>
    <s v="REAL-PROY."/>
    <m/>
    <m/>
    <m/>
    <m/>
    <m/>
    <m/>
    <m/>
    <m/>
    <m/>
  </r>
  <r>
    <n v="16.557705104763023"/>
    <s v="99.- Cosecha 2013 - Real"/>
    <x v="2"/>
    <s v="Real"/>
    <s v="BT01EQ01TR05"/>
    <x v="5"/>
    <x v="10"/>
    <x v="3"/>
    <x v="5"/>
    <s v="BT01E01T5"/>
    <x v="1"/>
    <x v="10"/>
    <x v="40"/>
    <x v="0"/>
    <n v="503.63019693654201"/>
    <n v="8.7100000000000009"/>
    <n v="4.57"/>
    <n v="155.80000000000001"/>
    <n v="9.41"/>
    <n v="15.345746511537699"/>
    <n v="13.872040466931599"/>
    <n v="712.01"/>
    <n v="553479.81000000006"/>
    <x v="32"/>
    <x v="0"/>
    <x v="1"/>
    <n v="10926.324973679901"/>
    <n v="9877.03153285999"/>
    <n v="2301.59"/>
    <n v="109263.249736799"/>
    <x v="1"/>
    <s v="REAL-PROY."/>
    <m/>
    <m/>
    <m/>
    <m/>
    <m/>
    <m/>
    <m/>
    <m/>
    <m/>
  </r>
  <r>
    <n v="16.912924359737914"/>
    <s v="99.- Cosecha 2013 - Real"/>
    <x v="2"/>
    <s v="Real"/>
    <s v="BT01EQ01TR05"/>
    <x v="5"/>
    <x v="10"/>
    <x v="3"/>
    <x v="5"/>
    <s v="BT01E01T5"/>
    <x v="1"/>
    <x v="10"/>
    <x v="40"/>
    <x v="0"/>
    <n v="514.43478260869495"/>
    <n v="8.7100000000000009"/>
    <n v="4.1399999999999997"/>
    <n v="180.98"/>
    <n v="10.7"/>
    <n v="15.645759711284599"/>
    <n v="14.1428622689356"/>
    <n v="749.25"/>
    <n v="683061.85"/>
    <x v="33"/>
    <x v="0"/>
    <x v="2"/>
    <n v="11722.58546368"/>
    <n v="10596.539554999999"/>
    <n v="2129.7600000000002"/>
    <n v="117225.8546368"/>
    <x v="1"/>
    <s v="REAL-PROY."/>
    <m/>
    <m/>
    <m/>
    <m/>
    <m/>
    <m/>
    <m/>
    <m/>
    <m/>
  </r>
  <r>
    <n v="16.734127886850281"/>
    <s v="99.- Cosecha 2013 - Real"/>
    <x v="2"/>
    <s v="Real"/>
    <s v="BT01EQ01TR06"/>
    <x v="5"/>
    <x v="10"/>
    <x v="3"/>
    <x v="0"/>
    <s v="BT01E01T6"/>
    <x v="1"/>
    <x v="10"/>
    <x v="41"/>
    <x v="0"/>
    <n v="508.99638989169603"/>
    <n v="8.31"/>
    <n v="8.31"/>
    <n v="140.56"/>
    <n v="8.4"/>
    <n v="15.7006332653842"/>
    <n v="14.2034705597647"/>
    <n v="1168.08"/>
    <n v="548414.71999999997"/>
    <x v="34"/>
    <x v="0"/>
    <x v="2"/>
    <n v="18339.595704629999"/>
    <n v="16590.78989145"/>
    <n v="4229.76"/>
    <n v="183395.9570463"/>
    <x v="1"/>
    <s v="REAL-PROY."/>
    <m/>
    <m/>
    <m/>
    <m/>
    <m/>
    <m/>
    <m/>
    <m/>
    <m/>
  </r>
  <r>
    <n v="16.641353048810629"/>
    <s v="99.- Cosecha 2013 - Real"/>
    <x v="2"/>
    <s v="Real"/>
    <s v="BT01EQ01TR07"/>
    <x v="5"/>
    <x v="10"/>
    <x v="3"/>
    <x v="6"/>
    <s v="BT01E01T7"/>
    <x v="3"/>
    <x v="12"/>
    <x v="42"/>
    <x v="3"/>
    <n v="506.17448856799001"/>
    <n v="8.31"/>
    <n v="8.31"/>
    <n v="167.81"/>
    <n v="10.08"/>
    <n v="14.3930192662674"/>
    <n v="12.9113481946862"/>
    <n v="1394.5"/>
    <n v="575933.13"/>
    <x v="35"/>
    <x v="0"/>
    <x v="2"/>
    <n v="20071.065366809999"/>
    <n v="18004.87505749"/>
    <n v="4206.3100000000004"/>
    <n v="200710.65366810001"/>
    <x v="1"/>
    <s v="REAL-PROY."/>
    <m/>
    <m/>
    <m/>
    <m/>
    <m/>
    <m/>
    <m/>
    <m/>
    <m/>
  </r>
  <r>
    <n v="16.404103217585195"/>
    <s v="99.- Cosecha 2013 - Real"/>
    <x v="2"/>
    <s v="Real"/>
    <s v="BT01EQ01TR08"/>
    <x v="5"/>
    <x v="10"/>
    <x v="3"/>
    <x v="7"/>
    <s v="BT01E01T8"/>
    <x v="1"/>
    <x v="10"/>
    <x v="43"/>
    <x v="0"/>
    <n v="498.958139534883"/>
    <n v="8.6"/>
    <n v="8.6"/>
    <n v="171.2"/>
    <n v="10.44"/>
    <n v="15.4073973470417"/>
    <n v="13.9006440483383"/>
    <n v="1472.33"/>
    <n v="843365.88"/>
    <x v="36"/>
    <x v="0"/>
    <x v="2"/>
    <n v="22684.77333597"/>
    <n v="20466.335251689899"/>
    <n v="4291.04"/>
    <n v="226847.73335969899"/>
    <x v="1"/>
    <s v="REAL-PROY."/>
    <m/>
    <m/>
    <m/>
    <m/>
    <m/>
    <m/>
    <m/>
    <m/>
    <m/>
  </r>
  <r>
    <n v="11.399174493031035"/>
    <s v="99.- Cosecha 2013 - Real"/>
    <x v="2"/>
    <s v="Real"/>
    <s v="CP01EQ01LT10"/>
    <x v="6"/>
    <x v="11"/>
    <x v="3"/>
    <x v="8"/>
    <s v="CP01LT10"/>
    <x v="1"/>
    <x v="5"/>
    <x v="44"/>
    <x v="0"/>
    <n v="346.724890829694"/>
    <n v="11.91"/>
    <n v="11.45"/>
    <n v="106.04"/>
    <n v="9.3000000000000007"/>
    <n v="15.1413083761283"/>
    <n v="13.660883821044999"/>
    <n v="1214.1599999999901"/>
    <n v="648611.65"/>
    <x v="37"/>
    <x v="0"/>
    <x v="1"/>
    <n v="18383.9709779599"/>
    <n v="16586.498700159998"/>
    <n v="3970"/>
    <n v="183839.70977959901"/>
    <x v="1"/>
    <s v="REAL-PROY."/>
    <m/>
    <m/>
    <m/>
    <m/>
    <m/>
    <m/>
    <m/>
    <m/>
    <m/>
  </r>
  <r>
    <n v="11.255127304023519"/>
    <s v="99.- Cosecha 2013 - Real"/>
    <x v="2"/>
    <s v="Real"/>
    <s v="CP01EQ01LT14"/>
    <x v="6"/>
    <x v="11"/>
    <x v="3"/>
    <x v="9"/>
    <s v="CP01LT14"/>
    <x v="1"/>
    <x v="5"/>
    <x v="44"/>
    <x v="0"/>
    <n v="342.34345549738202"/>
    <n v="9.5500000000000007"/>
    <n v="9.5499999999999901"/>
    <n v="143.15"/>
    <n v="12.72"/>
    <n v="15.052941723844"/>
    <n v="13.5816564646438"/>
    <n v="1367.09"/>
    <n v="975874.71"/>
    <x v="38"/>
    <x v="0"/>
    <x v="1"/>
    <n v="20578.726101249998"/>
    <n v="18567.346736250001"/>
    <n v="3269.3799999999901"/>
    <n v="205787.26101250001"/>
    <x v="1"/>
    <s v="REAL-PROY."/>
    <m/>
    <m/>
    <m/>
    <m/>
    <m/>
    <m/>
    <m/>
    <m/>
    <m/>
  </r>
  <r>
    <n v="16.242338790511166"/>
    <s v="99.- Cosecha 2013 - Real"/>
    <x v="2"/>
    <s v="Real"/>
    <s v="CP01EQ01LT18"/>
    <x v="6"/>
    <x v="11"/>
    <x v="3"/>
    <x v="10"/>
    <s v="CP01LT18"/>
    <x v="1"/>
    <x v="5"/>
    <x v="45"/>
    <x v="0"/>
    <n v="494.03780487804801"/>
    <n v="16.399999999999999"/>
    <n v="16.399999999999999"/>
    <n v="144.19"/>
    <n v="8.8800000000000008"/>
    <n v="14.961817595738999"/>
    <n v="13.490008685479401"/>
    <n v="2364.71"/>
    <n v="859154.02"/>
    <x v="37"/>
    <x v="0"/>
    <x v="1"/>
    <n v="35380.359686819997"/>
    <n v="31899.958438639998"/>
    <n v="8102.22"/>
    <n v="353803.59686819999"/>
    <x v="1"/>
    <s v="REAL-PROY."/>
    <m/>
    <m/>
    <m/>
    <m/>
    <m/>
    <m/>
    <m/>
    <m/>
    <m/>
  </r>
  <r>
    <n v="15.936387079463968"/>
    <s v="99.- Cosecha 2013 - Real"/>
    <x v="2"/>
    <s v="Real"/>
    <s v="CP01EQ01LT20"/>
    <x v="6"/>
    <x v="11"/>
    <x v="3"/>
    <x v="11"/>
    <s v="CP01LT20"/>
    <x v="1"/>
    <x v="5"/>
    <x v="46"/>
    <x v="0"/>
    <n v="484.73177366702902"/>
    <n v="18.38"/>
    <n v="18.38"/>
    <n v="215.21"/>
    <n v="13.5"/>
    <n v="14.0044732180456"/>
    <n v="12.558964808882999"/>
    <n v="3955.64"/>
    <n v="2811435.98"/>
    <x v="39"/>
    <x v="0"/>
    <x v="1"/>
    <n v="55396.654440229999"/>
    <n v="49678.743556610003"/>
    <n v="8909.3699999999899"/>
    <n v="553966.54440230003"/>
    <x v="1"/>
    <s v="REAL-PROY."/>
    <m/>
    <m/>
    <m/>
    <m/>
    <m/>
    <m/>
    <m/>
    <m/>
    <m/>
  </r>
  <r>
    <n v="16.095395434647028"/>
    <s v="99.- Cosecha 2013 - Real"/>
    <x v="2"/>
    <s v="Real"/>
    <s v="CP01EQ01LT25"/>
    <x v="6"/>
    <x v="11"/>
    <x v="3"/>
    <x v="12"/>
    <s v="CP01LT25"/>
    <x v="1"/>
    <x v="5"/>
    <x v="47"/>
    <x v="0"/>
    <n v="489.56827780384702"/>
    <n v="21.31"/>
    <n v="21.31"/>
    <n v="208.56"/>
    <n v="12.96"/>
    <n v="13.6305771020356"/>
    <n v="12.141794382113799"/>
    <n v="4444.33"/>
    <n v="2341717.35"/>
    <x v="40"/>
    <x v="0"/>
    <x v="1"/>
    <n v="60578.782731890002"/>
    <n v="53962.141026259997"/>
    <n v="10432.700000000001"/>
    <n v="605787.82731890003"/>
    <x v="1"/>
    <s v="REAL-PROY."/>
    <m/>
    <m/>
    <m/>
    <m/>
    <m/>
    <m/>
    <m/>
    <m/>
    <m/>
  </r>
  <r>
    <n v="16.09354725227865"/>
    <s v="99.- Cosecha 2013 - Real"/>
    <x v="2"/>
    <s v="Real"/>
    <s v="CP01EQ01LT39"/>
    <x v="6"/>
    <x v="11"/>
    <x v="3"/>
    <x v="13"/>
    <s v="CP01LT39"/>
    <x v="1"/>
    <x v="5"/>
    <x v="48"/>
    <x v="0"/>
    <n v="489.51206225680897"/>
    <n v="12.85"/>
    <n v="12.85"/>
    <n v="181.22"/>
    <n v="11.26"/>
    <n v="14.1970736372818"/>
    <n v="12.7242163218017"/>
    <n v="2328.6509999999998"/>
    <n v="1406918.85"/>
    <x v="38"/>
    <x v="0"/>
    <x v="1"/>
    <n v="33060.029722530002"/>
    <n v="29630.259061979999"/>
    <n v="6290.23"/>
    <n v="330600.29722529999"/>
    <x v="1"/>
    <s v="REAL-PROY."/>
    <m/>
    <m/>
    <m/>
    <m/>
    <m/>
    <m/>
    <m/>
    <m/>
    <m/>
  </r>
  <r>
    <n v="11.808853298646378"/>
    <s v="99.- Cosecha 2013 - Real"/>
    <x v="2"/>
    <s v="Real"/>
    <s v="CP01EQ01LTSF"/>
    <x v="6"/>
    <x v="11"/>
    <x v="3"/>
    <x v="14"/>
    <s v="CP01LTSF"/>
    <x v="1"/>
    <x v="5"/>
    <x v="49"/>
    <x v="0"/>
    <n v="359.18595450049401"/>
    <n v="20.22"/>
    <n v="20.22"/>
    <n v="141.61000000000001"/>
    <n v="11.99"/>
    <n v="15.0119494005916"/>
    <n v="13.552058590541201"/>
    <n v="2863.39"/>
    <n v="1016386.45"/>
    <x v="41"/>
    <x v="0"/>
    <x v="1"/>
    <n v="42985.06579416"/>
    <n v="38804.829047569998"/>
    <n v="7262.7399999999898"/>
    <n v="429850.65794160002"/>
    <x v="1"/>
    <s v="REAL-PROY."/>
    <m/>
    <m/>
    <m/>
    <m/>
    <m/>
    <m/>
    <m/>
    <m/>
    <m/>
  </r>
  <r>
    <n v="12.813650097303551"/>
    <s v="99.- Cosecha 2013 - Real"/>
    <x v="2"/>
    <s v="Real"/>
    <s v="CT01EQ01TR01"/>
    <x v="5"/>
    <x v="12"/>
    <x v="3"/>
    <x v="2"/>
    <s v="CT01E01T1"/>
    <x v="1"/>
    <x v="6"/>
    <x v="50"/>
    <x v="0"/>
    <n v="389.74852379298301"/>
    <n v="28.79"/>
    <n v="28.79"/>
    <n v="112.91"/>
    <n v="8.81"/>
    <n v="15.067981878986"/>
    <n v="13.604134235930699"/>
    <n v="3250.7"/>
    <n v="1224124.3500000001"/>
    <x v="42"/>
    <x v="0"/>
    <x v="4"/>
    <n v="48981.488694020001"/>
    <n v="44222.95916074"/>
    <n v="11220.86"/>
    <n v="489814.8869402"/>
    <x v="1"/>
    <s v="REAL-PROY."/>
    <m/>
    <m/>
    <m/>
    <m/>
    <m/>
    <m/>
    <m/>
    <m/>
    <m/>
  </r>
  <r>
    <n v="12.16768264840182"/>
    <s v="99.- Cosecha 2013 - Real"/>
    <x v="2"/>
    <s v="Real"/>
    <s v="CT01EQ01TR02"/>
    <x v="5"/>
    <x v="12"/>
    <x v="3"/>
    <x v="3"/>
    <s v="CT01E01T2"/>
    <x v="1"/>
    <x v="6"/>
    <x v="51"/>
    <x v="0"/>
    <n v="370.10034722222201"/>
    <n v="28.8"/>
    <n v="28.799999999999901"/>
    <n v="108.71"/>
    <n v="8.93"/>
    <n v="14.877505277694301"/>
    <n v="13.424360059965601"/>
    <n v="3130.96"/>
    <n v="682657.32"/>
    <x v="43"/>
    <x v="0"/>
    <x v="5"/>
    <n v="46580.873924250001"/>
    <n v="42031.134373350003"/>
    <n v="10658.89"/>
    <n v="465808.73924249999"/>
    <x v="1"/>
    <s v="REAL-PROY."/>
    <m/>
    <m/>
    <m/>
    <m/>
    <m/>
    <m/>
    <m/>
    <m/>
    <m/>
  </r>
  <r>
    <n v="13.904107963090913"/>
    <s v="99.- Cosecha 2013 - Real"/>
    <x v="2"/>
    <s v="Real"/>
    <s v="CT02EQ01TR01"/>
    <x v="5"/>
    <x v="13"/>
    <x v="3"/>
    <x v="2"/>
    <s v="CT02E01T1"/>
    <x v="1"/>
    <x v="8"/>
    <x v="52"/>
    <x v="0"/>
    <n v="422.91661721068198"/>
    <n v="49.38"/>
    <n v="33.700000000000003"/>
    <n v="163.6"/>
    <n v="11.77"/>
    <n v="13.5551434290918"/>
    <n v="12.104560901887201"/>
    <n v="5513.241"/>
    <n v="1534173.09"/>
    <x v="44"/>
    <x v="0"/>
    <x v="5"/>
    <n v="74732.772514149896"/>
    <n v="66735.361451282006"/>
    <n v="14252.289999999901"/>
    <n v="747327.72514149896"/>
    <x v="1"/>
    <s v="REAL-PROY."/>
    <m/>
    <m/>
    <m/>
    <m/>
    <m/>
    <m/>
    <m/>
    <m/>
    <m/>
  </r>
  <r>
    <n v="15.048077998322597"/>
    <s v="99.- Cosecha 2013 - Real"/>
    <x v="2"/>
    <s v="Real"/>
    <s v="CT02EQ01TR01"/>
    <x v="5"/>
    <x v="13"/>
    <x v="3"/>
    <x v="2"/>
    <s v="CT02E01T1"/>
    <x v="1"/>
    <x v="8"/>
    <x v="52"/>
    <x v="0"/>
    <n v="457.71237244897901"/>
    <n v="49.38"/>
    <n v="15.68"/>
    <n v="136.85"/>
    <n v="9.09"/>
    <n v="13.972791663443299"/>
    <n v="12.482238760519101"/>
    <n v="2145.85"/>
    <n v="998878.84"/>
    <x v="45"/>
    <x v="0"/>
    <x v="6"/>
    <n v="29983.514990999902"/>
    <n v="26785.012044259998"/>
    <n v="7176.93"/>
    <n v="299835.14990999998"/>
    <x v="1"/>
    <s v="REAL-PROY."/>
    <m/>
    <m/>
    <m/>
    <m/>
    <m/>
    <m/>
    <m/>
    <m/>
    <m/>
  </r>
  <r>
    <n v="12.010811804725545"/>
    <s v="99.- Cosecha 2013 - Real"/>
    <x v="2"/>
    <s v="Real"/>
    <s v="CT02EQ01TR02"/>
    <x v="5"/>
    <x v="13"/>
    <x v="3"/>
    <x v="3"/>
    <s v="CT02E01T2"/>
    <x v="1"/>
    <x v="8"/>
    <x v="51"/>
    <x v="0"/>
    <n v="365.32885906040201"/>
    <n v="16.28"/>
    <n v="1.49"/>
    <n v="118.94"/>
    <n v="9.9"/>
    <n v="11.5406089606139"/>
    <n v="10.173346405597499"/>
    <n v="177.22"/>
    <n v="106753.17"/>
    <x v="46"/>
    <x v="0"/>
    <x v="5"/>
    <n v="2045.2267199999999"/>
    <n v="1802.9204499999901"/>
    <n v="544.34"/>
    <n v="20452.267199999998"/>
    <x v="1"/>
    <s v="REAL-PROY."/>
    <m/>
    <m/>
    <m/>
    <m/>
    <m/>
    <m/>
    <m/>
    <m/>
    <m/>
  </r>
  <r>
    <n v="13.19118281065292"/>
    <s v="99.- Cosecha 2013 - Real"/>
    <x v="2"/>
    <s v="Real"/>
    <s v="CT02EQ01TR02"/>
    <x v="5"/>
    <x v="13"/>
    <x v="3"/>
    <x v="3"/>
    <s v="CT02E01T2"/>
    <x v="1"/>
    <x v="8"/>
    <x v="51"/>
    <x v="0"/>
    <n v="401.23181049069302"/>
    <n v="16.28"/>
    <n v="5.91"/>
    <n v="116.84"/>
    <n v="8.86"/>
    <n v="14.1428413596472"/>
    <n v="12.652826737845899"/>
    <n v="690.51"/>
    <n v="264615.12"/>
    <x v="45"/>
    <x v="0"/>
    <x v="6"/>
    <n v="9765.7733872499994"/>
    <n v="8736.9033907499997"/>
    <n v="2371.2799999999902"/>
    <n v="97657.733872499899"/>
    <x v="1"/>
    <s v="REAL-PROY."/>
    <m/>
    <m/>
    <m/>
    <m/>
    <m/>
    <m/>
    <m/>
    <m/>
    <m/>
  </r>
  <r>
    <n v="13.646397906861337"/>
    <s v="99.- Cosecha 2013 - Real"/>
    <x v="2"/>
    <s v="Real"/>
    <s v="CT02EQ01TR02"/>
    <x v="5"/>
    <x v="13"/>
    <x v="3"/>
    <x v="3"/>
    <s v="CT02E01T2"/>
    <x v="1"/>
    <x v="8"/>
    <x v="51"/>
    <x v="0"/>
    <n v="415.07793633369897"/>
    <n v="16.28"/>
    <n v="9.11"/>
    <n v="138.19999999999999"/>
    <n v="10.130000000000001"/>
    <n v="14.6392554901509"/>
    <n v="13.1839227053137"/>
    <n v="1259"/>
    <n v="354267.62"/>
    <x v="47"/>
    <x v="0"/>
    <x v="7"/>
    <n v="18430.822662099999"/>
    <n v="16598.55868599"/>
    <n v="3781.36"/>
    <n v="184308.22662099899"/>
    <x v="1"/>
    <s v="REAL-PROY."/>
    <m/>
    <m/>
    <m/>
    <m/>
    <m/>
    <m/>
    <m/>
    <m/>
    <m/>
  </r>
  <r>
    <n v="15.915044181588659"/>
    <s v="99.- Cosecha 2013 - Real"/>
    <x v="2"/>
    <s v="Real"/>
    <s v="HC01EQ01TR01"/>
    <x v="4"/>
    <x v="9"/>
    <x v="3"/>
    <x v="2"/>
    <s v="HC01E01T1"/>
    <x v="1"/>
    <x v="13"/>
    <x v="38"/>
    <x v="0"/>
    <n v="484.08259385665502"/>
    <n v="26.02"/>
    <n v="14.65"/>
    <n v="156.16999999999999"/>
    <n v="9.81"/>
    <n v="12.258784112541299"/>
    <n v="10.5684135350399"/>
    <n v="2287.96"/>
    <n v="884727.73"/>
    <x v="48"/>
    <x v="0"/>
    <x v="8"/>
    <n v="28047.607698129999"/>
    <n v="24180.10743163"/>
    <n v="7091.8099999999904"/>
    <n v="280476.07698129897"/>
    <x v="1"/>
    <s v="REAL-PROY."/>
    <m/>
    <m/>
    <m/>
    <m/>
    <m/>
    <m/>
    <m/>
    <m/>
    <m/>
  </r>
  <r>
    <n v="16.076712328767087"/>
    <s v="99.- Cosecha 2013 - Real"/>
    <x v="2"/>
    <s v="Real"/>
    <s v="HC01EQ01TR01"/>
    <x v="4"/>
    <x v="9"/>
    <x v="3"/>
    <x v="2"/>
    <s v="HC01E01T1"/>
    <x v="1"/>
    <x v="13"/>
    <x v="38"/>
    <x v="0"/>
    <n v="488.99999999999898"/>
    <n v="26.02"/>
    <n v="2.2999999999999998"/>
    <n v="160.09"/>
    <n v="9.9600000000000009"/>
    <n v="12.351749999999999"/>
    <n v="10.699875"/>
    <n v="368.21"/>
    <n v="589472.18999999994"/>
    <x v="49"/>
    <x v="0"/>
    <x v="9"/>
    <n v="4548.0378674999902"/>
    <n v="3939.8009737500001"/>
    <n v="1124.69999999999"/>
    <n v="45480.378675"/>
    <x v="1"/>
    <s v="REAL-PROY."/>
    <m/>
    <m/>
    <m/>
    <m/>
    <m/>
    <m/>
    <m/>
    <m/>
    <m/>
  </r>
  <r>
    <n v="17.63301145295306"/>
    <s v="99.- Cosecha 2013 - Real"/>
    <x v="2"/>
    <s v="Real"/>
    <s v="HC01EQ01TR01"/>
    <x v="4"/>
    <x v="9"/>
    <x v="3"/>
    <x v="2"/>
    <s v="HC01E01T1"/>
    <x v="1"/>
    <x v="13"/>
    <x v="38"/>
    <x v="0"/>
    <n v="536.33743169398895"/>
    <n v="26.02"/>
    <n v="7.3199999999999896"/>
    <n v="161.22"/>
    <n v="9.14"/>
    <n v="13.7654668497707"/>
    <n v="12.1890065445332"/>
    <n v="1180.1299999999901"/>
    <n v="479225.17"/>
    <x v="50"/>
    <x v="0"/>
    <x v="10"/>
    <n v="16245.0403934199"/>
    <n v="14384.6122934"/>
    <n v="3925.99"/>
    <n v="162450.40393419901"/>
    <x v="1"/>
    <s v="REAL-PROY."/>
    <m/>
    <m/>
    <m/>
    <m/>
    <m/>
    <m/>
    <m/>
    <m/>
    <m/>
  </r>
  <r>
    <n v="18.706849315068492"/>
    <s v="99.- Cosecha 2013 - Real"/>
    <x v="2"/>
    <s v="Real"/>
    <s v="HC01EQ01TR01"/>
    <x v="4"/>
    <x v="9"/>
    <x v="3"/>
    <x v="2"/>
    <s v="HC01E01T1"/>
    <x v="1"/>
    <x v="13"/>
    <x v="38"/>
    <x v="0"/>
    <n v="569"/>
    <n v="26.02"/>
    <n v="0.48"/>
    <n v="220.35"/>
    <n v="11.78"/>
    <n v="14.616"/>
    <n v="13.151"/>
    <n v="105.77"/>
    <n v="233068.6"/>
    <x v="51"/>
    <x v="0"/>
    <x v="3"/>
    <n v="1545.9343199999901"/>
    <n v="1390.98127"/>
    <n v="273.12"/>
    <n v="15459.343199999899"/>
    <x v="1"/>
    <s v="REAL-PROY."/>
    <m/>
    <m/>
    <m/>
    <m/>
    <m/>
    <m/>
    <m/>
    <m/>
    <m/>
  </r>
  <r>
    <n v="19.478219178082188"/>
    <s v="99.- Cosecha 2013 - Real"/>
    <x v="2"/>
    <s v="Real"/>
    <s v="HC01EQ01TR01"/>
    <x v="4"/>
    <x v="9"/>
    <x v="3"/>
    <x v="2"/>
    <s v="HC01E01T1"/>
    <x v="1"/>
    <x v="13"/>
    <x v="38"/>
    <x v="0"/>
    <n v="592.46249999999998"/>
    <n v="26.02"/>
    <n v="0.8"/>
    <n v="182.78"/>
    <n v="9.3800000000000008"/>
    <n v="15.5968634198922"/>
    <n v="14.0955405607681"/>
    <n v="146.22800000000001"/>
    <n v="45132.06"/>
    <x v="52"/>
    <x v="0"/>
    <x v="1"/>
    <n v="2280.698144164"/>
    <n v="2061.1627051199998"/>
    <n v="473.97"/>
    <n v="22806.98144164"/>
    <x v="1"/>
    <s v="REAL-PROY."/>
    <m/>
    <m/>
    <m/>
    <m/>
    <m/>
    <m/>
    <m/>
    <m/>
    <m/>
  </r>
  <r>
    <n v="11.300477495107627"/>
    <s v="99.- Cosecha 2013 - Real"/>
    <x v="2"/>
    <s v="Real"/>
    <s v="HC01EQ01TR02"/>
    <x v="4"/>
    <x v="9"/>
    <x v="3"/>
    <x v="3"/>
    <s v="HC01E01T2"/>
    <x v="0"/>
    <x v="11"/>
    <x v="25"/>
    <x v="0"/>
    <n v="343.72285714285698"/>
    <n v="25.902000000000001"/>
    <n v="3.5"/>
    <n v="117.91"/>
    <n v="10.43"/>
    <n v="15.7707156935565"/>
    <n v="14.3131099196452"/>
    <n v="412.67"/>
    <n v="243793.43"/>
    <x v="53"/>
    <x v="0"/>
    <x v="4"/>
    <n v="6508.1012452599998"/>
    <n v="5906.5910705400001"/>
    <n v="1203.03"/>
    <n v="65081.0124526"/>
    <x v="1"/>
    <s v="REAL-PROY."/>
    <m/>
    <m/>
    <m/>
    <m/>
    <m/>
    <m/>
    <m/>
    <m/>
    <m/>
  </r>
  <r>
    <n v="11.803143580091476"/>
    <s v="99.- Cosecha 2013 - Real"/>
    <x v="2"/>
    <s v="Real"/>
    <s v="HC01EQ01TR03"/>
    <x v="4"/>
    <x v="9"/>
    <x v="3"/>
    <x v="1"/>
    <s v="HC01E01T3"/>
    <x v="0"/>
    <x v="11"/>
    <x v="53"/>
    <x v="0"/>
    <n v="359.01228389444901"/>
    <n v="22.459999999999901"/>
    <n v="21.98"/>
    <n v="122.29"/>
    <n v="10.36"/>
    <n v="15.6714451054339"/>
    <n v="14.2177601521685"/>
    <n v="2687.94"/>
    <n v="1096537.1499999999"/>
    <x v="54"/>
    <x v="0"/>
    <x v="6"/>
    <n v="42123.904156700002"/>
    <n v="38216.486223419997"/>
    <n v="7891.09"/>
    <n v="421239.04156699998"/>
    <x v="1"/>
    <s v="REAL-PROY."/>
    <m/>
    <m/>
    <m/>
    <m/>
    <m/>
    <m/>
    <m/>
    <m/>
    <m/>
  </r>
  <r>
    <n v="11.913148371531946"/>
    <s v="99.- Cosecha 2013 - Real"/>
    <x v="2"/>
    <s v="Real"/>
    <s v="HC01EQ01TR04"/>
    <x v="4"/>
    <x v="9"/>
    <x v="3"/>
    <x v="4"/>
    <s v="HC01E01T4"/>
    <x v="0"/>
    <x v="11"/>
    <x v="54"/>
    <x v="0"/>
    <n v="362.35826296742999"/>
    <n v="24.87"/>
    <n v="24.869999999999902"/>
    <n v="106.08"/>
    <n v="8.9"/>
    <n v="15.9297406208543"/>
    <n v="14.4455946036462"/>
    <n v="2638.3"/>
    <n v="694689.98"/>
    <x v="55"/>
    <x v="0"/>
    <x v="6"/>
    <n v="42027.434679999998"/>
    <n v="38111.812242799999"/>
    <n v="9011.8499999999894"/>
    <n v="420274.34679999901"/>
    <x v="1"/>
    <s v="REAL-PROY."/>
    <m/>
    <m/>
    <m/>
    <m/>
    <m/>
    <m/>
    <m/>
    <m/>
    <m/>
  </r>
  <r>
    <n v="11.711256700416888"/>
    <s v="99.- Cosecha 2013 - Real"/>
    <x v="2"/>
    <s v="Real"/>
    <s v="HC01EQ02TR01"/>
    <x v="4"/>
    <x v="9"/>
    <x v="8"/>
    <x v="2"/>
    <s v="HC01E02T1"/>
    <x v="0"/>
    <x v="9"/>
    <x v="26"/>
    <x v="0"/>
    <n v="356.21739130434702"/>
    <n v="14.63"/>
    <n v="4.1399999999999997"/>
    <n v="113"/>
    <n v="9.65"/>
    <n v="14.9847519612663"/>
    <n v="13.5291654517859"/>
    <n v="467.81"/>
    <n v="262311.44"/>
    <x v="56"/>
    <x v="0"/>
    <x v="4"/>
    <n v="7010.016815"/>
    <n v="6329.0788899999998"/>
    <n v="1474.74"/>
    <n v="70100.168149999998"/>
    <x v="1"/>
    <s v="REAL-PROY."/>
    <m/>
    <m/>
    <m/>
    <m/>
    <m/>
    <m/>
    <m/>
    <m/>
    <m/>
  </r>
  <r>
    <n v="13.795404612893325"/>
    <s v="99.- Cosecha 2013 - Real"/>
    <x v="2"/>
    <s v="Real"/>
    <s v="HC01EQ02TR02"/>
    <x v="4"/>
    <x v="9"/>
    <x v="8"/>
    <x v="3"/>
    <s v="HC01E02T2"/>
    <x v="1"/>
    <x v="1"/>
    <x v="55"/>
    <x v="0"/>
    <n v="419.610223642172"/>
    <n v="18.190000000000001"/>
    <n v="3.13"/>
    <n v="169.82"/>
    <n v="12.31"/>
    <n v="14.5109356752958"/>
    <n v="13.024812670931"/>
    <n v="531.53"/>
    <n v="451732.19"/>
    <x v="57"/>
    <x v="0"/>
    <x v="11"/>
    <n v="7712.9976394900004"/>
    <n v="6923.0786789799904"/>
    <n v="1313.3799999999901"/>
    <n v="77129.976394900004"/>
    <x v="1"/>
    <s v="REAL-PROY."/>
    <m/>
    <m/>
    <m/>
    <m/>
    <m/>
    <m/>
    <m/>
    <m/>
    <m/>
  </r>
  <r>
    <n v="10.945078050334487"/>
    <s v="99.- Cosecha 2013 - Real"/>
    <x v="2"/>
    <s v="Real"/>
    <s v="HC01EQ02TR03"/>
    <x v="4"/>
    <x v="9"/>
    <x v="8"/>
    <x v="1"/>
    <s v="HC01E02T3"/>
    <x v="0"/>
    <x v="8"/>
    <x v="7"/>
    <x v="0"/>
    <n v="332.91279069767398"/>
    <n v="17.2"/>
    <n v="17.2"/>
    <n v="95.31"/>
    <n v="8.7100000000000009"/>
    <n v="16.1521619589303"/>
    <n v="14.6435831545577"/>
    <n v="1639.28999999999"/>
    <n v="311587.46999999997"/>
    <x v="58"/>
    <x v="0"/>
    <x v="4"/>
    <n v="26478.077577655"/>
    <n v="24005.0794294349"/>
    <n v="5726.0999999999904"/>
    <n v="264780.77577654901"/>
    <x v="1"/>
    <s v="REAL-PROY."/>
    <m/>
    <m/>
    <m/>
    <m/>
    <m/>
    <m/>
    <m/>
    <m/>
    <m/>
  </r>
  <r>
    <n v="12.781435490577271"/>
    <s v="99.- Cosecha 2013 - Real"/>
    <x v="2"/>
    <s v="Real"/>
    <s v="HC01EQ02TR04"/>
    <x v="4"/>
    <x v="9"/>
    <x v="8"/>
    <x v="4"/>
    <s v="HC01E02T4"/>
    <x v="1"/>
    <x v="3"/>
    <x v="56"/>
    <x v="0"/>
    <n v="388.768662838392"/>
    <n v="12.91"/>
    <n v="12.19"/>
    <n v="167.32"/>
    <n v="13.09"/>
    <n v="12.343573585733299"/>
    <n v="10.8746969414193"/>
    <n v="2039.58"/>
    <n v="868737.07"/>
    <x v="59"/>
    <x v="0"/>
    <x v="8"/>
    <n v="25175.70581399"/>
    <n v="22179.814387779999"/>
    <n v="4739.09"/>
    <n v="251757.05813990001"/>
    <x v="1"/>
    <s v="REAL-PROY."/>
    <m/>
    <m/>
    <m/>
    <m/>
    <m/>
    <m/>
    <m/>
    <m/>
    <m/>
  </r>
  <r>
    <n v="13.0139500259328"/>
    <s v="99.- Cosecha 2013 - Real"/>
    <x v="2"/>
    <s v="Real"/>
    <s v="HC01EQ03TR01"/>
    <x v="4"/>
    <x v="9"/>
    <x v="5"/>
    <x v="2"/>
    <s v="HC01E03T1"/>
    <x v="0"/>
    <x v="3"/>
    <x v="57"/>
    <x v="0"/>
    <n v="395.84097995545602"/>
    <n v="22.91"/>
    <n v="22.45"/>
    <n v="157.13"/>
    <n v="12.07"/>
    <n v="14.384488013487999"/>
    <n v="12.854864674543601"/>
    <n v="3527.57"/>
    <n v="1105207.3899999999"/>
    <x v="60"/>
    <x v="0"/>
    <x v="8"/>
    <n v="50742.28838174"/>
    <n v="45346.434979979997"/>
    <n v="8886.6299999999992"/>
    <n v="507422.88381740003"/>
    <x v="1"/>
    <s v="REAL-PROY."/>
    <m/>
    <m/>
    <m/>
    <m/>
    <m/>
    <m/>
    <m/>
    <m/>
    <m/>
  </r>
  <r>
    <n v="14.268493150684931"/>
    <s v="99.- Cosecha 2013 - Real"/>
    <x v="2"/>
    <s v="Real"/>
    <s v="HC01EQ03TR02"/>
    <x v="4"/>
    <x v="9"/>
    <x v="5"/>
    <x v="3"/>
    <s v="HC01E03T2"/>
    <x v="3"/>
    <x v="3"/>
    <x v="58"/>
    <x v="2"/>
    <n v="434"/>
    <n v="25.86"/>
    <n v="0.5"/>
    <n v="217.32"/>
    <n v="15.23"/>
    <n v="14.5435"/>
    <n v="13.04"/>
    <n v="108.66"/>
    <n v="236139.91"/>
    <x v="57"/>
    <x v="0"/>
    <x v="11"/>
    <n v="1580.2967099999901"/>
    <n v="1416.9263999999901"/>
    <n v="217"/>
    <n v="15802.9670999999"/>
    <x v="1"/>
    <s v="REAL-PROY."/>
    <m/>
    <m/>
    <m/>
    <m/>
    <m/>
    <m/>
    <m/>
    <m/>
    <m/>
  </r>
  <r>
    <n v="11.17842042956196"/>
    <s v="99.- Cosecha 2013 - Real"/>
    <x v="2"/>
    <s v="Real"/>
    <s v="HC01EQ03TR02"/>
    <x v="4"/>
    <x v="9"/>
    <x v="5"/>
    <x v="3"/>
    <s v="HC01E03T2"/>
    <x v="1"/>
    <x v="10"/>
    <x v="59"/>
    <x v="2"/>
    <n v="340.01028806584299"/>
    <n v="24.5"/>
    <n v="24.3"/>
    <n v="85.13"/>
    <n v="7.62"/>
    <n v="16.028637320459001"/>
    <n v="14.5054778304652"/>
    <n v="2068.7199999999998"/>
    <n v="586365.66"/>
    <x v="61"/>
    <x v="0"/>
    <x v="4"/>
    <n v="33158.762597579997"/>
    <n v="30007.77209744"/>
    <n v="8262.25"/>
    <n v="331587.62597579998"/>
    <x v="1"/>
    <s v="REAL-PROY."/>
    <m/>
    <m/>
    <m/>
    <m/>
    <m/>
    <m/>
    <m/>
    <m/>
    <m/>
  </r>
  <r>
    <n v="13.916128326307726"/>
    <s v="99.- Cosecha 2013 - Real"/>
    <x v="2"/>
    <s v="Real"/>
    <s v="HC01EQ03TR03"/>
    <x v="4"/>
    <x v="9"/>
    <x v="5"/>
    <x v="1"/>
    <s v="HC01E03T3"/>
    <x v="3"/>
    <x v="13"/>
    <x v="60"/>
    <x v="0"/>
    <n v="423.28223659186"/>
    <n v="26.2899999999999"/>
    <n v="26.29"/>
    <n v="157.16999999999999"/>
    <n v="11.29"/>
    <n v="14.8910936837328"/>
    <n v="13.3773085008637"/>
    <n v="4132.0259999999998"/>
    <n v="728545.48"/>
    <x v="62"/>
    <x v="0"/>
    <x v="3"/>
    <n v="61530.386269619899"/>
    <n v="55275.386535589998"/>
    <n v="11128.09"/>
    <n v="615303.86269620003"/>
    <x v="1"/>
    <s v="REAL-PROY."/>
    <m/>
    <m/>
    <m/>
    <m/>
    <m/>
    <m/>
    <m/>
    <m/>
    <m/>
  </r>
  <r>
    <n v="13.453554325916974"/>
    <s v="99.- Cosecha 2013 - Real"/>
    <x v="2"/>
    <s v="Real"/>
    <s v="HC01EQ03TR04"/>
    <x v="4"/>
    <x v="9"/>
    <x v="5"/>
    <x v="4"/>
    <s v="HC01E03T4"/>
    <x v="3"/>
    <x v="13"/>
    <x v="61"/>
    <x v="0"/>
    <n v="409.21227741330802"/>
    <n v="25.14"/>
    <n v="21.3399999999999"/>
    <n v="163.82"/>
    <n v="12.18"/>
    <n v="14.778549220689399"/>
    <n v="13.264446517341"/>
    <n v="3496.0070000000001"/>
    <n v="717584.9"/>
    <x v="62"/>
    <x v="0"/>
    <x v="3"/>
    <n v="51665.911525374999"/>
    <n v="46372.597875749998"/>
    <n v="8732.59"/>
    <n v="516659.11525374901"/>
    <x v="1"/>
    <s v="REAL-PROY."/>
    <m/>
    <m/>
    <m/>
    <m/>
    <m/>
    <m/>
    <m/>
    <m/>
    <m/>
  </r>
  <r>
    <n v="14.104109589041096"/>
    <s v="99.- Cosecha 2013 - Real"/>
    <x v="2"/>
    <s v="Real"/>
    <s v="HC01EQ03TR04"/>
    <x v="4"/>
    <x v="9"/>
    <x v="5"/>
    <x v="4"/>
    <s v="HC01E03T4"/>
    <x v="3"/>
    <x v="13"/>
    <x v="61"/>
    <x v="0"/>
    <n v="429"/>
    <n v="25.14"/>
    <n v="0.5"/>
    <n v="19.559999999999999"/>
    <n v="1.39"/>
    <n v="12.538"/>
    <n v="11.106"/>
    <n v="9.782"/>
    <n v="1913.75"/>
    <x v="63"/>
    <x v="0"/>
    <x v="1"/>
    <n v="122.646716"/>
    <n v="108.638892"/>
    <n v="214.5"/>
    <n v="1226.4671599999999"/>
    <x v="1"/>
    <s v="REAL-PROY."/>
    <m/>
    <m/>
    <m/>
    <m/>
    <m/>
    <m/>
    <m/>
    <m/>
    <m/>
  </r>
  <r>
    <n v="11.081776670817765"/>
    <s v="99.- Cosecha 2013 - Real"/>
    <x v="2"/>
    <s v="Real"/>
    <s v="HC01EQ04TR01"/>
    <x v="4"/>
    <x v="9"/>
    <x v="1"/>
    <x v="2"/>
    <s v="HC01E04T1"/>
    <x v="0"/>
    <x v="10"/>
    <x v="18"/>
    <x v="0"/>
    <n v="337.07070707070699"/>
    <n v="20.79"/>
    <n v="20.79"/>
    <n v="90.23"/>
    <n v="8.14"/>
    <n v="15.552472964628899"/>
    <n v="14.0558183627034"/>
    <n v="1875.83"/>
    <n v="569526.56999999995"/>
    <x v="56"/>
    <x v="0"/>
    <x v="4"/>
    <n v="29173.795361240002"/>
    <n v="26366.325759309999"/>
    <n v="7007.6999999999898"/>
    <n v="291737.95361239999"/>
    <x v="1"/>
    <s v="REAL-PROY."/>
    <m/>
    <m/>
    <m/>
    <m/>
    <m/>
    <m/>
    <m/>
    <m/>
    <m/>
  </r>
  <r>
    <n v="12.241561095558115"/>
    <s v="99.- Cosecha 2013 - Real"/>
    <x v="2"/>
    <s v="Real"/>
    <s v="HC01EQ04TR02"/>
    <x v="4"/>
    <x v="9"/>
    <x v="1"/>
    <x v="3"/>
    <s v="HC01E04T2"/>
    <x v="0"/>
    <x v="8"/>
    <x v="62"/>
    <x v="0"/>
    <n v="372.34748332322602"/>
    <n v="16.489999999999998"/>
    <n v="16.489999999999998"/>
    <n v="84.59"/>
    <n v="6.91"/>
    <n v="16.366139152513298"/>
    <n v="14.874723078998599"/>
    <n v="1394.96"/>
    <n v="594339.31999999995"/>
    <x v="64"/>
    <x v="0"/>
    <x v="4"/>
    <n v="22830.109472190001"/>
    <n v="20749.64370628"/>
    <n v="6140.01"/>
    <n v="228301.09472190001"/>
    <x v="1"/>
    <s v="REAL-PROY."/>
    <m/>
    <m/>
    <m/>
    <m/>
    <m/>
    <m/>
    <m/>
    <m/>
    <m/>
  </r>
  <r>
    <n v="14.026630903343211"/>
    <s v="99.- Cosecha 2013 - Real"/>
    <x v="2"/>
    <s v="Real"/>
    <s v="HC01EQ04TR03"/>
    <x v="4"/>
    <x v="9"/>
    <x v="1"/>
    <x v="1"/>
    <s v="HC01E04T3"/>
    <x v="1"/>
    <x v="3"/>
    <x v="63"/>
    <x v="0"/>
    <n v="426.64335664335601"/>
    <n v="18.489999999999998"/>
    <n v="4.29"/>
    <n v="155.07"/>
    <n v="11.06"/>
    <n v="13.531155931845101"/>
    <n v="12.0776845862157"/>
    <n v="665.25"/>
    <n v="516351.62"/>
    <x v="65"/>
    <x v="0"/>
    <x v="11"/>
    <n v="9001.6014836600007"/>
    <n v="8034.6796709800001"/>
    <n v="1830.3"/>
    <n v="90016.014836600007"/>
    <x v="1"/>
    <s v="REAL-PROY."/>
    <m/>
    <m/>
    <m/>
    <m/>
    <m/>
    <m/>
    <m/>
    <m/>
    <m/>
  </r>
  <r>
    <n v="10.514835002387967"/>
    <s v="99.- Cosecha 2013 - Real"/>
    <x v="2"/>
    <s v="Real"/>
    <s v="HC01EQ04TR03"/>
    <x v="4"/>
    <x v="9"/>
    <x v="1"/>
    <x v="1"/>
    <s v="HC01E04T3"/>
    <x v="0"/>
    <x v="10"/>
    <x v="29"/>
    <x v="0"/>
    <n v="319.82623132263399"/>
    <n v="18.07"/>
    <n v="18.07"/>
    <n v="90.53"/>
    <n v="8.61"/>
    <n v="15.4436012238387"/>
    <n v="13.960549158022101"/>
    <n v="1635.91"/>
    <n v="492036.67"/>
    <x v="66"/>
    <x v="0"/>
    <x v="4"/>
    <n v="25264.341678089899"/>
    <n v="22838.2019731"/>
    <n v="5779.26"/>
    <n v="252643.41678090001"/>
    <x v="1"/>
    <s v="REAL-PROY."/>
    <m/>
    <m/>
    <m/>
    <m/>
    <m/>
    <m/>
    <m/>
    <m/>
    <m/>
  </r>
  <r>
    <n v="11.138050849747364"/>
    <s v="99.- Cosecha 2013 - Real"/>
    <x v="2"/>
    <s v="Real"/>
    <s v="HC01EQ04TR04"/>
    <x v="4"/>
    <x v="9"/>
    <x v="1"/>
    <x v="4"/>
    <s v="HC01E04T4"/>
    <x v="0"/>
    <x v="10"/>
    <x v="21"/>
    <x v="0"/>
    <n v="338.78238001314901"/>
    <n v="18.600000000000001"/>
    <n v="15.21"/>
    <n v="109.6"/>
    <n v="9.84"/>
    <n v="15.6434429991541"/>
    <n v="14.1543982341815"/>
    <n v="1667.04"/>
    <n v="897453.67"/>
    <x v="56"/>
    <x v="0"/>
    <x v="4"/>
    <n v="26078.245217309999"/>
    <n v="23595.94803231"/>
    <n v="5152.88"/>
    <n v="260782.4521731"/>
    <x v="1"/>
    <s v="REAL-PROY."/>
    <m/>
    <m/>
    <m/>
    <m/>
    <m/>
    <m/>
    <m/>
    <m/>
    <m/>
  </r>
  <r>
    <n v="15.468603649718037"/>
    <s v="99.- Cosecha 2013 - Real"/>
    <x v="2"/>
    <s v="Real"/>
    <s v="HC01EQ05TR01"/>
    <x v="4"/>
    <x v="9"/>
    <x v="2"/>
    <x v="2"/>
    <s v="HC01E05T1"/>
    <x v="3"/>
    <x v="13"/>
    <x v="64"/>
    <x v="0"/>
    <n v="470.50336101225702"/>
    <n v="25.38"/>
    <n v="25.29"/>
    <n v="130.16"/>
    <n v="8.41"/>
    <n v="13.3076873279105"/>
    <n v="11.7001818865354"/>
    <n v="3291.69"/>
    <n v="852654.87"/>
    <x v="67"/>
    <x v="0"/>
    <x v="8"/>
    <n v="43804.781300410003"/>
    <n v="38513.371714089997"/>
    <n v="11899.03"/>
    <n v="438047.8130041"/>
    <x v="1"/>
    <s v="REAL-PROY."/>
    <m/>
    <m/>
    <m/>
    <m/>
    <m/>
    <m/>
    <m/>
    <m/>
    <m/>
  </r>
  <r>
    <n v="11.520726827660877"/>
    <s v="99.- Cosecha 2013 - Real"/>
    <x v="2"/>
    <s v="Real"/>
    <s v="HC01EQ05TR02"/>
    <x v="4"/>
    <x v="9"/>
    <x v="2"/>
    <x v="3"/>
    <s v="HC01E05T2"/>
    <x v="1"/>
    <x v="11"/>
    <x v="24"/>
    <x v="0"/>
    <n v="350.42210767468498"/>
    <n v="21.59"/>
    <n v="17.46"/>
    <n v="123.95"/>
    <n v="10.76"/>
    <n v="14.5136861712302"/>
    <n v="13.074556810767801"/>
    <n v="2164.2199999999998"/>
    <n v="936745.71"/>
    <x v="68"/>
    <x v="0"/>
    <x v="7"/>
    <n v="31410.809885499999"/>
    <n v="28296.217341"/>
    <n v="6118.37"/>
    <n v="314108.09885499999"/>
    <x v="1"/>
    <s v="REAL-PROY."/>
    <m/>
    <m/>
    <m/>
    <m/>
    <m/>
    <m/>
    <m/>
    <m/>
    <m/>
  </r>
  <r>
    <n v="11.605479452054794"/>
    <s v="99.- Cosecha 2013 - Real"/>
    <x v="2"/>
    <s v="Real"/>
    <s v="HC01EQ05TR02"/>
    <x v="4"/>
    <x v="9"/>
    <x v="2"/>
    <x v="3"/>
    <s v="HC01E05T2"/>
    <x v="1"/>
    <x v="11"/>
    <x v="24"/>
    <x v="0"/>
    <n v="353"/>
    <n v="21.59"/>
    <n v="2.23"/>
    <n v="124.11"/>
    <n v="10.69"/>
    <n v="12.8825"/>
    <n v="11.425000000000001"/>
    <n v="276.76"/>
    <n v="343480.26"/>
    <x v="69"/>
    <x v="0"/>
    <x v="4"/>
    <n v="3565.3607000000002"/>
    <n v="3161.9830000000002"/>
    <n v="787.18999999999903"/>
    <n v="35653.607000000004"/>
    <x v="1"/>
    <s v="REAL-PROY."/>
    <m/>
    <m/>
    <m/>
    <m/>
    <m/>
    <m/>
    <m/>
    <m/>
    <m/>
  </r>
  <r>
    <n v="11.4266337300696"/>
    <s v="99.- Cosecha 2013 - Real"/>
    <x v="2"/>
    <s v="Real"/>
    <s v="HC01EQ05TR03"/>
    <x v="4"/>
    <x v="9"/>
    <x v="2"/>
    <x v="1"/>
    <s v="HC01E05T3"/>
    <x v="1"/>
    <x v="11"/>
    <x v="34"/>
    <x v="0"/>
    <n v="347.560109289617"/>
    <n v="16.13"/>
    <n v="10.98"/>
    <n v="119.22"/>
    <n v="10.43"/>
    <n v="14.705597263788301"/>
    <n v="13.2879566994988"/>
    <n v="1309.08"/>
    <n v="781573.24"/>
    <x v="68"/>
    <x v="0"/>
    <x v="7"/>
    <n v="19250.803266080002"/>
    <n v="17394.99835618"/>
    <n v="3816.21"/>
    <n v="192508.0326608"/>
    <x v="1"/>
    <s v="REAL-PROY."/>
    <m/>
    <m/>
    <m/>
    <m/>
    <m/>
    <m/>
    <m/>
    <m/>
    <m/>
  </r>
  <r>
    <n v="11.509838107098378"/>
    <s v="99.- Cosecha 2013 - Real"/>
    <x v="2"/>
    <s v="Real"/>
    <s v="HC01EQ05TR03"/>
    <x v="4"/>
    <x v="9"/>
    <x v="2"/>
    <x v="1"/>
    <s v="HC01E05T3"/>
    <x v="1"/>
    <x v="11"/>
    <x v="34"/>
    <x v="0"/>
    <n v="350.09090909090901"/>
    <n v="16.13"/>
    <n v="1.0999999999999901"/>
    <n v="130.56"/>
    <n v="11.34"/>
    <n v="15.0276163764795"/>
    <n v="13.580762901963499"/>
    <n v="143.62"/>
    <n v="89101.56"/>
    <x v="70"/>
    <x v="0"/>
    <x v="4"/>
    <n v="2158.26626399"/>
    <n v="1950.4691679800001"/>
    <n v="385.1"/>
    <n v="21582.662639900002"/>
    <x v="1"/>
    <s v="REAL-PROY."/>
    <m/>
    <m/>
    <m/>
    <m/>
    <m/>
    <m/>
    <m/>
    <m/>
    <m/>
  </r>
  <r>
    <n v="11.53972602739726"/>
    <s v="99.- Cosecha 2013 - Real"/>
    <x v="2"/>
    <s v="Real"/>
    <s v="HC01EQ05TR04"/>
    <x v="4"/>
    <x v="9"/>
    <x v="2"/>
    <x v="4"/>
    <s v="HC01E05T4"/>
    <x v="1"/>
    <x v="11"/>
    <x v="65"/>
    <x v="0"/>
    <n v="351"/>
    <n v="20.07"/>
    <n v="5.14"/>
    <n v="107.16"/>
    <n v="9.2899999999999991"/>
    <n v="15.1265"/>
    <n v="13.68275"/>
    <n v="550.79999999999995"/>
    <n v="590234.71"/>
    <x v="68"/>
    <x v="0"/>
    <x v="7"/>
    <n v="8331.6761999999999"/>
    <n v="7536.4586999999901"/>
    <n v="1804.1399999999901"/>
    <n v="83316.762000000002"/>
    <x v="1"/>
    <s v="REAL-PROY."/>
    <m/>
    <m/>
    <m/>
    <m/>
    <m/>
    <m/>
    <m/>
    <m/>
    <m/>
  </r>
  <r>
    <n v="11.593764508344856"/>
    <s v="99.- Cosecha 2013 - Real"/>
    <x v="2"/>
    <s v="Real"/>
    <s v="HC01EQ05TR04"/>
    <x v="4"/>
    <x v="9"/>
    <x v="2"/>
    <x v="4"/>
    <s v="HC01E05T4"/>
    <x v="1"/>
    <x v="11"/>
    <x v="65"/>
    <x v="0"/>
    <n v="352.64367046215602"/>
    <n v="20.07"/>
    <n v="14.93"/>
    <n v="100.32"/>
    <n v="8.65"/>
    <n v="15.214528513693899"/>
    <n v="13.7522133481912"/>
    <n v="1497.74"/>
    <n v="755853.43"/>
    <x v="71"/>
    <x v="0"/>
    <x v="4"/>
    <n v="22787.4079361"/>
    <n v="20597.24002012"/>
    <n v="5264.97"/>
    <n v="227874.07936100001"/>
    <x v="1"/>
    <s v="REAL-PROY."/>
    <m/>
    <m/>
    <m/>
    <m/>
    <m/>
    <m/>
    <m/>
    <m/>
    <m/>
  </r>
  <r>
    <n v="11.418880847764274"/>
    <s v="99.- Cosecha 2013 - Real"/>
    <x v="2"/>
    <s v="Real"/>
    <s v="HC01EQ05TR05"/>
    <x v="4"/>
    <x v="9"/>
    <x v="2"/>
    <x v="5"/>
    <s v="HC01E05T5"/>
    <x v="1"/>
    <x v="11"/>
    <x v="16"/>
    <x v="0"/>
    <n v="347.32429245282998"/>
    <n v="16.96"/>
    <n v="16.96"/>
    <n v="86.34"/>
    <n v="7.56"/>
    <n v="16.307728687969501"/>
    <n v="14.8223770634714"/>
    <n v="1464.28"/>
    <n v="261714.39"/>
    <x v="72"/>
    <x v="0"/>
    <x v="7"/>
    <n v="23879.08096322"/>
    <n v="21704.110286499999"/>
    <n v="5890.6199999999899"/>
    <n v="238790.809632199"/>
    <x v="1"/>
    <s v="REAL-PROY."/>
    <m/>
    <m/>
    <m/>
    <m/>
    <m/>
    <m/>
    <m/>
    <m/>
    <m/>
  </r>
  <r>
    <n v="12.043139162719234"/>
    <s v="99.- Cosecha 2013 - Real"/>
    <x v="2"/>
    <s v="Real"/>
    <s v="HC01EQ06TR01"/>
    <x v="4"/>
    <x v="9"/>
    <x v="14"/>
    <x v="2"/>
    <s v="HC01E06T1"/>
    <x v="1"/>
    <x v="10"/>
    <x v="66"/>
    <x v="0"/>
    <n v="366.31214953271001"/>
    <n v="21.4"/>
    <n v="21.4"/>
    <n v="122.21"/>
    <n v="10.15"/>
    <n v="15.281814617095799"/>
    <n v="13.817208917973399"/>
    <n v="2615.25"/>
    <n v="817733.12"/>
    <x v="73"/>
    <x v="0"/>
    <x v="6"/>
    <n v="39965.765677360003"/>
    <n v="36135.455622729998"/>
    <n v="7839.08"/>
    <n v="399657.65677360003"/>
    <x v="1"/>
    <s v="REAL-PROY."/>
    <m/>
    <m/>
    <m/>
    <m/>
    <m/>
    <m/>
    <m/>
    <m/>
    <m/>
  </r>
  <r>
    <n v="11.638442967584417"/>
    <s v="99.- Cosecha 2013 - Real"/>
    <x v="2"/>
    <s v="Real"/>
    <s v="HC01EQ06TR02"/>
    <x v="4"/>
    <x v="9"/>
    <x v="14"/>
    <x v="3"/>
    <s v="HC01E06T2"/>
    <x v="1"/>
    <x v="3"/>
    <x v="23"/>
    <x v="0"/>
    <n v="354.00264026402601"/>
    <n v="16.43"/>
    <n v="15.15"/>
    <n v="103.23"/>
    <n v="8.8699999999999992"/>
    <n v="15.2806177345328"/>
    <n v="13.832131098045901"/>
    <n v="1563.95999999999"/>
    <n v="411079.47"/>
    <x v="74"/>
    <x v="0"/>
    <x v="7"/>
    <n v="23898.274912100002"/>
    <n v="21632.899752099998"/>
    <n v="5363.14"/>
    <n v="238982.749121"/>
    <x v="1"/>
    <s v="REAL-PROY."/>
    <m/>
    <m/>
    <m/>
    <m/>
    <m/>
    <m/>
    <m/>
    <m/>
    <m/>
  </r>
  <r>
    <n v="12.361643835616439"/>
    <s v="99.- Cosecha 2013 - Real"/>
    <x v="2"/>
    <s v="Real"/>
    <s v="HC01EQ06TR02"/>
    <x v="4"/>
    <x v="9"/>
    <x v="14"/>
    <x v="3"/>
    <s v="HC01E06T2"/>
    <x v="1"/>
    <x v="3"/>
    <x v="23"/>
    <x v="0"/>
    <n v="376"/>
    <n v="16.43"/>
    <n v="0.2"/>
    <n v="124.95"/>
    <n v="10.11"/>
    <n v="15.467000000000001"/>
    <n v="13.974500000000001"/>
    <n v="24.99"/>
    <n v="31225"/>
    <x v="75"/>
    <x v="0"/>
    <x v="4"/>
    <n v="386.52033"/>
    <n v="349.22275500000001"/>
    <n v="75.2"/>
    <n v="3865.2032999999901"/>
    <x v="1"/>
    <s v="REAL-PROY."/>
    <m/>
    <m/>
    <m/>
    <m/>
    <m/>
    <m/>
    <m/>
    <m/>
    <m/>
  </r>
  <r>
    <n v="11.918519494204405"/>
    <s v="99.- Cosecha 2013 - Real"/>
    <x v="2"/>
    <s v="Real"/>
    <s v="HC01EQ06TR03"/>
    <x v="4"/>
    <x v="9"/>
    <x v="14"/>
    <x v="1"/>
    <s v="HC01E06T3"/>
    <x v="1"/>
    <x v="3"/>
    <x v="67"/>
    <x v="0"/>
    <n v="362.52163461538402"/>
    <n v="16.64"/>
    <n v="16.64"/>
    <n v="108.92"/>
    <n v="9.14"/>
    <n v="15.301481794952799"/>
    <n v="13.7436970596024"/>
    <n v="1812.51"/>
    <n v="409083.54"/>
    <x v="76"/>
    <x v="0"/>
    <x v="3"/>
    <n v="27734.088768169899"/>
    <n v="24910.588357499899"/>
    <n v="6032.36"/>
    <n v="277340.8876817"/>
    <x v="1"/>
    <s v="REAL-PROY."/>
    <m/>
    <m/>
    <m/>
    <m/>
    <m/>
    <m/>
    <m/>
    <m/>
    <m/>
  </r>
  <r>
    <n v="12.499984181720384"/>
    <s v="99.- Cosecha 2013 - Real"/>
    <x v="2"/>
    <s v="Real"/>
    <s v="HC01EQ06TR04"/>
    <x v="4"/>
    <x v="9"/>
    <x v="14"/>
    <x v="4"/>
    <s v="HC01E06T4"/>
    <x v="1"/>
    <x v="14"/>
    <x v="68"/>
    <x v="0"/>
    <n v="380.207852193995"/>
    <n v="12.99"/>
    <n v="12.99"/>
    <n v="131.94999999999999"/>
    <n v="10.56"/>
    <n v="14.8448891274306"/>
    <n v="13.340787417945201"/>
    <n v="1714.0070000000001"/>
    <n v="757514.64"/>
    <x v="77"/>
    <x v="0"/>
    <x v="3"/>
    <n v="25444.243878640002"/>
    <n v="22866.203019870001"/>
    <n v="4938.8999999999996"/>
    <n v="254442.43878639999"/>
    <x v="1"/>
    <s v="REAL-PROY."/>
    <m/>
    <m/>
    <m/>
    <m/>
    <m/>
    <m/>
    <m/>
    <m/>
    <m/>
  </r>
  <r>
    <n v="12.040017450484243"/>
    <s v="99.- Cosecha 2013 - Real"/>
    <x v="2"/>
    <s v="Real"/>
    <s v="HC01EQ06TR05"/>
    <x v="4"/>
    <x v="9"/>
    <x v="14"/>
    <x v="5"/>
    <s v="HC01E06T5"/>
    <x v="1"/>
    <x v="3"/>
    <x v="69"/>
    <x v="0"/>
    <n v="366.21719745222902"/>
    <n v="15.6999999999999"/>
    <n v="15.7"/>
    <n v="139.88"/>
    <n v="11.62"/>
    <n v="14.982628226843399"/>
    <n v="13.440724864990299"/>
    <n v="2196.14"/>
    <n v="1022305.05"/>
    <x v="78"/>
    <x v="0"/>
    <x v="3"/>
    <n v="32903.949154100002"/>
    <n v="29517.713505"/>
    <n v="5749.61"/>
    <n v="329039.49154100002"/>
    <x v="1"/>
    <s v="REAL-PROY."/>
    <m/>
    <m/>
    <m/>
    <m/>
    <m/>
    <m/>
    <m/>
    <m/>
    <m/>
  </r>
  <r>
    <n v="11.729790998043025"/>
    <s v="99.- Cosecha 2013 - Real"/>
    <x v="2"/>
    <s v="Real"/>
    <s v="HC01EQ06TR06"/>
    <x v="4"/>
    <x v="9"/>
    <x v="14"/>
    <x v="0"/>
    <s v="HC01E06T6"/>
    <x v="0"/>
    <x v="3"/>
    <x v="70"/>
    <x v="0"/>
    <n v="356.78114285714202"/>
    <n v="17.5"/>
    <n v="17.5"/>
    <n v="92.52"/>
    <n v="7.89"/>
    <n v="15.1319863444114"/>
    <n v="13.6645696145907"/>
    <n v="1619.11"/>
    <n v="513359.62"/>
    <x v="74"/>
    <x v="0"/>
    <x v="7"/>
    <n v="24500.3504101"/>
    <n v="22124.441308680001"/>
    <n v="6243.67"/>
    <n v="245003.504101"/>
    <x v="1"/>
    <s v="REAL-PROY."/>
    <m/>
    <m/>
    <m/>
    <m/>
    <m/>
    <m/>
    <m/>
    <m/>
    <m/>
  </r>
  <r>
    <n v="11.560858813832056"/>
    <s v="99.- Cosecha 2013 - Real"/>
    <x v="2"/>
    <s v="Real"/>
    <s v="LB01EQ01TR02"/>
    <x v="2"/>
    <x v="4"/>
    <x v="3"/>
    <x v="3"/>
    <s v="LB01E01T2"/>
    <x v="0"/>
    <x v="1"/>
    <x v="71"/>
    <x v="0"/>
    <n v="351.64278892072502"/>
    <n v="41.88"/>
    <n v="41.88"/>
    <n v="46.56"/>
    <n v="4.03"/>
    <n v="15.5412790127103"/>
    <n v="14.053080912701301"/>
    <n v="1949.904"/>
    <n v="454296.46"/>
    <x v="79"/>
    <x v="0"/>
    <x v="6"/>
    <n v="30304.002111999998"/>
    <n v="27402.158684000002"/>
    <n v="14726.799999999899"/>
    <n v="303040.02111999999"/>
    <x v="1"/>
    <s v="REAL-PROY."/>
    <m/>
    <m/>
    <m/>
    <m/>
    <m/>
    <m/>
    <m/>
    <m/>
    <m/>
  </r>
  <r>
    <n v="11.632625505357765"/>
    <s v="99.- Cosecha 2013 - Real"/>
    <x v="2"/>
    <s v="Real"/>
    <s v="LB01EQ01TR03"/>
    <x v="2"/>
    <x v="4"/>
    <x v="3"/>
    <x v="1"/>
    <s v="LB01E01T3"/>
    <x v="0"/>
    <x v="1"/>
    <x v="72"/>
    <x v="0"/>
    <n v="353.82569245463202"/>
    <n v="41.88"/>
    <n v="41.879999999999903"/>
    <n v="93.38"/>
    <n v="8.0299999999999994"/>
    <n v="14.965064342387601"/>
    <n v="13.498315802647999"/>
    <n v="3910.83"/>
    <n v="1214342.76"/>
    <x v="80"/>
    <x v="0"/>
    <x v="5"/>
    <n v="58525.822582139997"/>
    <n v="52789.618390470001"/>
    <n v="14818.22"/>
    <n v="585258.22582139994"/>
    <x v="1"/>
    <s v="REAL-PROY."/>
    <m/>
    <m/>
    <m/>
    <m/>
    <m/>
    <m/>
    <m/>
    <m/>
    <m/>
  </r>
  <r>
    <n v="15.717373384375266"/>
    <s v="99.- Cosecha 2013 - Real"/>
    <x v="2"/>
    <s v="Real"/>
    <s v="LB01EQ01TR04"/>
    <x v="2"/>
    <x v="4"/>
    <x v="3"/>
    <x v="4"/>
    <s v="LB01E01T4"/>
    <x v="1"/>
    <x v="13"/>
    <x v="73"/>
    <x v="0"/>
    <n v="478.070107108081"/>
    <n v="41.88"/>
    <n v="30.81"/>
    <n v="152.38999999999999"/>
    <n v="9.6999999999999993"/>
    <n v="13.865190967832801"/>
    <n v="12.3375641371476"/>
    <n v="4695.16"/>
    <n v="1783464.13"/>
    <x v="81"/>
    <x v="0"/>
    <x v="9"/>
    <n v="65099.290024529997"/>
    <n v="57926.837634169999"/>
    <n v="14729.34"/>
    <n v="650992.90024530003"/>
    <x v="1"/>
    <s v="REAL-PROY."/>
    <m/>
    <m/>
    <m/>
    <m/>
    <m/>
    <m/>
    <m/>
    <m/>
    <m/>
  </r>
  <r>
    <n v="15.817886178861764"/>
    <s v="99.- Cosecha 2013 - Real"/>
    <x v="2"/>
    <s v="Real"/>
    <s v="LB01EQ01TR04"/>
    <x v="2"/>
    <x v="4"/>
    <x v="3"/>
    <x v="4"/>
    <s v="LB01E01T4"/>
    <x v="1"/>
    <x v="13"/>
    <x v="73"/>
    <x v="0"/>
    <n v="481.12737127371201"/>
    <n v="41.88"/>
    <n v="11.07"/>
    <n v="146.86000000000001"/>
    <n v="9.2799999999999994"/>
    <n v="13.326744790554899"/>
    <n v="11.8021054955103"/>
    <n v="1625.7339999999999"/>
    <n v="1220039.28"/>
    <x v="82"/>
    <x v="0"/>
    <x v="10"/>
    <n v="21665.742115328001"/>
    <n v="19187.084175638"/>
    <n v="5326.08"/>
    <n v="216657.42115328001"/>
    <x v="1"/>
    <s v="REAL-PROY."/>
    <m/>
    <m/>
    <m/>
    <m/>
    <m/>
    <m/>
    <m/>
    <m/>
    <m/>
  </r>
  <r>
    <n v="12.263013698630138"/>
    <s v="99.- Cosecha 2013 - Real"/>
    <x v="2"/>
    <s v="Real"/>
    <s v="LB01EQ01TR05"/>
    <x v="2"/>
    <x v="4"/>
    <x v="3"/>
    <x v="5"/>
    <s v="LB01E01T5"/>
    <x v="1"/>
    <x v="5"/>
    <x v="74"/>
    <x v="0"/>
    <n v="373"/>
    <n v="41.88"/>
    <n v="6.71"/>
    <n v="179.13"/>
    <n v="14.61"/>
    <n v="15.3876659999999"/>
    <n v="13.827999999999999"/>
    <n v="1201.99"/>
    <n v="2153174.31"/>
    <x v="76"/>
    <x v="0"/>
    <x v="3"/>
    <n v="18495.8206553399"/>
    <n v="16621.117719999998"/>
    <n v="2502.83"/>
    <n v="184958.20655339901"/>
    <x v="1"/>
    <s v="REAL-PROY."/>
    <m/>
    <m/>
    <m/>
    <m/>
    <m/>
    <m/>
    <m/>
    <m/>
    <m/>
  </r>
  <r>
    <n v="12.341040971251168"/>
    <s v="99.- Cosecha 2013 - Real"/>
    <x v="2"/>
    <s v="Real"/>
    <s v="LB01EQ01TR05"/>
    <x v="2"/>
    <x v="4"/>
    <x v="3"/>
    <x v="5"/>
    <s v="LB01E01T5"/>
    <x v="1"/>
    <x v="5"/>
    <x v="74"/>
    <x v="0"/>
    <n v="375.37332954222302"/>
    <n v="41.88"/>
    <n v="35.17"/>
    <n v="178.92"/>
    <n v="14.5"/>
    <n v="15.002591439895401"/>
    <n v="13.483874002108699"/>
    <n v="6292.79"/>
    <n v="3734271.36"/>
    <x v="83"/>
    <x v="0"/>
    <x v="1"/>
    <n v="94408.157387059997"/>
    <n v="84851.187481729998"/>
    <n v="13201.88"/>
    <n v="944081.57387059997"/>
    <x v="1"/>
    <s v="REAL-PROY."/>
    <m/>
    <m/>
    <m/>
    <m/>
    <m/>
    <m/>
    <m/>
    <m/>
    <m/>
  </r>
  <r>
    <n v="11.44440274505474"/>
    <s v="99.- Cosecha 2013 - Real"/>
    <x v="2"/>
    <s v="Real"/>
    <s v="LB01EQ02TR01"/>
    <x v="2"/>
    <x v="4"/>
    <x v="8"/>
    <x v="2"/>
    <s v="LB01E02T1"/>
    <x v="0"/>
    <x v="8"/>
    <x v="75"/>
    <x v="0"/>
    <n v="348.10058349541498"/>
    <n v="36.74"/>
    <n v="35.99"/>
    <n v="142.72"/>
    <n v="12.47"/>
    <n v="14.4772163888075"/>
    <n v="12.9714878420756"/>
    <n v="5136.32"/>
    <n v="1832561.2"/>
    <x v="84"/>
    <x v="0"/>
    <x v="2"/>
    <n v="74359.616082159904"/>
    <n v="66625.712433010005"/>
    <n v="12528.14"/>
    <n v="743596.16082159895"/>
    <x v="1"/>
    <s v="REAL-PROY."/>
    <m/>
    <m/>
    <m/>
    <m/>
    <m/>
    <m/>
    <m/>
    <m/>
    <m/>
  </r>
  <r>
    <n v="16.515005691407932"/>
    <s v="99.- Cosecha 2013 - Real"/>
    <x v="2"/>
    <s v="Real"/>
    <s v="LB01EQ02TR02"/>
    <x v="2"/>
    <x v="4"/>
    <x v="8"/>
    <x v="3"/>
    <s v="LB01E02T2"/>
    <x v="1"/>
    <x v="13"/>
    <x v="76"/>
    <x v="0"/>
    <n v="502.33142311365799"/>
    <n v="41.88"/>
    <n v="41.879999999999903"/>
    <n v="164.24"/>
    <n v="9.94"/>
    <n v="14.218879759553699"/>
    <n v="12.688193064326301"/>
    <n v="6878.21"/>
    <n v="1168369.77"/>
    <x v="85"/>
    <x v="0"/>
    <x v="10"/>
    <n v="97800.440950959994"/>
    <n v="87272.056416979904"/>
    <n v="21037.64"/>
    <n v="978004.40950959898"/>
    <x v="1"/>
    <s v="REAL-PROY."/>
    <m/>
    <m/>
    <m/>
    <m/>
    <m/>
    <m/>
    <m/>
    <m/>
    <m/>
  </r>
  <r>
    <n v="11.794661851866376"/>
    <s v="99.- Cosecha 2013 - Real"/>
    <x v="2"/>
    <s v="Real"/>
    <s v="LB01EQ02TR03"/>
    <x v="2"/>
    <x v="4"/>
    <x v="8"/>
    <x v="1"/>
    <s v="LB01E02T3"/>
    <x v="1"/>
    <x v="14"/>
    <x v="77"/>
    <x v="0"/>
    <n v="358.754297994269"/>
    <n v="41.88"/>
    <n v="41.88"/>
    <n v="133.31"/>
    <n v="11.3"/>
    <n v="14.209455688782599"/>
    <n v="12.6971012606679"/>
    <n v="5583.0529999999899"/>
    <n v="1070440.07"/>
    <x v="86"/>
    <x v="0"/>
    <x v="8"/>
    <n v="79332.144211624996"/>
    <n v="70888.589284675996"/>
    <n v="15024.63"/>
    <n v="793321.442116249"/>
    <x v="1"/>
    <s v="REAL-PROY."/>
    <m/>
    <m/>
    <m/>
    <m/>
    <m/>
    <m/>
    <m/>
    <m/>
    <m/>
  </r>
  <r>
    <n v="11.316638536719386"/>
    <s v="99.- Cosecha 2013 - Real"/>
    <x v="2"/>
    <s v="Real"/>
    <s v="LB01EQ02TR04"/>
    <x v="2"/>
    <x v="4"/>
    <x v="8"/>
    <x v="4"/>
    <s v="LB01E02T4"/>
    <x v="0"/>
    <x v="4"/>
    <x v="78"/>
    <x v="0"/>
    <n v="344.21442215854802"/>
    <n v="41.88"/>
    <n v="41.88"/>
    <n v="54.82"/>
    <n v="4.84"/>
    <n v="14.957531440479899"/>
    <n v="13.488104858614101"/>
    <n v="2295.7460000000001"/>
    <n v="422558.56"/>
    <x v="87"/>
    <x v="0"/>
    <x v="6"/>
    <n v="34338.692974356003"/>
    <n v="30965.262776743999"/>
    <n v="14415.699999999901"/>
    <n v="343386.92974355997"/>
    <x v="1"/>
    <s v="REAL-PROY."/>
    <m/>
    <m/>
    <m/>
    <m/>
    <m/>
    <m/>
    <m/>
    <m/>
    <m/>
  </r>
  <r>
    <n v="10.75938297287747"/>
    <s v="99.- Cosecha 2013 - Real"/>
    <x v="2"/>
    <s v="Real"/>
    <s v="LB01EQ02TR06"/>
    <x v="2"/>
    <x v="4"/>
    <x v="8"/>
    <x v="0"/>
    <s v="LB01E02T6"/>
    <x v="0"/>
    <x v="5"/>
    <x v="79"/>
    <x v="0"/>
    <n v="327.26456542502302"/>
    <n v="41.88"/>
    <n v="41.88"/>
    <n v="159.88999999999999"/>
    <n v="14.86"/>
    <n v="14.4510312508101"/>
    <n v="12.9967122971984"/>
    <n v="6696.3"/>
    <n v="2684811.9"/>
    <x v="88"/>
    <x v="0"/>
    <x v="7"/>
    <n v="96768.440564799996"/>
    <n v="87029.884555729994"/>
    <n v="13705.84"/>
    <n v="967684.40564799996"/>
    <x v="1"/>
    <s v="REAL-PROY."/>
    <m/>
    <m/>
    <m/>
    <m/>
    <m/>
    <m/>
    <m/>
    <m/>
    <m/>
  </r>
  <r>
    <n v="11.175792858617918"/>
    <s v="99.- Cosecha 2013 - Real"/>
    <x v="2"/>
    <s v="Real"/>
    <s v="LB01EQ03TR01"/>
    <x v="2"/>
    <x v="4"/>
    <x v="5"/>
    <x v="2"/>
    <s v="LB01E03T1"/>
    <x v="0"/>
    <x v="4"/>
    <x v="80"/>
    <x v="0"/>
    <n v="339.93036611629498"/>
    <n v="41.79"/>
    <n v="41.79"/>
    <n v="105.95"/>
    <n v="9.48"/>
    <n v="15.149510074699799"/>
    <n v="13.692216255583901"/>
    <n v="4427.8519999999999"/>
    <n v="1565349.96"/>
    <x v="89"/>
    <x v="0"/>
    <x v="4"/>
    <n v="67079.788483280005"/>
    <n v="60627.107131719997"/>
    <n v="14205.69"/>
    <n v="670797.88483280002"/>
    <x v="1"/>
    <s v="REAL-PROY."/>
    <m/>
    <m/>
    <m/>
    <m/>
    <m/>
    <m/>
    <m/>
    <m/>
    <m/>
  </r>
  <r>
    <n v="10.95100752165051"/>
    <s v="99.- Cosecha 2013 - Real"/>
    <x v="2"/>
    <s v="Real"/>
    <s v="LB01EQ03TR03"/>
    <x v="2"/>
    <x v="4"/>
    <x v="5"/>
    <x v="1"/>
    <s v="LB01E03T3"/>
    <x v="2"/>
    <x v="0"/>
    <x v="25"/>
    <x v="3"/>
    <n v="333.093145450203"/>
    <n v="41.87"/>
    <n v="41.87"/>
    <n v="106.86"/>
    <n v="9.76"/>
    <n v="14.761531301105199"/>
    <n v="13.297966941476201"/>
    <n v="4474.25"/>
    <n v="1186977.73"/>
    <x v="90"/>
    <x v="0"/>
    <x v="7"/>
    <n v="66046.781423969995"/>
    <n v="59498.428587900002"/>
    <n v="13946.61"/>
    <n v="660467.81423969998"/>
    <x v="1"/>
    <s v="REAL-PROY."/>
    <m/>
    <m/>
    <m/>
    <m/>
    <m/>
    <m/>
    <m/>
    <m/>
    <m/>
  </r>
  <r>
    <n v="12.200224786619605"/>
    <s v="99.- Cosecha 2013 - Real"/>
    <x v="2"/>
    <s v="Real"/>
    <s v="LB01EQ03TR04"/>
    <x v="2"/>
    <x v="4"/>
    <x v="5"/>
    <x v="4"/>
    <s v="LB01E03T4"/>
    <x v="1"/>
    <x v="12"/>
    <x v="81"/>
    <x v="0"/>
    <n v="371.090170593013"/>
    <n v="40"/>
    <n v="36.93"/>
    <n v="91.72"/>
    <n v="7.52"/>
    <n v="15.438099485568801"/>
    <n v="13.932971745329301"/>
    <n v="3387.12"/>
    <n v="776356.12"/>
    <x v="91"/>
    <x v="0"/>
    <x v="11"/>
    <n v="52290.695529559998"/>
    <n v="47192.64725804"/>
    <n v="13704.359999999901"/>
    <n v="522906.95529559901"/>
    <x v="1"/>
    <s v="REAL-PROY."/>
    <m/>
    <m/>
    <m/>
    <m/>
    <m/>
    <m/>
    <m/>
    <m/>
    <m/>
  </r>
  <r>
    <n v="11.152741688581841"/>
    <s v="99.- Cosecha 2013 - Real"/>
    <x v="2"/>
    <s v="Real"/>
    <s v="LB01EQ03TR05"/>
    <x v="2"/>
    <x v="4"/>
    <x v="5"/>
    <x v="5"/>
    <s v="LB01E03T5"/>
    <x v="2"/>
    <x v="0"/>
    <x v="32"/>
    <x v="3"/>
    <n v="339.22922636103101"/>
    <n v="41.88"/>
    <n v="41.879999999999903"/>
    <n v="76.19"/>
    <n v="6.83"/>
    <n v="15.2132357004469"/>
    <n v="13.7333272386859"/>
    <n v="3190.72"/>
    <n v="609000.91"/>
    <x v="92"/>
    <x v="0"/>
    <x v="4"/>
    <n v="48541.175414129997"/>
    <n v="43819.201887019997"/>
    <n v="14206.9199999999"/>
    <n v="485411.75414129999"/>
    <x v="1"/>
    <s v="REAL-PROY."/>
    <m/>
    <m/>
    <m/>
    <m/>
    <m/>
    <m/>
    <m/>
    <m/>
    <m/>
  </r>
  <r>
    <n v="16.370439689078729"/>
    <s v="99.- Cosecha 2013 - Real"/>
    <x v="2"/>
    <s v="Real"/>
    <s v="LB01EQ03TR06"/>
    <x v="2"/>
    <x v="4"/>
    <x v="5"/>
    <x v="0"/>
    <s v="LB01E03T6"/>
    <x v="3"/>
    <x v="13"/>
    <x v="82"/>
    <x v="0"/>
    <n v="497.93420720947802"/>
    <n v="39.67"/>
    <n v="39.67"/>
    <n v="161.12"/>
    <n v="9.84"/>
    <n v="15.3507456703672"/>
    <n v="13.8187685346435"/>
    <n v="6391.8099999999904"/>
    <n v="1495136"/>
    <x v="93"/>
    <x v="0"/>
    <x v="3"/>
    <n v="98119.049683309902"/>
    <n v="88326.942907420002"/>
    <n v="19753.05"/>
    <n v="981190.49683309905"/>
    <x v="1"/>
    <s v="REAL-PROY."/>
    <m/>
    <m/>
    <m/>
    <m/>
    <m/>
    <m/>
    <m/>
    <m/>
    <m/>
  </r>
  <r>
    <n v="11.262186815203398"/>
    <s v="99.- Cosecha 2013 - Real"/>
    <x v="2"/>
    <s v="Real"/>
    <s v="LB01EQ04TR01"/>
    <x v="2"/>
    <x v="4"/>
    <x v="1"/>
    <x v="2"/>
    <s v="LB01E04T1"/>
    <x v="0"/>
    <x v="10"/>
    <x v="27"/>
    <x v="0"/>
    <n v="342.55818229577"/>
    <n v="41.38"/>
    <n v="38.07"/>
    <n v="74.02"/>
    <n v="6.57"/>
    <n v="15.185210887829401"/>
    <n v="13.7212833502078"/>
    <n v="2817.8609999999999"/>
    <n v="403551.49"/>
    <x v="56"/>
    <x v="0"/>
    <x v="4"/>
    <n v="42789.813537590002"/>
    <n v="38664.669222500001"/>
    <n v="13041.19"/>
    <n v="427898.13537590002"/>
    <x v="1"/>
    <s v="REAL-PROY."/>
    <m/>
    <m/>
    <m/>
    <m/>
    <m/>
    <m/>
    <m/>
    <m/>
    <m/>
  </r>
  <r>
    <n v="18.015619449044088"/>
    <s v="99.- Cosecha 2013 - Real"/>
    <x v="2"/>
    <s v="Real"/>
    <s v="LB01EQ04TR02"/>
    <x v="2"/>
    <x v="4"/>
    <x v="1"/>
    <x v="3"/>
    <s v="LB01E04T2"/>
    <x v="1"/>
    <x v="13"/>
    <x v="83"/>
    <x v="0"/>
    <n v="547.97509157509103"/>
    <n v="40.949999999999903"/>
    <n v="40.950000000000003"/>
    <n v="161.88999999999999"/>
    <n v="8.99"/>
    <n v="15.0040163866211"/>
    <n v="13.4747842144935"/>
    <n v="6629.5"/>
    <n v="823966.9"/>
    <x v="51"/>
    <x v="0"/>
    <x v="3"/>
    <n v="99469.126635105"/>
    <n v="89331.081949985004"/>
    <n v="22439.5799999999"/>
    <n v="994691.26635105"/>
    <x v="1"/>
    <s v="REAL-PROY."/>
    <m/>
    <m/>
    <m/>
    <m/>
    <m/>
    <m/>
    <m/>
    <m/>
    <m/>
  </r>
  <r>
    <n v="11.906698803022422"/>
    <s v="99.- Cosecha 2013 - Real"/>
    <x v="2"/>
    <s v="Real"/>
    <s v="LB01EQ04TR04"/>
    <x v="2"/>
    <x v="4"/>
    <x v="1"/>
    <x v="4"/>
    <s v="LB01E04T4"/>
    <x v="0"/>
    <x v="1"/>
    <x v="84"/>
    <x v="0"/>
    <n v="362.16208859193199"/>
    <n v="40.409999999999997"/>
    <n v="40.409999999999997"/>
    <n v="79.91"/>
    <n v="6.71"/>
    <n v="15.4189399452007"/>
    <n v="13.948918082477601"/>
    <n v="3229.24"/>
    <n v="517216.47"/>
    <x v="94"/>
    <x v="0"/>
    <x v="5"/>
    <n v="49791.457628639997"/>
    <n v="45044.4042286599"/>
    <n v="14634.97"/>
    <n v="497914.57628639898"/>
    <x v="1"/>
    <s v="REAL-PROY."/>
    <m/>
    <m/>
    <m/>
    <m/>
    <m/>
    <m/>
    <m/>
    <m/>
    <m/>
  </r>
  <r>
    <n v="11.339985084586093"/>
    <s v="99.- Cosecha 2013 - Real"/>
    <x v="2"/>
    <s v="Real"/>
    <s v="LB01EQ04TR05"/>
    <x v="2"/>
    <x v="4"/>
    <x v="1"/>
    <x v="5"/>
    <s v="LB01E04T5"/>
    <x v="0"/>
    <x v="1"/>
    <x v="85"/>
    <x v="0"/>
    <n v="344.92454632282698"/>
    <n v="41.88"/>
    <n v="41.88"/>
    <n v="81.25"/>
    <n v="7.16"/>
    <n v="15.5269249171689"/>
    <n v="14.0665162550467"/>
    <n v="3402.71"/>
    <n v="922309.83"/>
    <x v="95"/>
    <x v="0"/>
    <x v="5"/>
    <n v="52833.622684900001"/>
    <n v="47864.275526209902"/>
    <n v="14445.44"/>
    <n v="528336.22684899997"/>
    <x v="1"/>
    <s v="REAL-PROY."/>
    <m/>
    <m/>
    <m/>
    <m/>
    <m/>
    <m/>
    <m/>
    <m/>
    <m/>
  </r>
  <r>
    <n v="11.198108778709019"/>
    <s v="99.- Cosecha 2013 - Real"/>
    <x v="2"/>
    <s v="Real"/>
    <s v="LB01EQ04TR06"/>
    <x v="2"/>
    <x v="4"/>
    <x v="1"/>
    <x v="0"/>
    <s v="LB01E04T6"/>
    <x v="0"/>
    <x v="1"/>
    <x v="86"/>
    <x v="0"/>
    <n v="340.60914201906598"/>
    <n v="40.909999999999997"/>
    <n v="40.909999999999997"/>
    <n v="61.59"/>
    <n v="5.5"/>
    <n v="15.4513372098749"/>
    <n v="13.9852703943083"/>
    <n v="2519.5"/>
    <n v="393599.25"/>
    <x v="94"/>
    <x v="0"/>
    <x v="5"/>
    <n v="38929.644100279998"/>
    <n v="35235.888758460002"/>
    <n v="13934.32"/>
    <n v="389296.44100280001"/>
    <x v="1"/>
    <s v="REAL-PROY."/>
    <m/>
    <m/>
    <m/>
    <m/>
    <m/>
    <m/>
    <m/>
    <m/>
    <m/>
  </r>
  <r>
    <n v="10.635749892059474"/>
    <s v="99.- Cosecha 2013 - Real"/>
    <x v="2"/>
    <s v="Real"/>
    <s v="LB01EQ05TR01"/>
    <x v="2"/>
    <x v="4"/>
    <x v="2"/>
    <x v="2"/>
    <s v="LB01E05T1"/>
    <x v="0"/>
    <x v="5"/>
    <x v="87"/>
    <x v="0"/>
    <n v="323.50405921680903"/>
    <n v="41.88"/>
    <n v="41.88"/>
    <n v="154.16"/>
    <n v="14.49"/>
    <n v="14.299022505918501"/>
    <n v="12.8486936199141"/>
    <n v="6456.0969999999998"/>
    <n v="2485864.44"/>
    <x v="96"/>
    <x v="0"/>
    <x v="7"/>
    <n v="92315.876303393001"/>
    <n v="82952.412333447006"/>
    <n v="13548.35"/>
    <n v="923158.76303392998"/>
    <x v="1"/>
    <s v="REAL-PROY."/>
    <m/>
    <m/>
    <m/>
    <m/>
    <m/>
    <m/>
    <m/>
    <m/>
    <m/>
  </r>
  <r>
    <n v="11.684915806413599"/>
    <s v="99.- Cosecha 2013 - Real"/>
    <x v="2"/>
    <s v="Real"/>
    <s v="LB01EQ05TR02"/>
    <x v="2"/>
    <x v="4"/>
    <x v="2"/>
    <x v="3"/>
    <s v="LB01E05T2"/>
    <x v="0"/>
    <x v="12"/>
    <x v="88"/>
    <x v="0"/>
    <n v="355.41618911174697"/>
    <n v="41.88"/>
    <n v="41.88"/>
    <n v="61.2"/>
    <n v="5.24"/>
    <n v="15.1742958072177"/>
    <n v="13.7273732366813"/>
    <n v="2563.2439999999901"/>
    <n v="523185.35"/>
    <x v="55"/>
    <x v="0"/>
    <x v="6"/>
    <n v="38895.4226820759"/>
    <n v="35186.607084683899"/>
    <n v="14884.83"/>
    <n v="388954.22682075901"/>
    <x v="1"/>
    <s v="REAL-PROY."/>
    <m/>
    <m/>
    <m/>
    <m/>
    <m/>
    <m/>
    <m/>
    <m/>
    <m/>
  </r>
  <r>
    <n v="12.482963534632439"/>
    <s v="99.- Cosecha 2013 - Real"/>
    <x v="2"/>
    <s v="Real"/>
    <s v="LB01EQ05TR03"/>
    <x v="2"/>
    <x v="4"/>
    <x v="2"/>
    <x v="1"/>
    <s v="LB01E05T3"/>
    <x v="0"/>
    <x v="12"/>
    <x v="89"/>
    <x v="1"/>
    <n v="379.69014084507"/>
    <n v="41.88"/>
    <n v="11.36"/>
    <n v="82.5"/>
    <n v="6.61"/>
    <n v="13.720169594195401"/>
    <n v="12.237082085723401"/>
    <n v="937.2"/>
    <n v="143738.71"/>
    <x v="97"/>
    <x v="0"/>
    <x v="11"/>
    <n v="12858.54294368"/>
    <n v="11468.593330739999"/>
    <n v="4313.28"/>
    <n v="128585.4294368"/>
    <x v="1"/>
    <s v="REAL-PROY."/>
    <m/>
    <m/>
    <m/>
    <m/>
    <m/>
    <m/>
    <m/>
    <m/>
    <m/>
  </r>
  <r>
    <n v="12.537219698737841"/>
    <s v="99.- Cosecha 2013 - Real"/>
    <x v="2"/>
    <s v="Real"/>
    <s v="LB01EQ05TR03"/>
    <x v="2"/>
    <x v="4"/>
    <x v="2"/>
    <x v="1"/>
    <s v="LB01E05T3"/>
    <x v="0"/>
    <x v="12"/>
    <x v="89"/>
    <x v="1"/>
    <n v="381.34043250327602"/>
    <n v="41.88"/>
    <n v="30.52"/>
    <n v="113.74"/>
    <n v="9.07"/>
    <n v="13.8842969904586"/>
    <n v="12.4022367846586"/>
    <n v="3471.21"/>
    <n v="1967539.41"/>
    <x v="98"/>
    <x v="0"/>
    <x v="8"/>
    <n v="48195.310556249999"/>
    <n v="43050.768349275"/>
    <n v="11638.51"/>
    <n v="481953.10556249903"/>
    <x v="1"/>
    <s v="REAL-PROY."/>
    <m/>
    <m/>
    <m/>
    <m/>
    <m/>
    <m/>
    <m/>
    <m/>
    <m/>
  </r>
  <r>
    <n v="15.763844837836833"/>
    <s v="99.- Cosecha 2013 - Real"/>
    <x v="2"/>
    <s v="Real"/>
    <s v="LB01EQ05TR05"/>
    <x v="2"/>
    <x v="4"/>
    <x v="2"/>
    <x v="5"/>
    <s v="LB01E05T5"/>
    <x v="0"/>
    <x v="13"/>
    <x v="90"/>
    <x v="0"/>
    <n v="479.48361381753699"/>
    <n v="39.36"/>
    <n v="22.58"/>
    <n v="181.19"/>
    <n v="11.49"/>
    <n v="13.3114887694627"/>
    <n v="11.782963646496"/>
    <n v="4091.27"/>
    <n v="1444971.16"/>
    <x v="99"/>
    <x v="0"/>
    <x v="9"/>
    <n v="54460.894657839999"/>
    <n v="48207.285678"/>
    <n v="10826.7399999999"/>
    <n v="544608.94657839998"/>
    <x v="1"/>
    <s v="REAL-PROY."/>
    <m/>
    <m/>
    <m/>
    <m/>
    <m/>
    <m/>
    <m/>
    <m/>
    <m/>
  </r>
  <r>
    <n v="16.256593792348998"/>
    <s v="99.- Cosecha 2013 - Real"/>
    <x v="2"/>
    <s v="Real"/>
    <s v="LB01EQ05TR05"/>
    <x v="2"/>
    <x v="4"/>
    <x v="2"/>
    <x v="5"/>
    <s v="LB01E05T5"/>
    <x v="0"/>
    <x v="13"/>
    <x v="90"/>
    <x v="0"/>
    <n v="494.47139451728202"/>
    <n v="39.36"/>
    <n v="16.78"/>
    <n v="177.91"/>
    <n v="10.94"/>
    <n v="14.0720516419149"/>
    <n v="12.5580232121203"/>
    <n v="2985.38"/>
    <n v="1788382.27"/>
    <x v="100"/>
    <x v="0"/>
    <x v="10"/>
    <n v="42010.421530740001"/>
    <n v="37490.471336999901"/>
    <n v="8297.23"/>
    <n v="420104.21530739998"/>
    <x v="1"/>
    <s v="REAL-PROY."/>
    <m/>
    <m/>
    <m/>
    <m/>
    <m/>
    <m/>
    <m/>
    <m/>
    <m/>
  </r>
  <r>
    <n v="11.17716338122284"/>
    <s v="99.- Cosecha 2013 - Real"/>
    <x v="2"/>
    <s v="Real"/>
    <s v="LB01EQ05TR06"/>
    <x v="2"/>
    <x v="4"/>
    <x v="2"/>
    <x v="0"/>
    <s v="LB01E05T6"/>
    <x v="2"/>
    <x v="4"/>
    <x v="91"/>
    <x v="0"/>
    <n v="339.97205284552803"/>
    <n v="39.36"/>
    <n v="39.36"/>
    <n v="34.22"/>
    <n v="3.06"/>
    <n v="15.1947398945863"/>
    <n v="13.762203785059199"/>
    <n v="1346.79"/>
    <n v="91966.83"/>
    <x v="101"/>
    <x v="0"/>
    <x v="4"/>
    <n v="20464.123742629999"/>
    <n v="18534.798435680001"/>
    <n v="13381.3"/>
    <n v="204641.23742629899"/>
    <x v="1"/>
    <s v="REAL-PROY."/>
    <m/>
    <m/>
    <m/>
    <m/>
    <m/>
    <m/>
    <m/>
    <m/>
    <m/>
  </r>
  <r>
    <n v="10.698988972995616"/>
    <s v="99.- Cosecha 2013 - Real"/>
    <x v="2"/>
    <s v="Real"/>
    <s v="LB01EQ06TR01"/>
    <x v="2"/>
    <x v="4"/>
    <x v="14"/>
    <x v="2"/>
    <s v="LB01E06T1"/>
    <x v="1"/>
    <x v="14"/>
    <x v="23"/>
    <x v="0"/>
    <n v="325.42758126195002"/>
    <n v="41.84"/>
    <n v="41.839999999999897"/>
    <n v="107.32"/>
    <n v="10.029999999999999"/>
    <n v="14.361948185957001"/>
    <n v="12.823175609992701"/>
    <n v="4490.07"/>
    <n v="1207018.06"/>
    <x v="45"/>
    <x v="0"/>
    <x v="6"/>
    <n v="64486.15269132"/>
    <n v="57576.956111159998"/>
    <n v="13615.89"/>
    <n v="644861.52691320004"/>
    <x v="1"/>
    <s v="REAL-PROY."/>
    <m/>
    <m/>
    <m/>
    <m/>
    <m/>
    <m/>
    <m/>
    <m/>
    <m/>
  </r>
  <r>
    <n v="10.874325862542674"/>
    <s v="99.- Cosecha 2013 - Real"/>
    <x v="2"/>
    <s v="Real"/>
    <s v="LB01EQ06TR02"/>
    <x v="2"/>
    <x v="4"/>
    <x v="14"/>
    <x v="3"/>
    <s v="LB01E06T2"/>
    <x v="0"/>
    <x v="5"/>
    <x v="92"/>
    <x v="0"/>
    <n v="330.760744985673"/>
    <n v="41.88"/>
    <n v="41.879999999999903"/>
    <n v="136.44999999999999"/>
    <n v="12.55"/>
    <n v="14.801964874816001"/>
    <n v="13.330592244542199"/>
    <n v="5714.3899999999903"/>
    <n v="1568448.62"/>
    <x v="102"/>
    <x v="0"/>
    <x v="6"/>
    <n v="84584.200060999996"/>
    <n v="76176.203016289903"/>
    <n v="13852.26"/>
    <n v="845842.00060999906"/>
    <x v="1"/>
    <s v="REAL-PROY."/>
    <m/>
    <m/>
    <m/>
    <m/>
    <m/>
    <m/>
    <m/>
    <m/>
    <m/>
  </r>
  <r>
    <n v="10.108497860815627"/>
    <s v="99.- Cosecha 2013 - Real"/>
    <x v="2"/>
    <s v="Real"/>
    <s v="LB01EQ06TR03"/>
    <x v="2"/>
    <x v="4"/>
    <x v="14"/>
    <x v="1"/>
    <s v="LB01E06T3"/>
    <x v="0"/>
    <x v="9"/>
    <x v="93"/>
    <x v="0"/>
    <n v="307.46680993314197"/>
    <n v="41.88"/>
    <n v="41.879999999999903"/>
    <n v="128.54"/>
    <n v="12.72"/>
    <n v="14.651471345254301"/>
    <n v="13.2114526599228"/>
    <n v="5383.22"/>
    <n v="1729719.69"/>
    <x v="103"/>
    <x v="0"/>
    <x v="7"/>
    <n v="78872.093575199993"/>
    <n v="71120.156187949993"/>
    <n v="12876.71"/>
    <n v="788720.93575199996"/>
    <x v="1"/>
    <s v="REAL-PROY."/>
    <m/>
    <m/>
    <m/>
    <m/>
    <m/>
    <m/>
    <m/>
    <m/>
    <m/>
  </r>
  <r>
    <n v="10.297947168033897"/>
    <s v="99.- Cosecha 2013 - Real"/>
    <x v="2"/>
    <s v="Real"/>
    <s v="LB01EQ06TR06"/>
    <x v="2"/>
    <x v="4"/>
    <x v="14"/>
    <x v="0"/>
    <s v="LB01E06T6"/>
    <x v="0"/>
    <x v="5"/>
    <x v="93"/>
    <x v="0"/>
    <n v="313.22922636103101"/>
    <n v="41.88"/>
    <n v="41.879999999999903"/>
    <n v="127.14"/>
    <n v="12.35"/>
    <n v="14.7637310342294"/>
    <n v="13.337621297369701"/>
    <n v="5324.5730000000003"/>
    <n v="1693519.3"/>
    <x v="104"/>
    <x v="0"/>
    <x v="7"/>
    <n v="78610.563644120004"/>
    <n v="71017.138244200003"/>
    <n v="13118.039999999901"/>
    <n v="786105.63644120004"/>
    <x v="1"/>
    <s v="REAL-PROY."/>
    <m/>
    <m/>
    <m/>
    <m/>
    <m/>
    <m/>
    <m/>
    <m/>
    <m/>
  </r>
  <r>
    <n v="11.594080560037577"/>
    <s v="99.- Cosecha 2013 - Real"/>
    <x v="2"/>
    <s v="Real"/>
    <s v="LB01EQ07TR02"/>
    <x v="2"/>
    <x v="4"/>
    <x v="15"/>
    <x v="3"/>
    <s v="LB01E07T2"/>
    <x v="0"/>
    <x v="9"/>
    <x v="54"/>
    <x v="0"/>
    <n v="352.65328370114298"/>
    <n v="41.88"/>
    <n v="37.61"/>
    <n v="68.05"/>
    <n v="5.87"/>
    <n v="15.6759697418782"/>
    <n v="14.205447354062599"/>
    <n v="2559.1799999999998"/>
    <n v="585174.31000000006"/>
    <x v="105"/>
    <x v="0"/>
    <x v="5"/>
    <n v="40117.628244020001"/>
    <n v="36354.296759570003"/>
    <n v="13263.29"/>
    <n v="401176.28244019998"/>
    <x v="1"/>
    <s v="REAL-PROY."/>
    <m/>
    <m/>
    <m/>
    <m/>
    <m/>
    <m/>
    <m/>
    <m/>
    <m/>
  </r>
  <r>
    <n v="11.638356164383561"/>
    <s v="99.- Cosecha 2013 - Real"/>
    <x v="2"/>
    <s v="Real"/>
    <s v="LB01EQ07TR02"/>
    <x v="2"/>
    <x v="4"/>
    <x v="15"/>
    <x v="3"/>
    <s v="LB01E07T2"/>
    <x v="0"/>
    <x v="9"/>
    <x v="54"/>
    <x v="0"/>
    <n v="354"/>
    <n v="41.88"/>
    <n v="4.2699999999999996"/>
    <n v="66.459999999999994"/>
    <n v="5.71"/>
    <n v="15.739750000000001"/>
    <n v="14.251333000000001"/>
    <n v="283.8"/>
    <n v="188623.98"/>
    <x v="106"/>
    <x v="0"/>
    <x v="6"/>
    <n v="4466.9410500000004"/>
    <n v="4044.5283054000001"/>
    <n v="1511.58"/>
    <n v="44669.410499999998"/>
    <x v="1"/>
    <s v="REAL-PROY."/>
    <m/>
    <m/>
    <m/>
    <m/>
    <m/>
    <m/>
    <m/>
    <m/>
    <m/>
  </r>
  <r>
    <n v="11.637312085410343"/>
    <s v="99.- Cosecha 2013 - Real"/>
    <x v="2"/>
    <s v="Real"/>
    <s v="LB01EQ07TR03"/>
    <x v="2"/>
    <x v="4"/>
    <x v="15"/>
    <x v="1"/>
    <s v="LB01E07T3"/>
    <x v="0"/>
    <x v="9"/>
    <x v="94"/>
    <x v="0"/>
    <n v="353.96824259789798"/>
    <n v="41.88"/>
    <n v="41.88"/>
    <n v="75.17"/>
    <n v="6.46"/>
    <n v="15.601546783295699"/>
    <n v="14.1061292281231"/>
    <n v="3148.2999999999902"/>
    <n v="788471.22"/>
    <x v="94"/>
    <x v="0"/>
    <x v="5"/>
    <n v="49118.349737849901"/>
    <n v="44410.3266488999"/>
    <n v="14824.1899999999"/>
    <n v="491183.4973785"/>
    <x v="1"/>
    <s v="REAL-PROY."/>
    <m/>
    <m/>
    <m/>
    <m/>
    <m/>
    <m/>
    <m/>
    <m/>
    <m/>
  </r>
  <r>
    <n v="11.485182713820297"/>
    <s v="99.- Cosecha 2013 - Real"/>
    <x v="2"/>
    <s v="Real"/>
    <s v="LB01EQ07TR04"/>
    <x v="2"/>
    <x v="4"/>
    <x v="15"/>
    <x v="4"/>
    <s v="LB01E07T4"/>
    <x v="0"/>
    <x v="9"/>
    <x v="53"/>
    <x v="0"/>
    <n v="349.34097421203398"/>
    <n v="41.88"/>
    <n v="41.88"/>
    <n v="65.59"/>
    <n v="5.71"/>
    <n v="15.6039370921075"/>
    <n v="14.1679834387739"/>
    <n v="2746.79"/>
    <n v="898195.65"/>
    <x v="107"/>
    <x v="0"/>
    <x v="6"/>
    <n v="42860.738365229998"/>
    <n v="38916.475229789998"/>
    <n v="14630.4"/>
    <n v="428607.383652299"/>
    <x v="1"/>
    <s v="REAL-PROY."/>
    <m/>
    <m/>
    <m/>
    <m/>
    <m/>
    <m/>
    <m/>
    <m/>
    <m/>
  </r>
  <r>
    <n v="11.719182007300702"/>
    <s v="99.- Cosecha 2013 - Real"/>
    <x v="2"/>
    <s v="Real"/>
    <s v="LB01EQ07TR05"/>
    <x v="2"/>
    <x v="4"/>
    <x v="15"/>
    <x v="5"/>
    <s v="LB01E07T5"/>
    <x v="0"/>
    <x v="9"/>
    <x v="95"/>
    <x v="0"/>
    <n v="356.45845272206299"/>
    <n v="41.88"/>
    <n v="41.88"/>
    <n v="90.49"/>
    <n v="7.72"/>
    <n v="15.4136569027952"/>
    <n v="13.925215239820201"/>
    <n v="3789.63"/>
    <n v="856164.8"/>
    <x v="108"/>
    <x v="0"/>
    <x v="5"/>
    <n v="58412.056608539999"/>
    <n v="52771.413429280001"/>
    <n v="14928.48"/>
    <n v="584120.56608539994"/>
    <x v="1"/>
    <s v="REAL-PROY."/>
    <m/>
    <m/>
    <m/>
    <m/>
    <m/>
    <m/>
    <m/>
    <m/>
    <m/>
  </r>
  <r>
    <n v="9.3270365586792305"/>
    <s v="99.- Cosecha 2013 - Real"/>
    <x v="2"/>
    <s v="Real"/>
    <s v="LB01EQ08TR01"/>
    <x v="2"/>
    <x v="4"/>
    <x v="6"/>
    <x v="2"/>
    <s v="LB01E08T1"/>
    <x v="0"/>
    <x v="10"/>
    <x v="80"/>
    <x v="0"/>
    <n v="283.69736199315997"/>
    <n v="40.94"/>
    <n v="40.94"/>
    <n v="113.28"/>
    <n v="12.15"/>
    <n v="13.9401579683955"/>
    <n v="12.430513631240199"/>
    <n v="4637.6400000000003"/>
    <n v="754564.87"/>
    <x v="109"/>
    <x v="0"/>
    <x v="6"/>
    <n v="64649.434200549898"/>
    <n v="57648.247236784999"/>
    <n v="11614.57"/>
    <n v="646494.34200549999"/>
    <x v="1"/>
    <s v="REAL-PROY."/>
    <m/>
    <m/>
    <m/>
    <m/>
    <m/>
    <m/>
    <m/>
    <m/>
    <m/>
  </r>
  <r>
    <n v="10.93146759822582"/>
    <s v="99.- Cosecha 2013 - Real"/>
    <x v="2"/>
    <s v="Real"/>
    <s v="LB01EQ08TR02"/>
    <x v="2"/>
    <x v="4"/>
    <x v="6"/>
    <x v="3"/>
    <s v="LB01E08T2"/>
    <x v="2"/>
    <x v="5"/>
    <x v="80"/>
    <x v="0"/>
    <n v="332.49880611270203"/>
    <n v="41.88"/>
    <n v="41.88"/>
    <n v="142.97999999999999"/>
    <n v="13.08"/>
    <n v="15.1484193872374"/>
    <n v="13.692873805309"/>
    <n v="5987.85"/>
    <n v="1421465.32"/>
    <x v="110"/>
    <x v="0"/>
    <x v="4"/>
    <n v="90706.463027869904"/>
    <n v="81990.874415119994"/>
    <n v="13925.05"/>
    <n v="907064.63027870003"/>
    <x v="1"/>
    <s v="REAL-PROY."/>
    <m/>
    <m/>
    <m/>
    <m/>
    <m/>
    <m/>
    <m/>
    <m/>
    <m/>
  </r>
  <r>
    <n v="9.4298402453240868"/>
    <s v="99.- Cosecha 2013 - Real"/>
    <x v="2"/>
    <s v="Real"/>
    <s v="LB01EQ08TR04"/>
    <x v="2"/>
    <x v="4"/>
    <x v="6"/>
    <x v="4"/>
    <s v="LB01E08T4"/>
    <x v="1"/>
    <x v="14"/>
    <x v="6"/>
    <x v="0"/>
    <n v="286.82430746194098"/>
    <n v="41.07"/>
    <n v="40.069999999999901"/>
    <n v="146.27000000000001"/>
    <n v="15.51"/>
    <n v="14.215883508107"/>
    <n v="12.725831526824001"/>
    <n v="5860.9699999999903"/>
    <n v="1079564.8799999999"/>
    <x v="111"/>
    <x v="0"/>
    <x v="6"/>
    <n v="83318.866764510007"/>
    <n v="74585.716803770003"/>
    <n v="11493.05"/>
    <n v="833188.66764510004"/>
    <x v="1"/>
    <s v="REAL-PROY."/>
    <m/>
    <m/>
    <m/>
    <m/>
    <m/>
    <m/>
    <m/>
    <m/>
    <m/>
  </r>
  <r>
    <n v="11.178082191780822"/>
    <s v="99.- Cosecha 2013 - Real"/>
    <x v="2"/>
    <s v="Real"/>
    <s v="LB01EQ08TR05"/>
    <x v="2"/>
    <x v="4"/>
    <x v="6"/>
    <x v="5"/>
    <s v="LB01E08T5"/>
    <x v="0"/>
    <x v="9"/>
    <x v="96"/>
    <x v="0"/>
    <n v="340"/>
    <n v="41.88"/>
    <n v="2"/>
    <n v="111.92"/>
    <n v="10.01"/>
    <n v="14.678333"/>
    <n v="13.1681659999999"/>
    <n v="223.85"/>
    <n v="250544.11"/>
    <x v="112"/>
    <x v="0"/>
    <x v="1"/>
    <n v="3285.74484205"/>
    <n v="2947.69395909999"/>
    <n v="680"/>
    <n v="32857.448420499997"/>
    <x v="1"/>
    <s v="REAL-PROY."/>
    <m/>
    <m/>
    <m/>
    <m/>
    <m/>
    <m/>
    <m/>
    <m/>
    <m/>
  </r>
  <r>
    <n v="11.622618540553152"/>
    <s v="99.- Cosecha 2013 - Real"/>
    <x v="2"/>
    <s v="Real"/>
    <s v="LB01EQ08TR05"/>
    <x v="2"/>
    <x v="4"/>
    <x v="6"/>
    <x v="5"/>
    <s v="LB01E08T5"/>
    <x v="0"/>
    <x v="9"/>
    <x v="96"/>
    <x v="0"/>
    <n v="353.52131394182499"/>
    <n v="41.88"/>
    <n v="39.880000000000003"/>
    <n v="133.83000000000001"/>
    <n v="11.51"/>
    <n v="15.237017151368301"/>
    <n v="13.710593725885801"/>
    <n v="5337.2719999999999"/>
    <n v="1183406.6299999999"/>
    <x v="113"/>
    <x v="0"/>
    <x v="2"/>
    <n v="81324.105005517995"/>
    <n v="73177.167996546006"/>
    <n v="14098.43"/>
    <n v="813241.05005517998"/>
    <x v="1"/>
    <s v="REAL-PROY."/>
    <m/>
    <m/>
    <m/>
    <m/>
    <m/>
    <m/>
    <m/>
    <m/>
    <m/>
  </r>
  <r>
    <n v="11.775378644608505"/>
    <s v="99.- Cosecha 2013 - Real"/>
    <x v="2"/>
    <s v="Real"/>
    <s v="LB01EQ08TR06"/>
    <x v="2"/>
    <x v="4"/>
    <x v="6"/>
    <x v="0"/>
    <s v="LB01E08T6"/>
    <x v="0"/>
    <x v="9"/>
    <x v="97"/>
    <x v="0"/>
    <n v="358.16776710684201"/>
    <n v="41.47"/>
    <n v="33.32"/>
    <n v="138.63"/>
    <n v="11.77"/>
    <n v="15.258813551303801"/>
    <n v="13.732113565498199"/>
    <n v="4618.9920000000002"/>
    <n v="1592327.47"/>
    <x v="112"/>
    <x v="0"/>
    <x v="1"/>
    <n v="70480.337722964003"/>
    <n v="63428.522702128001"/>
    <n v="11934.15"/>
    <n v="704803.37722964003"/>
    <x v="1"/>
    <s v="REAL-PROY."/>
    <m/>
    <m/>
    <m/>
    <m/>
    <m/>
    <m/>
    <m/>
    <m/>
    <m/>
  </r>
  <r>
    <n v="12.266482897722478"/>
    <s v="99.- Cosecha 2013 - Real"/>
    <x v="2"/>
    <s v="Real"/>
    <s v="LB01EQ08TR06"/>
    <x v="2"/>
    <x v="4"/>
    <x v="6"/>
    <x v="0"/>
    <s v="LB01E08T6"/>
    <x v="0"/>
    <x v="9"/>
    <x v="97"/>
    <x v="0"/>
    <n v="373.10552147239201"/>
    <n v="41.47"/>
    <n v="8.1499999999999897"/>
    <n v="142.19"/>
    <n v="11.59"/>
    <n v="15.4747815004703"/>
    <n v="13.951640225351801"/>
    <n v="1158.81"/>
    <n v="416930.56"/>
    <x v="113"/>
    <x v="0"/>
    <x v="2"/>
    <n v="17932.33155056"/>
    <n v="16167.300209540001"/>
    <n v="3040.81"/>
    <n v="179323.31550560001"/>
    <x v="1"/>
    <s v="REAL-PROY."/>
    <m/>
    <m/>
    <m/>
    <m/>
    <m/>
    <m/>
    <m/>
    <m/>
    <m/>
  </r>
  <r>
    <n v="10.71734154510388"/>
    <s v="99.- Cosecha 2013 - Real"/>
    <x v="2"/>
    <s v="Real"/>
    <s v="LB02EQ09TR03"/>
    <x v="1"/>
    <x v="3"/>
    <x v="10"/>
    <x v="1"/>
    <s v="LB02E09T3"/>
    <x v="0"/>
    <x v="5"/>
    <x v="32"/>
    <x v="0"/>
    <n v="325.98580533024301"/>
    <n v="34.520000000000003"/>
    <n v="34.520000000000003"/>
    <n v="162.55000000000001"/>
    <n v="15.17"/>
    <n v="14.6329419918235"/>
    <n v="13.168366905448501"/>
    <n v="5611.23"/>
    <n v="3043792.57"/>
    <x v="114"/>
    <x v="0"/>
    <x v="4"/>
    <n v="82108.803092779999"/>
    <n v="73890.735430860004"/>
    <n v="11253.029999999901"/>
    <n v="821088.03092779999"/>
    <x v="1"/>
    <s v="REAL-PROY."/>
    <m/>
    <m/>
    <m/>
    <m/>
    <m/>
    <m/>
    <m/>
    <m/>
    <m/>
  </r>
  <r>
    <n v="12.337930990521205"/>
    <s v="99.- Cosecha 2013 - Real"/>
    <x v="2"/>
    <s v="Real"/>
    <s v="LB02EQ09TR04"/>
    <x v="1"/>
    <x v="3"/>
    <x v="10"/>
    <x v="4"/>
    <s v="LB02E09T4"/>
    <x v="1"/>
    <x v="5"/>
    <x v="98"/>
    <x v="0"/>
    <n v="375.27873429502"/>
    <n v="42.98"/>
    <n v="42.98"/>
    <n v="168.26"/>
    <n v="13.64"/>
    <n v="14.9026642127829"/>
    <n v="13.3869778679953"/>
    <n v="7232.02699999999"/>
    <n v="1518558.98"/>
    <x v="62"/>
    <x v="0"/>
    <x v="3"/>
    <n v="107776.46995878"/>
    <n v="96814.985389744994"/>
    <n v="16129.48"/>
    <n v="1077764.6995878001"/>
    <x v="1"/>
    <s v="REAL-PROY."/>
    <m/>
    <m/>
    <m/>
    <m/>
    <m/>
    <m/>
    <m/>
    <m/>
    <m/>
  </r>
  <r>
    <n v="12.870651545838147"/>
    <s v="99.- Cosecha 2013 - Real"/>
    <x v="2"/>
    <s v="Real"/>
    <s v="LB02EQ09TR05"/>
    <x v="1"/>
    <x v="3"/>
    <x v="10"/>
    <x v="5"/>
    <s v="LB02E09T5"/>
    <x v="1"/>
    <x v="14"/>
    <x v="99"/>
    <x v="0"/>
    <n v="391.48231785257701"/>
    <n v="36.299999999999997"/>
    <n v="23.47"/>
    <n v="148.05000000000001"/>
    <n v="11.5"/>
    <n v="14.974975359607001"/>
    <n v="13.4802228896974"/>
    <n v="3474.826"/>
    <n v="1714919.2"/>
    <x v="115"/>
    <x v="0"/>
    <x v="10"/>
    <n v="52035.433728921998"/>
    <n v="46841.428982915997"/>
    <n v="9188.09"/>
    <n v="520354.33728922001"/>
    <x v="1"/>
    <s v="REAL-PROY."/>
    <m/>
    <m/>
    <m/>
    <m/>
    <m/>
    <m/>
    <m/>
    <m/>
    <m/>
  </r>
  <r>
    <n v="12.363843982013982"/>
    <s v="99.- Cosecha 2013 - Real"/>
    <x v="2"/>
    <s v="Real"/>
    <s v="LB02EQ10TR01"/>
    <x v="1"/>
    <x v="3"/>
    <x v="13"/>
    <x v="2"/>
    <s v="LB02E10T1"/>
    <x v="1"/>
    <x v="10"/>
    <x v="100"/>
    <x v="0"/>
    <n v="376.066921119592"/>
    <n v="39.299999999999997"/>
    <n v="39.299999999999997"/>
    <n v="132.75"/>
    <n v="10.74"/>
    <n v="14.700652204462299"/>
    <n v="13.233386125314601"/>
    <n v="5216.9499999999898"/>
    <n v="1391170.03"/>
    <x v="116"/>
    <x v="0"/>
    <x v="9"/>
    <n v="76692.567518070005"/>
    <n v="69037.913746459904"/>
    <n v="14779.43"/>
    <n v="766925.67518069898"/>
    <x v="1"/>
    <s v="REAL-PROY."/>
    <m/>
    <m/>
    <m/>
    <m/>
    <m/>
    <m/>
    <m/>
    <m/>
    <m/>
  </r>
  <r>
    <n v="11.918300501130149"/>
    <s v="99.- Cosecha 2013 - Real"/>
    <x v="2"/>
    <s v="Real"/>
    <s v="LB02EQ10TR02"/>
    <x v="1"/>
    <x v="3"/>
    <x v="13"/>
    <x v="3"/>
    <s v="LB02E10T2"/>
    <x v="1"/>
    <x v="14"/>
    <x v="101"/>
    <x v="0"/>
    <n v="362.514973576042"/>
    <n v="40.840000000000003"/>
    <n v="34.06"/>
    <n v="158.52000000000001"/>
    <n v="13.3"/>
    <n v="15.217826058641499"/>
    <n v="13.7290724358195"/>
    <n v="5399.07"/>
    <n v="2851155.7"/>
    <x v="117"/>
    <x v="0"/>
    <x v="2"/>
    <n v="82162.108138430005"/>
    <n v="74124.223116059904"/>
    <n v="12347.26"/>
    <n v="821621.08138430002"/>
    <x v="1"/>
    <s v="REAL-PROY."/>
    <m/>
    <m/>
    <m/>
    <m/>
    <m/>
    <m/>
    <m/>
    <m/>
    <m/>
  </r>
  <r>
    <n v="11.967123287671233"/>
    <s v="99.- Cosecha 2013 - Real"/>
    <x v="2"/>
    <s v="Real"/>
    <s v="LB02EQ10TR02"/>
    <x v="1"/>
    <x v="3"/>
    <x v="13"/>
    <x v="3"/>
    <s v="LB02E10T2"/>
    <x v="1"/>
    <x v="14"/>
    <x v="101"/>
    <x v="0"/>
    <n v="364"/>
    <n v="40.840000000000003"/>
    <n v="6.78"/>
    <n v="158.54"/>
    <n v="13.25"/>
    <n v="15.438856999999899"/>
    <n v="13.928070999999999"/>
    <n v="1074.8689999999999"/>
    <n v="1704046.26"/>
    <x v="118"/>
    <x v="0"/>
    <x v="5"/>
    <n v="16594.748784732899"/>
    <n v="14970.8517476989"/>
    <n v="2467.92"/>
    <n v="165947.48784732999"/>
    <x v="1"/>
    <s v="REAL-PROY."/>
    <m/>
    <m/>
    <m/>
    <m/>
    <m/>
    <m/>
    <m/>
    <m/>
    <m/>
  </r>
  <r>
    <n v="12.85294698195886"/>
    <s v="99.- Cosecha 2013 - Real"/>
    <x v="2"/>
    <s v="Real"/>
    <s v="LB02EQ10TR03"/>
    <x v="1"/>
    <x v="3"/>
    <x v="13"/>
    <x v="1"/>
    <s v="LB02E10T3"/>
    <x v="1"/>
    <x v="5"/>
    <x v="102"/>
    <x v="0"/>
    <n v="390.943804034582"/>
    <n v="34.700000000000003"/>
    <n v="34.700000000000003"/>
    <n v="170.93"/>
    <n v="13.3"/>
    <n v="14.159276218057199"/>
    <n v="12.6748823830952"/>
    <n v="5931.24"/>
    <n v="2045505.68"/>
    <x v="119"/>
    <x v="0"/>
    <x v="1"/>
    <n v="83982.065475590003"/>
    <n v="75177.769385909996"/>
    <n v="13565.75"/>
    <n v="839820.65475590003"/>
    <x v="1"/>
    <s v="REAL-PROY."/>
    <m/>
    <m/>
    <m/>
    <m/>
    <m/>
    <m/>
    <m/>
    <m/>
    <m/>
  </r>
  <r>
    <n v="11.957400255371441"/>
    <s v="99.- Cosecha 2013 - Real"/>
    <x v="2"/>
    <s v="Real"/>
    <s v="LB02EQ10TR04"/>
    <x v="1"/>
    <x v="3"/>
    <x v="13"/>
    <x v="4"/>
    <s v="LB02E10T4"/>
    <x v="1"/>
    <x v="5"/>
    <x v="103"/>
    <x v="0"/>
    <n v="363.70425776754797"/>
    <n v="34.76"/>
    <n v="34.76"/>
    <n v="162.66999999999999"/>
    <n v="13.6"/>
    <n v="14.329842679870101"/>
    <n v="12.8215976997992"/>
    <n v="5654.55"/>
    <n v="1800956.4"/>
    <x v="76"/>
    <x v="0"/>
    <x v="3"/>
    <n v="81028.811925460002"/>
    <n v="72500.365273400006"/>
    <n v="12642.359999999901"/>
    <n v="810288.11925460002"/>
    <x v="1"/>
    <s v="REAL-PROY."/>
    <m/>
    <m/>
    <m/>
    <m/>
    <m/>
    <m/>
    <m/>
    <m/>
    <m/>
  </r>
  <r>
    <n v="11.607382438021448"/>
    <s v="99.- Cosecha 2013 - Real"/>
    <x v="2"/>
    <s v="Real"/>
    <s v="LB02EQ10TR05"/>
    <x v="1"/>
    <x v="3"/>
    <x v="13"/>
    <x v="5"/>
    <s v="LB02E10T5"/>
    <x v="1"/>
    <x v="14"/>
    <x v="104"/>
    <x v="0"/>
    <n v="353.05788248981901"/>
    <n v="34.380000000000003"/>
    <n v="34.380000000000003"/>
    <n v="133.5"/>
    <n v="11.5"/>
    <n v="15.3197091522695"/>
    <n v="13.8172725389252"/>
    <n v="4589.6309999999903"/>
    <n v="1536042.93"/>
    <x v="120"/>
    <x v="0"/>
    <x v="5"/>
    <n v="70311.812036239993"/>
    <n v="63416.182380099999"/>
    <n v="12138.13"/>
    <n v="703118.12036239996"/>
    <x v="1"/>
    <s v="REAL-PROY."/>
    <m/>
    <m/>
    <m/>
    <m/>
    <m/>
    <m/>
    <m/>
    <m/>
    <m/>
  </r>
  <r>
    <n v="11.558672407044988"/>
    <s v="99.- Cosecha 2013 - Real"/>
    <x v="2"/>
    <s v="Real"/>
    <s v="LB02EQ11TR01"/>
    <x v="1"/>
    <x v="3"/>
    <x v="7"/>
    <x v="2"/>
    <s v="LB02E11T1"/>
    <x v="1"/>
    <x v="5"/>
    <x v="105"/>
    <x v="0"/>
    <n v="351.57628571428501"/>
    <n v="35"/>
    <n v="35"/>
    <n v="162.87"/>
    <n v="14.09"/>
    <n v="14.6024709701496"/>
    <n v="13.070601177376"/>
    <n v="5700.43"/>
    <n v="1544597.74"/>
    <x v="121"/>
    <x v="0"/>
    <x v="10"/>
    <n v="83240.363592369904"/>
    <n v="74508.047069549997"/>
    <n v="12305.1699999999"/>
    <n v="832403.63592369901"/>
    <x v="1"/>
    <s v="REAL-PROY."/>
    <m/>
    <m/>
    <m/>
    <m/>
    <m/>
    <m/>
    <m/>
    <m/>
    <m/>
  </r>
  <r>
    <n v="11.769863013698631"/>
    <s v="99.- Cosecha 2013 - Real"/>
    <x v="2"/>
    <s v="Real"/>
    <s v="LB02EQ12TR01"/>
    <x v="1"/>
    <x v="3"/>
    <x v="9"/>
    <x v="2"/>
    <s v="LB02E12T1"/>
    <x v="1"/>
    <x v="14"/>
    <x v="106"/>
    <x v="0"/>
    <n v="358"/>
    <n v="32.74"/>
    <n v="9.3699999999999992"/>
    <n v="163.62"/>
    <n v="13.9"/>
    <n v="15.327599999999901"/>
    <n v="13.7818"/>
    <n v="1533.12"/>
    <n v="2508491.9300000002"/>
    <x v="122"/>
    <x v="0"/>
    <x v="10"/>
    <n v="23499.050111999899"/>
    <n v="21129.153215999999"/>
    <n v="3354.45999999999"/>
    <n v="234990.50111999901"/>
    <x v="1"/>
    <s v="REAL-PROY."/>
    <m/>
    <m/>
    <m/>
    <m/>
    <m/>
    <m/>
    <m/>
    <m/>
    <m/>
  </r>
  <r>
    <n v="11.813797105526929"/>
    <s v="99.- Cosecha 2013 - Real"/>
    <x v="2"/>
    <s v="Real"/>
    <s v="LB02EQ12TR01"/>
    <x v="1"/>
    <x v="3"/>
    <x v="9"/>
    <x v="2"/>
    <s v="LB02E12T1"/>
    <x v="1"/>
    <x v="14"/>
    <x v="106"/>
    <x v="0"/>
    <n v="359.33632862644401"/>
    <n v="32.74"/>
    <n v="23.37"/>
    <n v="162.28"/>
    <n v="13.74"/>
    <n v="15.2307646402027"/>
    <n v="13.6809311584884"/>
    <n v="3792.58"/>
    <n v="3063860.84"/>
    <x v="123"/>
    <x v="0"/>
    <x v="3"/>
    <n v="57763.893359139998"/>
    <n v="51886.025893059901"/>
    <n v="8397.69"/>
    <n v="577638.93359139899"/>
    <x v="1"/>
    <s v="REAL-PROY."/>
    <m/>
    <m/>
    <m/>
    <m/>
    <m/>
    <m/>
    <m/>
    <m/>
    <m/>
  </r>
  <r>
    <n v="11.776244187507846"/>
    <s v="99.- Cosecha 2013 - Real"/>
    <x v="2"/>
    <s v="Real"/>
    <s v="LB02EQ12TR02"/>
    <x v="1"/>
    <x v="3"/>
    <x v="9"/>
    <x v="3"/>
    <s v="LB02E12T2"/>
    <x v="1"/>
    <x v="5"/>
    <x v="107"/>
    <x v="0"/>
    <n v="358.19409403669698"/>
    <n v="34.880000000000003"/>
    <n v="34.879999999999903"/>
    <n v="159.41"/>
    <n v="13.54"/>
    <n v="15.559547493537099"/>
    <n v="14.034316625963999"/>
    <n v="5560.2460000000001"/>
    <n v="2219625.31"/>
    <x v="124"/>
    <x v="0"/>
    <x v="1"/>
    <n v="86514.911712750007"/>
    <n v="78034.252882250003"/>
    <n v="12493.81"/>
    <n v="865149.11712750001"/>
    <x v="1"/>
    <s v="REAL-PROY."/>
    <m/>
    <m/>
    <m/>
    <m/>
    <m/>
    <m/>
    <m/>
    <m/>
    <m/>
  </r>
  <r>
    <n v="12.023244552058094"/>
    <s v="99.- Cosecha 2013 - Real"/>
    <x v="2"/>
    <s v="Real"/>
    <s v="LB02EQ12TR03"/>
    <x v="1"/>
    <x v="3"/>
    <x v="9"/>
    <x v="1"/>
    <s v="LB02E12T3"/>
    <x v="1"/>
    <x v="14"/>
    <x v="108"/>
    <x v="0"/>
    <n v="365.70702179176698"/>
    <n v="28.91"/>
    <n v="28.91"/>
    <n v="148.54"/>
    <n v="12.35"/>
    <n v="15.608627072051901"/>
    <n v="14.1426304198721"/>
    <n v="4294.26"/>
    <n v="2138471.4900000002"/>
    <x v="125"/>
    <x v="0"/>
    <x v="5"/>
    <n v="67027.502890429998"/>
    <n v="60732.132106839999"/>
    <n v="10572.59"/>
    <n v="670275.02890429995"/>
    <x v="1"/>
    <s v="REAL-PROY."/>
    <m/>
    <m/>
    <m/>
    <m/>
    <m/>
    <m/>
    <m/>
    <m/>
    <m/>
  </r>
  <r>
    <n v="12.364097497677568"/>
    <s v="99.- Cosecha 2013 - Real"/>
    <x v="2"/>
    <s v="Real"/>
    <s v="LB02EQ12TR04"/>
    <x v="1"/>
    <x v="3"/>
    <x v="9"/>
    <x v="4"/>
    <s v="LB02E12T4"/>
    <x v="0"/>
    <x v="5"/>
    <x v="109"/>
    <x v="0"/>
    <n v="376.07463222102598"/>
    <n v="27.87"/>
    <n v="27.87"/>
    <n v="169.41"/>
    <n v="13.7"/>
    <n v="14.947634284034899"/>
    <n v="13.444729147213"/>
    <n v="4721.32"/>
    <n v="2670452.75"/>
    <x v="126"/>
    <x v="0"/>
    <x v="1"/>
    <n v="70572.564697900001"/>
    <n v="63476.868617319997"/>
    <n v="10481.200000000001"/>
    <n v="705725.64697899995"/>
    <x v="1"/>
    <s v="REAL-PROY."/>
    <m/>
    <m/>
    <m/>
    <m/>
    <m/>
    <m/>
    <m/>
    <m/>
    <m/>
  </r>
  <r>
    <n v="11.371782513106682"/>
    <s v="99.- Cosecha 2013 - Real"/>
    <x v="2"/>
    <s v="Real"/>
    <s v="LB02EQ13TR01"/>
    <x v="1"/>
    <x v="3"/>
    <x v="0"/>
    <x v="2"/>
    <s v="LB02E13T1"/>
    <x v="1"/>
    <x v="14"/>
    <x v="69"/>
    <x v="4"/>
    <n v="345.89171810699497"/>
    <n v="38.880000000000003"/>
    <n v="38.880000000000003"/>
    <n v="131.74"/>
    <n v="11.58"/>
    <n v="13.384820074049699"/>
    <n v="11.908552013107901"/>
    <n v="5122.1000000000004"/>
    <n v="1686382.7"/>
    <x v="127"/>
    <x v="0"/>
    <x v="10"/>
    <n v="68558.386901289996"/>
    <n v="60996.794266339901"/>
    <n v="13448.27"/>
    <n v="685583.86901290005"/>
    <x v="1"/>
    <s v="REAL-PROY."/>
    <m/>
    <m/>
    <m/>
    <m/>
    <m/>
    <m/>
    <m/>
    <m/>
    <m/>
  </r>
  <r>
    <n v="12.831967906609743"/>
    <s v="99.- Cosecha 2013 - Real"/>
    <x v="2"/>
    <s v="Real"/>
    <s v="LB02EQ13TR02"/>
    <x v="1"/>
    <x v="3"/>
    <x v="0"/>
    <x v="3"/>
    <s v="LB02E13T2"/>
    <x v="1"/>
    <x v="14"/>
    <x v="110"/>
    <x v="0"/>
    <n v="390.30569049271298"/>
    <n v="38.86"/>
    <n v="28.82"/>
    <n v="159.43"/>
    <n v="12.42"/>
    <n v="14.132983030286001"/>
    <n v="12.6276084106675"/>
    <n v="4594.8599999999997"/>
    <n v="1474512.63"/>
    <x v="99"/>
    <x v="0"/>
    <x v="9"/>
    <n v="64939.07840654"/>
    <n v="58022.092781840001"/>
    <n v="11248.61"/>
    <n v="649390.78406539897"/>
    <x v="1"/>
    <s v="REAL-PROY."/>
    <m/>
    <m/>
    <m/>
    <m/>
    <m/>
    <m/>
    <m/>
    <m/>
    <m/>
  </r>
  <r>
    <n v="13.043835616438356"/>
    <s v="99.- Cosecha 2013 - Real"/>
    <x v="2"/>
    <s v="Real"/>
    <s v="LB02EQ13TR02"/>
    <x v="1"/>
    <x v="3"/>
    <x v="0"/>
    <x v="3"/>
    <s v="LB02E13T2"/>
    <x v="1"/>
    <x v="14"/>
    <x v="110"/>
    <x v="0"/>
    <n v="396.75"/>
    <n v="38.86"/>
    <n v="3.88"/>
    <n v="150.13"/>
    <n v="11.51"/>
    <n v="14.495739352577599"/>
    <n v="13.0130735679559"/>
    <n v="582.51"/>
    <n v="440368.29"/>
    <x v="128"/>
    <x v="0"/>
    <x v="10"/>
    <n v="8443.9131302700007"/>
    <n v="7580.2454840700002"/>
    <n v="1539.3899999999901"/>
    <n v="84439.1313027"/>
    <x v="1"/>
    <s v="REAL-PROY."/>
    <m/>
    <m/>
    <m/>
    <m/>
    <m/>
    <m/>
    <m/>
    <m/>
    <m/>
  </r>
  <r>
    <n v="11.744627733224613"/>
    <s v="99.- Cosecha 2013 - Real"/>
    <x v="2"/>
    <s v="Real"/>
    <s v="LB02EQ13TR03"/>
    <x v="1"/>
    <x v="3"/>
    <x v="0"/>
    <x v="1"/>
    <s v="LB02E13T3"/>
    <x v="1"/>
    <x v="5"/>
    <x v="111"/>
    <x v="0"/>
    <n v="357.23242688558202"/>
    <n v="38.979999999999997"/>
    <n v="38.979999999999997"/>
    <n v="160.22"/>
    <n v="13.64"/>
    <n v="14.4810520384061"/>
    <n v="12.9719027877653"/>
    <n v="6245.3499999999904"/>
    <n v="1987479.99"/>
    <x v="38"/>
    <x v="0"/>
    <x v="1"/>
    <n v="90439.238348059996"/>
    <n v="81014.073075570006"/>
    <n v="13924.9199999999"/>
    <n v="904392.38348059996"/>
    <x v="1"/>
    <s v="REAL-PROY."/>
    <m/>
    <m/>
    <m/>
    <m/>
    <m/>
    <m/>
    <m/>
    <m/>
    <m/>
  </r>
  <r>
    <n v="12.022072198517817"/>
    <s v="99.- Cosecha 2013 - Real"/>
    <x v="2"/>
    <s v="Real"/>
    <s v="LB02EQ13TR04"/>
    <x v="1"/>
    <x v="3"/>
    <x v="0"/>
    <x v="4"/>
    <s v="LB02E13T4"/>
    <x v="1"/>
    <x v="5"/>
    <x v="112"/>
    <x v="0"/>
    <n v="365.67136270491699"/>
    <n v="39.04"/>
    <n v="39.04"/>
    <n v="150.97"/>
    <n v="12.56"/>
    <n v="15.2454356555233"/>
    <n v="13.7231456746518"/>
    <n v="5893.8399999999901"/>
    <n v="2228470.17"/>
    <x v="129"/>
    <x v="0"/>
    <x v="3"/>
    <n v="89854.158483949897"/>
    <n v="80882.024903090001"/>
    <n v="14275.81"/>
    <n v="898541.58483949897"/>
    <x v="1"/>
    <s v="REAL-PROY."/>
    <m/>
    <m/>
    <m/>
    <m/>
    <m/>
    <m/>
    <m/>
    <m/>
    <m/>
  </r>
  <r>
    <n v="11.790520660459595"/>
    <s v="99.- Cosecha 2013 - Real"/>
    <x v="2"/>
    <s v="Real"/>
    <s v="LB02EQ13TR05"/>
    <x v="1"/>
    <x v="3"/>
    <x v="0"/>
    <x v="5"/>
    <s v="LB02E13T5"/>
    <x v="1"/>
    <x v="14"/>
    <x v="113"/>
    <x v="0"/>
    <n v="358.62833675564599"/>
    <n v="38.96"/>
    <n v="38.96"/>
    <n v="143.61000000000001"/>
    <n v="12.18"/>
    <n v="15.420008177659501"/>
    <n v="13.948681859091201"/>
    <n v="5594.9699999999903"/>
    <n v="1339512.05"/>
    <x v="130"/>
    <x v="0"/>
    <x v="5"/>
    <n v="86274.483153759997"/>
    <n v="78042.456541160005"/>
    <n v="13972.16"/>
    <n v="862744.83153760002"/>
    <x v="1"/>
    <s v="REAL-PROY."/>
    <m/>
    <m/>
    <m/>
    <m/>
    <m/>
    <m/>
    <m/>
    <m/>
    <m/>
  </r>
  <r>
    <n v="14.68376900842024"/>
    <s v="99.- Cosecha 2013 - Real"/>
    <x v="2"/>
    <s v="Real"/>
    <s v="LB02EQ14TR01"/>
    <x v="1"/>
    <x v="3"/>
    <x v="16"/>
    <x v="2"/>
    <s v="LB02E14T1"/>
    <x v="1"/>
    <x v="13"/>
    <x v="114"/>
    <x v="0"/>
    <n v="446.63130733944899"/>
    <n v="34.880000000000003"/>
    <n v="34.879999999999903"/>
    <n v="161.94"/>
    <n v="11.03"/>
    <n v="14.1773064171754"/>
    <n v="12.694616302495"/>
    <n v="5648.6309999999903"/>
    <n v="1845963.97"/>
    <x v="131"/>
    <x v="0"/>
    <x v="8"/>
    <n v="80082.372524555904"/>
    <n v="71707.203179378994"/>
    <n v="15578.5"/>
    <n v="800823.72524555901"/>
    <x v="1"/>
    <s v="REAL-PROY."/>
    <m/>
    <m/>
    <m/>
    <m/>
    <m/>
    <m/>
    <m/>
    <m/>
    <m/>
  </r>
  <r>
    <n v="12.090934189481393"/>
    <s v="99.- Cosecha 2013 - Real"/>
    <x v="2"/>
    <s v="Real"/>
    <s v="LB02EQ14TR02"/>
    <x v="1"/>
    <x v="3"/>
    <x v="16"/>
    <x v="3"/>
    <s v="LB02E14T2"/>
    <x v="1"/>
    <x v="14"/>
    <x v="115"/>
    <x v="0"/>
    <n v="367.76591493005901"/>
    <n v="35.03"/>
    <n v="35.03"/>
    <n v="134.54"/>
    <n v="11.13"/>
    <n v="16.007755479806601"/>
    <n v="14.5148402784843"/>
    <n v="4712.9399999999996"/>
    <n v="2113294.1800000002"/>
    <x v="31"/>
    <x v="0"/>
    <x v="2"/>
    <n v="75443.5911109999"/>
    <n v="68407.571342080002"/>
    <n v="12882.84"/>
    <n v="754435.91110999906"/>
    <x v="1"/>
    <s v="REAL-PROY."/>
    <m/>
    <m/>
    <m/>
    <m/>
    <m/>
    <m/>
    <m/>
    <m/>
    <m/>
  </r>
  <r>
    <n v="10.77352133485361"/>
    <s v="99.- Cosecha 2013 - Real"/>
    <x v="2"/>
    <s v="Real"/>
    <s v="LB02EQ14TR03"/>
    <x v="1"/>
    <x v="3"/>
    <x v="16"/>
    <x v="1"/>
    <s v="LB02E14T3"/>
    <x v="0"/>
    <x v="5"/>
    <x v="59"/>
    <x v="0"/>
    <n v="327.69460726846398"/>
    <n v="34.119999999999997"/>
    <n v="34.119999999999997"/>
    <n v="138.82"/>
    <n v="12.89"/>
    <n v="15.242526957905399"/>
    <n v="13.7880336396106"/>
    <n v="4736.6000000000004"/>
    <n v="1647766.34"/>
    <x v="132"/>
    <x v="0"/>
    <x v="4"/>
    <n v="72197.753188814997"/>
    <n v="65308.400137379998"/>
    <n v="11180.94"/>
    <n v="721977.53188815003"/>
    <x v="1"/>
    <s v="REAL-PROY."/>
    <m/>
    <m/>
    <m/>
    <m/>
    <m/>
    <m/>
    <m/>
    <m/>
    <m/>
  </r>
  <r>
    <n v="11.167973937536054"/>
    <s v="99.- Cosecha 2013 - Real"/>
    <x v="2"/>
    <s v="Real"/>
    <s v="LB02EQ14TR04"/>
    <x v="1"/>
    <x v="3"/>
    <x v="16"/>
    <x v="4"/>
    <s v="LB02E14T4"/>
    <x v="1"/>
    <x v="14"/>
    <x v="116"/>
    <x v="0"/>
    <n v="339.692540600055"/>
    <n v="36.33"/>
    <n v="36.33"/>
    <n v="121.13"/>
    <n v="10.85"/>
    <n v="15.484822837831601"/>
    <n v="14.0246274061401"/>
    <n v="4400.55"/>
    <n v="1770840.18"/>
    <x v="133"/>
    <x v="0"/>
    <x v="7"/>
    <n v="68141.737139019999"/>
    <n v="61716.074132089998"/>
    <n v="12341.03"/>
    <n v="681417.37139019999"/>
    <x v="1"/>
    <s v="REAL-PROY."/>
    <m/>
    <m/>
    <m/>
    <m/>
    <m/>
    <m/>
    <m/>
    <m/>
    <m/>
  </r>
  <r>
    <n v="12.065233634739288"/>
    <s v="99.- Cosecha 2013 - Real"/>
    <x v="2"/>
    <s v="Real"/>
    <s v="LB02EQ14TR05"/>
    <x v="1"/>
    <x v="3"/>
    <x v="16"/>
    <x v="5"/>
    <s v="LB02E14T5"/>
    <x v="1"/>
    <x v="5"/>
    <x v="117"/>
    <x v="0"/>
    <n v="366.98418972332001"/>
    <n v="36.33"/>
    <n v="32.89"/>
    <n v="166.15"/>
    <n v="13.77"/>
    <n v="15.254785675185"/>
    <n v="13.714846811941401"/>
    <n v="5464.68"/>
    <n v="3026258.65"/>
    <x v="134"/>
    <x v="0"/>
    <x v="3"/>
    <n v="83362.522183470006"/>
    <n v="74947.249076279899"/>
    <n v="12070.109999999901"/>
    <n v="833625.22183469997"/>
    <x v="1"/>
    <s v="REAL-PROY."/>
    <m/>
    <m/>
    <m/>
    <m/>
    <m/>
    <m/>
    <m/>
    <m/>
    <m/>
  </r>
  <r>
    <n v="11.837268646649754"/>
    <s v="99.- Cosecha 2013 - Real"/>
    <x v="2"/>
    <s v="Real"/>
    <s v="LB02EQ15TR01"/>
    <x v="1"/>
    <x v="3"/>
    <x v="17"/>
    <x v="2"/>
    <s v="LB02E15T1"/>
    <x v="1"/>
    <x v="14"/>
    <x v="118"/>
    <x v="0"/>
    <n v="360.05025466892999"/>
    <n v="29.45"/>
    <n v="29.45"/>
    <n v="100.47"/>
    <n v="8.49"/>
    <n v="15.456247193713001"/>
    <n v="13.9729001273822"/>
    <n v="2958.81"/>
    <n v="989315.91"/>
    <x v="28"/>
    <x v="0"/>
    <x v="2"/>
    <n v="45732.098759230001"/>
    <n v="41343.156625899901"/>
    <n v="10603.48"/>
    <n v="457320.98759229999"/>
    <x v="1"/>
    <s v="REAL-PROY."/>
    <m/>
    <m/>
    <m/>
    <m/>
    <m/>
    <m/>
    <m/>
    <m/>
    <m/>
  </r>
  <r>
    <n v="11.957884643856756"/>
    <s v="99.- Cosecha 2013 - Real"/>
    <x v="2"/>
    <s v="Real"/>
    <s v="LB02EQ15TR02"/>
    <x v="1"/>
    <x v="3"/>
    <x v="17"/>
    <x v="3"/>
    <s v="LB02E15T2"/>
    <x v="1"/>
    <x v="14"/>
    <x v="119"/>
    <x v="0"/>
    <n v="363.718991250643"/>
    <n v="38.86"/>
    <n v="38.86"/>
    <n v="123.46"/>
    <n v="10.32"/>
    <n v="15.3056474323977"/>
    <n v="13.8230462848183"/>
    <n v="4797.62"/>
    <n v="1972534.84"/>
    <x v="135"/>
    <x v="0"/>
    <x v="2"/>
    <n v="73430.680234619998"/>
    <n v="66317.723316970005"/>
    <n v="14134.12"/>
    <n v="734306.80234619998"/>
    <x v="1"/>
    <s v="REAL-PROY."/>
    <m/>
    <m/>
    <m/>
    <m/>
    <m/>
    <m/>
    <m/>
    <m/>
    <m/>
  </r>
  <r>
    <n v="13.152090787830016"/>
    <s v="99.- Cosecha 2013 - Real"/>
    <x v="2"/>
    <s v="Real"/>
    <s v="LB02EQ15TR03"/>
    <x v="1"/>
    <x v="3"/>
    <x v="17"/>
    <x v="1"/>
    <s v="LB02E15T3"/>
    <x v="1"/>
    <x v="14"/>
    <x v="120"/>
    <x v="0"/>
    <n v="400.042761463163"/>
    <n v="38.82"/>
    <n v="38.82"/>
    <n v="139.02000000000001"/>
    <n v="10.57"/>
    <n v="14.6639080434528"/>
    <n v="13.165549217184701"/>
    <n v="5396.88"/>
    <n v="1499289.16"/>
    <x v="136"/>
    <x v="0"/>
    <x v="10"/>
    <n v="79139.352041549995"/>
    <n v="71052.889259239993"/>
    <n v="15529.66"/>
    <n v="791393.52041550004"/>
    <x v="1"/>
    <s v="REAL-PROY."/>
    <m/>
    <m/>
    <m/>
    <m/>
    <m/>
    <m/>
    <m/>
    <m/>
    <m/>
  </r>
  <r>
    <n v="12.450798143326161"/>
    <s v="99.- Cosecha 2013 - Real"/>
    <x v="2"/>
    <s v="Real"/>
    <s v="LB02EQ15TR04"/>
    <x v="1"/>
    <x v="3"/>
    <x v="17"/>
    <x v="4"/>
    <s v="LB02E15T4"/>
    <x v="1"/>
    <x v="14"/>
    <x v="121"/>
    <x v="0"/>
    <n v="378.71177685950403"/>
    <n v="38.72"/>
    <n v="38.72"/>
    <n v="149.33000000000001"/>
    <n v="11.99"/>
    <n v="15.123773440121401"/>
    <n v="13.622324633157101"/>
    <n v="5782.04"/>
    <n v="2163675.54"/>
    <x v="137"/>
    <x v="0"/>
    <x v="2"/>
    <n v="87446.262981720007"/>
    <n v="78764.825921900003"/>
    <n v="14663.72"/>
    <n v="874462.62981720001"/>
    <x v="1"/>
    <s v="REAL-PROY."/>
    <m/>
    <m/>
    <m/>
    <m/>
    <m/>
    <m/>
    <m/>
    <m/>
    <m/>
  </r>
  <r>
    <n v="14.287645793353644"/>
    <s v="99.- Cosecha 2013 - Real"/>
    <x v="2"/>
    <s v="Real"/>
    <s v="LB02EQ15TR05"/>
    <x v="1"/>
    <x v="3"/>
    <x v="17"/>
    <x v="5"/>
    <s v="LB02E15T5"/>
    <x v="3"/>
    <x v="5"/>
    <x v="41"/>
    <x v="0"/>
    <n v="434.58255954783999"/>
    <n v="24.77"/>
    <n v="24.77"/>
    <n v="151.6"/>
    <n v="10.61"/>
    <n v="15.363279035102"/>
    <n v="13.8442280026311"/>
    <n v="3755.05"/>
    <n v="816352.23"/>
    <x v="138"/>
    <x v="0"/>
    <x v="10"/>
    <n v="57689.880940759998"/>
    <n v="51985.768361280003"/>
    <n v="10764.61"/>
    <n v="576898.80940759997"/>
    <x v="1"/>
    <s v="REAL-PROY."/>
    <m/>
    <m/>
    <m/>
    <m/>
    <m/>
    <m/>
    <m/>
    <m/>
    <m/>
  </r>
  <r>
    <n v="11.995338518021391"/>
    <s v="99.- Cosecha 2013 - Real"/>
    <x v="2"/>
    <s v="Real"/>
    <s v="LB02EQ16TR02"/>
    <x v="1"/>
    <x v="3"/>
    <x v="4"/>
    <x v="3"/>
    <s v="LB02E16T2"/>
    <x v="1"/>
    <x v="5"/>
    <x v="122"/>
    <x v="0"/>
    <n v="364.85821325648402"/>
    <n v="34.700000000000003"/>
    <n v="34.699999999999903"/>
    <n v="159.41999999999999"/>
    <n v="13.29"/>
    <n v="15.087496464808201"/>
    <n v="13.561895945943601"/>
    <n v="5531.8979999999901"/>
    <n v="2937306.91"/>
    <x v="139"/>
    <x v="0"/>
    <x v="5"/>
    <n v="83462.491518680006"/>
    <n v="75023.025059573905"/>
    <n v="12660.58"/>
    <n v="834624.91518679995"/>
    <x v="1"/>
    <s v="REAL-PROY."/>
    <m/>
    <m/>
    <m/>
    <m/>
    <m/>
    <m/>
    <m/>
    <m/>
    <m/>
  </r>
  <r>
    <n v="14.307083020804537"/>
    <s v="99.- Cosecha 2013 - Real"/>
    <x v="2"/>
    <s v="Real"/>
    <s v="LB02EQ16TR03"/>
    <x v="1"/>
    <x v="3"/>
    <x v="4"/>
    <x v="1"/>
    <s v="LB02E16T3"/>
    <x v="1"/>
    <x v="13"/>
    <x v="123"/>
    <x v="0"/>
    <n v="435.17377521613798"/>
    <n v="34.699999999999903"/>
    <n v="34.700000000000003"/>
    <n v="162.74"/>
    <n v="11.37"/>
    <n v="12.8973152831602"/>
    <n v="11.3982520773625"/>
    <n v="5647.0499999999902"/>
    <n v="1530988.18"/>
    <x v="140"/>
    <x v="0"/>
    <x v="8"/>
    <n v="72831.784269769996"/>
    <n v="64366.499393469901"/>
    <n v="15100.529999999901"/>
    <n v="728317.84269770002"/>
    <x v="1"/>
    <s v="REAL-PROY."/>
    <m/>
    <m/>
    <m/>
    <m/>
    <m/>
    <m/>
    <m/>
    <m/>
    <m/>
  </r>
  <r>
    <n v="13.924644966695967"/>
    <s v="99.- Cosecha 2013 - Real"/>
    <x v="2"/>
    <s v="Real"/>
    <s v="LB02EQ16TR04"/>
    <x v="1"/>
    <x v="3"/>
    <x v="4"/>
    <x v="4"/>
    <s v="LB02E16T4"/>
    <x v="1"/>
    <x v="13"/>
    <x v="124"/>
    <x v="0"/>
    <n v="423.54128440366901"/>
    <n v="34.699999999999903"/>
    <n v="33.79"/>
    <n v="175.88"/>
    <n v="12.63"/>
    <n v="11.732645733274101"/>
    <n v="10.272330152737201"/>
    <n v="5943.0159999999996"/>
    <n v="1719283.96"/>
    <x v="48"/>
    <x v="0"/>
    <x v="8"/>
    <n v="69727.301315179997"/>
    <n v="61048.622454999902"/>
    <n v="14311.46"/>
    <n v="697273.01315180003"/>
    <x v="1"/>
    <s v="REAL-PROY."/>
    <m/>
    <m/>
    <m/>
    <m/>
    <m/>
    <m/>
    <m/>
    <m/>
    <m/>
  </r>
  <r>
    <n v="14.005479452054795"/>
    <s v="99.- Cosecha 2013 - Real"/>
    <x v="2"/>
    <s v="Real"/>
    <s v="LB02EQ16TR04"/>
    <x v="1"/>
    <x v="3"/>
    <x v="4"/>
    <x v="4"/>
    <s v="LB02E16T4"/>
    <x v="1"/>
    <x v="13"/>
    <x v="124"/>
    <x v="0"/>
    <n v="426"/>
    <n v="34.700000000000003"/>
    <n v="0.91"/>
    <n v="127.77"/>
    <n v="9.1199999999999992"/>
    <n v="11.033625000000001"/>
    <n v="9.5401249999999997"/>
    <n v="116.27"/>
    <n v="148557.28"/>
    <x v="49"/>
    <x v="0"/>
    <x v="9"/>
    <n v="1282.8795787500001"/>
    <n v="1109.23033375"/>
    <n v="387.66"/>
    <n v="12828.795787499999"/>
    <x v="1"/>
    <s v="REAL-PROY."/>
    <m/>
    <m/>
    <m/>
    <m/>
    <m/>
    <m/>
    <m/>
    <m/>
    <m/>
  </r>
  <r>
    <n v="10.967772047326783"/>
    <s v="99.- Cosecha 2013 - Real"/>
    <x v="2"/>
    <s v="Real"/>
    <s v="LB02EQ16TR05"/>
    <x v="1"/>
    <x v="3"/>
    <x v="4"/>
    <x v="5"/>
    <s v="LB02E16T5"/>
    <x v="0"/>
    <x v="12"/>
    <x v="125"/>
    <x v="0"/>
    <n v="333.60306643952299"/>
    <n v="23.48"/>
    <n v="23.48"/>
    <n v="154.13999999999999"/>
    <n v="14.05"/>
    <n v="14.6141615826165"/>
    <n v="13.152780678947"/>
    <n v="3619.31"/>
    <n v="1856936.89"/>
    <x v="42"/>
    <x v="0"/>
    <x v="4"/>
    <n v="52893.181157580002"/>
    <n v="47603.990639119897"/>
    <n v="7833"/>
    <n v="528931.81157579995"/>
    <x v="1"/>
    <s v="REAL-PROY."/>
    <m/>
    <m/>
    <m/>
    <m/>
    <m/>
    <m/>
    <m/>
    <m/>
    <m/>
  </r>
  <r>
    <n v="11.834975097954706"/>
    <s v="99.- Cosecha 2013 - Real"/>
    <x v="2"/>
    <s v="Real"/>
    <s v="LB02EQ17TR01"/>
    <x v="1"/>
    <x v="3"/>
    <x v="11"/>
    <x v="2"/>
    <s v="LB02E17T1"/>
    <x v="1"/>
    <x v="5"/>
    <x v="126"/>
    <x v="0"/>
    <n v="359.98049256278898"/>
    <n v="41.01"/>
    <n v="41.01"/>
    <n v="163.13999999999999"/>
    <n v="13.78"/>
    <n v="15.5053261123211"/>
    <n v="13.9700700669027"/>
    <n v="6690.46"/>
    <n v="2175201.0699999998"/>
    <x v="141"/>
    <x v="0"/>
    <x v="1"/>
    <n v="103737.76414144"/>
    <n v="93466.194979809996"/>
    <n v="14762.8"/>
    <n v="1037377.6414144"/>
    <x v="1"/>
    <s v="REAL-PROY."/>
    <m/>
    <m/>
    <m/>
    <m/>
    <m/>
    <m/>
    <m/>
    <m/>
    <m/>
  </r>
  <r>
    <n v="11.405244167225918"/>
    <s v="99.- Cosecha 2013 - Real"/>
    <x v="2"/>
    <s v="Real"/>
    <s v="LB02EQ17TR02"/>
    <x v="1"/>
    <x v="3"/>
    <x v="11"/>
    <x v="3"/>
    <s v="LB02E17T2"/>
    <x v="1"/>
    <x v="5"/>
    <x v="127"/>
    <x v="0"/>
    <n v="346.90951008645499"/>
    <n v="34.700000000000003"/>
    <n v="34.700000000000003"/>
    <n v="156.85"/>
    <n v="13.75"/>
    <n v="14.6641533423845"/>
    <n v="13.180833634789501"/>
    <n v="5442.6639999999998"/>
    <n v="2847111.87"/>
    <x v="142"/>
    <x v="0"/>
    <x v="7"/>
    <n v="79812.059487075996"/>
    <n v="71738.848714057996"/>
    <n v="12037.76"/>
    <n v="798120.59487075906"/>
    <x v="1"/>
    <s v="REAL-PROY."/>
    <m/>
    <m/>
    <m/>
    <m/>
    <m/>
    <m/>
    <m/>
    <m/>
    <m/>
  </r>
  <r>
    <n v="12.723287671232876"/>
    <s v="99.- Cosecha 2013 - Real"/>
    <x v="2"/>
    <s v="Real"/>
    <s v="LB02EQ17TR03"/>
    <x v="1"/>
    <x v="3"/>
    <x v="11"/>
    <x v="1"/>
    <s v="LB02E17T3"/>
    <x v="1"/>
    <x v="5"/>
    <x v="128"/>
    <x v="0"/>
    <n v="387"/>
    <n v="34.700000000000003"/>
    <n v="0.83"/>
    <n v="191.6"/>
    <n v="15.06"/>
    <n v="14.255784999999999"/>
    <n v="12.774744999999999"/>
    <n v="159.03"/>
    <n v="304705.31"/>
    <x v="126"/>
    <x v="0"/>
    <x v="1"/>
    <n v="2267.09748855"/>
    <n v="2031.5676973499999"/>
    <n v="321.20999999999998"/>
    <n v="22670.9748855"/>
    <x v="1"/>
    <s v="REAL-PROY."/>
    <m/>
    <m/>
    <m/>
    <m/>
    <m/>
    <m/>
    <m/>
    <m/>
    <m/>
  </r>
  <r>
    <n v="12.813307934042729"/>
    <s v="99.- Cosecha 2013 - Real"/>
    <x v="2"/>
    <s v="Real"/>
    <s v="LB02EQ17TR03"/>
    <x v="1"/>
    <x v="3"/>
    <x v="11"/>
    <x v="1"/>
    <s v="LB02E17T3"/>
    <x v="1"/>
    <x v="5"/>
    <x v="128"/>
    <x v="0"/>
    <n v="389.73811632713301"/>
    <n v="34.700000000000003"/>
    <n v="33.869999999999997"/>
    <n v="194.86"/>
    <n v="15.21"/>
    <n v="14.2557853004995"/>
    <n v="12.7747456611072"/>
    <n v="6599.9470000000001"/>
    <n v="2566487.2400000002"/>
    <x v="143"/>
    <x v="0"/>
    <x v="2"/>
    <n v="94087.427426675902"/>
    <n v="84312.644301787994"/>
    <n v="13200.4299999999"/>
    <n v="940874.27426675905"/>
    <x v="1"/>
    <s v="REAL-PROY."/>
    <m/>
    <m/>
    <m/>
    <m/>
    <m/>
    <m/>
    <m/>
    <m/>
    <m/>
  </r>
  <r>
    <n v="11.272443915028768"/>
    <s v="99.- Cosecha 2013 - Real"/>
    <x v="2"/>
    <s v="Real"/>
    <s v="LB02EQ17TR04"/>
    <x v="1"/>
    <x v="3"/>
    <x v="11"/>
    <x v="4"/>
    <s v="LB02E17T4"/>
    <x v="1"/>
    <x v="5"/>
    <x v="129"/>
    <x v="0"/>
    <n v="342.87016908212502"/>
    <n v="33.119999999999997"/>
    <n v="33.119999999999997"/>
    <n v="165.7"/>
    <n v="14.7"/>
    <n v="14.470819481535599"/>
    <n v="13.017731000788901"/>
    <n v="5488.13"/>
    <n v="3024757.72"/>
    <x v="144"/>
    <x v="0"/>
    <x v="7"/>
    <n v="79417.738521199994"/>
    <n v="71443.000037360005"/>
    <n v="11355.86"/>
    <n v="794177.38521199895"/>
    <x v="1"/>
    <s v="REAL-PROY."/>
    <m/>
    <m/>
    <m/>
    <m/>
    <m/>
    <m/>
    <m/>
    <m/>
    <m/>
  </r>
  <r>
    <n v="16.267425270252527"/>
    <s v="99.- Cosecha 2013 - Real"/>
    <x v="2"/>
    <s v="Real"/>
    <s v="LB02EQ17TR05"/>
    <x v="1"/>
    <x v="3"/>
    <x v="11"/>
    <x v="5"/>
    <s v="LB02E17T5"/>
    <x v="1"/>
    <x v="13"/>
    <x v="130"/>
    <x v="0"/>
    <n v="494.80085197018099"/>
    <n v="28.17"/>
    <n v="28.17"/>
    <n v="176.57"/>
    <n v="10.85"/>
    <n v="14.5897089799927"/>
    <n v="13.0964712207871"/>
    <n v="4974.0929999999998"/>
    <n v="1759806.14"/>
    <x v="145"/>
    <x v="0"/>
    <x v="3"/>
    <n v="72570.569309419006"/>
    <n v="65143.065824019002"/>
    <n v="13938.539999999901"/>
    <n v="725705.69309418998"/>
    <x v="1"/>
    <s v="REAL-PROY."/>
    <m/>
    <m/>
    <m/>
    <m/>
    <m/>
    <m/>
    <m/>
    <m/>
    <m/>
  </r>
  <r>
    <n v="12.715220014254182"/>
    <s v="99.- Cosecha 2013 - Real"/>
    <x v="2"/>
    <s v="Real"/>
    <s v="LB02EQ18TR01"/>
    <x v="1"/>
    <x v="3"/>
    <x v="18"/>
    <x v="2"/>
    <s v="LB02E18T1"/>
    <x v="1"/>
    <x v="6"/>
    <x v="131"/>
    <x v="0"/>
    <n v="386.754608766898"/>
    <n v="24.41"/>
    <n v="24.41"/>
    <n v="124.99"/>
    <n v="9.83"/>
    <n v="15.4424468970861"/>
    <n v="13.950728407440399"/>
    <n v="3050.9"/>
    <n v="1281711.67"/>
    <x v="146"/>
    <x v="0"/>
    <x v="1"/>
    <n v="47113.3612383199"/>
    <n v="42562.27729826"/>
    <n v="9440.68"/>
    <n v="471133.61238319997"/>
    <x v="1"/>
    <s v="REAL-PROY."/>
    <m/>
    <m/>
    <m/>
    <m/>
    <m/>
    <m/>
    <m/>
    <m/>
    <m/>
  </r>
  <r>
    <n v="16.338745990182773"/>
    <s v="99.- Cosecha 2013 - Real"/>
    <x v="2"/>
    <s v="Real"/>
    <s v="LB02EQ18TR02"/>
    <x v="1"/>
    <x v="3"/>
    <x v="18"/>
    <x v="3"/>
    <s v="LB02E18T2"/>
    <x v="1"/>
    <x v="13"/>
    <x v="132"/>
    <x v="0"/>
    <n v="496.97019053472599"/>
    <n v="32.54"/>
    <n v="32.5399999999999"/>
    <n v="173.63"/>
    <n v="10.63"/>
    <n v="15.085040525924899"/>
    <n v="13.570969018482099"/>
    <n v="5649.78"/>
    <n v="1982249.41"/>
    <x v="122"/>
    <x v="0"/>
    <x v="10"/>
    <n v="85227.160262559904"/>
    <n v="76672.989341239998"/>
    <n v="16171.41"/>
    <n v="852271.60262559995"/>
    <x v="1"/>
    <s v="REAL-PROY."/>
    <m/>
    <m/>
    <m/>
    <m/>
    <m/>
    <m/>
    <m/>
    <m/>
    <m/>
  </r>
  <r>
    <n v="11.842636695187988"/>
    <s v="99.- Cosecha 2013 - Real"/>
    <x v="2"/>
    <s v="Real"/>
    <s v="LB02EQ18TR03"/>
    <x v="1"/>
    <x v="3"/>
    <x v="18"/>
    <x v="1"/>
    <s v="LB02E18T3"/>
    <x v="1"/>
    <x v="5"/>
    <x v="133"/>
    <x v="0"/>
    <n v="360.21353281196798"/>
    <n v="34.700000000000003"/>
    <n v="29.41"/>
    <n v="168.08"/>
    <n v="14.19"/>
    <n v="14.345053519993"/>
    <n v="12.880912863512"/>
    <n v="4943.22"/>
    <n v="1993980.53"/>
    <x v="147"/>
    <x v="0"/>
    <x v="2"/>
    <n v="70910.755461099994"/>
    <n v="63673.186085169997"/>
    <n v="10593.88"/>
    <n v="709107.554611"/>
    <x v="1"/>
    <s v="REAL-PROY."/>
    <m/>
    <m/>
    <m/>
    <m/>
    <m/>
    <m/>
    <m/>
    <m/>
    <m/>
  </r>
  <r>
    <n v="12.128585855970147"/>
    <s v="99.- Cosecha 2013 - Real"/>
    <x v="2"/>
    <s v="Real"/>
    <s v="LB02EQ18TR03"/>
    <x v="1"/>
    <x v="3"/>
    <x v="18"/>
    <x v="1"/>
    <s v="LB02E18T3"/>
    <x v="1"/>
    <x v="5"/>
    <x v="133"/>
    <x v="0"/>
    <n v="368.91115311909198"/>
    <n v="34.700000000000003"/>
    <n v="5.29"/>
    <n v="154.29"/>
    <n v="12.72"/>
    <n v="14.954068582056401"/>
    <n v="13.4437234006263"/>
    <n v="816.18199999999899"/>
    <n v="302474.23"/>
    <x v="139"/>
    <x v="0"/>
    <x v="5"/>
    <n v="12205.241603439999"/>
    <n v="10972.525052569999"/>
    <n v="1951.54"/>
    <n v="122052.4160344"/>
    <x v="1"/>
    <s v="REAL-PROY."/>
    <m/>
    <m/>
    <m/>
    <m/>
    <m/>
    <m/>
    <m/>
    <m/>
    <m/>
  </r>
  <r>
    <n v="10.783561643835617"/>
    <s v="99.- Cosecha 2013 - Real"/>
    <x v="2"/>
    <s v="Real"/>
    <s v="LB02EQ18TR04"/>
    <x v="1"/>
    <x v="3"/>
    <x v="18"/>
    <x v="4"/>
    <s v="LB02E18T4"/>
    <x v="1"/>
    <x v="5"/>
    <x v="134"/>
    <x v="0"/>
    <n v="328"/>
    <n v="34.799999999999997"/>
    <n v="7.1"/>
    <n v="155.30000000000001"/>
    <n v="14.4"/>
    <n v="14.785500000000001"/>
    <n v="13.30425"/>
    <n v="1102.6300000000001"/>
    <n v="1712384.39"/>
    <x v="45"/>
    <x v="0"/>
    <x v="6"/>
    <n v="16302.935864999999"/>
    <n v="14669.665177499999"/>
    <n v="2328.7999999999902"/>
    <n v="163029.35865000001"/>
    <x v="1"/>
    <s v="REAL-PROY."/>
    <m/>
    <m/>
    <m/>
    <m/>
    <m/>
    <m/>
    <m/>
    <m/>
    <m/>
  </r>
  <r>
    <n v="10.90886108501063"/>
    <s v="99.- Cosecha 2013 - Real"/>
    <x v="2"/>
    <s v="Real"/>
    <s v="LB02EQ18TR04"/>
    <x v="1"/>
    <x v="3"/>
    <x v="18"/>
    <x v="4"/>
    <s v="LB02E18T4"/>
    <x v="1"/>
    <x v="5"/>
    <x v="134"/>
    <x v="0"/>
    <n v="331.81119133573998"/>
    <n v="34.799999999999997"/>
    <n v="27.7"/>
    <n v="150.22999999999999"/>
    <n v="13.77"/>
    <n v="14.7109210019473"/>
    <n v="13.2234983747238"/>
    <n v="4161.4960000000001"/>
    <n v="2084595.53"/>
    <x v="148"/>
    <x v="0"/>
    <x v="7"/>
    <n v="61219.438905919997"/>
    <n v="55029.535592419998"/>
    <n v="9191.17"/>
    <n v="612194.38905919995"/>
    <x v="1"/>
    <s v="REAL-PROY."/>
    <m/>
    <m/>
    <m/>
    <m/>
    <m/>
    <m/>
    <m/>
    <m/>
    <m/>
  </r>
  <r>
    <n v="12.382944475719848"/>
    <s v="99.- Cosecha 2013 - Real"/>
    <x v="2"/>
    <s v="Real"/>
    <s v="LB02EQ18TR05"/>
    <x v="1"/>
    <x v="3"/>
    <x v="18"/>
    <x v="5"/>
    <s v="LB02E18T5"/>
    <x v="1"/>
    <x v="5"/>
    <x v="135"/>
    <x v="0"/>
    <n v="376.647894469812"/>
    <n v="39.42"/>
    <n v="39.42"/>
    <n v="172.49"/>
    <n v="13.93"/>
    <n v="15.1611079712641"/>
    <n v="13.686323468201399"/>
    <n v="6799.53"/>
    <n v="2909161.12"/>
    <x v="149"/>
    <x v="0"/>
    <x v="2"/>
    <n v="103088.40848385"/>
    <n v="93060.56701174"/>
    <n v="14847.46"/>
    <n v="1030884.0848385"/>
    <x v="1"/>
    <s v="REAL-PROY."/>
    <m/>
    <m/>
    <m/>
    <m/>
    <m/>
    <m/>
    <m/>
    <m/>
    <m/>
  </r>
  <r>
    <n v="10.564272457546847"/>
    <s v="99.- Cosecha 2013 - Real"/>
    <x v="2"/>
    <s v="Real"/>
    <s v="LB02EQ19TR01"/>
    <x v="1"/>
    <x v="3"/>
    <x v="19"/>
    <x v="2"/>
    <s v="LB02E19T1"/>
    <x v="1"/>
    <x v="5"/>
    <x v="136"/>
    <x v="0"/>
    <n v="321.32995391704998"/>
    <n v="32.549999999999997"/>
    <n v="32.549999999999997"/>
    <n v="145.76"/>
    <n v="13.8"/>
    <n v="14.907351201434899"/>
    <n v="13.4713621913367"/>
    <n v="4744.41"/>
    <n v="1717810.26"/>
    <x v="150"/>
    <x v="0"/>
    <x v="6"/>
    <n v="70726.586113600002"/>
    <n v="63913.665494200002"/>
    <n v="10459.290000000001"/>
    <n v="707265.86113599897"/>
    <x v="1"/>
    <s v="REAL-PROY."/>
    <m/>
    <m/>
    <m/>
    <m/>
    <m/>
    <m/>
    <m/>
    <m/>
    <m/>
  </r>
  <r>
    <n v="12.732159797968045"/>
    <s v="99.- Cosecha 2013 - Real"/>
    <x v="2"/>
    <s v="Real"/>
    <s v="LB02EQ19TR02"/>
    <x v="1"/>
    <x v="3"/>
    <x v="19"/>
    <x v="3"/>
    <s v="LB02E19T2"/>
    <x v="1"/>
    <x v="6"/>
    <x v="67"/>
    <x v="0"/>
    <n v="387.26986052152802"/>
    <n v="34.6"/>
    <n v="32.979999999999997"/>
    <n v="136.94999999999999"/>
    <n v="10.76"/>
    <n v="15.5866908216378"/>
    <n v="14.082406318026401"/>
    <n v="4516.4740000000002"/>
    <n v="2062014.65"/>
    <x v="151"/>
    <x v="0"/>
    <x v="1"/>
    <n v="70396.883841965901"/>
    <n v="63602.821992801997"/>
    <n v="12772.16"/>
    <n v="703968.83841965895"/>
    <x v="1"/>
    <s v="REAL-PROY."/>
    <m/>
    <m/>
    <m/>
    <m/>
    <m/>
    <m/>
    <m/>
    <m/>
    <m/>
  </r>
  <r>
    <n v="12.206140095210312"/>
    <s v="99.- Cosecha 2013 - Real"/>
    <x v="2"/>
    <s v="Real"/>
    <s v="LB02EQ19TR03"/>
    <x v="1"/>
    <x v="3"/>
    <x v="19"/>
    <x v="1"/>
    <s v="LB02E19T3"/>
    <x v="1"/>
    <x v="5"/>
    <x v="137"/>
    <x v="0"/>
    <n v="371.27009456264699"/>
    <n v="33.840000000000003"/>
    <n v="33.839999999999897"/>
    <n v="142.47999999999999"/>
    <n v="11.67"/>
    <n v="15.051349799578499"/>
    <n v="13.5848075794291"/>
    <n v="4821.59"/>
    <n v="1365280.35"/>
    <x v="152"/>
    <x v="0"/>
    <x v="6"/>
    <n v="72571.437680149902"/>
    <n v="65500.372376899999"/>
    <n v="12563.78"/>
    <n v="725714.37680149905"/>
    <x v="1"/>
    <s v="REAL-PROY."/>
    <m/>
    <m/>
    <m/>
    <m/>
    <m/>
    <m/>
    <m/>
    <m/>
    <m/>
  </r>
  <r>
    <n v="12.765899882187156"/>
    <s v="99.- Cosecha 2013 - Real"/>
    <x v="2"/>
    <s v="Real"/>
    <s v="LB02EQ19TR04"/>
    <x v="1"/>
    <x v="3"/>
    <x v="19"/>
    <x v="4"/>
    <s v="LB02E19T4"/>
    <x v="1"/>
    <x v="5"/>
    <x v="138"/>
    <x v="0"/>
    <n v="388.29612141652598"/>
    <n v="29.649999999999899"/>
    <n v="29.65"/>
    <n v="143.22999999999999"/>
    <n v="11.22"/>
    <n v="15.6950330748278"/>
    <n v="14.213285966293601"/>
    <n v="4246.68"/>
    <n v="2022415.25"/>
    <x v="73"/>
    <x v="0"/>
    <x v="6"/>
    <n v="66651.78305821"/>
    <n v="60359.277247339996"/>
    <n v="11512.98"/>
    <n v="666517.83058209997"/>
    <x v="1"/>
    <s v="REAL-PROY."/>
    <m/>
    <m/>
    <m/>
    <m/>
    <m/>
    <m/>
    <m/>
    <m/>
    <m/>
  </r>
  <r>
    <n v="10.551969768540362"/>
    <s v="99.- Cosecha 2013 - Real"/>
    <x v="2"/>
    <s v="Real"/>
    <s v="LB02EQ19TR05"/>
    <x v="1"/>
    <x v="3"/>
    <x v="19"/>
    <x v="5"/>
    <s v="LB02E19T5"/>
    <x v="1"/>
    <x v="5"/>
    <x v="79"/>
    <x v="0"/>
    <n v="320.95574712643599"/>
    <n v="34.799999999999997"/>
    <n v="34.799999999999997"/>
    <n v="138.34"/>
    <n v="13.11"/>
    <n v="15.064396176098199"/>
    <n v="13.6121280978349"/>
    <n v="4814.13"/>
    <n v="2220199.59"/>
    <x v="153"/>
    <x v="0"/>
    <x v="7"/>
    <n v="72521.961563239995"/>
    <n v="65530.554239630001"/>
    <n v="11169.26"/>
    <n v="725219.61563240003"/>
    <x v="1"/>
    <s v="REAL-PROY."/>
    <m/>
    <m/>
    <m/>
    <m/>
    <m/>
    <m/>
    <m/>
    <m/>
    <m/>
  </r>
  <r>
    <n v="11.833341948823955"/>
    <s v="99.- Cosecha 2013 - Real"/>
    <x v="2"/>
    <s v="Real"/>
    <s v="LB02EQ20TR01"/>
    <x v="1"/>
    <x v="3"/>
    <x v="20"/>
    <x v="2"/>
    <s v="LB02E20T1"/>
    <x v="1"/>
    <x v="5"/>
    <x v="139"/>
    <x v="0"/>
    <n v="359.93081761006198"/>
    <n v="14.309999999999899"/>
    <n v="14.31"/>
    <n v="152.74"/>
    <n v="12.91"/>
    <n v="14.7663233074906"/>
    <n v="13.273661695551899"/>
    <n v="2185.66"/>
    <n v="664278.43000000005"/>
    <x v="154"/>
    <x v="0"/>
    <x v="5"/>
    <n v="32274.162200249899"/>
    <n v="29011.7114215"/>
    <n v="5150.6099999999997"/>
    <n v="322741.62200249999"/>
    <x v="1"/>
    <s v="REAL-PROY."/>
    <m/>
    <m/>
    <m/>
    <m/>
    <m/>
    <m/>
    <m/>
    <m/>
    <m/>
  </r>
  <r>
    <n v="11.73609393346379"/>
    <s v="99.- Cosecha 2013 - Real"/>
    <x v="2"/>
    <s v="Real"/>
    <s v="LB02EQ20TR02"/>
    <x v="1"/>
    <x v="3"/>
    <x v="20"/>
    <x v="3"/>
    <s v="LB02E20T2"/>
    <x v="1"/>
    <x v="5"/>
    <x v="140"/>
    <x v="0"/>
    <n v="356.97285714285698"/>
    <n v="14"/>
    <n v="14"/>
    <n v="152.26"/>
    <n v="12.97"/>
    <n v="15.1778106513637"/>
    <n v="13.6766945126101"/>
    <n v="2131.62"/>
    <n v="649621.85"/>
    <x v="154"/>
    <x v="0"/>
    <x v="5"/>
    <n v="32353.324740659998"/>
    <n v="29153.515556969902"/>
    <n v="4997.62"/>
    <n v="323533.24740659998"/>
    <x v="1"/>
    <s v="REAL-PROY."/>
    <m/>
    <m/>
    <m/>
    <m/>
    <m/>
    <m/>
    <m/>
    <m/>
    <m/>
  </r>
  <r>
    <n v="11.664699683877764"/>
    <s v="99.- Cosecha 2013 - Real"/>
    <x v="2"/>
    <s v="Real"/>
    <s v="LB02EQ20TR03"/>
    <x v="1"/>
    <x v="3"/>
    <x v="20"/>
    <x v="1"/>
    <s v="LB02E20T3"/>
    <x v="1"/>
    <x v="5"/>
    <x v="141"/>
    <x v="0"/>
    <n v="354.80128205128199"/>
    <n v="14.04"/>
    <n v="14.04"/>
    <n v="153.82"/>
    <n v="13.19"/>
    <n v="15.352631207112999"/>
    <n v="13.8484364782306"/>
    <n v="2159.69"/>
    <n v="823686.29"/>
    <x v="155"/>
    <x v="0"/>
    <x v="5"/>
    <n v="33156.924091690002"/>
    <n v="29908.329777669998"/>
    <n v="4981.41"/>
    <n v="331569.24091689999"/>
    <x v="1"/>
    <s v="REAL-PROY."/>
    <m/>
    <m/>
    <m/>
    <m/>
    <m/>
    <m/>
    <m/>
    <m/>
    <m/>
  </r>
  <r>
    <n v="11.614918769134487"/>
    <s v="99.- Cosecha 2013 - Real"/>
    <x v="2"/>
    <s v="Real"/>
    <s v="LB02EQ20TR04"/>
    <x v="1"/>
    <x v="3"/>
    <x v="20"/>
    <x v="4"/>
    <s v="LB02E20T4"/>
    <x v="1"/>
    <x v="5"/>
    <x v="142"/>
    <x v="0"/>
    <n v="353.28711256117401"/>
    <n v="12.26"/>
    <n v="12.26"/>
    <n v="141.68"/>
    <n v="12.2"/>
    <n v="15.0631846035163"/>
    <n v="13.5756421357554"/>
    <n v="1737.02"/>
    <n v="607673.82999999996"/>
    <x v="154"/>
    <x v="0"/>
    <x v="5"/>
    <n v="26165.052919999998"/>
    <n v="23581.161902649899"/>
    <n v="4331.3"/>
    <n v="261650.529199999"/>
    <x v="1"/>
    <s v="REAL-PROY."/>
    <m/>
    <m/>
    <m/>
    <m/>
    <m/>
    <m/>
    <m/>
    <m/>
    <m/>
  </r>
  <r>
    <n v="10.516369713791144"/>
    <s v="99.- Cosecha 2013 - Real"/>
    <x v="2"/>
    <s v="Real"/>
    <s v="LB02EQ20TR05"/>
    <x v="1"/>
    <x v="3"/>
    <x v="20"/>
    <x v="5"/>
    <s v="LB02E20T5"/>
    <x v="1"/>
    <x v="5"/>
    <x v="21"/>
    <x v="4"/>
    <n v="319.872912127814"/>
    <n v="13.77"/>
    <n v="13.77"/>
    <n v="131.16999999999999"/>
    <n v="12.47"/>
    <n v="15.3948394481445"/>
    <n v="13.949050002109299"/>
    <n v="1806.27"/>
    <n v="595292.39"/>
    <x v="156"/>
    <x v="0"/>
    <x v="4"/>
    <n v="27807.236649999999"/>
    <n v="25195.750547309999"/>
    <n v="4404.6499999999996"/>
    <n v="278072.3665"/>
    <x v="1"/>
    <s v="REAL-PROY."/>
    <m/>
    <m/>
    <m/>
    <m/>
    <m/>
    <m/>
    <m/>
    <m/>
    <m/>
  </r>
  <r>
    <n v="12.488397425317677"/>
    <s v="99.- Cosecha 2013 - Real"/>
    <x v="2"/>
    <s v="Real"/>
    <s v="ML01EQ01TR01"/>
    <x v="0"/>
    <x v="1"/>
    <x v="3"/>
    <x v="2"/>
    <s v="ML01E01T1"/>
    <x v="1"/>
    <x v="1"/>
    <x v="132"/>
    <x v="0"/>
    <n v="379.85542168674601"/>
    <n v="20.170000000000002"/>
    <n v="6.64"/>
    <n v="109.72"/>
    <n v="8.7899999999999991"/>
    <n v="14.5402393906084"/>
    <n v="13.059822414464699"/>
    <n v="728.53"/>
    <n v="269279.34999999998"/>
    <x v="157"/>
    <x v="0"/>
    <x v="11"/>
    <n v="10593.00060324"/>
    <n v="9514.4724236099992"/>
    <n v="2522.2399999999998"/>
    <n v="105930.00603239999"/>
    <x v="1"/>
    <s v="REAL-PROY."/>
    <m/>
    <m/>
    <m/>
    <m/>
    <m/>
    <m/>
    <m/>
    <m/>
    <m/>
  </r>
  <r>
    <n v="12.847310390912121"/>
    <s v="99.- Cosecha 2013 - Real"/>
    <x v="2"/>
    <s v="Real"/>
    <s v="ML01EQ01TR03"/>
    <x v="0"/>
    <x v="1"/>
    <x v="3"/>
    <x v="1"/>
    <s v="ML01E01T3"/>
    <x v="1"/>
    <x v="1"/>
    <x v="73"/>
    <x v="0"/>
    <n v="390.77235772357699"/>
    <n v="18.920000000000002"/>
    <n v="1.23"/>
    <n v="112.37"/>
    <n v="8.75"/>
    <n v="14.719214686523699"/>
    <n v="13.2161522358107"/>
    <n v="138.221"/>
    <n v="78648.899999999994"/>
    <x v="158"/>
    <x v="0"/>
    <x v="11"/>
    <n v="2034.50457318599"/>
    <n v="1826.749778186"/>
    <n v="480.65"/>
    <n v="20345.045731859998"/>
    <x v="1"/>
    <s v="REAL-PROY."/>
    <m/>
    <m/>
    <m/>
    <m/>
    <m/>
    <m/>
    <m/>
    <m/>
    <m/>
  </r>
  <r>
    <n v="13.699315068493151"/>
    <s v="99.- Cosecha 2013 - Real"/>
    <x v="2"/>
    <s v="Real"/>
    <s v="ML01EQ01TR04"/>
    <x v="0"/>
    <x v="1"/>
    <x v="3"/>
    <x v="4"/>
    <s v="ML01E01T4"/>
    <x v="0"/>
    <x v="15"/>
    <x v="143"/>
    <x v="2"/>
    <n v="416.6875"/>
    <n v="18.45"/>
    <n v="5.2799999999999896"/>
    <n v="95.2"/>
    <n v="6.95"/>
    <n v="14.484197711608401"/>
    <n v="12.948763553168201"/>
    <n v="502.65"/>
    <n v="239258.37"/>
    <x v="97"/>
    <x v="0"/>
    <x v="11"/>
    <n v="7280.4819797399996"/>
    <n v="6508.6959999999999"/>
    <n v="2200.11"/>
    <n v="72804.819797399905"/>
    <x v="1"/>
    <s v="REAL-PROY."/>
    <m/>
    <m/>
    <m/>
    <m/>
    <m/>
    <m/>
    <m/>
    <m/>
    <m/>
  </r>
  <r>
    <n v="13.752820623449459"/>
    <s v="99.- Cosecha 2013 - Real"/>
    <x v="2"/>
    <s v="Real"/>
    <s v="ML01EQ01TR04"/>
    <x v="0"/>
    <x v="1"/>
    <x v="3"/>
    <x v="4"/>
    <s v="ML01E01T4"/>
    <x v="0"/>
    <x v="15"/>
    <x v="143"/>
    <x v="2"/>
    <n v="418.31496062992102"/>
    <n v="18.45"/>
    <n v="1.27"/>
    <n v="107.5"/>
    <n v="7.82"/>
    <n v="14.684031918546699"/>
    <n v="13.1699956806328"/>
    <n v="136.52000000000001"/>
    <n v="74286.23"/>
    <x v="98"/>
    <x v="0"/>
    <x v="8"/>
    <n v="2004.66403752"/>
    <n v="1797.9678103199999"/>
    <n v="531.26"/>
    <n v="20046.640375200001"/>
    <x v="1"/>
    <s v="REAL-PROY."/>
    <m/>
    <m/>
    <m/>
    <m/>
    <m/>
    <m/>
    <m/>
    <m/>
    <m/>
  </r>
  <r>
    <n v="10.206867238509764"/>
    <s v="99.- Cosecha 2013 - Real"/>
    <x v="2"/>
    <s v="Real"/>
    <s v="ML01EQ01TR05"/>
    <x v="0"/>
    <x v="1"/>
    <x v="3"/>
    <x v="5"/>
    <s v="ML01E01T5"/>
    <x v="0"/>
    <x v="2"/>
    <x v="144"/>
    <x v="0"/>
    <n v="310.45887850467199"/>
    <n v="21.4"/>
    <n v="21.399999999999899"/>
    <n v="130.38"/>
    <n v="12.77"/>
    <n v="13.8811472152252"/>
    <n v="12.3962641575033"/>
    <n v="2790.1"/>
    <n v="725782.27"/>
    <x v="159"/>
    <x v="0"/>
    <x v="7"/>
    <n v="38729.788845199997"/>
    <n v="34586.816625849999"/>
    <n v="6643.82"/>
    <n v="387297.88845199998"/>
    <x v="1"/>
    <s v="REAL-PROY."/>
    <m/>
    <m/>
    <m/>
    <m/>
    <m/>
    <m/>
    <m/>
    <m/>
    <m/>
  </r>
  <r>
    <n v="10.069049205016043"/>
    <s v="99.- Cosecha 2013 - Real"/>
    <x v="2"/>
    <s v="Real"/>
    <s v="ML01EQ01TR06"/>
    <x v="0"/>
    <x v="1"/>
    <x v="3"/>
    <x v="0"/>
    <s v="ML01E01T6"/>
    <x v="1"/>
    <x v="11"/>
    <x v="79"/>
    <x v="0"/>
    <n v="306.26691331923797"/>
    <n v="18.920000000000002"/>
    <n v="18.920000000000002"/>
    <n v="150.75"/>
    <n v="14.97"/>
    <n v="13.419099842577801"/>
    <n v="11.9557197129909"/>
    <n v="2852.14"/>
    <n v="849081.67"/>
    <x v="160"/>
    <x v="0"/>
    <x v="7"/>
    <n v="38273.151425010001"/>
    <n v="34099.3864222099"/>
    <n v="5794.57"/>
    <n v="382731.51425010001"/>
    <x v="1"/>
    <s v="REAL-PROY."/>
    <m/>
    <m/>
    <m/>
    <m/>
    <m/>
    <m/>
    <m/>
    <m/>
    <m/>
  </r>
  <r>
    <n v="12.898170093035668"/>
    <s v="99.- Cosecha 2013 - Real"/>
    <x v="2"/>
    <s v="Real"/>
    <s v="ML01EQ02TR01"/>
    <x v="0"/>
    <x v="1"/>
    <x v="8"/>
    <x v="2"/>
    <s v="ML01E02T1"/>
    <x v="0"/>
    <x v="0"/>
    <x v="145"/>
    <x v="0"/>
    <n v="392.31934032983497"/>
    <n v="20.010000000000002"/>
    <n v="20.010000000000002"/>
    <n v="140.5"/>
    <n v="10.89"/>
    <n v="14.4583231939125"/>
    <n v="12.906106496562099"/>
    <n v="2811.37"/>
    <n v="1304064.1399999999"/>
    <x v="161"/>
    <x v="0"/>
    <x v="11"/>
    <n v="40647.69607767"/>
    <n v="36283.84062124"/>
    <n v="7850.31"/>
    <n v="406476.96077669901"/>
    <x v="1"/>
    <s v="REAL-PROY."/>
    <m/>
    <m/>
    <m/>
    <m/>
    <m/>
    <m/>
    <m/>
    <m/>
    <m/>
  </r>
  <r>
    <n v="14.810665192846685"/>
    <s v="99.- Cosecha 2013 - Real"/>
    <x v="2"/>
    <s v="Real"/>
    <s v="ML01EQ02TR02"/>
    <x v="0"/>
    <x v="1"/>
    <x v="8"/>
    <x v="3"/>
    <s v="ML01E02T2"/>
    <x v="0"/>
    <x v="0"/>
    <x v="46"/>
    <x v="0"/>
    <n v="450.49106628241998"/>
    <n v="17.349999999999898"/>
    <n v="17.349999999999898"/>
    <n v="127.72"/>
    <n v="8.6199999999999992"/>
    <n v="14.995383286632199"/>
    <n v="13.465123329455199"/>
    <n v="2215.864"/>
    <n v="407591.34"/>
    <x v="162"/>
    <x v="0"/>
    <x v="3"/>
    <n v="33227.729991050001"/>
    <n v="29836.882041299999"/>
    <n v="7816.02"/>
    <n v="332277.29991050001"/>
    <x v="1"/>
    <s v="REAL-PROY."/>
    <m/>
    <m/>
    <m/>
    <m/>
    <m/>
    <m/>
    <m/>
    <m/>
    <m/>
  </r>
  <r>
    <n v="12.895092432504295"/>
    <s v="99.- Cosecha 2013 - Real"/>
    <x v="2"/>
    <s v="Real"/>
    <s v="ML01EQ02TR03"/>
    <x v="0"/>
    <x v="1"/>
    <x v="8"/>
    <x v="1"/>
    <s v="ML01E02T3"/>
    <x v="0"/>
    <x v="0"/>
    <x v="146"/>
    <x v="0"/>
    <n v="392.22572815533903"/>
    <n v="20.92"/>
    <n v="20.6"/>
    <n v="128.88"/>
    <n v="9.99"/>
    <n v="14.5627966904887"/>
    <n v="13.052905770418301"/>
    <n v="2654.96"/>
    <n v="861943.39"/>
    <x v="163"/>
    <x v="0"/>
    <x v="11"/>
    <n v="38663.642701379998"/>
    <n v="34654.942704229899"/>
    <n v="8079.8499999999904"/>
    <n v="386636.42701380001"/>
    <x v="1"/>
    <s v="REAL-PROY."/>
    <m/>
    <m/>
    <m/>
    <m/>
    <m/>
    <m/>
    <m/>
    <m/>
    <m/>
  </r>
  <r>
    <n v="13.315068493150685"/>
    <s v="99.- Cosecha 2013 - Real"/>
    <x v="2"/>
    <s v="Real"/>
    <s v="ML01EQ02TR03"/>
    <x v="0"/>
    <x v="1"/>
    <x v="8"/>
    <x v="1"/>
    <s v="ML01E02T3"/>
    <x v="0"/>
    <x v="0"/>
    <x v="146"/>
    <x v="0"/>
    <n v="405"/>
    <n v="20.92"/>
    <n v="0.32"/>
    <n v="103.13"/>
    <n v="7.74"/>
    <n v="14.562796000000001"/>
    <n v="13.0529049999999"/>
    <n v="33"/>
    <n v="17015.63"/>
    <x v="164"/>
    <x v="0"/>
    <x v="8"/>
    <n v="480.57226800000001"/>
    <n v="430.74586499999998"/>
    <n v="129.6"/>
    <n v="4805.7226799999999"/>
    <x v="1"/>
    <s v="REAL-PROY."/>
    <m/>
    <m/>
    <m/>
    <m/>
    <m/>
    <m/>
    <m/>
    <m/>
    <m/>
  </r>
  <r>
    <n v="15.088815524118248"/>
    <s v="99.- Cosecha 2013 - Real"/>
    <x v="2"/>
    <s v="Real"/>
    <s v="ML01EQ02TR04"/>
    <x v="0"/>
    <x v="1"/>
    <x v="8"/>
    <x v="4"/>
    <s v="ML01E02T4"/>
    <x v="1"/>
    <x v="10"/>
    <x v="39"/>
    <x v="2"/>
    <n v="458.95147219193001"/>
    <n v="18.34"/>
    <n v="18.34"/>
    <n v="132.32"/>
    <n v="8.77"/>
    <n v="14.4727198461475"/>
    <n v="12.9629584356626"/>
    <n v="2426.7399999999998"/>
    <n v="534526.39"/>
    <x v="165"/>
    <x v="0"/>
    <x v="3"/>
    <n v="35121.52815944"/>
    <n v="31457.729754159998"/>
    <n v="8417.17"/>
    <n v="351215.2815944"/>
    <x v="1"/>
    <s v="REAL-PROY."/>
    <m/>
    <m/>
    <m/>
    <m/>
    <m/>
    <m/>
    <m/>
    <m/>
    <m/>
  </r>
  <r>
    <n v="14.743112971118499"/>
    <s v="99.- Cosecha 2013 - Real"/>
    <x v="2"/>
    <s v="Real"/>
    <s v="ML01EQ02TR05"/>
    <x v="0"/>
    <x v="1"/>
    <x v="8"/>
    <x v="5"/>
    <s v="ML01E02T5"/>
    <x v="1"/>
    <x v="10"/>
    <x v="147"/>
    <x v="2"/>
    <n v="448.43635287152102"/>
    <n v="16.89"/>
    <n v="16.89"/>
    <n v="130.72999999999999"/>
    <n v="8.8699999999999992"/>
    <n v="14.4364224150988"/>
    <n v="12.9438425524755"/>
    <n v="2207.97999999999"/>
    <n v="360650.59"/>
    <x v="166"/>
    <x v="0"/>
    <x v="3"/>
    <n v="31875.331964090001"/>
    <n v="28579.745479014899"/>
    <n v="7574.09"/>
    <n v="318753.31964090001"/>
    <x v="1"/>
    <s v="REAL-PROY."/>
    <m/>
    <m/>
    <m/>
    <m/>
    <m/>
    <m/>
    <m/>
    <m/>
    <m/>
  </r>
  <r>
    <n v="14.911964526090742"/>
    <s v="99.- Cosecha 2013 - Real"/>
    <x v="2"/>
    <s v="Real"/>
    <s v="ML01EQ02TR06"/>
    <x v="0"/>
    <x v="1"/>
    <x v="8"/>
    <x v="0"/>
    <s v="ML01E02T6"/>
    <x v="0"/>
    <x v="10"/>
    <x v="46"/>
    <x v="2"/>
    <n v="453.57225433526003"/>
    <n v="17.4499999999999"/>
    <n v="17.3"/>
    <n v="142.08000000000001"/>
    <n v="9.5299999999999994"/>
    <n v="14.3849684340266"/>
    <n v="12.8906961834931"/>
    <n v="2458.0540000000001"/>
    <n v="313849.7"/>
    <x v="76"/>
    <x v="0"/>
    <x v="3"/>
    <n v="35359.029199133001"/>
    <n v="31686.027316619999"/>
    <n v="7846.7999999999902"/>
    <n v="353590.29199132998"/>
    <x v="1"/>
    <s v="REAL-PROY."/>
    <m/>
    <m/>
    <m/>
    <m/>
    <m/>
    <m/>
    <m/>
    <m/>
    <m/>
  </r>
  <r>
    <n v="15.272328767123277"/>
    <s v="99.- Cosecha 2013 - Real"/>
    <x v="2"/>
    <s v="Real"/>
    <s v="ML01EQ02TR06"/>
    <x v="0"/>
    <x v="1"/>
    <x v="8"/>
    <x v="0"/>
    <s v="ML01E02T6"/>
    <x v="0"/>
    <x v="10"/>
    <x v="46"/>
    <x v="2"/>
    <n v="464.53333333333302"/>
    <n v="17.45"/>
    <n v="0.15"/>
    <n v="452"/>
    <n v="29.6"/>
    <n v="14.0413101769911"/>
    <n v="12.5755001943952"/>
    <n v="67.8"/>
    <n v="152899.26"/>
    <x v="167"/>
    <x v="0"/>
    <x v="1"/>
    <n v="952.00082999999995"/>
    <n v="852.61891317999903"/>
    <n v="69.680000000000007"/>
    <n v="9520.0082999999904"/>
    <x v="1"/>
    <s v="REAL-PROY."/>
    <m/>
    <m/>
    <m/>
    <m/>
    <m/>
    <m/>
    <m/>
    <m/>
    <m/>
  </r>
  <r>
    <n v="10.799904760393019"/>
    <s v="99.- Cosecha 2013 - Real"/>
    <x v="2"/>
    <s v="Real"/>
    <s v="ML01EQ03TR01"/>
    <x v="0"/>
    <x v="1"/>
    <x v="5"/>
    <x v="2"/>
    <s v="ML01E03T1"/>
    <x v="0"/>
    <x v="9"/>
    <x v="6"/>
    <x v="0"/>
    <n v="328.49710312862101"/>
    <n v="17.260000000000002"/>
    <n v="17.259999999999899"/>
    <n v="130.44999999999999"/>
    <n v="12.08"/>
    <n v="14.818325048814099"/>
    <n v="13.3769413233906"/>
    <n v="2251.4969999999998"/>
    <n v="588080.91"/>
    <x v="168"/>
    <x v="0"/>
    <x v="4"/>
    <n v="33363.414392430001"/>
    <n v="30118.1432587899"/>
    <n v="5669.86"/>
    <n v="333634.14392429998"/>
    <x v="1"/>
    <s v="REAL-PROY."/>
    <m/>
    <m/>
    <m/>
    <m/>
    <m/>
    <m/>
    <m/>
    <m/>
    <m/>
  </r>
  <r>
    <n v="10.780069457842947"/>
    <s v="99.- Cosecha 2013 - Real"/>
    <x v="2"/>
    <s v="Real"/>
    <s v="ML01EQ03TR02"/>
    <x v="0"/>
    <x v="1"/>
    <x v="5"/>
    <x v="3"/>
    <s v="ML01E03T2"/>
    <x v="0"/>
    <x v="1"/>
    <x v="148"/>
    <x v="0"/>
    <n v="327.89377934272301"/>
    <n v="17.04"/>
    <n v="17.04"/>
    <n v="125.88"/>
    <n v="11.68"/>
    <n v="15.4152177249315"/>
    <n v="13.9519506140613"/>
    <n v="2145.0299999999902"/>
    <n v="670507.06000000006"/>
    <x v="169"/>
    <x v="0"/>
    <x v="4"/>
    <n v="33066.104476510001"/>
    <n v="29927.352625679901"/>
    <n v="5587.31"/>
    <n v="330661.0447651"/>
    <x v="1"/>
    <s v="REAL-PROY."/>
    <m/>
    <m/>
    <m/>
    <m/>
    <m/>
    <m/>
    <m/>
    <m/>
    <m/>
  </r>
  <r>
    <n v="10.651918940337371"/>
    <s v="99.- Cosecha 2013 - Real"/>
    <x v="2"/>
    <s v="Real"/>
    <s v="ML01EQ03TR03"/>
    <x v="0"/>
    <x v="1"/>
    <x v="5"/>
    <x v="1"/>
    <s v="ML01E03T3"/>
    <x v="0"/>
    <x v="1"/>
    <x v="149"/>
    <x v="0"/>
    <n v="323.99586776859502"/>
    <n v="19.36"/>
    <n v="19.36"/>
    <n v="124.04"/>
    <n v="11.64"/>
    <n v="14.7995255131757"/>
    <n v="13.3441826908027"/>
    <n v="2401.38"/>
    <n v="731505.26"/>
    <x v="169"/>
    <x v="0"/>
    <x v="4"/>
    <n v="35539.284576830003"/>
    <n v="32044.453430039899"/>
    <n v="6272.56"/>
    <n v="355392.8457683"/>
    <x v="1"/>
    <s v="REAL-PROY."/>
    <m/>
    <m/>
    <m/>
    <m/>
    <m/>
    <m/>
    <m/>
    <m/>
    <m/>
  </r>
  <r>
    <n v="14.323774360695616"/>
    <s v="99.- Cosecha 2013 - Real"/>
    <x v="2"/>
    <s v="Real"/>
    <s v="ML01EQ03TR04"/>
    <x v="0"/>
    <x v="1"/>
    <x v="5"/>
    <x v="4"/>
    <s v="ML01E03T4"/>
    <x v="1"/>
    <x v="4"/>
    <x v="150"/>
    <x v="0"/>
    <n v="435.68147013782499"/>
    <n v="19.59"/>
    <n v="19.5899999999999"/>
    <n v="127.22"/>
    <n v="8.8800000000000008"/>
    <n v="14.165806018784499"/>
    <n v="12.614658019425701"/>
    <n v="2492.1610000000001"/>
    <n v="632110.11"/>
    <x v="170"/>
    <x v="0"/>
    <x v="10"/>
    <n v="35303.469293579998"/>
    <n v="31437.758744350002"/>
    <n v="8535"/>
    <n v="353034.69293579902"/>
    <x v="1"/>
    <s v="REAL-PROY."/>
    <m/>
    <m/>
    <m/>
    <m/>
    <m/>
    <m/>
    <m/>
    <m/>
    <m/>
  </r>
  <r>
    <n v="14.375389865857676"/>
    <s v="99.- Cosecha 2013 - Real"/>
    <x v="2"/>
    <s v="Real"/>
    <s v="ML01EQ03TR05"/>
    <x v="0"/>
    <x v="1"/>
    <x v="5"/>
    <x v="5"/>
    <s v="ML01E03T5"/>
    <x v="1"/>
    <x v="4"/>
    <x v="150"/>
    <x v="0"/>
    <n v="437.25144175317098"/>
    <n v="19.059999999999999"/>
    <n v="8.67"/>
    <n v="136.44999999999999"/>
    <n v="9.49"/>
    <n v="13.9062282833113"/>
    <n v="12.3489579282941"/>
    <n v="1183.0129999999999"/>
    <n v="807303.12"/>
    <x v="50"/>
    <x v="0"/>
    <x v="10"/>
    <n v="16451.248840125001"/>
    <n v="14608.977765625001"/>
    <n v="3790.97"/>
    <n v="164512.48840124899"/>
    <x v="1"/>
    <s v="REAL-PROY."/>
    <m/>
    <m/>
    <m/>
    <m/>
    <m/>
    <m/>
    <m/>
    <m/>
    <m/>
  </r>
  <r>
    <n v="14.966719843896263"/>
    <s v="99.- Cosecha 2013 - Real"/>
    <x v="2"/>
    <s v="Real"/>
    <s v="ML01EQ03TR05"/>
    <x v="0"/>
    <x v="1"/>
    <x v="5"/>
    <x v="5"/>
    <s v="ML01E03T5"/>
    <x v="1"/>
    <x v="4"/>
    <x v="150"/>
    <x v="0"/>
    <n v="455.23772858517799"/>
    <n v="19.059999999999999"/>
    <n v="10.39"/>
    <n v="142.22"/>
    <n v="9.5"/>
    <n v="15.097833537686901"/>
    <n v="13.519412948040801"/>
    <n v="1477.7"/>
    <n v="1057373.9099999999"/>
    <x v="171"/>
    <x v="0"/>
    <x v="3"/>
    <n v="22310.0686186399"/>
    <n v="19977.636513320002"/>
    <n v="4729.92"/>
    <n v="223100.68618639899"/>
    <x v="1"/>
    <s v="REAL-PROY."/>
    <m/>
    <m/>
    <m/>
    <m/>
    <m/>
    <m/>
    <m/>
    <m/>
    <m/>
  </r>
  <r>
    <n v="10.935616438356131"/>
    <s v="99.- Cosecha 2013 - Real"/>
    <x v="2"/>
    <s v="Real"/>
    <s v="ML01EQ03TR06"/>
    <x v="0"/>
    <x v="1"/>
    <x v="5"/>
    <x v="0"/>
    <s v="ML01E03T6"/>
    <x v="1"/>
    <x v="3"/>
    <x v="151"/>
    <x v="5"/>
    <n v="332.62499999999898"/>
    <n v="20.16"/>
    <n v="20.16"/>
    <n v="155.55000000000001"/>
    <n v="14.22"/>
    <n v="13.6962825838483"/>
    <n v="12.235720547888899"/>
    <n v="3135.8999999999901"/>
    <n v="991865.87"/>
    <x v="172"/>
    <x v="0"/>
    <x v="1"/>
    <n v="42950.172554689998"/>
    <n v="38369.996066125001"/>
    <n v="6705.7199999999903"/>
    <n v="429501.72554690001"/>
    <x v="1"/>
    <s v="REAL-PROY."/>
    <m/>
    <m/>
    <m/>
    <m/>
    <m/>
    <m/>
    <m/>
    <m/>
    <m/>
  </r>
  <r>
    <n v="14.169863013698631"/>
    <s v="99.- Cosecha 2013 - Real"/>
    <x v="2"/>
    <s v="Real"/>
    <s v="ML01EQ04TR01"/>
    <x v="0"/>
    <x v="1"/>
    <x v="1"/>
    <x v="2"/>
    <s v="ML01E04T1"/>
    <x v="0"/>
    <x v="6"/>
    <x v="152"/>
    <x v="6"/>
    <n v="431"/>
    <n v="18.3"/>
    <n v="3.58"/>
    <n v="156.46"/>
    <n v="11.04"/>
    <n v="12.268833000000001"/>
    <n v="10.686"/>
    <n v="560.13800000000003"/>
    <n v="876409.44"/>
    <x v="81"/>
    <x v="0"/>
    <x v="9"/>
    <n v="6872.2395789539996"/>
    <n v="5985.6346679999997"/>
    <n v="1542.98"/>
    <n v="68722.395789539994"/>
    <x v="1"/>
    <s v="REAL-PROY."/>
    <m/>
    <m/>
    <m/>
    <m/>
    <m/>
    <m/>
    <m/>
    <m/>
    <m/>
  </r>
  <r>
    <n v="14.332124776652744"/>
    <s v="99.- Cosecha 2013 - Real"/>
    <x v="2"/>
    <s v="Real"/>
    <s v="ML01EQ04TR01"/>
    <x v="0"/>
    <x v="1"/>
    <x v="1"/>
    <x v="2"/>
    <s v="ML01E04T1"/>
    <x v="0"/>
    <x v="6"/>
    <x v="152"/>
    <x v="6"/>
    <n v="435.93546195652101"/>
    <n v="18.3"/>
    <n v="14.719999999999899"/>
    <n v="140.49"/>
    <n v="9.8000000000000007"/>
    <n v="12.2777971749121"/>
    <n v="10.690477734870701"/>
    <n v="2068.0100000000002"/>
    <n v="971422.05"/>
    <x v="173"/>
    <x v="0"/>
    <x v="10"/>
    <n v="25390.607335690001"/>
    <n v="22108.014860489999"/>
    <n v="6416.9699999999903"/>
    <n v="253906.07335689999"/>
    <x v="1"/>
    <s v="REAL-PROY."/>
    <m/>
    <m/>
    <m/>
    <m/>
    <m/>
    <m/>
    <m/>
    <m/>
    <m/>
  </r>
  <r>
    <n v="14.715364198300572"/>
    <s v="99.- Cosecha 2013 - Real"/>
    <x v="2"/>
    <s v="Real"/>
    <s v="ML01EQ04TR02"/>
    <x v="0"/>
    <x v="1"/>
    <x v="1"/>
    <x v="3"/>
    <s v="ML01E04T2"/>
    <x v="0"/>
    <x v="6"/>
    <x v="153"/>
    <x v="2"/>
    <n v="447.59232769830902"/>
    <n v="15.38"/>
    <n v="15.3799999999999"/>
    <n v="136.72"/>
    <n v="9.2899999999999991"/>
    <n v="12.837362054916699"/>
    <n v="11.2230352328967"/>
    <n v="2102.8200000000002"/>
    <n v="719301.48"/>
    <x v="85"/>
    <x v="0"/>
    <x v="10"/>
    <n v="26994.66167632"/>
    <n v="23600.022948439899"/>
    <n v="6883.97"/>
    <n v="269946.61676319898"/>
    <x v="1"/>
    <s v="REAL-PROY."/>
    <m/>
    <m/>
    <m/>
    <m/>
    <m/>
    <m/>
    <m/>
    <m/>
    <m/>
  </r>
  <r>
    <n v="13.116260405345688"/>
    <s v="99.- Cosecha 2013 - Real"/>
    <x v="2"/>
    <s v="Real"/>
    <s v="ML01EQ04TR03"/>
    <x v="0"/>
    <x v="1"/>
    <x v="1"/>
    <x v="1"/>
    <s v="ML01E04T3"/>
    <x v="0"/>
    <x v="8"/>
    <x v="154"/>
    <x v="2"/>
    <n v="398.95292066259799"/>
    <n v="22.94"/>
    <n v="22.939999999999898"/>
    <n v="134.32"/>
    <n v="10.24"/>
    <n v="12.92812937529"/>
    <n v="11.361789096089399"/>
    <n v="3081.19"/>
    <n v="1017262.84"/>
    <x v="127"/>
    <x v="0"/>
    <x v="10"/>
    <n v="39834.022949849998"/>
    <n v="35007.83094498"/>
    <n v="9151.98"/>
    <n v="398340.2294985"/>
    <x v="1"/>
    <s v="REAL-PROY."/>
    <m/>
    <m/>
    <m/>
    <m/>
    <m/>
    <m/>
    <m/>
    <m/>
    <m/>
  </r>
  <r>
    <n v="13.370861547102674"/>
    <s v="99.- Cosecha 2013 - Real"/>
    <x v="2"/>
    <s v="Real"/>
    <s v="ML01EQ04TR04"/>
    <x v="0"/>
    <x v="1"/>
    <x v="1"/>
    <x v="4"/>
    <s v="ML01E04T4"/>
    <x v="0"/>
    <x v="4"/>
    <x v="155"/>
    <x v="0"/>
    <n v="406.69703872437299"/>
    <n v="19.850000000000001"/>
    <n v="13.17"/>
    <n v="141.83000000000001"/>
    <n v="10.61"/>
    <n v="13.505762661404001"/>
    <n v="11.9817289063809"/>
    <n v="1867.89"/>
    <n v="537656.97"/>
    <x v="97"/>
    <x v="0"/>
    <x v="11"/>
    <n v="25227.279017609999"/>
    <n v="22380.551606939898"/>
    <n v="5356.2"/>
    <n v="252272.79017610001"/>
    <x v="1"/>
    <s v="REAL-PROY."/>
    <m/>
    <m/>
    <m/>
    <m/>
    <m/>
    <m/>
    <m/>
    <m/>
    <m/>
  </r>
  <r>
    <n v="13.723861865310475"/>
    <s v="99.- Cosecha 2013 - Real"/>
    <x v="2"/>
    <s v="Real"/>
    <s v="ML01EQ04TR04"/>
    <x v="0"/>
    <x v="1"/>
    <x v="1"/>
    <x v="4"/>
    <s v="ML01E04T4"/>
    <x v="0"/>
    <x v="4"/>
    <x v="155"/>
    <x v="0"/>
    <n v="417.43413173652698"/>
    <n v="19.850000000000001"/>
    <n v="6.68"/>
    <n v="168.19"/>
    <n v="12.26"/>
    <n v="13.2503995198842"/>
    <n v="11.752894804299"/>
    <n v="1123.5"/>
    <n v="468642.43"/>
    <x v="174"/>
    <x v="0"/>
    <x v="8"/>
    <n v="14886.823860590001"/>
    <n v="13204.37731263"/>
    <n v="2788.46"/>
    <n v="148868.2386059"/>
    <x v="1"/>
    <s v="REAL-PROY."/>
    <m/>
    <m/>
    <m/>
    <m/>
    <m/>
    <m/>
    <m/>
    <m/>
    <m/>
  </r>
  <r>
    <n v="9.6038590800869255"/>
    <s v="99.- Cosecha 2013 - Real"/>
    <x v="2"/>
    <s v="Real"/>
    <s v="ML01EQ04TR04"/>
    <x v="0"/>
    <x v="1"/>
    <x v="1"/>
    <x v="4"/>
    <s v="ML01E04T4"/>
    <x v="2"/>
    <x v="1"/>
    <x v="156"/>
    <x v="0"/>
    <n v="292.11738035264398"/>
    <n v="19.850000000000001"/>
    <n v="19.850000000000001"/>
    <n v="136.09"/>
    <n v="14.17"/>
    <n v="15.633428546777401"/>
    <n v="14.122502857624101"/>
    <n v="2701.2999999999902"/>
    <n v="736676.59"/>
    <x v="56"/>
    <x v="0"/>
    <x v="4"/>
    <n v="42230.58053341"/>
    <n v="38149.116969299997"/>
    <n v="5798.53"/>
    <n v="422305.80533409899"/>
    <x v="1"/>
    <s v="REAL-PROY."/>
    <m/>
    <m/>
    <m/>
    <m/>
    <m/>
    <m/>
    <m/>
    <m/>
    <m/>
  </r>
  <r>
    <n v="13.226381739313251"/>
    <s v="99.- Cosecha 2013 - Real"/>
    <x v="2"/>
    <s v="Real"/>
    <s v="ML01EQ04TR05"/>
    <x v="0"/>
    <x v="1"/>
    <x v="1"/>
    <x v="5"/>
    <s v="ML01E04T5"/>
    <x v="1"/>
    <x v="4"/>
    <x v="123"/>
    <x v="0"/>
    <n v="402.30244457077799"/>
    <n v="17.59"/>
    <n v="17.59"/>
    <n v="153.58000000000001"/>
    <n v="11.61"/>
    <n v="13.381947361341"/>
    <n v="11.860425679587699"/>
    <n v="2701.52"/>
    <n v="811815.09"/>
    <x v="175"/>
    <x v="0"/>
    <x v="11"/>
    <n v="36151.598435610002"/>
    <n v="32041.17718192"/>
    <n v="7076.5"/>
    <n v="361515.98435609997"/>
    <x v="1"/>
    <s v="REAL-PROY."/>
    <m/>
    <m/>
    <m/>
    <m/>
    <m/>
    <m/>
    <m/>
    <m/>
    <m/>
  </r>
  <r>
    <n v="9.948930994750981"/>
    <s v="99.- Cosecha 2013 - Real"/>
    <x v="2"/>
    <s v="Real"/>
    <s v="ML01EQ04TR05"/>
    <x v="0"/>
    <x v="1"/>
    <x v="1"/>
    <x v="5"/>
    <s v="ML01E04T5"/>
    <x v="0"/>
    <x v="1"/>
    <x v="157"/>
    <x v="0"/>
    <n v="302.61331775700899"/>
    <n v="17.12"/>
    <n v="17.12"/>
    <n v="144.71"/>
    <n v="14.55"/>
    <n v="15.8005737952862"/>
    <n v="14.276018498605399"/>
    <n v="2477.41"/>
    <n v="715218.28"/>
    <x v="56"/>
    <x v="0"/>
    <x v="4"/>
    <n v="39144.49952618"/>
    <n v="35367.550988629999"/>
    <n v="5180.74"/>
    <n v="391444.99526180001"/>
    <x v="1"/>
    <s v="REAL-PROY."/>
    <m/>
    <m/>
    <m/>
    <m/>
    <m/>
    <m/>
    <m/>
    <m/>
    <m/>
  </r>
  <r>
    <n v="13.144419421932131"/>
    <s v="99.- Cosecha 2013 - Real"/>
    <x v="2"/>
    <s v="Real"/>
    <s v="ML01EQ04TR06"/>
    <x v="0"/>
    <x v="1"/>
    <x v="1"/>
    <x v="0"/>
    <s v="ML01E04T6"/>
    <x v="1"/>
    <x v="4"/>
    <x v="158"/>
    <x v="0"/>
    <n v="399.80942408376899"/>
    <n v="19.100000000000001"/>
    <n v="19.100000000000001"/>
    <n v="144.57"/>
    <n v="11"/>
    <n v="13.820126846182999"/>
    <n v="12.2967458417105"/>
    <n v="2761.27"/>
    <n v="811211.61"/>
    <x v="176"/>
    <x v="0"/>
    <x v="11"/>
    <n v="38161.101656559898"/>
    <n v="33954.635390340001"/>
    <n v="7636.36"/>
    <n v="381611.01656559901"/>
    <x v="1"/>
    <s v="REAL-PROY."/>
    <m/>
    <m/>
    <m/>
    <m/>
    <m/>
    <m/>
    <m/>
    <m/>
    <m/>
  </r>
  <r>
    <n v="10.122623141941117"/>
    <s v="99.- Cosecha 2013 - Real"/>
    <x v="2"/>
    <s v="Real"/>
    <s v="ML01EQ04TR06"/>
    <x v="0"/>
    <x v="1"/>
    <x v="1"/>
    <x v="0"/>
    <s v="ML01E04T6"/>
    <x v="0"/>
    <x v="1"/>
    <x v="1"/>
    <x v="0"/>
    <n v="307.89645390070899"/>
    <n v="18.41"/>
    <n v="14.1"/>
    <n v="112.2"/>
    <n v="11.08"/>
    <n v="16.1857167069174"/>
    <n v="14.6170796444174"/>
    <n v="1582.08"/>
    <n v="891484.38"/>
    <x v="56"/>
    <x v="0"/>
    <x v="4"/>
    <n v="25607.098687680002"/>
    <n v="23125.38936384"/>
    <n v="4341.34"/>
    <n v="256070.98687679999"/>
    <x v="1"/>
    <s v="REAL-PROY."/>
    <m/>
    <m/>
    <m/>
    <m/>
    <m/>
    <m/>
    <m/>
    <m/>
    <m/>
  </r>
  <r>
    <n v="11.046575342465754"/>
    <s v="99.- Cosecha 2013 - Real"/>
    <x v="2"/>
    <s v="Real"/>
    <s v="ML02EQ05TR02"/>
    <x v="0"/>
    <x v="2"/>
    <x v="2"/>
    <x v="3"/>
    <s v="ML02E05T2"/>
    <x v="0"/>
    <x v="1"/>
    <x v="7"/>
    <x v="0"/>
    <n v="336"/>
    <n v="17.190000000000001"/>
    <n v="0.95"/>
    <n v="126.82"/>
    <n v="11.48"/>
    <n v="16.05425"/>
    <n v="14.516249999999999"/>
    <n v="120.48"/>
    <n v="152794"/>
    <x v="56"/>
    <x v="0"/>
    <x v="4"/>
    <n v="1934.21604"/>
    <n v="1748.9177999999999"/>
    <n v="319.2"/>
    <n v="19342.160400000001"/>
    <x v="1"/>
    <s v="REAL-PROY."/>
    <m/>
    <m/>
    <m/>
    <m/>
    <m/>
    <m/>
    <m/>
    <m/>
    <m/>
  </r>
  <r>
    <n v="11.71144828715931"/>
    <s v="99.- Cosecha 2013 - Real"/>
    <x v="2"/>
    <s v="Real"/>
    <s v="ML02EQ05TR04"/>
    <x v="0"/>
    <x v="2"/>
    <x v="2"/>
    <x v="4"/>
    <s v="ML02E05T4"/>
    <x v="1"/>
    <x v="1"/>
    <x v="119"/>
    <x v="0"/>
    <n v="356.223218734429"/>
    <n v="20.069999999999901"/>
    <n v="20.069999999999901"/>
    <n v="147.34"/>
    <n v="12.58"/>
    <n v="14.0588204457042"/>
    <n v="12.568671740167799"/>
    <n v="2957.14"/>
    <n v="445593.45"/>
    <x v="149"/>
    <x v="0"/>
    <x v="2"/>
    <n v="41573.900292810002"/>
    <n v="37167.321949719997"/>
    <n v="7149.3999999999896"/>
    <n v="415739.0029281"/>
    <x v="1"/>
    <s v="REAL-PROY."/>
    <m/>
    <m/>
    <m/>
    <m/>
    <m/>
    <m/>
    <m/>
    <m/>
    <m/>
  </r>
  <r>
    <n v="11.889164137478467"/>
    <s v="99.- Cosecha 2013 - Real"/>
    <x v="2"/>
    <s v="Real"/>
    <s v="ML02EQ05TR05"/>
    <x v="0"/>
    <x v="2"/>
    <x v="2"/>
    <x v="5"/>
    <s v="ML02E05T5"/>
    <x v="1"/>
    <x v="1"/>
    <x v="115"/>
    <x v="0"/>
    <n v="361.62874251496999"/>
    <n v="18.37"/>
    <n v="18.37"/>
    <n v="126.17"/>
    <n v="10.61"/>
    <n v="14.6457981588362"/>
    <n v="13.135526356487301"/>
    <n v="2317.67"/>
    <n v="410260.83"/>
    <x v="177"/>
    <x v="0"/>
    <x v="2"/>
    <n v="33944.127018790001"/>
    <n v="30443.815370640001"/>
    <n v="6643.1199999999899"/>
    <n v="339441.27018789999"/>
    <x v="1"/>
    <s v="REAL-PROY."/>
    <m/>
    <m/>
    <m/>
    <m/>
    <m/>
    <m/>
    <m/>
    <m/>
    <m/>
  </r>
  <r>
    <n v="11.987785388127847"/>
    <s v="99.- Cosecha 2013 - Real"/>
    <x v="2"/>
    <s v="Real"/>
    <s v="ML02EQ05TR06"/>
    <x v="0"/>
    <x v="2"/>
    <x v="2"/>
    <x v="0"/>
    <s v="ML02E05T6"/>
    <x v="1"/>
    <x v="1"/>
    <x v="159"/>
    <x v="0"/>
    <n v="364.628472222222"/>
    <n v="17.28"/>
    <n v="17.28"/>
    <n v="137.12"/>
    <n v="11.44"/>
    <n v="15.193681222753"/>
    <n v="13.676182625542801"/>
    <n v="2369.35"/>
    <n v="656906.12"/>
    <x v="178"/>
    <x v="0"/>
    <x v="2"/>
    <n v="35999.148605130002"/>
    <n v="32403.663303829999"/>
    <n v="6300.78"/>
    <n v="359991.48605129903"/>
    <x v="1"/>
    <s v="REAL-PROY."/>
    <m/>
    <m/>
    <m/>
    <m/>
    <m/>
    <m/>
    <m/>
    <m/>
    <m/>
  </r>
  <r>
    <n v="10.326950900415552"/>
    <s v="99.- Cosecha 2013 - Real"/>
    <x v="2"/>
    <s v="Real"/>
    <s v="ML02EQ06TR01"/>
    <x v="0"/>
    <x v="2"/>
    <x v="14"/>
    <x v="2"/>
    <s v="ML02E06T1"/>
    <x v="1"/>
    <x v="10"/>
    <x v="92"/>
    <x v="2"/>
    <n v="314.11142322097299"/>
    <n v="14.55"/>
    <n v="10.68"/>
    <n v="119.05"/>
    <n v="11.53"/>
    <n v="15.1666217908421"/>
    <n v="13.721728029469499"/>
    <n v="1271.48"/>
    <n v="509231.94"/>
    <x v="105"/>
    <x v="0"/>
    <x v="5"/>
    <n v="19284.056274620001"/>
    <n v="17446.902754909999"/>
    <n v="3354.71"/>
    <n v="192840.56274620001"/>
    <x v="1"/>
    <s v="REAL-PROY."/>
    <m/>
    <m/>
    <m/>
    <m/>
    <m/>
    <m/>
    <m/>
    <m/>
    <m/>
  </r>
  <r>
    <n v="10.389041095890411"/>
    <s v="99.- Cosecha 2013 - Real"/>
    <x v="2"/>
    <s v="Real"/>
    <s v="ML02EQ06TR01"/>
    <x v="0"/>
    <x v="2"/>
    <x v="14"/>
    <x v="2"/>
    <s v="ML02E06T1"/>
    <x v="1"/>
    <x v="10"/>
    <x v="92"/>
    <x v="2"/>
    <n v="316"/>
    <n v="14.55"/>
    <n v="3.87"/>
    <n v="118.63"/>
    <n v="11.42"/>
    <n v="15.264374999999999"/>
    <n v="13.772500000000001"/>
    <n v="459.11"/>
    <n v="544656.31000000006"/>
    <x v="106"/>
    <x v="0"/>
    <x v="6"/>
    <n v="7008.0272062499998"/>
    <n v="6323.0924750000004"/>
    <n v="1222.92"/>
    <n v="70080.272062499993"/>
    <x v="1"/>
    <s v="REAL-PROY."/>
    <m/>
    <m/>
    <m/>
    <m/>
    <m/>
    <m/>
    <m/>
    <m/>
    <m/>
  </r>
  <r>
    <n v="11.877184124487847"/>
    <s v="99.- Cosecha 2013 - Real"/>
    <x v="2"/>
    <s v="Real"/>
    <s v="ML02EQ06TR02"/>
    <x v="0"/>
    <x v="2"/>
    <x v="14"/>
    <x v="3"/>
    <s v="ML02E06T2"/>
    <x v="1"/>
    <x v="1"/>
    <x v="160"/>
    <x v="0"/>
    <n v="361.26435045317203"/>
    <n v="19.86"/>
    <n v="19.86"/>
    <n v="150.24"/>
    <n v="12.65"/>
    <n v="14.389089486066799"/>
    <n v="12.914901502368799"/>
    <n v="2983.672"/>
    <n v="1505567.8"/>
    <x v="179"/>
    <x v="0"/>
    <x v="6"/>
    <n v="42932.323405071998"/>
    <n v="38533.829995376"/>
    <n v="7174.71"/>
    <n v="429323.23405072"/>
    <x v="1"/>
    <s v="REAL-PROY."/>
    <m/>
    <m/>
    <m/>
    <m/>
    <m/>
    <m/>
    <m/>
    <m/>
    <m/>
  </r>
  <r>
    <n v="13.929588810284908"/>
    <s v="99.- Cosecha 2013 - Real"/>
    <x v="2"/>
    <s v="Real"/>
    <s v="ML02EQ06TR03"/>
    <x v="0"/>
    <x v="2"/>
    <x v="14"/>
    <x v="1"/>
    <s v="ML02E06T3"/>
    <x v="1"/>
    <x v="3"/>
    <x v="161"/>
    <x v="0"/>
    <n v="423.69165964616599"/>
    <n v="17.920000000000002"/>
    <n v="11.87"/>
    <n v="147.34"/>
    <n v="10.58"/>
    <n v="13.5200894989079"/>
    <n v="11.985344849615201"/>
    <n v="1748.98"/>
    <n v="1286099.32"/>
    <x v="97"/>
    <x v="0"/>
    <x v="11"/>
    <n v="23646.366131800001"/>
    <n v="20962.128435080002"/>
    <n v="5029.22"/>
    <n v="236463.66131799901"/>
    <x v="1"/>
    <s v="REAL-PROY."/>
    <m/>
    <m/>
    <m/>
    <m/>
    <m/>
    <m/>
    <m/>
    <m/>
    <m/>
  </r>
  <r>
    <n v="14.432224612249511"/>
    <s v="99.- Cosecha 2013 - Real"/>
    <x v="2"/>
    <s v="Real"/>
    <s v="ML02EQ06TR03"/>
    <x v="0"/>
    <x v="2"/>
    <x v="14"/>
    <x v="1"/>
    <s v="ML02E06T3"/>
    <x v="1"/>
    <x v="3"/>
    <x v="161"/>
    <x v="0"/>
    <n v="438.98016528925598"/>
    <n v="17.920000000000002"/>
    <n v="6.05"/>
    <n v="100.43"/>
    <n v="6.96"/>
    <n v="13.5777774651207"/>
    <n v="12.047038177235301"/>
    <n v="607.61"/>
    <n v="47655.53"/>
    <x v="86"/>
    <x v="0"/>
    <x v="8"/>
    <n v="8249.9933655820005"/>
    <n v="7319.9008668699998"/>
    <n v="2655.83"/>
    <n v="82499.933655820001"/>
    <x v="1"/>
    <s v="REAL-PROY."/>
    <m/>
    <m/>
    <m/>
    <m/>
    <m/>
    <m/>
    <m/>
    <m/>
    <m/>
  </r>
  <r>
    <n v="11.901369863013699"/>
    <s v="99.- Cosecha 2013 - Real"/>
    <x v="2"/>
    <s v="Real"/>
    <s v="ML02EQ06TR04"/>
    <x v="0"/>
    <x v="2"/>
    <x v="14"/>
    <x v="4"/>
    <s v="ML02E06T4"/>
    <x v="0"/>
    <x v="1"/>
    <x v="162"/>
    <x v="0"/>
    <n v="362"/>
    <n v="20.99"/>
    <n v="2.93"/>
    <n v="151.06"/>
    <n v="12.69"/>
    <n v="14.3895"/>
    <n v="12.890999999999901"/>
    <n v="442.6"/>
    <n v="668582.80000000005"/>
    <x v="117"/>
    <x v="0"/>
    <x v="2"/>
    <n v="6368.7927"/>
    <n v="5705.5565999999999"/>
    <n v="1060.6600000000001"/>
    <n v="63687.926999999901"/>
    <x v="1"/>
    <s v="REAL-PROY."/>
    <m/>
    <m/>
    <m/>
    <m/>
    <m/>
    <m/>
    <m/>
    <m/>
    <m/>
  </r>
  <r>
    <n v="11.954416784235189"/>
    <s v="99.- Cosecha 2013 - Real"/>
    <x v="2"/>
    <s v="Real"/>
    <s v="ML02EQ06TR04"/>
    <x v="0"/>
    <x v="2"/>
    <x v="14"/>
    <x v="4"/>
    <s v="ML02E06T4"/>
    <x v="0"/>
    <x v="1"/>
    <x v="162"/>
    <x v="0"/>
    <n v="363.61351052048701"/>
    <n v="20.99"/>
    <n v="18.059999999999999"/>
    <n v="151.27000000000001"/>
    <n v="12.65"/>
    <n v="14.2377246899729"/>
    <n v="12.750824248943999"/>
    <n v="2732.02"/>
    <n v="1379797.15"/>
    <x v="120"/>
    <x v="0"/>
    <x v="5"/>
    <n v="38897.748607499903"/>
    <n v="34835.506864599898"/>
    <n v="6566.86"/>
    <n v="388977.48607499897"/>
    <x v="1"/>
    <s v="REAL-PROY."/>
    <m/>
    <m/>
    <m/>
    <m/>
    <m/>
    <m/>
    <m/>
    <m/>
    <m/>
  </r>
  <r>
    <n v="12.561095890410938"/>
    <s v="99.- Cosecha 2013 - Real"/>
    <x v="2"/>
    <s v="Real"/>
    <s v="ML02EQ06TR05"/>
    <x v="0"/>
    <x v="2"/>
    <x v="14"/>
    <x v="5"/>
    <s v="ML02E06T5"/>
    <x v="0"/>
    <x v="1"/>
    <x v="163"/>
    <x v="0"/>
    <n v="382.06666666666598"/>
    <n v="19.2"/>
    <n v="19.2"/>
    <n v="165.35"/>
    <n v="13.16"/>
    <n v="13.4664791310538"/>
    <n v="11.9573103169294"/>
    <n v="3174.65"/>
    <n v="1304050.2"/>
    <x v="119"/>
    <x v="0"/>
    <x v="1"/>
    <n v="42751.357973400001"/>
    <n v="37960.275197640003"/>
    <n v="7335.68"/>
    <n v="427513.57973400003"/>
    <x v="1"/>
    <s v="REAL-PROY."/>
    <m/>
    <m/>
    <m/>
    <m/>
    <m/>
    <m/>
    <m/>
    <m/>
    <m/>
  </r>
  <r>
    <n v="13.992073059360722"/>
    <s v="99.- Cosecha 2013 - Real"/>
    <x v="2"/>
    <s v="Real"/>
    <s v="ML02EQ06TR06"/>
    <x v="0"/>
    <x v="2"/>
    <x v="14"/>
    <x v="0"/>
    <s v="ML02E06T6"/>
    <x v="1"/>
    <x v="4"/>
    <x v="90"/>
    <x v="0"/>
    <n v="425.59222222222201"/>
    <n v="18.59"/>
    <n v="18"/>
    <n v="131.91"/>
    <n v="9.43"/>
    <n v="13.7744589616882"/>
    <n v="12.2572637053616"/>
    <n v="2374.4699999999998"/>
    <n v="1041225.38"/>
    <x v="180"/>
    <x v="0"/>
    <x v="11"/>
    <n v="32707.03957076"/>
    <n v="29104.50495047"/>
    <n v="7660.66"/>
    <n v="327070.39570759999"/>
    <x v="1"/>
    <s v="REAL-PROY."/>
    <m/>
    <m/>
    <m/>
    <m/>
    <m/>
    <m/>
    <m/>
    <m/>
    <m/>
  </r>
  <r>
    <n v="14.203296958439736"/>
    <s v="99.- Cosecha 2013 - Real"/>
    <x v="2"/>
    <s v="Real"/>
    <s v="ML02EQ06TR06"/>
    <x v="0"/>
    <x v="2"/>
    <x v="14"/>
    <x v="0"/>
    <s v="ML02E06T6"/>
    <x v="1"/>
    <x v="4"/>
    <x v="90"/>
    <x v="0"/>
    <n v="432.016949152542"/>
    <n v="18.59"/>
    <n v="0.59"/>
    <n v="268.51"/>
    <n v="18.899999999999999"/>
    <n v="14.485469821666101"/>
    <n v="12.939028023633"/>
    <n v="158.422"/>
    <n v="143664.74"/>
    <x v="181"/>
    <x v="0"/>
    <x v="8"/>
    <n v="2294.8171000880002"/>
    <n v="2049.82669756"/>
    <n v="254.89"/>
    <n v="22948.17100088"/>
    <x v="1"/>
    <s v="REAL-PROY."/>
    <m/>
    <m/>
    <m/>
    <m/>
    <m/>
    <m/>
    <m/>
    <m/>
    <m/>
  </r>
  <r>
    <n v="10.132433858791661"/>
    <s v="99.- Cosecha 2013 - Real"/>
    <x v="2"/>
    <s v="Real"/>
    <s v="ML02EQ07TR01"/>
    <x v="0"/>
    <x v="2"/>
    <x v="15"/>
    <x v="2"/>
    <s v="ML02E07T1"/>
    <x v="0"/>
    <x v="1"/>
    <x v="14"/>
    <x v="0"/>
    <n v="308.19486320491302"/>
    <n v="17.91"/>
    <n v="17.909999999999901"/>
    <n v="144.33000000000001"/>
    <n v="14.24"/>
    <n v="14.987576238200599"/>
    <n v="13.5243578327311"/>
    <n v="2584.88"/>
    <n v="1237274.72"/>
    <x v="182"/>
    <x v="0"/>
    <x v="4"/>
    <n v="38741.086066600001"/>
    <n v="34958.842074669999"/>
    <n v="5519.7699999999904"/>
    <n v="387410.86066599999"/>
    <x v="1"/>
    <s v="REAL-PROY."/>
    <m/>
    <m/>
    <m/>
    <m/>
    <m/>
    <m/>
    <m/>
    <m/>
    <m/>
  </r>
  <r>
    <n v="13.855707762557063"/>
    <s v="99.- Cosecha 2013 - Real"/>
    <x v="2"/>
    <s v="Real"/>
    <s v="ML02EQ07TR02"/>
    <x v="0"/>
    <x v="2"/>
    <x v="15"/>
    <x v="3"/>
    <s v="ML02E07T2"/>
    <x v="1"/>
    <x v="1"/>
    <x v="164"/>
    <x v="0"/>
    <n v="421.444444444444"/>
    <n v="21.87"/>
    <n v="0.27"/>
    <n v="126.85"/>
    <n v="9.16"/>
    <n v="15.1744261451094"/>
    <n v="13.664010411678801"/>
    <n v="34.25"/>
    <n v="21728.77"/>
    <x v="183"/>
    <x v="0"/>
    <x v="11"/>
    <n v="519.72409546999995"/>
    <n v="467.99235659999999"/>
    <n v="113.789999999999"/>
    <n v="5197.2409546999997"/>
    <x v="1"/>
    <s v="REAL-PROY."/>
    <m/>
    <m/>
    <m/>
    <m/>
    <m/>
    <m/>
    <m/>
    <m/>
    <m/>
  </r>
  <r>
    <n v="10.175616976612734"/>
    <s v="99.- Cosecha 2013 - Real"/>
    <x v="2"/>
    <s v="Real"/>
    <s v="ML02EQ07TR02"/>
    <x v="0"/>
    <x v="2"/>
    <x v="15"/>
    <x v="3"/>
    <s v="ML02E07T2"/>
    <x v="0"/>
    <x v="2"/>
    <x v="14"/>
    <x v="0"/>
    <n v="309.508349705304"/>
    <n v="20.36"/>
    <n v="20.36"/>
    <n v="154.4"/>
    <n v="15.17"/>
    <n v="15.0687134127487"/>
    <n v="13.595111472045501"/>
    <n v="3143.68"/>
    <n v="1220322.55"/>
    <x v="110"/>
    <x v="0"/>
    <x v="4"/>
    <n v="47371.212981390003"/>
    <n v="42738.680032440003"/>
    <n v="6301.5899999999901"/>
    <n v="473712.12981389998"/>
    <x v="1"/>
    <s v="REAL-PROY."/>
    <m/>
    <m/>
    <m/>
    <m/>
    <m/>
    <m/>
    <m/>
    <m/>
    <m/>
  </r>
  <r>
    <n v="10.897225435137042"/>
    <s v="99.- Cosecha 2013 - Real"/>
    <x v="2"/>
    <s v="Real"/>
    <s v="ML02EQ07TR03"/>
    <x v="0"/>
    <x v="2"/>
    <x v="15"/>
    <x v="1"/>
    <s v="ML02E07T3"/>
    <x v="0"/>
    <x v="2"/>
    <x v="71"/>
    <x v="0"/>
    <n v="331.45727365208501"/>
    <n v="19.66"/>
    <n v="19.659999999999901"/>
    <n v="117.51"/>
    <n v="10.78"/>
    <n v="14.983729375002101"/>
    <n v="13.521104655054801"/>
    <n v="2310.2799999999902"/>
    <n v="686846.6"/>
    <x v="184"/>
    <x v="0"/>
    <x v="5"/>
    <n v="34616.610300479901"/>
    <n v="31237.537662480001"/>
    <n v="6516.4499999999898"/>
    <n v="346166.10300479998"/>
    <x v="1"/>
    <s v="REAL-PROY."/>
    <m/>
    <m/>
    <m/>
    <m/>
    <m/>
    <m/>
    <m/>
    <m/>
    <m/>
  </r>
  <r>
    <n v="10.763640940653238"/>
    <s v="99.- Cosecha 2013 - Real"/>
    <x v="2"/>
    <s v="Real"/>
    <s v="ML02EQ07TR04"/>
    <x v="0"/>
    <x v="2"/>
    <x v="15"/>
    <x v="4"/>
    <s v="ML02E07T4"/>
    <x v="0"/>
    <x v="2"/>
    <x v="78"/>
    <x v="0"/>
    <n v="327.39407861153597"/>
    <n v="20.14"/>
    <n v="19.59"/>
    <n v="115.14"/>
    <n v="10.7"/>
    <n v="14.880776728459701"/>
    <n v="13.420366130341201"/>
    <n v="2255.54"/>
    <n v="507926.86"/>
    <x v="185"/>
    <x v="0"/>
    <x v="5"/>
    <n v="33564.18714211"/>
    <n v="30270.172621629899"/>
    <n v="6413.65"/>
    <n v="335641.87142109999"/>
    <x v="1"/>
    <s v="REAL-PROY."/>
    <m/>
    <m/>
    <m/>
    <m/>
    <m/>
    <m/>
    <m/>
    <m/>
    <m/>
  </r>
  <r>
    <n v="11.112328767123287"/>
    <s v="99.- Cosecha 2013 - Real"/>
    <x v="2"/>
    <s v="Real"/>
    <s v="ML02EQ07TR04"/>
    <x v="0"/>
    <x v="2"/>
    <x v="15"/>
    <x v="4"/>
    <s v="ML02E07T4"/>
    <x v="0"/>
    <x v="2"/>
    <x v="78"/>
    <x v="0"/>
    <n v="338"/>
    <n v="20.14"/>
    <n v="0.55000000000000004"/>
    <n v="92.07"/>
    <n v="8.2899999999999991"/>
    <n v="14.503500000000001"/>
    <n v="13.0915"/>
    <n v="50.64"/>
    <n v="46625.63"/>
    <x v="186"/>
    <x v="0"/>
    <x v="6"/>
    <n v="734.45723999999996"/>
    <n v="662.95356000000004"/>
    <n v="185.9"/>
    <n v="7344.5724"/>
    <x v="1"/>
    <s v="REAL-PROY."/>
    <m/>
    <m/>
    <m/>
    <m/>
    <m/>
    <m/>
    <m/>
    <m/>
    <m/>
  </r>
  <r>
    <n v="10.459755263716307"/>
    <s v="99.- Cosecha 2013 - Real"/>
    <x v="2"/>
    <s v="Real"/>
    <s v="ML02EQ07TR05"/>
    <x v="0"/>
    <x v="2"/>
    <x v="15"/>
    <x v="5"/>
    <s v="ML02E07T5"/>
    <x v="0"/>
    <x v="1"/>
    <x v="165"/>
    <x v="0"/>
    <n v="318.150889271371"/>
    <n v="18.829999999999998"/>
    <n v="17.43"/>
    <n v="127.34"/>
    <n v="12.17"/>
    <n v="15.241794865800699"/>
    <n v="13.747270043271699"/>
    <n v="2219.5059999999999"/>
    <n v="470661.03"/>
    <x v="187"/>
    <x v="0"/>
    <x v="5"/>
    <n v="33829.255155414001"/>
    <n v="30512.148344662"/>
    <n v="5545.37"/>
    <n v="338292.55155413999"/>
    <x v="1"/>
    <s v="REAL-PROY."/>
    <m/>
    <m/>
    <m/>
    <m/>
    <m/>
    <m/>
    <m/>
    <m/>
    <m/>
  </r>
  <r>
    <n v="10.816438356164383"/>
    <s v="99.- Cosecha 2013 - Real"/>
    <x v="2"/>
    <s v="Real"/>
    <s v="ML02EQ07TR05"/>
    <x v="0"/>
    <x v="2"/>
    <x v="15"/>
    <x v="5"/>
    <s v="ML02E07T5"/>
    <x v="0"/>
    <x v="1"/>
    <x v="165"/>
    <x v="0"/>
    <n v="329"/>
    <n v="18.829999999999998"/>
    <n v="1.4"/>
    <n v="118.03"/>
    <n v="10.91"/>
    <n v="15.241794000000001"/>
    <n v="13.74727"/>
    <n v="165.24"/>
    <n v="195030.41"/>
    <x v="107"/>
    <x v="0"/>
    <x v="6"/>
    <n v="2518.55404056"/>
    <n v="2271.5988947999999"/>
    <n v="460.599999999999"/>
    <n v="25185.540405600001"/>
    <x v="1"/>
    <s v="REAL-PROY."/>
    <m/>
    <m/>
    <m/>
    <m/>
    <m/>
    <m/>
    <m/>
    <m/>
    <m/>
  </r>
  <r>
    <n v="10.661040278497447"/>
    <s v="99.- Cosecha 2013 - Real"/>
    <x v="2"/>
    <s v="Real"/>
    <s v="ML02EQ07TR06"/>
    <x v="0"/>
    <x v="2"/>
    <x v="15"/>
    <x v="0"/>
    <s v="ML02E07T6"/>
    <x v="1"/>
    <x v="1"/>
    <x v="165"/>
    <x v="0"/>
    <n v="324.27330847096403"/>
    <n v="19.170000000000002"/>
    <n v="18.77"/>
    <n v="106.87"/>
    <n v="10.02"/>
    <n v="15.3131262710285"/>
    <n v="13.850780181568"/>
    <n v="2006.0249999999901"/>
    <n v="427186.49"/>
    <x v="105"/>
    <x v="0"/>
    <x v="5"/>
    <n v="30718.514127839899"/>
    <n v="27785.01131373"/>
    <n v="6086.6099999999897"/>
    <n v="307185.14127839898"/>
    <x v="1"/>
    <s v="REAL-PROY."/>
    <m/>
    <m/>
    <m/>
    <m/>
    <m/>
    <m/>
    <m/>
    <m/>
    <m/>
  </r>
  <r>
    <n v="10.964383561643835"/>
    <s v="99.- Cosecha 2013 - Real"/>
    <x v="2"/>
    <s v="Real"/>
    <s v="ML02EQ07TR06"/>
    <x v="0"/>
    <x v="2"/>
    <x v="15"/>
    <x v="0"/>
    <s v="ML02E07T6"/>
    <x v="1"/>
    <x v="1"/>
    <x v="165"/>
    <x v="0"/>
    <n v="333.5"/>
    <n v="19.170000000000002"/>
    <n v="0.4"/>
    <n v="120.27"/>
    <n v="10.97"/>
    <n v="15.683969514861699"/>
    <n v="14.164958135107"/>
    <n v="48.11"/>
    <n v="28811.03"/>
    <x v="73"/>
    <x v="0"/>
    <x v="6"/>
    <n v="754.55577335999999"/>
    <n v="681.47613588000002"/>
    <n v="133.4"/>
    <n v="7545.5577335999997"/>
    <x v="1"/>
    <s v="REAL-PROY."/>
    <m/>
    <m/>
    <m/>
    <m/>
    <m/>
    <m/>
    <m/>
    <m/>
    <m/>
  </r>
  <r>
    <n v="11.709586067980274"/>
    <s v="99.- Cosecha 2013 - Real"/>
    <x v="2"/>
    <s v="Real"/>
    <s v="ML02EQ08TR01"/>
    <x v="0"/>
    <x v="2"/>
    <x v="6"/>
    <x v="2"/>
    <s v="ML02E08T1"/>
    <x v="0"/>
    <x v="2"/>
    <x v="166"/>
    <x v="0"/>
    <n v="356.1665762344"/>
    <n v="18.43"/>
    <n v="18.43"/>
    <n v="111.72"/>
    <n v="9.5399999999999991"/>
    <n v="15.416912513530299"/>
    <n v="13.9436252718981"/>
    <n v="2059.08"/>
    <n v="572969.66"/>
    <x v="105"/>
    <x v="0"/>
    <x v="5"/>
    <n v="31744.656218359902"/>
    <n v="28711.039924860001"/>
    <n v="6564.15"/>
    <n v="317446.56218359899"/>
    <x v="1"/>
    <s v="REAL-PROY."/>
    <m/>
    <m/>
    <m/>
    <m/>
    <m/>
    <m/>
    <m/>
    <m/>
    <m/>
  </r>
  <r>
    <n v="11.669917808219177"/>
    <s v="99.- Cosecha 2013 - Real"/>
    <x v="2"/>
    <s v="Real"/>
    <s v="ML02EQ08TR02"/>
    <x v="0"/>
    <x v="2"/>
    <x v="6"/>
    <x v="3"/>
    <s v="ML02E08T2"/>
    <x v="0"/>
    <x v="1"/>
    <x v="167"/>
    <x v="0"/>
    <n v="354.96"/>
    <n v="17.37"/>
    <n v="1.5"/>
    <n v="196.69"/>
    <n v="16.850000000000001"/>
    <n v="15.771993242543299"/>
    <n v="14.3084922674891"/>
    <n v="295.04000000000002"/>
    <n v="192986.7"/>
    <x v="105"/>
    <x v="0"/>
    <x v="5"/>
    <n v="4653.36888628"/>
    <n v="4221.5775586"/>
    <n v="532.44000000000005"/>
    <n v="46533.688862800002"/>
    <x v="1"/>
    <s v="REAL-PROY."/>
    <m/>
    <m/>
    <m/>
    <m/>
    <m/>
    <m/>
    <m/>
    <m/>
    <m/>
  </r>
  <r>
    <n v="11.81483802470413"/>
    <s v="99.- Cosecha 2013 - Real"/>
    <x v="2"/>
    <s v="Real"/>
    <s v="ML02EQ08TR02"/>
    <x v="0"/>
    <x v="2"/>
    <x v="6"/>
    <x v="3"/>
    <s v="ML02E08T2"/>
    <x v="0"/>
    <x v="1"/>
    <x v="167"/>
    <x v="0"/>
    <n v="359.36798991808399"/>
    <n v="17.37"/>
    <n v="15.87"/>
    <n v="90.99"/>
    <n v="7.7"/>
    <n v="15.678903631581999"/>
    <n v="14.206760966251901"/>
    <n v="1444.0229999999999"/>
    <n v="163490.82"/>
    <x v="55"/>
    <x v="0"/>
    <x v="6"/>
    <n v="22640.697458787999"/>
    <n v="20514.889590769999"/>
    <n v="5703.17"/>
    <n v="226406.97458787999"/>
    <x v="1"/>
    <s v="REAL-PROY."/>
    <m/>
    <m/>
    <m/>
    <m/>
    <m/>
    <m/>
    <m/>
    <m/>
    <m/>
  </r>
  <r>
    <n v="11.829780550059651"/>
    <s v="99.- Cosecha 2013 - Real"/>
    <x v="2"/>
    <s v="Real"/>
    <s v="ML02EQ08TR03"/>
    <x v="0"/>
    <x v="2"/>
    <x v="6"/>
    <x v="1"/>
    <s v="ML02E08T3"/>
    <x v="0"/>
    <x v="1"/>
    <x v="168"/>
    <x v="0"/>
    <n v="359.82249173098103"/>
    <n v="19.8"/>
    <n v="9.07"/>
    <n v="111.33"/>
    <n v="9.41"/>
    <n v="15.2771264182244"/>
    <n v="13.8308318973552"/>
    <n v="1009.745"/>
    <n v="554966.52"/>
    <x v="105"/>
    <x v="0"/>
    <x v="5"/>
    <n v="15426.002015169999"/>
    <n v="13965.613354195"/>
    <n v="3263.59"/>
    <n v="154260.02015169899"/>
    <x v="1"/>
    <s v="REAL-PROY."/>
    <m/>
    <m/>
    <m/>
    <m/>
    <m/>
    <m/>
    <m/>
    <m/>
    <m/>
  </r>
  <r>
    <n v="11.890308825594607"/>
    <s v="99.- Cosecha 2013 - Real"/>
    <x v="2"/>
    <s v="Real"/>
    <s v="ML02EQ08TR03"/>
    <x v="0"/>
    <x v="2"/>
    <x v="6"/>
    <x v="1"/>
    <s v="ML02E08T3"/>
    <x v="0"/>
    <x v="1"/>
    <x v="168"/>
    <x v="0"/>
    <n v="361.66356011183598"/>
    <n v="19.8"/>
    <n v="10.73"/>
    <n v="108.78"/>
    <n v="9.15"/>
    <n v="15.5109323228183"/>
    <n v="14.0598550704066"/>
    <n v="1167.21999999999"/>
    <n v="315264.69"/>
    <x v="188"/>
    <x v="0"/>
    <x v="6"/>
    <n v="18104.670425839999"/>
    <n v="16410.944035280001"/>
    <n v="3880.65"/>
    <n v="181046.70425839999"/>
    <x v="1"/>
    <s v="REAL-PROY."/>
    <m/>
    <m/>
    <m/>
    <m/>
    <m/>
    <m/>
    <m/>
    <m/>
    <m/>
  </r>
  <r>
    <n v="11.374289943171089"/>
    <s v="99.- Cosecha 2013 - Real"/>
    <x v="2"/>
    <s v="Real"/>
    <s v="ML02EQ08TR04"/>
    <x v="0"/>
    <x v="2"/>
    <x v="6"/>
    <x v="4"/>
    <s v="ML02E08T4"/>
    <x v="0"/>
    <x v="1"/>
    <x v="169"/>
    <x v="0"/>
    <n v="345.96798577145398"/>
    <n v="22.49"/>
    <n v="22.49"/>
    <n v="146.44"/>
    <n v="12.87"/>
    <n v="14.827865649294299"/>
    <n v="13.351272773932999"/>
    <n v="3293.36"/>
    <n v="1596984.3"/>
    <x v="189"/>
    <x v="0"/>
    <x v="6"/>
    <n v="48833.499614760003"/>
    <n v="43970.547702759999"/>
    <n v="7780.82"/>
    <n v="488334.9961476"/>
    <x v="1"/>
    <s v="REAL-PROY."/>
    <m/>
    <m/>
    <m/>
    <m/>
    <m/>
    <m/>
    <m/>
    <m/>
    <m/>
  </r>
  <r>
    <n v="13.718894086201118"/>
    <s v="99.- Cosecha 2013 - Real"/>
    <x v="2"/>
    <s v="Real"/>
    <s v="ML02EQ08TR05"/>
    <x v="0"/>
    <x v="2"/>
    <x v="6"/>
    <x v="5"/>
    <s v="ML02E08T5"/>
    <x v="1"/>
    <x v="12"/>
    <x v="170"/>
    <x v="0"/>
    <n v="417.28302845528401"/>
    <n v="19.68"/>
    <n v="19.68"/>
    <n v="140.38999999999999"/>
    <n v="10.23"/>
    <n v="13.8683260329079"/>
    <n v="12.348529382457199"/>
    <n v="2762.9180000000001"/>
    <n v="665633.38"/>
    <x v="180"/>
    <x v="0"/>
    <x v="11"/>
    <n v="38317.047626189997"/>
    <n v="34117.974104319997"/>
    <n v="8212.1299999999992"/>
    <n v="383170.47626189998"/>
    <x v="1"/>
    <s v="REAL-PROY."/>
    <m/>
    <m/>
    <m/>
    <m/>
    <m/>
    <m/>
    <m/>
    <m/>
    <m/>
  </r>
  <r>
    <n v="13.603101064506541"/>
    <s v="99.- Cosecha 2013 - Real"/>
    <x v="2"/>
    <s v="Real"/>
    <s v="ML02EQ08TR06"/>
    <x v="0"/>
    <x v="2"/>
    <x v="6"/>
    <x v="0"/>
    <s v="ML02E08T6"/>
    <x v="1"/>
    <x v="12"/>
    <x v="161"/>
    <x v="0"/>
    <n v="413.76099071207398"/>
    <n v="18.12"/>
    <n v="16.149999999999999"/>
    <n v="151.57"/>
    <n v="11.14"/>
    <n v="13.998881002312199"/>
    <n v="12.453317640011701"/>
    <n v="2447.83"/>
    <n v="759586.97"/>
    <x v="97"/>
    <x v="0"/>
    <x v="11"/>
    <n v="34266.88088389"/>
    <n v="30483.604518749999"/>
    <n v="6682.24"/>
    <n v="342668.8088389"/>
    <x v="1"/>
    <s v="REAL-PROY."/>
    <m/>
    <m/>
    <m/>
    <m/>
    <m/>
    <m/>
    <m/>
    <m/>
    <m/>
  </r>
  <r>
    <n v="14.2753743230328"/>
    <s v="99.- Cosecha 2013 - Real"/>
    <x v="2"/>
    <s v="Real"/>
    <s v="ML02EQ08TR06"/>
    <x v="0"/>
    <x v="2"/>
    <x v="6"/>
    <x v="0"/>
    <s v="ML02E08T6"/>
    <x v="1"/>
    <x v="12"/>
    <x v="161"/>
    <x v="0"/>
    <n v="434.20930232558101"/>
    <n v="18.12"/>
    <n v="1.72"/>
    <n v="64.89"/>
    <n v="4.55"/>
    <n v="14.503474087879001"/>
    <n v="12.994890429001501"/>
    <n v="111.607999999999"/>
    <n v="36264"/>
    <x v="60"/>
    <x v="0"/>
    <x v="8"/>
    <n v="1618.7037359999999"/>
    <n v="1450.3337309999999"/>
    <n v="746.83999999999901"/>
    <n v="16187.0373599999"/>
    <x v="1"/>
    <s v="REAL-PROY."/>
    <m/>
    <m/>
    <m/>
    <m/>
    <m/>
    <m/>
    <m/>
    <m/>
    <m/>
  </r>
  <r>
    <n v="13.422410873153655"/>
    <s v="99.- Cosecha 2013 - Real"/>
    <x v="2"/>
    <s v="Real"/>
    <s v="ML03EQ09TR01"/>
    <x v="0"/>
    <x v="6"/>
    <x v="10"/>
    <x v="2"/>
    <s v="ML03E09T1"/>
    <x v="1"/>
    <x v="1"/>
    <x v="171"/>
    <x v="0"/>
    <n v="408.26499739175699"/>
    <n v="19.170000000000002"/>
    <n v="19.170000000000002"/>
    <n v="135.49"/>
    <n v="10.09"/>
    <n v="15.1239767199282"/>
    <n v="13.6387690798615"/>
    <n v="2597.37"/>
    <n v="878302.39"/>
    <x v="190"/>
    <x v="0"/>
    <x v="11"/>
    <n v="39282.563413039999"/>
    <n v="35424.929644960001"/>
    <n v="7826.44"/>
    <n v="392825.63413040002"/>
    <x v="1"/>
    <s v="REAL-PROY."/>
    <m/>
    <m/>
    <m/>
    <m/>
    <m/>
    <m/>
    <m/>
    <m/>
    <m/>
  </r>
  <r>
    <n v="10.245437302423596"/>
    <s v="99.- Cosecha 2013 - Real"/>
    <x v="2"/>
    <s v="Real"/>
    <s v="ML03EQ09TR01"/>
    <x v="0"/>
    <x v="6"/>
    <x v="10"/>
    <x v="2"/>
    <s v="ML03E09T1"/>
    <x v="0"/>
    <x v="2"/>
    <x v="15"/>
    <x v="0"/>
    <n v="311.63205128205101"/>
    <n v="19.170000000000002"/>
    <n v="15.6"/>
    <n v="125.4"/>
    <n v="12.24"/>
    <n v="15.2329893281804"/>
    <n v="13.7327905489269"/>
    <n v="1956.1799999999901"/>
    <n v="613307.61"/>
    <x v="61"/>
    <x v="0"/>
    <x v="4"/>
    <n v="29798.469064000001"/>
    <n v="26863.8102159999"/>
    <n v="4861.45999999999"/>
    <n v="297984.69063999999"/>
    <x v="1"/>
    <s v="REAL-PROY."/>
    <m/>
    <m/>
    <m/>
    <m/>
    <m/>
    <m/>
    <m/>
    <m/>
    <m/>
  </r>
  <r>
    <n v="13.349887438753415"/>
    <s v="99.- Cosecha 2013 - Real"/>
    <x v="2"/>
    <s v="Real"/>
    <s v="ML03EQ09TR02"/>
    <x v="0"/>
    <x v="6"/>
    <x v="10"/>
    <x v="3"/>
    <s v="ML03E09T2"/>
    <x v="1"/>
    <x v="1"/>
    <x v="172"/>
    <x v="0"/>
    <n v="406.05907626208301"/>
    <n v="18.62"/>
    <n v="18.619999999999902"/>
    <n v="119.38"/>
    <n v="8.94"/>
    <n v="15.482914473063801"/>
    <n v="14.021263654592"/>
    <n v="2222.85"/>
    <n v="385248.84"/>
    <x v="191"/>
    <x v="0"/>
    <x v="11"/>
    <n v="34416.196436450002"/>
    <n v="31167.165914609999"/>
    <n v="7560.82"/>
    <n v="344161.96436450002"/>
    <x v="1"/>
    <s v="REAL-PROY."/>
    <m/>
    <m/>
    <m/>
    <m/>
    <m/>
    <m/>
    <m/>
    <m/>
    <m/>
  </r>
  <r>
    <n v="13.593659992975034"/>
    <s v="99.- Cosecha 2013 - Real"/>
    <x v="2"/>
    <s v="Real"/>
    <s v="ML03EQ09TR03"/>
    <x v="0"/>
    <x v="6"/>
    <x v="10"/>
    <x v="1"/>
    <s v="ML03E09T3"/>
    <x v="1"/>
    <x v="1"/>
    <x v="73"/>
    <x v="0"/>
    <n v="413.47382478632397"/>
    <n v="18.72"/>
    <n v="18.72"/>
    <n v="89.09"/>
    <n v="6.55"/>
    <n v="15.409769809679"/>
    <n v="13.922215225374901"/>
    <n v="1667.741"/>
    <n v="502264.46"/>
    <x v="180"/>
    <x v="0"/>
    <x v="11"/>
    <n v="25699.504912163899"/>
    <n v="23218.649142181901"/>
    <n v="7740.23"/>
    <n v="256995.04912163899"/>
    <x v="1"/>
    <s v="REAL-PROY."/>
    <m/>
    <m/>
    <m/>
    <m/>
    <m/>
    <m/>
    <m/>
    <m/>
    <m/>
  </r>
  <r>
    <n v="13.938577200861598"/>
    <s v="99.- Cosecha 2013 - Real"/>
    <x v="2"/>
    <s v="Real"/>
    <s v="ML03EQ09TR04"/>
    <x v="0"/>
    <x v="6"/>
    <x v="10"/>
    <x v="4"/>
    <s v="ML03E09T4"/>
    <x v="1"/>
    <x v="1"/>
    <x v="154"/>
    <x v="0"/>
    <n v="423.96505652620698"/>
    <n v="19.46"/>
    <n v="19.46"/>
    <n v="131.77000000000001"/>
    <n v="9.4499999999999993"/>
    <n v="14.7997374967923"/>
    <n v="13.286295724823599"/>
    <n v="2564.21"/>
    <n v="847230.57"/>
    <x v="192"/>
    <x v="0"/>
    <x v="3"/>
    <n v="37949.634886649997"/>
    <n v="34068.852360549899"/>
    <n v="8250.36"/>
    <n v="379496.34886649903"/>
    <x v="1"/>
    <s v="REAL-PROY."/>
    <m/>
    <m/>
    <m/>
    <m/>
    <m/>
    <m/>
    <m/>
    <m/>
    <m/>
  </r>
  <r>
    <n v="14.001352951124614"/>
    <s v="99.- Cosecha 2013 - Real"/>
    <x v="2"/>
    <s v="Real"/>
    <s v="ML03EQ09TR05"/>
    <x v="0"/>
    <x v="6"/>
    <x v="10"/>
    <x v="5"/>
    <s v="ML03E09T5"/>
    <x v="0"/>
    <x v="1"/>
    <x v="154"/>
    <x v="0"/>
    <n v="425.87448559670702"/>
    <n v="19.440000000000001"/>
    <n v="19.440000000000001"/>
    <n v="163.47999999999999"/>
    <n v="11.68"/>
    <n v="14.5389978078481"/>
    <n v="13.026530874769501"/>
    <n v="3178.06"/>
    <n v="867601.95"/>
    <x v="193"/>
    <x v="0"/>
    <x v="3"/>
    <n v="46205.807373210002"/>
    <n v="41399.096711869999"/>
    <n v="8278.9999999999909"/>
    <n v="462058.07373210002"/>
    <x v="1"/>
    <s v="REAL-PROY."/>
    <m/>
    <m/>
    <m/>
    <m/>
    <m/>
    <m/>
    <m/>
    <m/>
    <m/>
  </r>
  <r>
    <n v="14.292966311397173"/>
    <s v="99.- Cosecha 2013 - Real"/>
    <x v="2"/>
    <s v="Real"/>
    <s v="ML03EQ09TR06"/>
    <x v="0"/>
    <x v="6"/>
    <x v="10"/>
    <x v="0"/>
    <s v="ML03E09T6"/>
    <x v="0"/>
    <x v="1"/>
    <x v="154"/>
    <x v="0"/>
    <n v="434.74439197166402"/>
    <n v="16.940000000000001"/>
    <n v="16.940000000000001"/>
    <n v="134.81"/>
    <n v="9.43"/>
    <n v="14.5836003332924"/>
    <n v="13.058493497309099"/>
    <n v="2283.67"/>
    <n v="500165.84"/>
    <x v="194"/>
    <x v="0"/>
    <x v="3"/>
    <n v="33304.1305731299"/>
    <n v="29821.289844999999"/>
    <n v="7364.57"/>
    <n v="333041.30573129997"/>
    <x v="1"/>
    <s v="REAL-PROY."/>
    <m/>
    <m/>
    <m/>
    <m/>
    <m/>
    <m/>
    <m/>
    <m/>
    <m/>
  </r>
  <r>
    <n v="12.161653315637293"/>
    <s v="99.- Cosecha 2013 - Real"/>
    <x v="2"/>
    <s v="Real"/>
    <s v="ML03EQ10TR01"/>
    <x v="0"/>
    <x v="6"/>
    <x v="13"/>
    <x v="2"/>
    <s v="ML03E10T1"/>
    <x v="1"/>
    <x v="12"/>
    <x v="173"/>
    <x v="0"/>
    <n v="369.91695501730101"/>
    <n v="20.23"/>
    <n v="20.23"/>
    <n v="133.81"/>
    <n v="11"/>
    <n v="13.845245149393"/>
    <n v="12.3624552463853"/>
    <n v="2707.02"/>
    <n v="516365.81"/>
    <x v="195"/>
    <x v="0"/>
    <x v="11"/>
    <n v="37479.355524309998"/>
    <n v="33465.413601070002"/>
    <n v="7483.4199999999901"/>
    <n v="374793.55524309998"/>
    <x v="1"/>
    <s v="REAL-PROY."/>
    <m/>
    <m/>
    <m/>
    <m/>
    <m/>
    <m/>
    <m/>
    <m/>
    <m/>
  </r>
  <r>
    <n v="12.316871836681971"/>
    <s v="99.- Cosecha 2013 - Real"/>
    <x v="2"/>
    <s v="Real"/>
    <s v="ML03EQ10TR02"/>
    <x v="0"/>
    <x v="6"/>
    <x v="13"/>
    <x v="3"/>
    <s v="ML03E10T2"/>
    <x v="1"/>
    <x v="12"/>
    <x v="174"/>
    <x v="0"/>
    <n v="374.63818503240998"/>
    <n v="16.97"/>
    <n v="16.97"/>
    <n v="131.30000000000001"/>
    <n v="10.66"/>
    <n v="14.175179111835099"/>
    <n v="12.695601153619601"/>
    <n v="2228.0999999999899"/>
    <n v="415945.88"/>
    <x v="195"/>
    <x v="0"/>
    <x v="11"/>
    <n v="31583.716579079999"/>
    <n v="28287.068930379999"/>
    <n v="6357.61"/>
    <n v="315837.16579079902"/>
    <x v="1"/>
    <s v="REAL-PROY."/>
    <m/>
    <m/>
    <m/>
    <m/>
    <m/>
    <m/>
    <m/>
    <m/>
    <m/>
  </r>
  <r>
    <n v="11.88993888303475"/>
    <s v="99.- Cosecha 2013 - Real"/>
    <x v="2"/>
    <s v="Real"/>
    <s v="ML03EQ10TR03"/>
    <x v="0"/>
    <x v="6"/>
    <x v="13"/>
    <x v="1"/>
    <s v="ML03E10T3"/>
    <x v="0"/>
    <x v="4"/>
    <x v="175"/>
    <x v="0"/>
    <n v="361.65230769230698"/>
    <n v="19.5"/>
    <n v="19.5"/>
    <n v="111.1"/>
    <n v="9.34"/>
    <n v="15.281314327701701"/>
    <n v="13.761524947127899"/>
    <n v="2166.36"/>
    <n v="808494.73"/>
    <x v="196"/>
    <x v="0"/>
    <x v="2"/>
    <n v="33104.828106959998"/>
    <n v="29812.417184459999"/>
    <n v="7052.22"/>
    <n v="331048.28106960002"/>
    <x v="1"/>
    <s v="REAL-PROY."/>
    <m/>
    <m/>
    <m/>
    <m/>
    <m/>
    <m/>
    <m/>
    <m/>
    <m/>
  </r>
  <r>
    <n v="12.154102895899333"/>
    <s v="99.- Cosecha 2013 - Real"/>
    <x v="2"/>
    <s v="Real"/>
    <s v="ML03EQ10TR04"/>
    <x v="0"/>
    <x v="6"/>
    <x v="13"/>
    <x v="4"/>
    <s v="ML03E10T4"/>
    <x v="0"/>
    <x v="4"/>
    <x v="126"/>
    <x v="0"/>
    <n v="369.68729641693801"/>
    <n v="20.399999999999999"/>
    <n v="3.07"/>
    <n v="151.57"/>
    <n v="12.47"/>
    <n v="14.213537759773001"/>
    <n v="12.693215974296701"/>
    <n v="465.30999999999898"/>
    <n v="349957.19"/>
    <x v="126"/>
    <x v="0"/>
    <x v="1"/>
    <n v="6613.7012549999999"/>
    <n v="5906.2803249999997"/>
    <n v="1134.94"/>
    <n v="66137.012549999999"/>
    <x v="1"/>
    <s v="REAL-PROY."/>
    <m/>
    <m/>
    <m/>
    <m/>
    <m/>
    <m/>
    <m/>
    <m/>
    <m/>
  </r>
  <r>
    <n v="12.217009066548625"/>
    <s v="99.- Cosecha 2013 - Real"/>
    <x v="2"/>
    <s v="Real"/>
    <s v="ML03EQ10TR04"/>
    <x v="0"/>
    <x v="6"/>
    <x v="13"/>
    <x v="4"/>
    <s v="ML03E10T4"/>
    <x v="0"/>
    <x v="4"/>
    <x v="126"/>
    <x v="0"/>
    <n v="371.600692440854"/>
    <n v="20.399999999999999"/>
    <n v="17.329999999999998"/>
    <n v="143.18"/>
    <n v="11.72"/>
    <n v="15.0729277889697"/>
    <n v="13.5535291649706"/>
    <n v="2481.35"/>
    <n v="1186435.8600000001"/>
    <x v="196"/>
    <x v="0"/>
    <x v="2"/>
    <n v="37401.2093691599"/>
    <n v="33631.0495935"/>
    <n v="6439.8399999999901"/>
    <n v="374012.09369159897"/>
    <x v="1"/>
    <s v="REAL-PROY."/>
    <m/>
    <m/>
    <m/>
    <m/>
    <m/>
    <m/>
    <m/>
    <m/>
    <m/>
  </r>
  <r>
    <n v="12.920547945205479"/>
    <s v="99.- Cosecha 2013 - Real"/>
    <x v="2"/>
    <s v="Real"/>
    <s v="ML03EQ10TR05"/>
    <x v="0"/>
    <x v="6"/>
    <x v="13"/>
    <x v="5"/>
    <s v="ML03E10T5"/>
    <x v="0"/>
    <x v="4"/>
    <x v="176"/>
    <x v="0"/>
    <n v="393"/>
    <n v="19.63"/>
    <n v="4.01"/>
    <n v="157.71"/>
    <n v="12.21"/>
    <n v="14.667833"/>
    <n v="13.172833000000001"/>
    <n v="632.42999999999995"/>
    <n v="997425.7"/>
    <x v="126"/>
    <x v="0"/>
    <x v="1"/>
    <n v="9276.3776241899996"/>
    <n v="8330.8947741899992"/>
    <n v="1575.9299999999901"/>
    <n v="92763.776241900006"/>
    <x v="1"/>
    <s v="REAL-PROY."/>
    <m/>
    <m/>
    <m/>
    <m/>
    <m/>
    <m/>
    <m/>
    <m/>
    <m/>
  </r>
  <r>
    <n v="12.970115587672964"/>
    <s v="99.- Cosecha 2013 - Real"/>
    <x v="2"/>
    <s v="Real"/>
    <s v="ML03EQ10TR05"/>
    <x v="0"/>
    <x v="6"/>
    <x v="13"/>
    <x v="5"/>
    <s v="ML03E10T5"/>
    <x v="0"/>
    <x v="4"/>
    <x v="176"/>
    <x v="0"/>
    <n v="394.507682458386"/>
    <n v="19.63"/>
    <n v="15.62"/>
    <n v="124.38"/>
    <n v="9.59"/>
    <n v="14.996887528053101"/>
    <n v="13.488610124067"/>
    <n v="1942.74"/>
    <n v="1206865.46"/>
    <x v="197"/>
    <x v="0"/>
    <x v="2"/>
    <n v="29135.053276250001"/>
    <n v="26204.86243243"/>
    <n v="6162.21"/>
    <n v="291350.53276249999"/>
    <x v="1"/>
    <s v="REAL-PROY."/>
    <m/>
    <m/>
    <m/>
    <m/>
    <m/>
    <m/>
    <m/>
    <m/>
    <m/>
  </r>
  <r>
    <n v="12.806703584960648"/>
    <s v="99.- Cosecha 2013 - Real"/>
    <x v="2"/>
    <s v="Real"/>
    <s v="ML03EQ10TR06"/>
    <x v="0"/>
    <x v="6"/>
    <x v="13"/>
    <x v="0"/>
    <s v="ML03E10T6"/>
    <x v="0"/>
    <x v="4"/>
    <x v="177"/>
    <x v="0"/>
    <n v="389.537234042553"/>
    <n v="19.75"/>
    <n v="18.799999999999901"/>
    <n v="159.43"/>
    <n v="12.45"/>
    <n v="14.582765734744299"/>
    <n v="13.074720360152201"/>
    <n v="2997.26"/>
    <n v="2389063.15"/>
    <x v="126"/>
    <x v="0"/>
    <x v="1"/>
    <n v="43708.340426119998"/>
    <n v="39188.336346669901"/>
    <n v="7323.2999999999902"/>
    <n v="437083.40426119999"/>
    <x v="1"/>
    <s v="REAL-PROY."/>
    <m/>
    <m/>
    <m/>
    <m/>
    <m/>
    <m/>
    <m/>
    <m/>
    <m/>
  </r>
  <r>
    <n v="12.854794520547944"/>
    <s v="99.- Cosecha 2013 - Real"/>
    <x v="2"/>
    <s v="Real"/>
    <s v="ML03EQ10TR06"/>
    <x v="0"/>
    <x v="6"/>
    <x v="13"/>
    <x v="0"/>
    <s v="ML03E10T6"/>
    <x v="0"/>
    <x v="4"/>
    <x v="177"/>
    <x v="0"/>
    <n v="391"/>
    <n v="19.75"/>
    <n v="0.95"/>
    <n v="166.03"/>
    <n v="12.92"/>
    <n v="14.987375"/>
    <n v="13.469875"/>
    <n v="157.72999999999999"/>
    <n v="261881.61"/>
    <x v="198"/>
    <x v="0"/>
    <x v="2"/>
    <n v="2363.9586587499998"/>
    <n v="2124.6033837499999"/>
    <n v="371.45"/>
    <n v="23639.5865874999"/>
    <x v="1"/>
    <s v="REAL-PROY."/>
    <m/>
    <m/>
    <m/>
    <m/>
    <m/>
    <m/>
    <m/>
    <m/>
    <m/>
  </r>
  <r>
    <n v="11.210692767744264"/>
    <s v="99.- Cosecha 2013 - Real"/>
    <x v="2"/>
    <s v="Real"/>
    <s v="ML03EQ11TR01"/>
    <x v="0"/>
    <x v="6"/>
    <x v="7"/>
    <x v="2"/>
    <s v="ML03E11T1"/>
    <x v="0"/>
    <x v="1"/>
    <x v="116"/>
    <x v="0"/>
    <n v="340.99190501888802"/>
    <n v="18.53"/>
    <n v="18.53"/>
    <n v="141.47999999999999"/>
    <n v="12.62"/>
    <n v="15.635888454689301"/>
    <n v="14.1447908935714"/>
    <n v="2621.5699999999902"/>
    <n v="1264164.8899999999"/>
    <x v="199"/>
    <x v="0"/>
    <x v="7"/>
    <n v="40990.576096160003"/>
    <n v="37081.559462860001"/>
    <n v="6318.58"/>
    <n v="409905.7609616"/>
    <x v="1"/>
    <s v="REAL-PROY."/>
    <m/>
    <m/>
    <m/>
    <m/>
    <m/>
    <m/>
    <m/>
    <m/>
    <m/>
  </r>
  <r>
    <n v="11.16472109589041"/>
    <s v="99.- Cosecha 2013 - Real"/>
    <x v="2"/>
    <s v="Real"/>
    <s v="ML03EQ11TR02"/>
    <x v="0"/>
    <x v="6"/>
    <x v="7"/>
    <x v="3"/>
    <s v="ML03E11T2"/>
    <x v="0"/>
    <x v="1"/>
    <x v="178"/>
    <x v="0"/>
    <n v="339.59359999999998"/>
    <n v="18.75"/>
    <n v="18.75"/>
    <n v="123.05"/>
    <n v="11.02"/>
    <n v="15.0501924858425"/>
    <n v="13.5887592439896"/>
    <n v="2307.27"/>
    <n v="706642.48"/>
    <x v="200"/>
    <x v="0"/>
    <x v="7"/>
    <n v="34724.857616809997"/>
    <n v="31352.936540879899"/>
    <n v="6367.3799999999901"/>
    <n v="347248.5761681"/>
    <x v="1"/>
    <s v="REAL-PROY."/>
    <m/>
    <m/>
    <m/>
    <m/>
    <m/>
    <m/>
    <m/>
    <m/>
    <m/>
  </r>
  <r>
    <n v="10.932752639708283"/>
    <s v="99.- Cosecha 2013 - Real"/>
    <x v="2"/>
    <s v="Real"/>
    <s v="ML03EQ11TR03"/>
    <x v="0"/>
    <x v="6"/>
    <x v="7"/>
    <x v="1"/>
    <s v="ML03E11T3"/>
    <x v="0"/>
    <x v="2"/>
    <x v="87"/>
    <x v="0"/>
    <n v="332.53789279112698"/>
    <n v="16.23"/>
    <n v="16.23"/>
    <n v="122.6"/>
    <n v="11.21"/>
    <n v="15.2506461886693"/>
    <n v="13.771556663936099"/>
    <n v="1989.83"/>
    <n v="484381.88"/>
    <x v="90"/>
    <x v="0"/>
    <x v="7"/>
    <n v="30346.1933055999"/>
    <n v="27403.056596599999"/>
    <n v="5397.0899999999901"/>
    <n v="303461.93305599998"/>
    <x v="1"/>
    <s v="REAL-PROY."/>
    <m/>
    <m/>
    <m/>
    <m/>
    <m/>
    <m/>
    <m/>
    <m/>
    <m/>
  </r>
  <r>
    <n v="14.926869920250313"/>
    <s v="99.- Cosecha 2013 - Real"/>
    <x v="2"/>
    <s v="Real"/>
    <s v="ML03EQ11TR04"/>
    <x v="0"/>
    <x v="6"/>
    <x v="7"/>
    <x v="4"/>
    <s v="ML03E11T4"/>
    <x v="1"/>
    <x v="1"/>
    <x v="179"/>
    <x v="0"/>
    <n v="454.02562674094702"/>
    <n v="17.95"/>
    <n v="17.95"/>
    <n v="98.66"/>
    <n v="6.61"/>
    <n v="15.7047307250982"/>
    <n v="14.1796949949631"/>
    <n v="1770.96"/>
    <n v="579319.87"/>
    <x v="201"/>
    <x v="0"/>
    <x v="11"/>
    <n v="27812.449924920002"/>
    <n v="25111.67264828"/>
    <n v="8149.76"/>
    <n v="278124.49924919999"/>
    <x v="1"/>
    <s v="REAL-PROY."/>
    <m/>
    <m/>
    <m/>
    <m/>
    <m/>
    <m/>
    <m/>
    <m/>
    <m/>
  </r>
  <r>
    <n v="14.66398682536116"/>
    <s v="99.- Cosecha 2013 - Real"/>
    <x v="2"/>
    <s v="Real"/>
    <s v="ML03EQ11TR05"/>
    <x v="0"/>
    <x v="6"/>
    <x v="7"/>
    <x v="5"/>
    <s v="ML03E11T5"/>
    <x v="1"/>
    <x v="1"/>
    <x v="63"/>
    <x v="0"/>
    <n v="446.02959927140199"/>
    <n v="21.96"/>
    <n v="21.96"/>
    <n v="114.82"/>
    <n v="7.83"/>
    <n v="14.5320789060018"/>
    <n v="13.0047387032091"/>
    <n v="2521.54"/>
    <n v="414172.7"/>
    <x v="97"/>
    <x v="0"/>
    <x v="11"/>
    <n v="36643.218244639997"/>
    <n v="32791.968829689999"/>
    <n v="9794.81"/>
    <n v="366432.18244639999"/>
    <x v="1"/>
    <s v="REAL-PROY."/>
    <m/>
    <m/>
    <m/>
    <m/>
    <m/>
    <m/>
    <m/>
    <m/>
    <m/>
  </r>
  <r>
    <n v="14.954161503165073"/>
    <s v="99.- Cosecha 2013 - Real"/>
    <x v="2"/>
    <s v="Real"/>
    <s v="ML03EQ11TR06"/>
    <x v="0"/>
    <x v="6"/>
    <x v="7"/>
    <x v="0"/>
    <s v="ML03E11T6"/>
    <x v="1"/>
    <x v="1"/>
    <x v="180"/>
    <x v="0"/>
    <n v="454.85574572127098"/>
    <n v="20.45"/>
    <n v="20.45"/>
    <n v="121.94"/>
    <n v="8.15"/>
    <n v="14.5629128115262"/>
    <n v="13.059985089380399"/>
    <n v="2493.6099999999901"/>
    <n v="337759.67"/>
    <x v="180"/>
    <x v="0"/>
    <x v="11"/>
    <n v="36314.225015950004"/>
    <n v="32566.509418729998"/>
    <n v="9301.7999999999993"/>
    <n v="363142.25015949999"/>
    <x v="1"/>
    <s v="REAL-PROY."/>
    <m/>
    <m/>
    <m/>
    <m/>
    <m/>
    <m/>
    <m/>
    <m/>
    <m/>
  </r>
  <r>
    <n v="12.875449950831289"/>
    <s v="99.- Cosecha 2013 - Real"/>
    <x v="2"/>
    <s v="Real"/>
    <s v="ML03EQ12TR01"/>
    <x v="0"/>
    <x v="6"/>
    <x v="9"/>
    <x v="2"/>
    <s v="ML03E12T1"/>
    <x v="0"/>
    <x v="2"/>
    <x v="181"/>
    <x v="0"/>
    <n v="391.62826933778501"/>
    <n v="17.97"/>
    <n v="17.97"/>
    <n v="136.94"/>
    <n v="10.64"/>
    <n v="13.676859624994201"/>
    <n v="12.157519105496799"/>
    <n v="2460.8689999999901"/>
    <n v="1690097.86"/>
    <x v="202"/>
    <x v="0"/>
    <x v="11"/>
    <n v="33656.959868500002"/>
    <n v="29918.061883625"/>
    <n v="7037.5599999999904"/>
    <n v="336569.59868499998"/>
    <x v="1"/>
    <s v="REAL-PROY."/>
    <m/>
    <m/>
    <m/>
    <m/>
    <m/>
    <m/>
    <m/>
    <m/>
    <m/>
  </r>
  <r>
    <n v="13.227548194516505"/>
    <s v="99.- Cosecha 2013 - Real"/>
    <x v="2"/>
    <s v="Real"/>
    <s v="ML03EQ12TR02"/>
    <x v="0"/>
    <x v="6"/>
    <x v="9"/>
    <x v="3"/>
    <s v="ML03E12T2"/>
    <x v="0"/>
    <x v="2"/>
    <x v="174"/>
    <x v="0"/>
    <n v="402.33792424987701"/>
    <n v="20.329999999999998"/>
    <n v="20.329999999999998"/>
    <n v="146.91999999999999"/>
    <n v="11.11"/>
    <n v="12.672609915881401"/>
    <n v="11.148874784709999"/>
    <n v="2986.8560000000002"/>
    <n v="537172.52"/>
    <x v="203"/>
    <x v="0"/>
    <x v="8"/>
    <n v="37851.260962909997"/>
    <n v="33300.083543959998"/>
    <n v="8179.53"/>
    <n v="378512.60962910001"/>
    <x v="1"/>
    <s v="REAL-PROY."/>
    <m/>
    <m/>
    <m/>
    <m/>
    <m/>
    <m/>
    <m/>
    <m/>
    <m/>
  </r>
  <r>
    <n v="13.345303771795628"/>
    <s v="99.- Cosecha 2013 - Real"/>
    <x v="2"/>
    <s v="Real"/>
    <s v="ML03EQ12TR03"/>
    <x v="0"/>
    <x v="6"/>
    <x v="9"/>
    <x v="1"/>
    <s v="ML03E12T3"/>
    <x v="0"/>
    <x v="2"/>
    <x v="124"/>
    <x v="0"/>
    <n v="405.91965639211702"/>
    <n v="19.7899999999999"/>
    <n v="19.79"/>
    <n v="142.30000000000001"/>
    <n v="10.66"/>
    <n v="12.8039749502314"/>
    <n v="11.289883012928801"/>
    <n v="2816.0339999999901"/>
    <n v="559925.19999999995"/>
    <x v="203"/>
    <x v="0"/>
    <x v="8"/>
    <n v="36056.428794999898"/>
    <n v="31792.694420430002"/>
    <n v="8033.15"/>
    <n v="360564.28794999898"/>
    <x v="1"/>
    <s v="REAL-PROY."/>
    <m/>
    <m/>
    <m/>
    <m/>
    <m/>
    <m/>
    <m/>
    <m/>
    <m/>
  </r>
  <r>
    <n v="10.927370495632472"/>
    <s v="99.- Cosecha 2013 - Real"/>
    <x v="2"/>
    <s v="Real"/>
    <s v="ML03EQ12TR04"/>
    <x v="0"/>
    <x v="6"/>
    <x v="9"/>
    <x v="4"/>
    <s v="ML03E12T4"/>
    <x v="0"/>
    <x v="2"/>
    <x v="182"/>
    <x v="0"/>
    <n v="332.374185908821"/>
    <n v="16.89"/>
    <n v="16.89"/>
    <n v="134.11000000000001"/>
    <n v="12.27"/>
    <n v="15.4335566381676"/>
    <n v="13.968057068424899"/>
    <n v="2265.1099999999901"/>
    <n v="1022002.09"/>
    <x v="53"/>
    <x v="0"/>
    <x v="4"/>
    <n v="34958.703476679999"/>
    <n v="31639.185746259998"/>
    <n v="5613.8"/>
    <n v="349587.0347668"/>
    <x v="1"/>
    <s v="REAL-PROY."/>
    <m/>
    <m/>
    <m/>
    <m/>
    <m/>
    <m/>
    <m/>
    <m/>
    <m/>
  </r>
  <r>
    <n v="10.911321254971266"/>
    <s v="99.- Cosecha 2013 - Real"/>
    <x v="2"/>
    <s v="Real"/>
    <s v="ML03EQ12TR05"/>
    <x v="0"/>
    <x v="6"/>
    <x v="9"/>
    <x v="5"/>
    <s v="ML03E12T5"/>
    <x v="0"/>
    <x v="2"/>
    <x v="182"/>
    <x v="0"/>
    <n v="331.88602150537599"/>
    <n v="18.600000000000001"/>
    <n v="18.600000000000001"/>
    <n v="123.34"/>
    <n v="11.3"/>
    <n v="15.703849453022601"/>
    <n v="14.2395678427331"/>
    <n v="2294.19"/>
    <n v="958807.37"/>
    <x v="53"/>
    <x v="0"/>
    <x v="4"/>
    <n v="36027.614376630001"/>
    <n v="32668.274149119999"/>
    <n v="6173.08"/>
    <n v="360276.1437663"/>
    <x v="1"/>
    <s v="REAL-PROY."/>
    <m/>
    <m/>
    <m/>
    <m/>
    <m/>
    <m/>
    <m/>
    <m/>
    <m/>
  </r>
  <r>
    <n v="9.8832384177312331"/>
    <s v="99.- Cosecha 2013 - Real"/>
    <x v="2"/>
    <s v="Real"/>
    <s v="ML03EQ12TR06"/>
    <x v="0"/>
    <x v="6"/>
    <x v="9"/>
    <x v="0"/>
    <s v="ML03E12T6"/>
    <x v="1"/>
    <x v="2"/>
    <x v="14"/>
    <x v="0"/>
    <n v="300.615168539325"/>
    <n v="22.96"/>
    <n v="17.799999999999901"/>
    <n v="130.63"/>
    <n v="13.22"/>
    <n v="14.7458824681512"/>
    <n v="13.252857613944499"/>
    <n v="2325.21"/>
    <n v="1512979.33"/>
    <x v="68"/>
    <x v="0"/>
    <x v="7"/>
    <n v="34287.273373769996"/>
    <n v="30815.677052520001"/>
    <n v="5350.95"/>
    <n v="342872.73373769998"/>
    <x v="1"/>
    <s v="REAL-PROY."/>
    <m/>
    <m/>
    <m/>
    <m/>
    <m/>
    <m/>
    <m/>
    <m/>
    <m/>
  </r>
  <r>
    <n v="9.9309971328448423"/>
    <s v="99.- Cosecha 2013 - Real"/>
    <x v="2"/>
    <s v="Real"/>
    <s v="ML03EQ12TR06"/>
    <x v="0"/>
    <x v="6"/>
    <x v="9"/>
    <x v="0"/>
    <s v="ML03E12T6"/>
    <x v="1"/>
    <x v="2"/>
    <x v="14"/>
    <x v="0"/>
    <n v="302.06782945736398"/>
    <n v="22.96"/>
    <n v="5.1599999999999904"/>
    <n v="141.76"/>
    <n v="14.27"/>
    <n v="14.9728181910972"/>
    <n v="13.478832537828399"/>
    <n v="731.46"/>
    <n v="522874.73"/>
    <x v="71"/>
    <x v="0"/>
    <x v="4"/>
    <n v="10952.01759406"/>
    <n v="9859.2268481200008"/>
    <n v="1558.67"/>
    <n v="109520.17594060001"/>
    <x v="1"/>
    <s v="REAL-PROY."/>
    <m/>
    <m/>
    <m/>
    <m/>
    <m/>
    <m/>
    <m/>
    <m/>
    <m/>
  </r>
  <r>
    <n v="13.366066228022861"/>
    <s v="99.- Cosecha 2013 - Real"/>
    <x v="2"/>
    <s v="Real"/>
    <s v="ML04EQ13TR01"/>
    <x v="0"/>
    <x v="0"/>
    <x v="0"/>
    <x v="2"/>
    <s v="ML04E13T1"/>
    <x v="1"/>
    <x v="4"/>
    <x v="183"/>
    <x v="0"/>
    <n v="406.55118110236202"/>
    <n v="19.21"/>
    <n v="1.27"/>
    <n v="112.07"/>
    <n v="8.3800000000000008"/>
    <n v="14.340442596430799"/>
    <n v="12.851605097308999"/>
    <n v="142.32999999999899"/>
    <n v="79623.48"/>
    <x v="204"/>
    <x v="0"/>
    <x v="11"/>
    <n v="2041.07519475"/>
    <n v="1829.1689535"/>
    <n v="516.31999999999903"/>
    <n v="20410.751947500001"/>
    <x v="1"/>
    <s v="REAL-PROY."/>
    <m/>
    <m/>
    <m/>
    <m/>
    <m/>
    <m/>
    <m/>
    <m/>
    <m/>
  </r>
  <r>
    <n v="10.295192698073754"/>
    <s v="99.- Cosecha 2013 - Real"/>
    <x v="2"/>
    <s v="Real"/>
    <s v="ML04EQ13TR01"/>
    <x v="0"/>
    <x v="0"/>
    <x v="0"/>
    <x v="2"/>
    <s v="ML04E13T1"/>
    <x v="0"/>
    <x v="1"/>
    <x v="184"/>
    <x v="0"/>
    <n v="313.14544456640999"/>
    <n v="18.22"/>
    <n v="18.22"/>
    <n v="135.5"/>
    <n v="13.16"/>
    <n v="14.711462590531999"/>
    <n v="13.2272930725349"/>
    <n v="2468.7399999999998"/>
    <n v="668676.19999999995"/>
    <x v="205"/>
    <x v="0"/>
    <x v="4"/>
    <n v="36318.776155749998"/>
    <n v="32654.74749989"/>
    <n v="5705.5099999999902"/>
    <n v="363187.76155749999"/>
    <x v="1"/>
    <s v="REAL-PROY."/>
    <m/>
    <m/>
    <m/>
    <m/>
    <m/>
    <m/>
    <m/>
    <m/>
    <m/>
  </r>
  <r>
    <n v="13.474470734744679"/>
    <s v="99.- Cosecha 2013 - Real"/>
    <x v="2"/>
    <s v="Real"/>
    <s v="ML04EQ13TR02"/>
    <x v="0"/>
    <x v="0"/>
    <x v="0"/>
    <x v="3"/>
    <s v="ML04E13T2"/>
    <x v="0"/>
    <x v="9"/>
    <x v="185"/>
    <x v="0"/>
    <n v="409.84848484848402"/>
    <n v="19.420000000000002"/>
    <n v="2.64"/>
    <n v="87.54"/>
    <n v="6.5"/>
    <n v="15.7958953681586"/>
    <n v="14.319041290268901"/>
    <n v="231.096"/>
    <n v="98821.7"/>
    <x v="183"/>
    <x v="0"/>
    <x v="11"/>
    <n v="3650.3682359999998"/>
    <n v="3309.073166016"/>
    <n v="1082"/>
    <n v="36503.682359999999"/>
    <x v="1"/>
    <s v="REAL-PROY."/>
    <m/>
    <m/>
    <m/>
    <m/>
    <m/>
    <m/>
    <m/>
    <m/>
    <m/>
  </r>
  <r>
    <n v="10.161021828123419"/>
    <s v="99.- Cosecha 2013 - Real"/>
    <x v="2"/>
    <s v="Real"/>
    <s v="ML04EQ13TR02"/>
    <x v="0"/>
    <x v="0"/>
    <x v="0"/>
    <x v="3"/>
    <s v="ML04E13T2"/>
    <x v="2"/>
    <x v="0"/>
    <x v="186"/>
    <x v="0"/>
    <n v="309.064413938754"/>
    <n v="18.940000000000001"/>
    <n v="18.939999999999898"/>
    <n v="131.88999999999999"/>
    <n v="12.98"/>
    <n v="15.3163860443992"/>
    <n v="13.8328949309322"/>
    <n v="2497.9229999999998"/>
    <n v="842800.01"/>
    <x v="206"/>
    <x v="0"/>
    <x v="4"/>
    <n v="38259.152977184"/>
    <n v="34553.506404558902"/>
    <n v="5853.68"/>
    <n v="382591.52977184003"/>
    <x v="1"/>
    <s v="REAL-PROY."/>
    <m/>
    <m/>
    <m/>
    <m/>
    <m/>
    <m/>
    <m/>
    <m/>
    <m/>
  </r>
  <r>
    <n v="11.965788549350171"/>
    <s v="99.- Cosecha 2013 - Real"/>
    <x v="2"/>
    <s v="Real"/>
    <s v="ML04EQ13TR03"/>
    <x v="0"/>
    <x v="0"/>
    <x v="0"/>
    <x v="1"/>
    <s v="ML04E13T3"/>
    <x v="1"/>
    <x v="4"/>
    <x v="187"/>
    <x v="0"/>
    <n v="363.95940170940099"/>
    <n v="14.0399999999999"/>
    <n v="14.04"/>
    <n v="130.69"/>
    <n v="10.92"/>
    <n v="15.0612915473739"/>
    <n v="13.605536401859499"/>
    <n v="1834.87"/>
    <n v="403463.26"/>
    <x v="154"/>
    <x v="0"/>
    <x v="5"/>
    <n v="27635.512021529899"/>
    <n v="24964.390577679998"/>
    <n v="5109.99"/>
    <n v="276355.1202153"/>
    <x v="1"/>
    <s v="REAL-PROY."/>
    <m/>
    <m/>
    <m/>
    <m/>
    <m/>
    <m/>
    <m/>
    <m/>
    <m/>
  </r>
  <r>
    <n v="13.305597835278181"/>
    <s v="99.- Cosecha 2013 - Real"/>
    <x v="2"/>
    <s v="Real"/>
    <s v="ML04EQ13TR04"/>
    <x v="0"/>
    <x v="0"/>
    <x v="0"/>
    <x v="4"/>
    <s v="ML04E13T4"/>
    <x v="1"/>
    <x v="9"/>
    <x v="172"/>
    <x v="0"/>
    <n v="404.71193415637799"/>
    <n v="19.57"/>
    <n v="2.4300000000000002"/>
    <n v="129.51"/>
    <n v="9.73"/>
    <n v="13.914415507905799"/>
    <n v="12.456590923534399"/>
    <n v="314.70400000000001"/>
    <n v="139585.54999999999"/>
    <x v="207"/>
    <x v="0"/>
    <x v="11"/>
    <n v="4378.9222179999997"/>
    <n v="3920.1389899999999"/>
    <n v="983.44999999999902"/>
    <n v="43789.222179999902"/>
    <x v="1"/>
    <s v="REAL-PROY."/>
    <m/>
    <m/>
    <m/>
    <m/>
    <m/>
    <m/>
    <m/>
    <m/>
    <m/>
  </r>
  <r>
    <n v="10.063677469651399"/>
    <s v="99.- Cosecha 2013 - Real"/>
    <x v="2"/>
    <s v="Real"/>
    <s v="ML04EQ13TR04"/>
    <x v="0"/>
    <x v="0"/>
    <x v="0"/>
    <x v="4"/>
    <s v="ML04E13T4"/>
    <x v="0"/>
    <x v="0"/>
    <x v="188"/>
    <x v="0"/>
    <n v="306.10352303523001"/>
    <n v="18.45"/>
    <n v="18.45"/>
    <n v="124.64"/>
    <n v="12.38"/>
    <n v="15.230914716989901"/>
    <n v="13.7282704978408"/>
    <n v="2299.5300000000002"/>
    <n v="961638.98"/>
    <x v="168"/>
    <x v="0"/>
    <x v="4"/>
    <n v="35023.945319159997"/>
    <n v="31568.569857900002"/>
    <n v="5647.61"/>
    <n v="350239.45319159998"/>
    <x v="1"/>
    <s v="REAL-PROY."/>
    <m/>
    <m/>
    <m/>
    <m/>
    <m/>
    <m/>
    <m/>
    <m/>
    <m/>
  </r>
  <r>
    <n v="12.006029293264438"/>
    <s v="99.- Cosecha 2013 - Real"/>
    <x v="2"/>
    <s v="Real"/>
    <s v="ML04EQ13TR05"/>
    <x v="0"/>
    <x v="0"/>
    <x v="0"/>
    <x v="5"/>
    <s v="ML04E13T5"/>
    <x v="1"/>
    <x v="9"/>
    <x v="189"/>
    <x v="0"/>
    <n v="365.18339100345997"/>
    <n v="14.45"/>
    <n v="14.45"/>
    <n v="138.94999999999999"/>
    <n v="11.57"/>
    <n v="15.5889725698687"/>
    <n v="14.0672049295381"/>
    <n v="2007.894"/>
    <n v="562406.30000000005"/>
    <x v="208"/>
    <x v="0"/>
    <x v="5"/>
    <n v="31301.004489203999"/>
    <n v="28245.456374789999"/>
    <n v="5276.9"/>
    <n v="313010.04489204002"/>
    <x v="1"/>
    <s v="REAL-PROY."/>
    <m/>
    <m/>
    <m/>
    <m/>
    <m/>
    <m/>
    <m/>
    <m/>
    <m/>
  </r>
  <r>
    <n v="13.704830569574597"/>
    <s v="99.- Cosecha 2013 - Real"/>
    <x v="2"/>
    <s v="Real"/>
    <s v="ML04EQ13TR06"/>
    <x v="0"/>
    <x v="0"/>
    <x v="0"/>
    <x v="0"/>
    <s v="ML04E13T6"/>
    <x v="1"/>
    <x v="9"/>
    <x v="190"/>
    <x v="0"/>
    <n v="416.855263157894"/>
    <n v="19.02"/>
    <n v="1.52"/>
    <n v="200.67"/>
    <n v="14.64"/>
    <n v="14.851735322339501"/>
    <n v="13.366868387318799"/>
    <n v="305.02"/>
    <n v="124517.9"/>
    <x v="201"/>
    <x v="0"/>
    <x v="11"/>
    <n v="4530.0763080199904"/>
    <n v="4077.1621955000001"/>
    <n v="633.62"/>
    <n v="45300.763080199897"/>
    <x v="1"/>
    <s v="REAL-PROY."/>
    <m/>
    <m/>
    <m/>
    <m/>
    <m/>
    <m/>
    <m/>
    <m/>
    <m/>
  </r>
  <r>
    <n v="10.535489236790596"/>
    <s v="99.- Cosecha 2013 - Real"/>
    <x v="2"/>
    <s v="Real"/>
    <s v="ML04EQ14TR01"/>
    <x v="0"/>
    <x v="0"/>
    <x v="16"/>
    <x v="2"/>
    <s v="ML04E14T1"/>
    <x v="2"/>
    <x v="0"/>
    <x v="80"/>
    <x v="0"/>
    <n v="320.45446428571398"/>
    <n v="11.2"/>
    <n v="11.2"/>
    <n v="110.02"/>
    <n v="10.44"/>
    <n v="15.103048116694101"/>
    <n v="13.642839319774801"/>
    <n v="1232.1949999999999"/>
    <n v="678684.41"/>
    <x v="209"/>
    <x v="0"/>
    <x v="7"/>
    <n v="18609.900374149998"/>
    <n v="16810.638395630001"/>
    <n v="3589.09"/>
    <n v="186099.00374149901"/>
    <x v="1"/>
    <s v="REAL-PROY."/>
    <m/>
    <m/>
    <m/>
    <m/>
    <m/>
    <m/>
    <m/>
    <m/>
    <m/>
  </r>
  <r>
    <n v="10.828052174862181"/>
    <s v="99.- Cosecha 2013 - Real"/>
    <x v="2"/>
    <s v="Real"/>
    <s v="ML04EQ14TR02"/>
    <x v="0"/>
    <x v="0"/>
    <x v="16"/>
    <x v="3"/>
    <s v="ML04E14T2"/>
    <x v="2"/>
    <x v="0"/>
    <x v="191"/>
    <x v="0"/>
    <n v="329.35325365205802"/>
    <n v="15.06"/>
    <n v="15.06"/>
    <n v="125.44"/>
    <n v="11.58"/>
    <n v="15.350077836768801"/>
    <n v="13.8489820730665"/>
    <n v="1889.1"/>
    <n v="793601.13"/>
    <x v="210"/>
    <x v="0"/>
    <x v="7"/>
    <n v="28997.83204144"/>
    <n v="26162.112034229998"/>
    <n v="4960.0600000000004"/>
    <n v="289978.32041439897"/>
    <x v="1"/>
    <s v="REAL-PROY."/>
    <m/>
    <m/>
    <m/>
    <m/>
    <m/>
    <m/>
    <m/>
    <m/>
    <m/>
  </r>
  <r>
    <n v="10.717085927770849"/>
    <s v="99.- Cosecha 2013 - Real"/>
    <x v="2"/>
    <s v="Real"/>
    <s v="ML04EQ14TR03"/>
    <x v="0"/>
    <x v="0"/>
    <x v="16"/>
    <x v="1"/>
    <s v="ML04E14T3"/>
    <x v="2"/>
    <x v="0"/>
    <x v="79"/>
    <x v="0"/>
    <n v="325.97803030302998"/>
    <n v="13.2"/>
    <n v="13.2"/>
    <n v="135.35"/>
    <n v="12.63"/>
    <n v="15.435668450632299"/>
    <n v="13.933509210917601"/>
    <n v="1786.645"/>
    <n v="614160.04"/>
    <x v="209"/>
    <x v="0"/>
    <x v="7"/>
    <n v="27578.059858979999"/>
    <n v="24894.234564139999"/>
    <n v="4302.91"/>
    <n v="275780.59858979902"/>
    <x v="1"/>
    <s v="REAL-PROY."/>
    <m/>
    <m/>
    <m/>
    <m/>
    <m/>
    <m/>
    <m/>
    <m/>
    <m/>
  </r>
  <r>
    <n v="13.129318420979111"/>
    <s v="99.- Cosecha 2013 - Real"/>
    <x v="2"/>
    <s v="Real"/>
    <s v="ML04EQ14TR04"/>
    <x v="0"/>
    <x v="0"/>
    <x v="16"/>
    <x v="4"/>
    <s v="ML04E14T4"/>
    <x v="0"/>
    <x v="9"/>
    <x v="46"/>
    <x v="0"/>
    <n v="399.350101971448"/>
    <n v="14.71"/>
    <n v="14.7099999999999"/>
    <n v="128.13"/>
    <n v="9.76"/>
    <n v="14.113132946424299"/>
    <n v="12.594403666178501"/>
    <n v="1884.81"/>
    <n v="596515.63"/>
    <x v="99"/>
    <x v="0"/>
    <x v="9"/>
    <n v="26600.574108749999"/>
    <n v="23738.05797405"/>
    <n v="5874.44"/>
    <n v="266005.74108750001"/>
    <x v="1"/>
    <s v="REAL-PROY."/>
    <m/>
    <m/>
    <m/>
    <m/>
    <m/>
    <m/>
    <m/>
    <m/>
    <m/>
  </r>
  <r>
    <n v="13.167333610073324"/>
    <s v="99.- Cosecha 2013 - Real"/>
    <x v="2"/>
    <s v="Real"/>
    <s v="ML04EQ14TR05"/>
    <x v="0"/>
    <x v="0"/>
    <x v="16"/>
    <x v="5"/>
    <s v="ML04E14T5"/>
    <x v="0"/>
    <x v="9"/>
    <x v="46"/>
    <x v="0"/>
    <n v="400.50639730639699"/>
    <n v="14.85"/>
    <n v="14.85"/>
    <n v="135.74"/>
    <n v="10.31"/>
    <n v="14.169367629638399"/>
    <n v="12.626162444045899"/>
    <n v="2015.76"/>
    <n v="683276.57"/>
    <x v="81"/>
    <x v="0"/>
    <x v="9"/>
    <n v="28562.044493119902"/>
    <n v="25451.313208209998"/>
    <n v="5947.5199999999904"/>
    <n v="285620.44493119902"/>
    <x v="1"/>
    <s v="REAL-PROY."/>
    <m/>
    <m/>
    <m/>
    <m/>
    <m/>
    <m/>
    <m/>
    <m/>
    <m/>
  </r>
  <r>
    <n v="13.200270749395628"/>
    <s v="99.- Cosecha 2013 - Real"/>
    <x v="2"/>
    <s v="Real"/>
    <s v="ML04EQ14TR06"/>
    <x v="0"/>
    <x v="0"/>
    <x v="16"/>
    <x v="0"/>
    <s v="ML04E14T6"/>
    <x v="1"/>
    <x v="9"/>
    <x v="46"/>
    <x v="0"/>
    <n v="401.50823529411701"/>
    <n v="12.75"/>
    <n v="12.75"/>
    <n v="136.22"/>
    <n v="10.32"/>
    <n v="14.080275349164401"/>
    <n v="12.534356084559301"/>
    <n v="1736.7919999999999"/>
    <n v="1182890.3400000001"/>
    <x v="81"/>
    <x v="0"/>
    <x v="9"/>
    <n v="24454.5095842259"/>
    <n v="21769.569372814"/>
    <n v="5119.2299999999996"/>
    <n v="244545.095842259"/>
    <x v="1"/>
    <s v="REAL-PROY."/>
    <m/>
    <m/>
    <m/>
    <m/>
    <m/>
    <m/>
    <m/>
    <m/>
    <m/>
  </r>
  <r>
    <n v="11.067061021170609"/>
    <s v="99.- Cosecha 2013 - Real"/>
    <x v="2"/>
    <s v="Real"/>
    <s v="ML05EQ15TR01"/>
    <x v="0"/>
    <x v="7"/>
    <x v="17"/>
    <x v="2"/>
    <s v="ML05E15T1"/>
    <x v="0"/>
    <x v="8"/>
    <x v="24"/>
    <x v="0"/>
    <n v="336.62310606060601"/>
    <n v="21.12"/>
    <n v="21.12"/>
    <n v="140.35"/>
    <n v="12.68"/>
    <n v="15.6956134031968"/>
    <n v="14.242512709432001"/>
    <n v="2964.16"/>
    <n v="824519.38"/>
    <x v="211"/>
    <x v="0"/>
    <x v="7"/>
    <n v="46524.309425220003"/>
    <n v="42217.086472789997"/>
    <n v="7109.48"/>
    <n v="465243.09425219998"/>
    <x v="1"/>
    <s v="REAL-PROY."/>
    <m/>
    <m/>
    <m/>
    <m/>
    <m/>
    <m/>
    <m/>
    <m/>
    <m/>
  </r>
  <r>
    <n v="10.863255221259912"/>
    <s v="99.- Cosecha 2013 - Real"/>
    <x v="2"/>
    <s v="Real"/>
    <s v="ML05EQ15TR02"/>
    <x v="0"/>
    <x v="7"/>
    <x v="17"/>
    <x v="3"/>
    <s v="ML05E15T2"/>
    <x v="0"/>
    <x v="8"/>
    <x v="192"/>
    <x v="0"/>
    <n v="330.42401297998902"/>
    <n v="18.489999999999998"/>
    <n v="18.489999999999998"/>
    <n v="127.18"/>
    <n v="11.71"/>
    <n v="16.033240886001899"/>
    <n v="14.5516387529316"/>
    <n v="2351.4789999999998"/>
    <n v="498155.66"/>
    <x v="212"/>
    <x v="0"/>
    <x v="7"/>
    <n v="37701.829245374996"/>
    <n v="34217.872943105001"/>
    <n v="6109.53999999999"/>
    <n v="377018.29245374998"/>
    <x v="1"/>
    <s v="REAL-PROY."/>
    <m/>
    <m/>
    <m/>
    <m/>
    <m/>
    <m/>
    <m/>
    <m/>
    <m/>
  </r>
  <r>
    <n v="10.323287671232876"/>
    <s v="99.- Cosecha 2013 - Real"/>
    <x v="2"/>
    <s v="Real"/>
    <s v="ML05EQ15TR03"/>
    <x v="0"/>
    <x v="7"/>
    <x v="17"/>
    <x v="1"/>
    <s v="ML05E15T3"/>
    <x v="0"/>
    <x v="8"/>
    <x v="193"/>
    <x v="0"/>
    <n v="314"/>
    <n v="17.71"/>
    <n v="5.48"/>
    <n v="134.62"/>
    <n v="13.04"/>
    <n v="15.305375"/>
    <n v="13.807874999999999"/>
    <n v="737.71"/>
    <n v="993094.97"/>
    <x v="45"/>
    <x v="0"/>
    <x v="6"/>
    <n v="11290.928191249999"/>
    <n v="10186.20746625"/>
    <n v="1720.72"/>
    <n v="112909.2819125"/>
    <x v="1"/>
    <s v="REAL-PROY."/>
    <m/>
    <m/>
    <m/>
    <m/>
    <m/>
    <m/>
    <m/>
    <m/>
    <m/>
  </r>
  <r>
    <n v="10.920740599693085"/>
    <s v="99.- Cosecha 2013 - Real"/>
    <x v="2"/>
    <s v="Real"/>
    <s v="ML05EQ15TR03"/>
    <x v="0"/>
    <x v="7"/>
    <x v="17"/>
    <x v="1"/>
    <s v="ML05E15T3"/>
    <x v="0"/>
    <x v="8"/>
    <x v="193"/>
    <x v="0"/>
    <n v="332.17252657399803"/>
    <n v="17.71"/>
    <n v="12.23"/>
    <n v="128.5"/>
    <n v="11.77"/>
    <n v="15.8815781554251"/>
    <n v="14.4253011965222"/>
    <n v="1571.5729999999901"/>
    <n v="334958.84999999998"/>
    <x v="200"/>
    <x v="0"/>
    <x v="7"/>
    <n v="24959.059426455999"/>
    <n v="22670.413877322"/>
    <n v="4062.4699999999898"/>
    <n v="249590.59426456"/>
    <x v="1"/>
    <s v="REAL-PROY."/>
    <m/>
    <m/>
    <m/>
    <m/>
    <m/>
    <m/>
    <m/>
    <m/>
    <m/>
  </r>
  <r>
    <n v="12.289892119333084"/>
    <s v="99.- Cosecha 2013 - Real"/>
    <x v="2"/>
    <s v="Real"/>
    <s v="ML05EQ15TR04"/>
    <x v="0"/>
    <x v="7"/>
    <x v="17"/>
    <x v="4"/>
    <s v="ML05E15T4"/>
    <x v="1"/>
    <x v="10"/>
    <x v="52"/>
    <x v="2"/>
    <n v="373.817551963048"/>
    <n v="17.32"/>
    <n v="17.32"/>
    <n v="125.46"/>
    <n v="10.210000000000001"/>
    <n v="15.240360540287"/>
    <n v="13.696344432050999"/>
    <n v="2173.0300000000002"/>
    <n v="687628.01"/>
    <x v="35"/>
    <x v="0"/>
    <x v="2"/>
    <n v="33117.760664859998"/>
    <n v="29762.567341180002"/>
    <n v="6474.5199999999904"/>
    <n v="331177.60664860002"/>
    <x v="1"/>
    <s v="REAL-PROY."/>
    <m/>
    <m/>
    <m/>
    <m/>
    <m/>
    <m/>
    <m/>
    <m/>
    <m/>
  </r>
  <r>
    <n v="12.259474378488065"/>
    <s v="99.- Cosecha 2013 - Real"/>
    <x v="2"/>
    <s v="Real"/>
    <s v="ML05EQ15TR05"/>
    <x v="0"/>
    <x v="7"/>
    <x v="17"/>
    <x v="5"/>
    <s v="ML05E15T5"/>
    <x v="1"/>
    <x v="10"/>
    <x v="194"/>
    <x v="2"/>
    <n v="372.89234567901201"/>
    <n v="20.25"/>
    <n v="20.25"/>
    <n v="121.35"/>
    <n v="9.9"/>
    <n v="15.361726443368701"/>
    <n v="13.839265048630599"/>
    <n v="2457.3000000000002"/>
    <n v="298374.86"/>
    <x v="117"/>
    <x v="0"/>
    <x v="2"/>
    <n v="37748.370389290001"/>
    <n v="34007.226003999996"/>
    <n v="7551.07"/>
    <n v="377483.70389290003"/>
    <x v="1"/>
    <s v="REAL-PROY."/>
    <m/>
    <m/>
    <m/>
    <m/>
    <m/>
    <m/>
    <m/>
    <m/>
    <m/>
  </r>
  <r>
    <n v="10.302221823644121"/>
    <s v="99.- Cosecha 2013 - Real"/>
    <x v="2"/>
    <s v="Real"/>
    <s v="ML05EQ15TR06"/>
    <x v="0"/>
    <x v="7"/>
    <x v="17"/>
    <x v="0"/>
    <s v="ML05E15T6"/>
    <x v="0"/>
    <x v="8"/>
    <x v="87"/>
    <x v="0"/>
    <n v="313.359247135842"/>
    <n v="19.329999999999998"/>
    <n v="12.219999999999899"/>
    <n v="131.68"/>
    <n v="12.78"/>
    <n v="14.5268738075293"/>
    <n v="13.059902023490199"/>
    <n v="1609.18"/>
    <n v="1050548.56"/>
    <x v="213"/>
    <x v="0"/>
    <x v="7"/>
    <n v="23376.3547936"/>
    <n v="21015.733138160002"/>
    <n v="3829.25"/>
    <n v="233763.54793599999"/>
    <x v="1"/>
    <s v="REAL-PROY."/>
    <m/>
    <m/>
    <m/>
    <m/>
    <m/>
    <m/>
    <m/>
    <m/>
    <m/>
  </r>
  <r>
    <n v="11.409745101439201"/>
    <s v="99.- Cosecha 2013 - Real"/>
    <x v="2"/>
    <s v="Real"/>
    <s v="ML05EQ15TR06"/>
    <x v="0"/>
    <x v="7"/>
    <x v="17"/>
    <x v="0"/>
    <s v="ML05E15T6"/>
    <x v="0"/>
    <x v="8"/>
    <x v="87"/>
    <x v="0"/>
    <n v="347.04641350210898"/>
    <n v="19.329999999999998"/>
    <n v="7.1099999999999897"/>
    <n v="120.28"/>
    <n v="10.54"/>
    <n v="15.8138316557917"/>
    <n v="14.328945590402"/>
    <n v="855.18"/>
    <n v="345509.18"/>
    <x v="214"/>
    <x v="0"/>
    <x v="4"/>
    <n v="13523.6725554"/>
    <n v="12253.8276899999"/>
    <n v="2467.5"/>
    <n v="135236.725554"/>
    <x v="1"/>
    <s v="REAL-PROY."/>
    <m/>
    <m/>
    <m/>
    <m/>
    <m/>
    <m/>
    <m/>
    <m/>
    <m/>
  </r>
  <r>
    <n v="10.917304884401753"/>
    <s v="99.- Cosecha 2013 - Real"/>
    <x v="2"/>
    <s v="Real"/>
    <s v="ML05EQ15TR07"/>
    <x v="0"/>
    <x v="7"/>
    <x v="17"/>
    <x v="6"/>
    <s v="ML05E15T7"/>
    <x v="0"/>
    <x v="8"/>
    <x v="62"/>
    <x v="0"/>
    <n v="332.06802356722"/>
    <n v="18.670000000000002"/>
    <n v="18.670000000000002"/>
    <n v="139.36000000000001"/>
    <n v="12.77"/>
    <n v="14.7683632598016"/>
    <n v="13.324146509364599"/>
    <n v="2601.9079999999999"/>
    <n v="723346.04"/>
    <x v="153"/>
    <x v="0"/>
    <x v="7"/>
    <n v="38425.9225125839"/>
    <n v="34668.203395887998"/>
    <n v="6199.71"/>
    <n v="384259.22512583999"/>
    <x v="1"/>
    <s v="REAL-PROY."/>
    <m/>
    <m/>
    <m/>
    <m/>
    <m/>
    <m/>
    <m/>
    <m/>
    <m/>
  </r>
  <r>
    <n v="12.657534246575343"/>
    <s v="99.- Cosecha 2013 - Real"/>
    <x v="2"/>
    <s v="Real"/>
    <s v="ML05EQ16TR01"/>
    <x v="0"/>
    <x v="7"/>
    <x v="4"/>
    <x v="2"/>
    <s v="ML05E16T1"/>
    <x v="1"/>
    <x v="10"/>
    <x v="195"/>
    <x v="0"/>
    <n v="385"/>
    <n v="20.66"/>
    <n v="0.72"/>
    <n v="83.49"/>
    <n v="6.6"/>
    <n v="13.842000000000001"/>
    <n v="12.371499999999999"/>
    <n v="60.11"/>
    <n v="50183.5"/>
    <x v="190"/>
    <x v="0"/>
    <x v="11"/>
    <n v="832.04262000000006"/>
    <n v="743.65086499999995"/>
    <n v="277.2"/>
    <n v="8320.4261999999999"/>
    <x v="1"/>
    <s v="REAL-PROY."/>
    <m/>
    <m/>
    <m/>
    <m/>
    <m/>
    <m/>
    <m/>
    <m/>
    <m/>
  </r>
  <r>
    <n v="10.514198933258202"/>
    <s v="99.- Cosecha 2013 - Real"/>
    <x v="2"/>
    <s v="Real"/>
    <s v="ML05EQ16TR02"/>
    <x v="0"/>
    <x v="7"/>
    <x v="4"/>
    <x v="3"/>
    <s v="ML05E16T2"/>
    <x v="0"/>
    <x v="8"/>
    <x v="196"/>
    <x v="0"/>
    <n v="319.80688421993699"/>
    <n v="22.37"/>
    <n v="22.369999999999902"/>
    <n v="145.54"/>
    <n v="13.84"/>
    <n v="14.5921568720794"/>
    <n v="13.142742523805399"/>
    <n v="3255.77"/>
    <n v="1144433.3899999999"/>
    <x v="159"/>
    <x v="0"/>
    <x v="7"/>
    <n v="47508.706579409998"/>
    <n v="42789.746826729999"/>
    <n v="7154.0799999999899"/>
    <n v="475087.0657941"/>
    <x v="1"/>
    <s v="REAL-PROY."/>
    <m/>
    <m/>
    <m/>
    <m/>
    <m/>
    <m/>
    <m/>
    <m/>
    <m/>
  </r>
  <r>
    <n v="10.499018538713194"/>
    <s v="99.- Cosecha 2013 - Real"/>
    <x v="2"/>
    <s v="Real"/>
    <s v="ML05EQ16TR03"/>
    <x v="0"/>
    <x v="7"/>
    <x v="4"/>
    <x v="1"/>
    <s v="ML05E16T3"/>
    <x v="0"/>
    <x v="8"/>
    <x v="25"/>
    <x v="0"/>
    <n v="319.345147219193"/>
    <n v="18.34"/>
    <n v="18.34"/>
    <n v="131.85"/>
    <n v="12.56"/>
    <n v="14.935938389397901"/>
    <n v="13.4858486822249"/>
    <n v="2418.2199999999998"/>
    <n v="638188.39"/>
    <x v="103"/>
    <x v="0"/>
    <x v="7"/>
    <n v="36118.384932009998"/>
    <n v="32611.749000330001"/>
    <n v="5856.78999999999"/>
    <n v="361183.84932009998"/>
    <x v="1"/>
    <s v="REAL-PROY."/>
    <m/>
    <m/>
    <m/>
    <m/>
    <m/>
    <m/>
    <m/>
    <m/>
    <m/>
  </r>
  <r>
    <n v="10.462355793732888"/>
    <s v="99.- Cosecha 2013 - Real"/>
    <x v="2"/>
    <s v="Real"/>
    <s v="ML05EQ16TR04"/>
    <x v="0"/>
    <x v="7"/>
    <x v="4"/>
    <x v="4"/>
    <s v="ML05E16T4"/>
    <x v="0"/>
    <x v="8"/>
    <x v="26"/>
    <x v="0"/>
    <n v="318.229988726042"/>
    <n v="17.739999999999998"/>
    <n v="17.739999999999998"/>
    <n v="141.16"/>
    <n v="13.49"/>
    <n v="14.874580382243"/>
    <n v="13.419609423462701"/>
    <n v="2504.14"/>
    <n v="501735.71"/>
    <x v="96"/>
    <x v="0"/>
    <x v="7"/>
    <n v="37248.031718389997"/>
    <n v="33604.580741669997"/>
    <n v="5645.4"/>
    <n v="372480.31718389899"/>
    <x v="1"/>
    <s v="REAL-PROY."/>
    <m/>
    <m/>
    <m/>
    <m/>
    <m/>
    <m/>
    <m/>
    <m/>
    <m/>
  </r>
  <r>
    <n v="10.250383199565501"/>
    <s v="99.- Cosecha 2013 - Real"/>
    <x v="2"/>
    <s v="Real"/>
    <s v="ML05EQ16TR05"/>
    <x v="0"/>
    <x v="7"/>
    <x v="4"/>
    <x v="5"/>
    <s v="ML05E16T5"/>
    <x v="0"/>
    <x v="8"/>
    <x v="197"/>
    <x v="0"/>
    <n v="311.78248898678402"/>
    <n v="18.16"/>
    <n v="18.16"/>
    <n v="129.11000000000001"/>
    <n v="12.6"/>
    <n v="15.1585218554658"/>
    <n v="13.682173068439701"/>
    <n v="2344.5739999999901"/>
    <n v="1011610.03"/>
    <x v="215"/>
    <x v="0"/>
    <x v="4"/>
    <n v="35540.276220756998"/>
    <n v="32078.867239764"/>
    <n v="5661.97"/>
    <n v="355402.76220756897"/>
    <x v="1"/>
    <s v="REAL-PROY."/>
    <m/>
    <m/>
    <m/>
    <m/>
    <m/>
    <m/>
    <m/>
    <m/>
    <m/>
  </r>
  <r>
    <n v="10.492631578947353"/>
    <s v="99.- Cosecha 2013 - Real"/>
    <x v="2"/>
    <s v="Real"/>
    <s v="ML05EQ16TR06"/>
    <x v="0"/>
    <x v="7"/>
    <x v="4"/>
    <x v="0"/>
    <s v="ML05E16T6"/>
    <x v="0"/>
    <x v="8"/>
    <x v="198"/>
    <x v="0"/>
    <n v="319.15087719298202"/>
    <n v="19.95"/>
    <n v="19.9499999999999"/>
    <n v="118.16"/>
    <n v="11.26"/>
    <n v="15.471531158646"/>
    <n v="13.9986257598864"/>
    <n v="2357.2600000000002"/>
    <n v="311244.09000000003"/>
    <x v="153"/>
    <x v="0"/>
    <x v="7"/>
    <n v="36470.421539030001"/>
    <n v="32998.40055875"/>
    <n v="6367.06"/>
    <n v="364704.21539030003"/>
    <x v="1"/>
    <s v="REAL-PROY."/>
    <m/>
    <m/>
    <m/>
    <m/>
    <m/>
    <m/>
    <m/>
    <m/>
    <m/>
  </r>
  <r>
    <n v="10.479828702628767"/>
    <s v="99.- Cosecha 2013 - Real"/>
    <x v="2"/>
    <s v="Real"/>
    <s v="ML05EQ16TR07"/>
    <x v="0"/>
    <x v="7"/>
    <x v="4"/>
    <x v="6"/>
    <s v="ML05E16T7"/>
    <x v="0"/>
    <x v="8"/>
    <x v="198"/>
    <x v="0"/>
    <n v="318.761456371625"/>
    <n v="17.899999999999999"/>
    <n v="15.93"/>
    <n v="140.54"/>
    <n v="13.41"/>
    <n v="15.210587875175801"/>
    <n v="13.7638793031315"/>
    <n v="2238.83"/>
    <n v="627791.5"/>
    <x v="96"/>
    <x v="0"/>
    <x v="7"/>
    <n v="34053.920452580001"/>
    <n v="30814.98590023"/>
    <n v="5077.87"/>
    <n v="340539.20452579902"/>
    <x v="1"/>
    <s v="REAL-PROY."/>
    <m/>
    <m/>
    <m/>
    <m/>
    <m/>
    <m/>
    <m/>
    <m/>
    <m/>
  </r>
  <r>
    <n v="11.464126277727551"/>
    <s v="99.- Cosecha 2013 - Real"/>
    <x v="2"/>
    <s v="Real"/>
    <s v="ML05EQ16TR07"/>
    <x v="0"/>
    <x v="7"/>
    <x v="4"/>
    <x v="6"/>
    <s v="ML05E16T7"/>
    <x v="0"/>
    <x v="8"/>
    <x v="198"/>
    <x v="0"/>
    <n v="348.700507614213"/>
    <n v="17.899999999999999"/>
    <n v="1.96999999999999"/>
    <n v="143.13"/>
    <n v="12.48"/>
    <n v="15.759172932330801"/>
    <n v="14.2866578947368"/>
    <n v="281.95999999999998"/>
    <n v="201507.61"/>
    <x v="101"/>
    <x v="0"/>
    <x v="4"/>
    <n v="4443.4564"/>
    <n v="4028.2660599999999"/>
    <n v="686.93999999999903"/>
    <n v="44434.563999999998"/>
    <x v="1"/>
    <s v="REAL-PROY."/>
    <m/>
    <m/>
    <m/>
    <m/>
    <m/>
    <m/>
    <m/>
    <m/>
    <m/>
  </r>
  <r>
    <n v="10.537775171899137"/>
    <s v="99.- Cosecha 2013 - Real"/>
    <x v="2"/>
    <s v="Real"/>
    <s v="ML05EQ17TR02"/>
    <x v="0"/>
    <x v="7"/>
    <x v="11"/>
    <x v="3"/>
    <s v="ML05E17T2"/>
    <x v="0"/>
    <x v="8"/>
    <x v="4"/>
    <x v="0"/>
    <n v="320.52399481193203"/>
    <n v="15.42"/>
    <n v="15.4199999999999"/>
    <n v="135.22"/>
    <n v="12.83"/>
    <n v="15.3206929202547"/>
    <n v="13.8501071923036"/>
    <n v="2085.14"/>
    <n v="473334.9"/>
    <x v="216"/>
    <x v="0"/>
    <x v="4"/>
    <n v="31945.789635739999"/>
    <n v="28879.412510959999"/>
    <n v="4942.4799999999996"/>
    <n v="319457.89635739999"/>
    <x v="1"/>
    <s v="REAL-PROY."/>
    <m/>
    <m/>
    <m/>
    <m/>
    <m/>
    <m/>
    <m/>
    <m/>
    <m/>
  </r>
  <r>
    <n v="10.458148801617666"/>
    <s v="99.- Cosecha 2013 - Real"/>
    <x v="2"/>
    <s v="Real"/>
    <s v="ML05EQ17TR03"/>
    <x v="0"/>
    <x v="7"/>
    <x v="11"/>
    <x v="1"/>
    <s v="ML05E17T3"/>
    <x v="0"/>
    <x v="8"/>
    <x v="18"/>
    <x v="0"/>
    <n v="318.10202604920403"/>
    <n v="13.82"/>
    <n v="13.82"/>
    <n v="123.45"/>
    <n v="11.8"/>
    <n v="15.434435855964701"/>
    <n v="13.987299063788299"/>
    <n v="1706.11"/>
    <n v="698145.14"/>
    <x v="101"/>
    <x v="0"/>
    <x v="4"/>
    <n v="26332.8453582199"/>
    <n v="23863.870805719998"/>
    <n v="4396.17"/>
    <n v="263328.45358219999"/>
    <x v="1"/>
    <s v="REAL-PROY."/>
    <m/>
    <m/>
    <m/>
    <m/>
    <m/>
    <m/>
    <m/>
    <m/>
    <m/>
  </r>
  <r>
    <n v="10.245782070586488"/>
    <s v="99.- Cosecha 2013 - Real"/>
    <x v="2"/>
    <s v="Real"/>
    <s v="ML05EQ17TR04"/>
    <x v="0"/>
    <x v="7"/>
    <x v="11"/>
    <x v="4"/>
    <s v="ML05E17T4"/>
    <x v="0"/>
    <x v="8"/>
    <x v="14"/>
    <x v="0"/>
    <n v="311.642537980339"/>
    <n v="11.19"/>
    <n v="11.19"/>
    <n v="121.97"/>
    <n v="11.9"/>
    <n v="15.3748360118491"/>
    <n v="13.919478003814399"/>
    <n v="1364.8229999999901"/>
    <n v="412954.14"/>
    <x v="156"/>
    <x v="0"/>
    <x v="4"/>
    <n v="20983.929810199999"/>
    <n v="18997.623727599999"/>
    <n v="3487.28"/>
    <n v="209839.298102"/>
    <x v="1"/>
    <s v="REAL-PROY."/>
    <m/>
    <m/>
    <m/>
    <m/>
    <m/>
    <m/>
    <m/>
    <m/>
    <m/>
  </r>
  <r>
    <n v="11.095473844428396"/>
    <s v="99.- Cosecha 2013 - Real"/>
    <x v="2"/>
    <s v="Real"/>
    <s v="ML05EQ17TR05"/>
    <x v="0"/>
    <x v="7"/>
    <x v="11"/>
    <x v="5"/>
    <s v="ML05E17T5"/>
    <x v="0"/>
    <x v="8"/>
    <x v="189"/>
    <x v="0"/>
    <n v="337.48732943469702"/>
    <n v="15.39"/>
    <n v="15.39"/>
    <n v="128.16"/>
    <n v="11.55"/>
    <n v="15.0518965575486"/>
    <n v="13.524863450239"/>
    <n v="1972.33"/>
    <n v="845915.96"/>
    <x v="217"/>
    <x v="0"/>
    <x v="2"/>
    <n v="29687.307137349999"/>
    <n v="26675.493928809901"/>
    <n v="5193.93"/>
    <n v="296873.07137349999"/>
    <x v="1"/>
    <s v="REAL-PROY."/>
    <m/>
    <m/>
    <m/>
    <m/>
    <m/>
    <m/>
    <m/>
    <m/>
    <m/>
  </r>
  <r>
    <n v="11.164124149588702"/>
    <s v="99.- Cosecha 2013 - Real"/>
    <x v="2"/>
    <s v="Real"/>
    <s v="ML05EQ17TR06"/>
    <x v="0"/>
    <x v="7"/>
    <x v="11"/>
    <x v="0"/>
    <s v="ML05E17T6"/>
    <x v="0"/>
    <x v="8"/>
    <x v="101"/>
    <x v="0"/>
    <n v="339.57544288332298"/>
    <n v="16.37"/>
    <n v="16.369999999999902"/>
    <n v="119.37"/>
    <n v="10.69"/>
    <n v="14.5075242523182"/>
    <n v="13.006177003715299"/>
    <n v="1954.04"/>
    <n v="769252.06"/>
    <x v="217"/>
    <x v="0"/>
    <x v="2"/>
    <n v="28348.28269"/>
    <n v="25414.59011234"/>
    <n v="5558.8499999999904"/>
    <n v="283482.82689999999"/>
    <x v="1"/>
    <s v="REAL-PROY."/>
    <m/>
    <m/>
    <m/>
    <m/>
    <m/>
    <m/>
    <m/>
    <m/>
    <m/>
  </r>
  <r>
    <n v="12.049911173602981"/>
    <s v="99.- Cosecha 2013 - Real"/>
    <x v="2"/>
    <s v="Real"/>
    <s v="ML06EQ18TR04"/>
    <x v="0"/>
    <x v="8"/>
    <x v="18"/>
    <x v="4"/>
    <s v="ML06E18T4"/>
    <x v="1"/>
    <x v="2"/>
    <x v="199"/>
    <x v="0"/>
    <n v="366.518131530424"/>
    <n v="16.27"/>
    <n v="16.27"/>
    <n v="126.46"/>
    <n v="10.49"/>
    <n v="14.2265078883526"/>
    <n v="12.763734723015199"/>
    <n v="2057.5500000000002"/>
    <n v="649607.84"/>
    <x v="218"/>
    <x v="0"/>
    <x v="11"/>
    <n v="29271.7513056799"/>
    <n v="26262.02237934"/>
    <n v="5963.25"/>
    <n v="292717.5130568"/>
    <x v="1"/>
    <s v="REAL-PROY."/>
    <m/>
    <m/>
    <m/>
    <m/>
    <m/>
    <m/>
    <m/>
    <m/>
    <m/>
  </r>
  <r>
    <n v="12.163118312341938"/>
    <s v="99.- Cosecha 2013 - Real"/>
    <x v="2"/>
    <s v="Real"/>
    <s v="ML06EQ18TR05"/>
    <x v="0"/>
    <x v="8"/>
    <x v="18"/>
    <x v="5"/>
    <s v="ML06E18T5"/>
    <x v="1"/>
    <x v="2"/>
    <x v="200"/>
    <x v="0"/>
    <n v="369.96151533373398"/>
    <n v="16.63"/>
    <n v="16.63"/>
    <n v="112.34"/>
    <n v="9.24"/>
    <n v="14.1974192333697"/>
    <n v="12.723591258226801"/>
    <n v="1868.28"/>
    <n v="703787.33"/>
    <x v="219"/>
    <x v="0"/>
    <x v="11"/>
    <n v="26524.75440532"/>
    <n v="23771.231075919899"/>
    <n v="6152.45999999999"/>
    <n v="265247.54405319999"/>
    <x v="1"/>
    <s v="REAL-PROY."/>
    <m/>
    <m/>
    <m/>
    <m/>
    <m/>
    <m/>
    <m/>
    <m/>
    <m/>
  </r>
  <r>
    <n v="12.000631839442553"/>
    <s v="99.- Cosecha 2013 - Real"/>
    <x v="2"/>
    <s v="Real"/>
    <s v="ML06EQ18TR06"/>
    <x v="0"/>
    <x v="8"/>
    <x v="18"/>
    <x v="0"/>
    <s v="ML06E18T6"/>
    <x v="1"/>
    <x v="2"/>
    <x v="201"/>
    <x v="0"/>
    <n v="365.01921844971099"/>
    <n v="15.61"/>
    <n v="15.61"/>
    <n v="123.22"/>
    <n v="10.27"/>
    <n v="14.457641536438"/>
    <n v="13.0009373363694"/>
    <n v="1923.54"/>
    <n v="810591.56"/>
    <x v="218"/>
    <x v="0"/>
    <x v="11"/>
    <n v="27809.851800999899"/>
    <n v="25007.8230039999"/>
    <n v="5697.95"/>
    <n v="278098.51801"/>
    <x v="1"/>
    <s v="REAL-PROY."/>
    <m/>
    <m/>
    <m/>
    <m/>
    <m/>
    <m/>
    <m/>
    <m/>
    <m/>
  </r>
  <r>
    <n v="10.33106634434594"/>
    <s v="99.- Cosecha 2013 - Real"/>
    <x v="2"/>
    <s v="Real"/>
    <s v="ML06EQ19TR01"/>
    <x v="0"/>
    <x v="8"/>
    <x v="19"/>
    <x v="2"/>
    <s v="ML06E19T1"/>
    <x v="0"/>
    <x v="9"/>
    <x v="14"/>
    <x v="0"/>
    <n v="314.23660130718901"/>
    <n v="15.3"/>
    <n v="15.3"/>
    <n v="145.05000000000001"/>
    <n v="14.04"/>
    <n v="15.5012472238018"/>
    <n v="14.056889125685201"/>
    <n v="2219.2579999999998"/>
    <n v="809527.99"/>
    <x v="216"/>
    <x v="0"/>
    <x v="4"/>
    <n v="34401.266911400002"/>
    <n v="31195.86364729"/>
    <n v="4807.82"/>
    <n v="344012.66911399999"/>
    <x v="1"/>
    <s v="REAL-PROY."/>
    <m/>
    <m/>
    <m/>
    <m/>
    <m/>
    <m/>
    <m/>
    <m/>
    <m/>
  </r>
  <r>
    <n v="10.448006542629305"/>
    <s v="99.- Cosecha 2013 - Real"/>
    <x v="2"/>
    <s v="Real"/>
    <s v="ML06EQ19TR02"/>
    <x v="0"/>
    <x v="8"/>
    <x v="19"/>
    <x v="3"/>
    <s v="ML06E19T2"/>
    <x v="0"/>
    <x v="9"/>
    <x v="202"/>
    <x v="0"/>
    <n v="317.79353233830801"/>
    <n v="12.06"/>
    <n v="12.059999999999899"/>
    <n v="156.25"/>
    <n v="14.95"/>
    <n v="15.6343710905211"/>
    <n v="14.142083049817"/>
    <n v="1884.355"/>
    <n v="732910.62"/>
    <x v="89"/>
    <x v="0"/>
    <x v="4"/>
    <n v="29460.705336278999"/>
    <n v="26648.704905338"/>
    <n v="3832.5899999999901"/>
    <n v="294607.05336278997"/>
    <x v="1"/>
    <s v="REAL-PROY."/>
    <m/>
    <m/>
    <m/>
    <m/>
    <m/>
    <m/>
    <m/>
    <m/>
    <m/>
  </r>
  <r>
    <n v="10.483411205654566"/>
    <s v="99.- Cosecha 2013 - Real"/>
    <x v="2"/>
    <s v="Real"/>
    <s v="ML06EQ19TR03"/>
    <x v="0"/>
    <x v="8"/>
    <x v="19"/>
    <x v="1"/>
    <s v="ML06E19T3"/>
    <x v="0"/>
    <x v="9"/>
    <x v="202"/>
    <x v="0"/>
    <n v="318.87042417199302"/>
    <n v="17.21"/>
    <n v="17.21"/>
    <n v="130.61000000000001"/>
    <n v="12.46"/>
    <n v="15.7489214712971"/>
    <n v="14.253532788758999"/>
    <n v="2247.86"/>
    <n v="735533.92"/>
    <x v="89"/>
    <x v="0"/>
    <x v="4"/>
    <n v="35401.370618469999"/>
    <n v="32039.946214539999"/>
    <n v="5487.76"/>
    <n v="354013.70618469903"/>
    <x v="1"/>
    <s v="REAL-PROY."/>
    <m/>
    <m/>
    <m/>
    <m/>
    <m/>
    <m/>
    <m/>
    <m/>
    <m/>
  </r>
  <r>
    <n v="14.464166673385611"/>
    <s v="99.- Cosecha 2013 - Real"/>
    <x v="2"/>
    <s v="Real"/>
    <s v="ML06EQ19TR04"/>
    <x v="0"/>
    <x v="8"/>
    <x v="19"/>
    <x v="4"/>
    <s v="ML06E19T4"/>
    <x v="1"/>
    <x v="2"/>
    <x v="203"/>
    <x v="0"/>
    <n v="439.95173631547902"/>
    <n v="16.989999999999998"/>
    <n v="16.989999999999998"/>
    <n v="135.05000000000001"/>
    <n v="9.34"/>
    <n v="14.9913285419973"/>
    <n v="13.483972389027"/>
    <n v="2294.4319999999998"/>
    <n v="1039275.74"/>
    <x v="173"/>
    <x v="0"/>
    <x v="10"/>
    <n v="34396.583929271997"/>
    <n v="30938.057736499999"/>
    <n v="7474.78"/>
    <n v="343965.83929271903"/>
    <x v="1"/>
    <s v="REAL-PROY."/>
    <m/>
    <m/>
    <m/>
    <m/>
    <m/>
    <m/>
    <m/>
    <m/>
    <m/>
  </r>
  <r>
    <n v="14.344689990931199"/>
    <s v="99.- Cosecha 2013 - Real"/>
    <x v="2"/>
    <s v="Real"/>
    <s v="ML06EQ19TR05"/>
    <x v="0"/>
    <x v="8"/>
    <x v="19"/>
    <x v="5"/>
    <s v="ML06E19T5"/>
    <x v="1"/>
    <x v="2"/>
    <x v="204"/>
    <x v="0"/>
    <n v="436.31765389082398"/>
    <n v="17.22"/>
    <n v="17.22"/>
    <n v="139.47999999999999"/>
    <n v="9.7200000000000006"/>
    <n v="14.592034854895999"/>
    <n v="13.089896923295001"/>
    <n v="2401.8780000000002"/>
    <n v="827797.01"/>
    <x v="220"/>
    <x v="0"/>
    <x v="10"/>
    <n v="35048.287493208001"/>
    <n v="31440.335442330001"/>
    <n v="7513.3899999999903"/>
    <n v="350482.87493207998"/>
    <x v="1"/>
    <s v="REAL-PROY."/>
    <m/>
    <m/>
    <m/>
    <m/>
    <m/>
    <m/>
    <m/>
    <m/>
    <m/>
  </r>
  <r>
    <n v="14.139068149611353"/>
    <s v="99.- Cosecha 2013 - Real"/>
    <x v="2"/>
    <s v="Real"/>
    <s v="ML06EQ19TR06"/>
    <x v="0"/>
    <x v="8"/>
    <x v="19"/>
    <x v="0"/>
    <s v="ML06E19T6"/>
    <x v="1"/>
    <x v="2"/>
    <x v="205"/>
    <x v="0"/>
    <n v="430.063322884012"/>
    <n v="15.9499999999999"/>
    <n v="15.95"/>
    <n v="141.65"/>
    <n v="10.02"/>
    <n v="14.748316620672099"/>
    <n v="13.261742199550699"/>
    <n v="2259.3249999999998"/>
    <n v="1074763.5900000001"/>
    <x v="100"/>
    <x v="0"/>
    <x v="10"/>
    <n v="33321.240448999997"/>
    <n v="29962.585695000002"/>
    <n v="6859.51"/>
    <n v="333212.40448999999"/>
    <x v="1"/>
    <s v="REAL-PROY."/>
    <m/>
    <m/>
    <m/>
    <m/>
    <m/>
    <m/>
    <m/>
    <m/>
    <m/>
  </r>
  <r>
    <n v="10.512792413066368"/>
    <s v="99.- Cosecha 2013 - Real"/>
    <x v="2"/>
    <s v="Real"/>
    <s v="ML06EQ20TR01"/>
    <x v="0"/>
    <x v="8"/>
    <x v="20"/>
    <x v="2"/>
    <s v="ML06E20T1"/>
    <x v="0"/>
    <x v="9"/>
    <x v="206"/>
    <x v="0"/>
    <n v="319.76410256410202"/>
    <n v="15.6"/>
    <n v="15.6"/>
    <n v="146.77000000000001"/>
    <n v="13.96"/>
    <n v="15.2496255339711"/>
    <n v="13.805102407627301"/>
    <n v="2289.665"/>
    <n v="692387.39"/>
    <x v="189"/>
    <x v="0"/>
    <x v="6"/>
    <n v="34916.533848239997"/>
    <n v="31609.059804159999"/>
    <n v="4988.32"/>
    <n v="349165.33848239999"/>
    <x v="1"/>
    <s v="REAL-PROY."/>
    <m/>
    <m/>
    <m/>
    <m/>
    <m/>
    <m/>
    <m/>
    <m/>
    <m/>
  </r>
  <r>
    <n v="14.20415357546811"/>
    <s v="99.- Cosecha 2013 - Real"/>
    <x v="2"/>
    <s v="Real"/>
    <s v="ML06EQ20TR02"/>
    <x v="0"/>
    <x v="8"/>
    <x v="20"/>
    <x v="3"/>
    <s v="ML06E20T2"/>
    <x v="1"/>
    <x v="2"/>
    <x v="56"/>
    <x v="0"/>
    <n v="432.043004587155"/>
    <n v="17.440000000000001"/>
    <n v="17.440000000000001"/>
    <n v="151.25"/>
    <n v="10.65"/>
    <n v="14.852266802276199"/>
    <n v="13.359261012541101"/>
    <n v="2637.72"/>
    <n v="1007566.25"/>
    <x v="221"/>
    <x v="0"/>
    <x v="10"/>
    <n v="39176.121189699901"/>
    <n v="35237.989957999998"/>
    <n v="7534.83"/>
    <n v="391761.21189699997"/>
    <x v="1"/>
    <s v="REAL-PROY."/>
    <m/>
    <m/>
    <m/>
    <m/>
    <m/>
    <m/>
    <m/>
    <m/>
    <m/>
  </r>
  <r>
    <n v="14.21263502765839"/>
    <s v="99.- Cosecha 2013 - Real"/>
    <x v="2"/>
    <s v="Real"/>
    <s v="ML06EQ20TR03"/>
    <x v="0"/>
    <x v="8"/>
    <x v="20"/>
    <x v="1"/>
    <s v="ML06E20T3"/>
    <x v="1"/>
    <x v="2"/>
    <x v="204"/>
    <x v="0"/>
    <n v="432.30098209127601"/>
    <n v="17.309999999999999"/>
    <n v="17.309999999999999"/>
    <n v="148.26"/>
    <n v="10.43"/>
    <n v="15.000807489516101"/>
    <n v="13.4984648830916"/>
    <n v="2566.3180000000002"/>
    <n v="635200.48"/>
    <x v="100"/>
    <x v="0"/>
    <x v="10"/>
    <n v="38496.84227488"/>
    <n v="34641.353401845998"/>
    <n v="7483.13"/>
    <n v="384968.42274880002"/>
    <x v="1"/>
    <s v="REAL-PROY."/>
    <m/>
    <m/>
    <m/>
    <m/>
    <m/>
    <m/>
    <m/>
    <m/>
    <m/>
  </r>
  <r>
    <n v="14.058384506376921"/>
    <s v="99.- Cosecha 2013 - Real"/>
    <x v="2"/>
    <s v="Real"/>
    <s v="ML06EQ20TR04"/>
    <x v="0"/>
    <x v="8"/>
    <x v="20"/>
    <x v="4"/>
    <s v="ML06E20T4"/>
    <x v="1"/>
    <x v="2"/>
    <x v="207"/>
    <x v="0"/>
    <n v="427.60919540229798"/>
    <n v="16.53"/>
    <n v="16.53"/>
    <n v="112.18"/>
    <n v="7.98"/>
    <n v="15.1502783999246"/>
    <n v="13.6465694332752"/>
    <n v="1854.327"/>
    <n v="696514.59"/>
    <x v="136"/>
    <x v="0"/>
    <x v="10"/>
    <n v="28093.570294497"/>
    <n v="25305.202157496999"/>
    <n v="7068.38"/>
    <n v="280935.70294496999"/>
    <x v="1"/>
    <s v="REAL-PROY."/>
    <m/>
    <m/>
    <m/>
    <m/>
    <m/>
    <m/>
    <m/>
    <m/>
    <m/>
  </r>
  <r>
    <n v="10.62745003958446"/>
    <s v="99.- Cosecha 2013 - Real"/>
    <x v="2"/>
    <s v="Real"/>
    <s v="ML06EQ20TR05"/>
    <x v="0"/>
    <x v="8"/>
    <x v="20"/>
    <x v="5"/>
    <s v="ML06E20T5"/>
    <x v="0"/>
    <x v="9"/>
    <x v="208"/>
    <x v="0"/>
    <n v="323.25160537069399"/>
    <n v="17.13"/>
    <n v="17.13"/>
    <n v="150.15"/>
    <n v="14.13"/>
    <n v="14.692561142675499"/>
    <n v="13.2621218616402"/>
    <n v="2571.9899999999998"/>
    <n v="958059.8"/>
    <x v="188"/>
    <x v="0"/>
    <x v="6"/>
    <n v="37789.120333350002"/>
    <n v="34110.044806919999"/>
    <n v="5537.3"/>
    <n v="377891.20333350002"/>
    <x v="1"/>
    <s v="REAL-PROY."/>
    <m/>
    <m/>
    <m/>
    <m/>
    <m/>
    <m/>
    <m/>
    <m/>
    <m/>
  </r>
  <r>
    <n v="10.563218611302444"/>
    <s v="99.- Cosecha 2013 - Real"/>
    <x v="2"/>
    <s v="Real"/>
    <s v="ML06EQ20TR06"/>
    <x v="0"/>
    <x v="8"/>
    <x v="20"/>
    <x v="0"/>
    <s v="ML06E20T6"/>
    <x v="0"/>
    <x v="9"/>
    <x v="209"/>
    <x v="0"/>
    <n v="321.29789942711602"/>
    <n v="15.71"/>
    <n v="15.71"/>
    <n v="152.52000000000001"/>
    <n v="14.44"/>
    <n v="14.9175287736733"/>
    <n v="13.4662079085661"/>
    <n v="2396.0499999999902"/>
    <n v="914263.88"/>
    <x v="188"/>
    <x v="0"/>
    <x v="6"/>
    <n v="35743.144818159999"/>
    <n v="32265.707459320001"/>
    <n v="5047.59"/>
    <n v="357431.44818160002"/>
    <x v="1"/>
    <s v="REAL-PROY."/>
    <m/>
    <m/>
    <m/>
    <m/>
    <m/>
    <m/>
    <m/>
    <m/>
    <m/>
  </r>
  <r>
    <n v="12.564875918205272"/>
    <s v="99.- Cosecha 2013 - Real"/>
    <x v="2"/>
    <s v="Real"/>
    <s v="ML06EQ21TR01"/>
    <x v="0"/>
    <x v="8"/>
    <x v="12"/>
    <x v="2"/>
    <s v="ML06E21T1"/>
    <x v="1"/>
    <x v="2"/>
    <x v="210"/>
    <x v="0"/>
    <n v="382.18164251207702"/>
    <n v="21.52"/>
    <n v="20.7"/>
    <n v="126.63"/>
    <n v="10.08"/>
    <n v="14.4214442549243"/>
    <n v="12.9507451340966"/>
    <n v="2621.17"/>
    <n v="838449.73"/>
    <x v="219"/>
    <x v="0"/>
    <x v="11"/>
    <n v="37801.057037679901"/>
    <n v="33946.104623139901"/>
    <n v="7911.16"/>
    <n v="378010.57037679898"/>
    <x v="1"/>
    <s v="REAL-PROY."/>
    <m/>
    <m/>
    <m/>
    <m/>
    <m/>
    <m/>
    <m/>
    <m/>
    <m/>
  </r>
  <r>
    <n v="13.019178082191781"/>
    <s v="99.- Cosecha 2013 - Real"/>
    <x v="2"/>
    <s v="Real"/>
    <s v="ML06EQ21TR01"/>
    <x v="0"/>
    <x v="8"/>
    <x v="12"/>
    <x v="2"/>
    <s v="ML06E21T1"/>
    <x v="1"/>
    <x v="2"/>
    <x v="210"/>
    <x v="0"/>
    <n v="396"/>
    <n v="21.52"/>
    <n v="0.82"/>
    <n v="124.29"/>
    <n v="9.5500000000000007"/>
    <n v="14.78425"/>
    <n v="13.279"/>
    <n v="101.92"/>
    <n v="126679.1"/>
    <x v="164"/>
    <x v="0"/>
    <x v="8"/>
    <n v="1506.8107600000001"/>
    <n v="1353.3956800000001"/>
    <n v="324.719999999999"/>
    <n v="15068.107599999899"/>
    <x v="1"/>
    <s v="REAL-PROY."/>
    <m/>
    <m/>
    <m/>
    <m/>
    <m/>
    <m/>
    <m/>
    <m/>
    <m/>
  </r>
  <r>
    <n v="12.615773826872614"/>
    <s v="99.- Cosecha 2013 - Real"/>
    <x v="2"/>
    <s v="Real"/>
    <s v="ML06EQ21TR02"/>
    <x v="0"/>
    <x v="8"/>
    <x v="12"/>
    <x v="3"/>
    <s v="ML06E21T2"/>
    <x v="1"/>
    <x v="2"/>
    <x v="173"/>
    <x v="0"/>
    <n v="383.72978723404202"/>
    <n v="18.8"/>
    <n v="18.8"/>
    <n v="145.81"/>
    <n v="11.56"/>
    <n v="14.0492996563978"/>
    <n v="12.603307808781199"/>
    <n v="2741.31"/>
    <n v="805508.38"/>
    <x v="180"/>
    <x v="0"/>
    <x v="11"/>
    <n v="38513.485641079998"/>
    <n v="34549.573729289899"/>
    <n v="7214.12"/>
    <n v="385134.85641080001"/>
    <x v="1"/>
    <s v="REAL-PROY."/>
    <m/>
    <m/>
    <m/>
    <m/>
    <m/>
    <m/>
    <m/>
    <m/>
    <m/>
  </r>
  <r>
    <n v="12.594541568860997"/>
    <s v="99.- Cosecha 2013 - Real"/>
    <x v="2"/>
    <s v="Real"/>
    <s v="ML06EQ21TR03"/>
    <x v="0"/>
    <x v="8"/>
    <x v="12"/>
    <x v="1"/>
    <s v="ML06E21T3"/>
    <x v="1"/>
    <x v="2"/>
    <x v="211"/>
    <x v="0"/>
    <n v="383.08397271952202"/>
    <n v="23.83"/>
    <n v="23.46"/>
    <n v="130"/>
    <n v="10.32"/>
    <n v="14.2716270289565"/>
    <n v="12.8218856517998"/>
    <n v="3049.74"/>
    <n v="661903.27"/>
    <x v="163"/>
    <x v="0"/>
    <x v="11"/>
    <n v="43524.751815290001"/>
    <n v="39103.417547719997"/>
    <n v="8987.15"/>
    <n v="435247.51815289998"/>
    <x v="1"/>
    <s v="REAL-PROY."/>
    <m/>
    <m/>
    <m/>
    <m/>
    <m/>
    <m/>
    <m/>
    <m/>
    <m/>
  </r>
  <r>
    <n v="12.953424657534246"/>
    <s v="99.- Cosecha 2013 - Real"/>
    <x v="2"/>
    <s v="Real"/>
    <s v="ML06EQ21TR03"/>
    <x v="0"/>
    <x v="8"/>
    <x v="12"/>
    <x v="1"/>
    <s v="ML06E21T3"/>
    <x v="1"/>
    <x v="2"/>
    <x v="211"/>
    <x v="0"/>
    <n v="394"/>
    <n v="23.83"/>
    <n v="0.37"/>
    <n v="133.27000000000001"/>
    <n v="10.29"/>
    <n v="14.677499999999901"/>
    <n v="13.2445"/>
    <n v="49.31"/>
    <n v="65715.570000000007"/>
    <x v="164"/>
    <x v="0"/>
    <x v="8"/>
    <n v="723.747525"/>
    <n v="653.08629499999995"/>
    <n v="145.78"/>
    <n v="7237.4752500000004"/>
    <x v="1"/>
    <s v="REAL-PROY."/>
    <m/>
    <m/>
    <m/>
    <m/>
    <m/>
    <m/>
    <m/>
    <m/>
    <m/>
  </r>
  <r>
    <n v="12.523062114344384"/>
    <s v="99.- Cosecha 2013 - Real"/>
    <x v="2"/>
    <s v="Real"/>
    <s v="ML06EQ21TR04"/>
    <x v="0"/>
    <x v="8"/>
    <x v="12"/>
    <x v="4"/>
    <s v="ML06E21T4"/>
    <x v="1"/>
    <x v="2"/>
    <x v="212"/>
    <x v="0"/>
    <n v="380.909805977975"/>
    <n v="19.07"/>
    <n v="19.07"/>
    <n v="140.72999999999999"/>
    <n v="11.24"/>
    <n v="13.720327015068399"/>
    <n v="12.254677127708799"/>
    <n v="2683.7599999999902"/>
    <n v="981453.99"/>
    <x v="180"/>
    <x v="0"/>
    <x v="11"/>
    <n v="36822.06482996"/>
    <n v="32888.612288259901"/>
    <n v="7263.95"/>
    <n v="368220.6482996"/>
    <x v="1"/>
    <s v="REAL-PROY."/>
    <m/>
    <m/>
    <m/>
    <m/>
    <m/>
    <m/>
    <m/>
    <m/>
    <m/>
  </r>
  <r>
    <n v="12.442996924797303"/>
    <s v="99.- Cosecha 2013 - Real"/>
    <x v="2"/>
    <s v="Real"/>
    <s v="ML06EQ21TR05"/>
    <x v="0"/>
    <x v="8"/>
    <x v="12"/>
    <x v="5"/>
    <s v="ML06E21T5"/>
    <x v="1"/>
    <x v="2"/>
    <x v="130"/>
    <x v="0"/>
    <n v="378.47448979591798"/>
    <n v="19.600000000000001"/>
    <n v="19.600000000000001"/>
    <n v="124.13"/>
    <n v="9.98"/>
    <n v="14.3935149508315"/>
    <n v="12.895857739060199"/>
    <n v="2432.8599999999901"/>
    <n v="1007018.43"/>
    <x v="222"/>
    <x v="0"/>
    <x v="11"/>
    <n v="35017.406783279999"/>
    <n v="31373.8164590499"/>
    <n v="7418.1"/>
    <n v="350174.06783279998"/>
    <x v="1"/>
    <s v="REAL-PROY."/>
    <m/>
    <m/>
    <m/>
    <m/>
    <m/>
    <m/>
    <m/>
    <m/>
    <m/>
  </r>
  <r>
    <n v="11.029949298124407"/>
    <s v="99.- Cosecha 2013 - Real"/>
    <x v="2"/>
    <s v="Real"/>
    <s v="ML06EQ22TR01"/>
    <x v="0"/>
    <x v="8"/>
    <x v="21"/>
    <x v="2"/>
    <s v="ML06E22T1"/>
    <x v="0"/>
    <x v="9"/>
    <x v="92"/>
    <x v="0"/>
    <n v="335.49429115128402"/>
    <n v="21.02"/>
    <n v="21.02"/>
    <n v="137.16999999999999"/>
    <n v="12.44"/>
    <n v="15.271671989719399"/>
    <n v="13.8042482526768"/>
    <n v="2883.3029999999999"/>
    <n v="563279.48"/>
    <x v="189"/>
    <x v="0"/>
    <x v="6"/>
    <n v="44032.857662973998"/>
    <n v="39801.830399687999"/>
    <n v="7052.09"/>
    <n v="440328.57662974001"/>
    <x v="1"/>
    <s v="REAL-PROY."/>
    <m/>
    <m/>
    <m/>
    <m/>
    <m/>
    <m/>
    <m/>
    <m/>
    <m/>
  </r>
  <r>
    <n v="11.161450897163803"/>
    <s v="99.- Cosecha 2013 - Real"/>
    <x v="2"/>
    <s v="Real"/>
    <s v="ML06EQ22TR02"/>
    <x v="0"/>
    <x v="8"/>
    <x v="21"/>
    <x v="3"/>
    <s v="ML06E22T2"/>
    <x v="0"/>
    <x v="9"/>
    <x v="169"/>
    <x v="0"/>
    <n v="339.49413145539899"/>
    <n v="25.56"/>
    <n v="25.56"/>
    <n v="141.34"/>
    <n v="12.66"/>
    <n v="14.8920525951321"/>
    <n v="13.4394954947836"/>
    <n v="3612.71"/>
    <n v="1273420.52"/>
    <x v="109"/>
    <x v="0"/>
    <x v="6"/>
    <n v="53800.667330960001"/>
    <n v="48552.999768959999"/>
    <n v="8677.4699999999993"/>
    <n v="538006.67330959998"/>
    <x v="1"/>
    <s v="REAL-PROY."/>
    <m/>
    <m/>
    <m/>
    <m/>
    <m/>
    <m/>
    <m/>
    <m/>
    <m/>
  </r>
  <r>
    <n v="11.090448123479277"/>
    <s v="99.- Cosecha 2013 - Real"/>
    <x v="2"/>
    <s v="Real"/>
    <s v="ML06EQ22TR03"/>
    <x v="0"/>
    <x v="8"/>
    <x v="21"/>
    <x v="1"/>
    <s v="ML06E22T3"/>
    <x v="0"/>
    <x v="9"/>
    <x v="169"/>
    <x v="0"/>
    <n v="337.33446375582798"/>
    <n v="23.59"/>
    <n v="23.59"/>
    <n v="143.36000000000001"/>
    <n v="12.93"/>
    <n v="15.083216271324"/>
    <n v="13.6243284029114"/>
    <n v="3381.86"/>
    <n v="1209464.9099999999"/>
    <x v="223"/>
    <x v="0"/>
    <x v="6"/>
    <n v="51009.325779339997"/>
    <n v="46075.571252670001"/>
    <n v="7957.72"/>
    <n v="510093.25779339898"/>
    <x v="1"/>
    <s v="REAL-PROY."/>
    <m/>
    <m/>
    <m/>
    <m/>
    <m/>
    <m/>
    <m/>
    <m/>
    <m/>
  </r>
  <r>
    <n v="10.942826486212503"/>
    <s v="99.- Cosecha 2013 - Real"/>
    <x v="2"/>
    <s v="Real"/>
    <s v="ML06EQ22TR04"/>
    <x v="0"/>
    <x v="8"/>
    <x v="21"/>
    <x v="4"/>
    <s v="ML06E22T4"/>
    <x v="0"/>
    <x v="9"/>
    <x v="213"/>
    <x v="0"/>
    <n v="332.84430562229699"/>
    <n v="20.81"/>
    <n v="20.81"/>
    <n v="121.59"/>
    <n v="11.11"/>
    <n v="14.7764043705721"/>
    <n v="13.3265255330749"/>
    <n v="2530.2820000000002"/>
    <n v="506836"/>
    <x v="224"/>
    <x v="0"/>
    <x v="6"/>
    <n v="37388.470003579998"/>
    <n v="33719.86767888"/>
    <n v="6926.49"/>
    <n v="373884.70003579999"/>
    <x v="1"/>
    <s v="REAL-PROY."/>
    <m/>
    <m/>
    <m/>
    <m/>
    <m/>
    <m/>
    <m/>
    <m/>
    <m/>
  </r>
  <r>
    <n v="10.997007911702202"/>
    <s v="99.- Cosecha 2013 - Real"/>
    <x v="2"/>
    <s v="Real"/>
    <s v="ML06EQ22TR05"/>
    <x v="0"/>
    <x v="8"/>
    <x v="21"/>
    <x v="5"/>
    <s v="ML06E22T5"/>
    <x v="0"/>
    <x v="9"/>
    <x v="214"/>
    <x v="0"/>
    <n v="334.49232398094199"/>
    <n v="18.89"/>
    <n v="18.89"/>
    <n v="152.30000000000001"/>
    <n v="13.85"/>
    <n v="15.004132408573399"/>
    <n v="13.5661908714055"/>
    <n v="2876.9269999999901"/>
    <n v="732711.12"/>
    <x v="225"/>
    <x v="0"/>
    <x v="6"/>
    <n v="43165.793637799899"/>
    <n v="39028.940805099999"/>
    <n v="6318.56"/>
    <n v="431657.93637799902"/>
    <x v="1"/>
    <s v="REAL-PROY."/>
    <m/>
    <m/>
    <m/>
    <m/>
    <m/>
    <m/>
    <m/>
    <m/>
    <m/>
  </r>
  <r>
    <n v="16.822275163787968"/>
    <s v="99.- Cosecha 2013 - Real"/>
    <x v="2"/>
    <s v="Real"/>
    <s v="PS01EQ01TR01"/>
    <x v="6"/>
    <x v="14"/>
    <x v="3"/>
    <x v="2"/>
    <s v="PS01E01T1"/>
    <x v="1"/>
    <x v="13"/>
    <x v="215"/>
    <x v="0"/>
    <n v="511.67753623188401"/>
    <n v="8.2799999999999994"/>
    <n v="8.2799999999999994"/>
    <n v="163.97"/>
    <n v="9.75"/>
    <n v="14.8137607762563"/>
    <n v="13.358076865482699"/>
    <n v="1357.67"/>
    <n v="732717.42"/>
    <x v="226"/>
    <x v="0"/>
    <x v="11"/>
    <n v="20112.1985930999"/>
    <n v="18135.860217959998"/>
    <n v="4236.6899999999996"/>
    <n v="201121.98593099901"/>
    <x v="1"/>
    <s v="REAL-PROY."/>
    <m/>
    <m/>
    <m/>
    <m/>
    <m/>
    <m/>
    <m/>
    <m/>
    <m/>
  </r>
  <r>
    <n v="16.664100891498148"/>
    <s v="99.- Cosecha 2013 - Real"/>
    <x v="2"/>
    <s v="Real"/>
    <s v="PS01EQ01TR02"/>
    <x v="6"/>
    <x v="14"/>
    <x v="3"/>
    <x v="3"/>
    <s v="PS01E01T2"/>
    <x v="1"/>
    <x v="13"/>
    <x v="216"/>
    <x v="0"/>
    <n v="506.86640211640201"/>
    <n v="15.12"/>
    <n v="15.12"/>
    <n v="164.8"/>
    <n v="9.89"/>
    <n v="13.4356219686881"/>
    <n v="11.991285338879701"/>
    <n v="2491.71"/>
    <n v="1420544.35"/>
    <x v="191"/>
    <x v="0"/>
    <x v="11"/>
    <n v="33477.673615599997"/>
    <n v="29878.805591740002"/>
    <n v="7663.82"/>
    <n v="334776.736156"/>
    <x v="1"/>
    <s v="REAL-PROY."/>
    <m/>
    <m/>
    <m/>
    <m/>
    <m/>
    <m/>
    <m/>
    <m/>
    <m/>
  </r>
  <r>
    <n v="17.01058348975598"/>
    <s v="99.- Cosecha 2013 - Real"/>
    <x v="2"/>
    <s v="Real"/>
    <s v="PS01EQ01TR03"/>
    <x v="6"/>
    <x v="14"/>
    <x v="3"/>
    <x v="1"/>
    <s v="PS01E01T3"/>
    <x v="1"/>
    <x v="13"/>
    <x v="217"/>
    <x v="0"/>
    <n v="517.40524781341105"/>
    <n v="3.43"/>
    <n v="3.4299999999999899"/>
    <n v="208.55"/>
    <n v="12.26"/>
    <n v="13.2150038772192"/>
    <n v="11.754621696214301"/>
    <n v="715.34"/>
    <n v="501481.16"/>
    <x v="227"/>
    <x v="0"/>
    <x v="11"/>
    <n v="9453.2208735299992"/>
    <n v="8408.5510841699997"/>
    <n v="1774.7"/>
    <n v="94532.208735299995"/>
    <x v="1"/>
    <s v="REAL-PROY."/>
    <m/>
    <m/>
    <m/>
    <m/>
    <m/>
    <m/>
    <m/>
    <m/>
    <m/>
  </r>
  <r>
    <n v="17.106145277272766"/>
    <s v="99.- Cosecha 2013 - Real"/>
    <x v="2"/>
    <s v="Real"/>
    <s v="PS01EQ01TR04"/>
    <x v="6"/>
    <x v="14"/>
    <x v="3"/>
    <x v="4"/>
    <s v="PS01E01T4"/>
    <x v="1"/>
    <x v="13"/>
    <x v="218"/>
    <x v="0"/>
    <n v="520.31191885038004"/>
    <n v="11.83"/>
    <n v="11.83"/>
    <n v="197.11"/>
    <n v="11.52"/>
    <n v="13.442895792967599"/>
    <n v="11.9753690717125"/>
    <n v="2331.81"/>
    <n v="2284898.13"/>
    <x v="207"/>
    <x v="0"/>
    <x v="11"/>
    <n v="31346.278838999999"/>
    <n v="27924.2853551099"/>
    <n v="6155.29"/>
    <n v="313462.78839"/>
    <x v="1"/>
    <s v="REAL-PROY."/>
    <m/>
    <m/>
    <m/>
    <m/>
    <m/>
    <m/>
    <m/>
    <m/>
    <m/>
  </r>
  <r>
    <n v="16.595176538684154"/>
    <s v="99.- Cosecha 2013 - Real"/>
    <x v="2"/>
    <s v="Real"/>
    <s v="PS01EQ01TR05"/>
    <x v="6"/>
    <x v="14"/>
    <x v="3"/>
    <x v="5"/>
    <s v="PS01E01T5"/>
    <x v="1"/>
    <x v="13"/>
    <x v="219"/>
    <x v="0"/>
    <n v="504.76995305164297"/>
    <n v="4.26"/>
    <n v="4.26"/>
    <n v="204.02"/>
    <n v="12.29"/>
    <n v="14.2980783263665"/>
    <n v="12.8741445220318"/>
    <n v="869.12699999999995"/>
    <n v="590020.5"/>
    <x v="119"/>
    <x v="0"/>
    <x v="1"/>
    <n v="12426.84592156"/>
    <n v="11189.266605999999"/>
    <n v="2150.3200000000002"/>
    <n v="124268.4592156"/>
    <x v="1"/>
    <s v="REAL-PROY."/>
    <m/>
    <m/>
    <m/>
    <m/>
    <m/>
    <m/>
    <m/>
    <m/>
    <m/>
  </r>
  <r>
    <n v="16.457325963310094"/>
    <s v="99.- Cosecha 2013 - Real"/>
    <x v="2"/>
    <s v="Real"/>
    <s v="PS01EQ01TR06"/>
    <x v="6"/>
    <x v="14"/>
    <x v="3"/>
    <x v="0"/>
    <s v="PS01E01T6"/>
    <x v="1"/>
    <x v="13"/>
    <x v="203"/>
    <x v="0"/>
    <n v="500.57699805068199"/>
    <n v="5.13"/>
    <n v="5.13"/>
    <n v="244.81"/>
    <n v="14.88"/>
    <n v="13.5857037101476"/>
    <n v="12.1331117549498"/>
    <n v="1255.8530000000001"/>
    <n v="616868.77"/>
    <x v="119"/>
    <x v="0"/>
    <x v="1"/>
    <n v="17061.6467615"/>
    <n v="15237.404796789"/>
    <n v="2567.96"/>
    <n v="170616.467615"/>
    <x v="1"/>
    <s v="REAL-PROY."/>
    <m/>
    <m/>
    <m/>
    <m/>
    <m/>
    <m/>
    <m/>
    <m/>
    <m/>
  </r>
  <r>
    <n v="15.748402199845414"/>
    <s v="99.- Cosecha 2013 - Real"/>
    <x v="2"/>
    <s v="Real"/>
    <s v="RL01EQ01TR01"/>
    <x v="6"/>
    <x v="15"/>
    <x v="3"/>
    <x v="2"/>
    <s v="RLAMTR01"/>
    <x v="1"/>
    <x v="5"/>
    <x v="220"/>
    <x v="0"/>
    <n v="479.01390024529798"/>
    <n v="12.33"/>
    <n v="12.229999999999899"/>
    <n v="152.41999999999999"/>
    <n v="9.68"/>
    <n v="14.2110122397916"/>
    <n v="12.7337721115163"/>
    <n v="1864.07699999999"/>
    <n v="945577.07"/>
    <x v="228"/>
    <x v="0"/>
    <x v="1"/>
    <n v="26490.421062914"/>
    <n v="23736.731716318998"/>
    <n v="5858.34"/>
    <n v="264904.21062914003"/>
    <x v="1"/>
    <s v="REAL-PROY."/>
    <m/>
    <m/>
    <m/>
    <m/>
    <m/>
    <m/>
    <m/>
    <m/>
    <m/>
  </r>
  <r>
    <n v="15.846575342465753"/>
    <s v="99.- Cosecha 2013 - Real"/>
    <x v="2"/>
    <s v="Real"/>
    <s v="RL01EQ01TR01"/>
    <x v="6"/>
    <x v="15"/>
    <x v="3"/>
    <x v="2"/>
    <s v="RLAMTR01"/>
    <x v="1"/>
    <x v="5"/>
    <x v="220"/>
    <x v="0"/>
    <n v="482"/>
    <n v="12.33"/>
    <n v="0.1"/>
    <n v="196.7"/>
    <n v="12.41"/>
    <n v="14.211011999999901"/>
    <n v="12.733772"/>
    <n v="19.670000000000002"/>
    <n v="38690.89"/>
    <x v="198"/>
    <x v="0"/>
    <x v="2"/>
    <n v="279.53060604000001"/>
    <n v="250.47329524"/>
    <n v="48.2"/>
    <n v="2795.3060604000002"/>
    <x v="1"/>
    <s v="REAL-PROY."/>
    <m/>
    <m/>
    <m/>
    <m/>
    <m/>
    <m/>
    <m/>
    <m/>
    <m/>
  </r>
  <r>
    <n v="15.705725576332833"/>
    <s v="99.- Cosecha 2013 - Real"/>
    <x v="2"/>
    <s v="Real"/>
    <s v="RL01EQ01TR02"/>
    <x v="6"/>
    <x v="15"/>
    <x v="3"/>
    <x v="3"/>
    <s v="RLAMTR02"/>
    <x v="1"/>
    <x v="5"/>
    <x v="99"/>
    <x v="0"/>
    <n v="477.71581961345697"/>
    <n v="13.97"/>
    <n v="13.97"/>
    <n v="172.11"/>
    <n v="10.96"/>
    <n v="14.384853149963"/>
    <n v="12.888540078847999"/>
    <n v="2404.373"/>
    <n v="1384706.31"/>
    <x v="228"/>
    <x v="0"/>
    <x v="1"/>
    <n v="34586.552522735998"/>
    <n v="30988.857775"/>
    <n v="6673.69"/>
    <n v="345865.52522736002"/>
    <x v="1"/>
    <s v="REAL-PROY."/>
    <m/>
    <m/>
    <m/>
    <m/>
    <m/>
    <m/>
    <m/>
    <m/>
    <m/>
  </r>
  <r>
    <n v="12.776117399395892"/>
    <s v="99.- Cosecha 2013 - Real"/>
    <x v="2"/>
    <s v="Real"/>
    <s v="RL01EQ01TR03"/>
    <x v="6"/>
    <x v="15"/>
    <x v="3"/>
    <x v="1"/>
    <s v="RLAMTR03"/>
    <x v="1"/>
    <x v="5"/>
    <x v="221"/>
    <x v="0"/>
    <n v="388.60690423162498"/>
    <n v="9.98"/>
    <n v="8.98"/>
    <n v="157.06"/>
    <n v="12.29"/>
    <n v="13.75700721191"/>
    <n v="12.2687262470664"/>
    <n v="1410.41"/>
    <n v="555205.12"/>
    <x v="41"/>
    <x v="0"/>
    <x v="1"/>
    <n v="19403.020541749898"/>
    <n v="17303.934186125"/>
    <n v="3489.69"/>
    <n v="194030.205417499"/>
    <x v="1"/>
    <s v="REAL-PROY."/>
    <m/>
    <m/>
    <m/>
    <m/>
    <m/>
    <m/>
    <m/>
    <m/>
    <m/>
  </r>
  <r>
    <n v="12.564922809306346"/>
    <s v="99.- Cosecha 2013 - Real"/>
    <x v="2"/>
    <s v="Real"/>
    <s v="RL01EQ01TR04"/>
    <x v="6"/>
    <x v="15"/>
    <x v="3"/>
    <x v="4"/>
    <s v="RLAMTR04"/>
    <x v="1"/>
    <x v="5"/>
    <x v="128"/>
    <x v="0"/>
    <n v="382.18306878306799"/>
    <n v="9.4499999999999993"/>
    <n v="9.4499999999999993"/>
    <n v="177.83"/>
    <n v="14.15"/>
    <n v="13.709613615690801"/>
    <n v="12.236181642361901"/>
    <n v="1680.46999999999"/>
    <n v="991985.64"/>
    <x v="27"/>
    <x v="0"/>
    <x v="1"/>
    <n v="23038.594392759998"/>
    <n v="20562.536164539899"/>
    <n v="3611.63"/>
    <n v="230385.94392759999"/>
    <x v="1"/>
    <s v="REAL-PROY."/>
    <m/>
    <m/>
    <m/>
    <m/>
    <m/>
    <m/>
    <m/>
    <m/>
    <m/>
  </r>
  <r>
    <n v="11.375342465753425"/>
    <s v="99.- Cosecha 2013 - Real"/>
    <x v="2"/>
    <s v="Real"/>
    <s v="RL01EQ01TR05"/>
    <x v="6"/>
    <x v="15"/>
    <x v="3"/>
    <x v="5"/>
    <s v="RLAMTR05"/>
    <x v="1"/>
    <x v="5"/>
    <x v="222"/>
    <x v="0"/>
    <n v="346"/>
    <n v="14.49"/>
    <n v="0.5"/>
    <n v="185.44"/>
    <n v="16.3"/>
    <n v="13.2525"/>
    <n v="11.704999999999901"/>
    <n v="92.72"/>
    <n v="171939.97"/>
    <x v="145"/>
    <x v="0"/>
    <x v="3"/>
    <n v="1228.7718"/>
    <n v="1085.2875999999901"/>
    <n v="173"/>
    <n v="12287.718000000001"/>
    <x v="1"/>
    <s v="REAL-PROY."/>
    <m/>
    <m/>
    <m/>
    <m/>
    <m/>
    <m/>
    <m/>
    <m/>
    <m/>
  </r>
  <r>
    <n v="12.426457254203081"/>
    <s v="99.- Cosecha 2013 - Real"/>
    <x v="2"/>
    <s v="Real"/>
    <s v="RL01EQ01TR05"/>
    <x v="6"/>
    <x v="15"/>
    <x v="3"/>
    <x v="5"/>
    <s v="RLAMTR05"/>
    <x v="1"/>
    <x v="5"/>
    <x v="222"/>
    <x v="0"/>
    <n v="377.97140814867703"/>
    <n v="14.49"/>
    <n v="13.989999999999901"/>
    <n v="169.51"/>
    <n v="13.64"/>
    <n v="13.724960376889699"/>
    <n v="12.221186260022501"/>
    <n v="2371.41"/>
    <n v="1338230.26"/>
    <x v="27"/>
    <x v="0"/>
    <x v="1"/>
    <n v="32547.50828736"/>
    <n v="28981.44330888"/>
    <n v="5287.82"/>
    <n v="325475.08287360001"/>
    <x v="1"/>
    <s v="REAL-PROY."/>
    <m/>
    <m/>
    <m/>
    <m/>
    <m/>
    <m/>
    <m/>
    <m/>
    <m/>
  </r>
  <r>
    <n v="11.257179039705928"/>
    <s v="99.- Cosecha 2013 - Real"/>
    <x v="2"/>
    <s v="Real"/>
    <s v="SJ01EQ02TR01"/>
    <x v="0"/>
    <x v="16"/>
    <x v="8"/>
    <x v="2"/>
    <s v="SJ01E02T1"/>
    <x v="0"/>
    <x v="11"/>
    <x v="116"/>
    <x v="0"/>
    <n v="342.40586245772198"/>
    <n v="9.25"/>
    <n v="8.8699999999999992"/>
    <n v="139.43"/>
    <n v="12.39"/>
    <n v="14.5767618097205"/>
    <n v="13.1085155776787"/>
    <n v="1236.76"/>
    <n v="573074.52"/>
    <x v="153"/>
    <x v="0"/>
    <x v="7"/>
    <n v="18027.95593579"/>
    <n v="16212.08772585"/>
    <n v="3037.14"/>
    <n v="180279.5593579"/>
    <x v="1"/>
    <s v="REAL-PROY."/>
    <m/>
    <m/>
    <m/>
    <m/>
    <m/>
    <m/>
    <m/>
    <m/>
    <m/>
  </r>
  <r>
    <n v="11.632817429230784"/>
    <s v="99.- Cosecha 2013 - Real"/>
    <x v="2"/>
    <s v="Real"/>
    <s v="SJ01EQ02TR02"/>
    <x v="0"/>
    <x v="16"/>
    <x v="8"/>
    <x v="3"/>
    <s v="SJ01E02T2"/>
    <x v="0"/>
    <x v="11"/>
    <x v="16"/>
    <x v="0"/>
    <n v="353.83153013910299"/>
    <n v="6.72"/>
    <n v="6.47"/>
    <n v="153.71"/>
    <n v="13.21"/>
    <n v="14.3599964031332"/>
    <n v="12.905677695246901"/>
    <n v="994.51"/>
    <n v="506715.33"/>
    <x v="229"/>
    <x v="0"/>
    <x v="7"/>
    <n v="14281.16002288"/>
    <n v="12834.8255247"/>
    <n v="2289.29"/>
    <n v="142811.6002288"/>
    <x v="1"/>
    <s v="REAL-PROY."/>
    <m/>
    <m/>
    <m/>
    <m/>
    <m/>
    <m/>
    <m/>
    <m/>
    <m/>
  </r>
  <r>
    <n v="11.769863013698631"/>
    <s v="99.- Cosecha 2013 - Real"/>
    <x v="2"/>
    <s v="Real"/>
    <s v="SJ01EQ02TR02"/>
    <x v="0"/>
    <x v="16"/>
    <x v="8"/>
    <x v="3"/>
    <s v="SJ01E02T2"/>
    <x v="0"/>
    <x v="11"/>
    <x v="16"/>
    <x v="0"/>
    <n v="358"/>
    <n v="6.72"/>
    <n v="0.25"/>
    <n v="91.2"/>
    <n v="7.75"/>
    <m/>
    <m/>
    <n v="22.8"/>
    <m/>
    <x v="71"/>
    <x v="0"/>
    <x v="4"/>
    <m/>
    <m/>
    <n v="89.5"/>
    <m/>
    <x v="1"/>
    <s v="REAL-PROY."/>
    <m/>
    <m/>
    <m/>
    <m/>
    <m/>
    <m/>
    <m/>
    <m/>
    <m/>
  </r>
  <r>
    <n v="10.991750715038366"/>
    <s v="99.- Cosecha 2013 - Real"/>
    <x v="2"/>
    <s v="Real"/>
    <s v="SJ01EQ02TR03"/>
    <x v="0"/>
    <x v="16"/>
    <x v="8"/>
    <x v="1"/>
    <s v="SJ01E02T3"/>
    <x v="0"/>
    <x v="8"/>
    <x v="119"/>
    <x v="0"/>
    <n v="334.33241758241701"/>
    <n v="7.28"/>
    <n v="7.28"/>
    <n v="142.05000000000001"/>
    <n v="12.92"/>
    <n v="14.627137676019"/>
    <n v="13.143750936347701"/>
    <n v="1034.135"/>
    <n v="184284.98"/>
    <x v="40"/>
    <x v="0"/>
    <x v="1"/>
    <n v="15126.435020589901"/>
    <n v="13592.412874559999"/>
    <n v="2433.94"/>
    <n v="151264.35020589901"/>
    <x v="1"/>
    <s v="REAL-PROY."/>
    <m/>
    <m/>
    <m/>
    <m/>
    <m/>
    <m/>
    <m/>
    <m/>
    <m/>
  </r>
  <r>
    <n v="6.3780821917808215"/>
    <s v="99.- Cosecha 2013 - Real"/>
    <x v="2"/>
    <s v="Real"/>
    <s v="SJ01EQ02TR04"/>
    <x v="0"/>
    <x v="16"/>
    <x v="8"/>
    <x v="4"/>
    <s v="SJ01E02T4"/>
    <x v="1"/>
    <x v="11"/>
    <x v="16"/>
    <x v="0"/>
    <n v="194"/>
    <n v="7.73"/>
    <n v="2.39"/>
    <n v="97.33"/>
    <n v="15.26"/>
    <n v="10.644"/>
    <n v="9.0850000000000009"/>
    <n v="232.61"/>
    <n v="226390.85"/>
    <x v="29"/>
    <x v="0"/>
    <x v="3"/>
    <n v="2475.9008399999998"/>
    <n v="2113.2618499999999"/>
    <n v="463.66"/>
    <n v="24759.008399999999"/>
    <x v="1"/>
    <s v="REAL-PROY."/>
    <m/>
    <m/>
    <m/>
    <m/>
    <m/>
    <m/>
    <m/>
    <m/>
    <m/>
  </r>
  <r>
    <n v="8.1788293897882838"/>
    <s v="99.- Cosecha 2013 - Real"/>
    <x v="2"/>
    <s v="Real"/>
    <s v="SJ01EQ02TR04"/>
    <x v="0"/>
    <x v="16"/>
    <x v="8"/>
    <x v="4"/>
    <s v="SJ01E02T4"/>
    <x v="1"/>
    <x v="11"/>
    <x v="16"/>
    <x v="0"/>
    <n v="248.772727272727"/>
    <n v="7.92"/>
    <n v="1.1000000000000001"/>
    <n v="150.72999999999999"/>
    <n v="18.43"/>
    <n v="11.0840289505428"/>
    <n v="9.5629240048250903"/>
    <n v="165.79999999999899"/>
    <n v="122495.64"/>
    <x v="84"/>
    <x v="0"/>
    <x v="2"/>
    <n v="1837.732"/>
    <n v="1585.5327999999899"/>
    <n v="273.64999999999998"/>
    <n v="18377.319999999901"/>
    <x v="1"/>
    <s v="REAL-PROY."/>
    <m/>
    <m/>
    <m/>
    <m/>
    <m/>
    <m/>
    <m/>
    <m/>
    <m/>
  </r>
  <r>
    <n v="11.330962614799462"/>
    <s v="99.- Cosecha 2013 - Real"/>
    <x v="2"/>
    <s v="Real"/>
    <s v="SJ01EQ02TR04"/>
    <x v="0"/>
    <x v="16"/>
    <x v="8"/>
    <x v="4"/>
    <s v="SJ01E02T4"/>
    <x v="1"/>
    <x v="11"/>
    <x v="16"/>
    <x v="0"/>
    <n v="344.65011286681698"/>
    <n v="7.92"/>
    <n v="4.43"/>
    <n v="150.53"/>
    <n v="13.29"/>
    <n v="15.1210629198482"/>
    <n v="13.6826234460456"/>
    <n v="666.86"/>
    <n v="498587.59"/>
    <x v="199"/>
    <x v="0"/>
    <x v="7"/>
    <n v="10083.632018730001"/>
    <n v="9124.3942712299995"/>
    <n v="1526.8"/>
    <n v="100836.32018730001"/>
    <x v="1"/>
    <s v="REAL-PROY."/>
    <m/>
    <m/>
    <m/>
    <m/>
    <m/>
    <m/>
    <m/>
    <m/>
    <m/>
  </r>
  <r>
    <n v="10.835255252609787"/>
    <s v="99.- Cosecha 2013 - Real"/>
    <x v="2"/>
    <s v="Real"/>
    <s v="SJ01EQ02TR05"/>
    <x v="0"/>
    <x v="16"/>
    <x v="8"/>
    <x v="5"/>
    <s v="SJ01E02T5"/>
    <x v="0"/>
    <x v="8"/>
    <x v="118"/>
    <x v="0"/>
    <n v="329.57234726688102"/>
    <n v="6.22"/>
    <n v="6.22"/>
    <n v="150.5"/>
    <n v="13.89"/>
    <n v="14.2503170326199"/>
    <n v="12.7532287529675"/>
    <n v="936.08500000000004"/>
    <n v="235104.36"/>
    <x v="38"/>
    <x v="0"/>
    <x v="1"/>
    <n v="13339.508019479999"/>
    <n v="11938.106137221601"/>
    <n v="2049.94"/>
    <n v="133395.08019479999"/>
    <x v="1"/>
    <s v="REAL-PROY."/>
    <m/>
    <m/>
    <m/>
    <m/>
    <m/>
    <m/>
    <m/>
    <m/>
    <m/>
  </r>
  <r>
    <n v="11.628267771699418"/>
    <s v="99.- Cosecha 2013 - Real"/>
    <x v="2"/>
    <s v="Real"/>
    <s v="SV01EQ01TR01"/>
    <x v="3"/>
    <x v="5"/>
    <x v="3"/>
    <x v="2"/>
    <s v="SV01E01T1"/>
    <x v="0"/>
    <x v="10"/>
    <x v="51"/>
    <x v="2"/>
    <n v="353.69314472252398"/>
    <n v="18.38"/>
    <n v="18.38"/>
    <n v="97.68"/>
    <n v="8.4"/>
    <n v="15.0270003943387"/>
    <n v="13.560760433083001"/>
    <n v="1795.36"/>
    <n v="437397.8"/>
    <x v="95"/>
    <x v="0"/>
    <x v="5"/>
    <n v="26978.8754279799"/>
    <n v="24346.446851140001"/>
    <n v="6500.8799999999901"/>
    <n v="269788.75427979999"/>
    <x v="1"/>
    <s v="REAL-PROY."/>
    <m/>
    <m/>
    <m/>
    <m/>
    <m/>
    <m/>
    <m/>
    <m/>
    <m/>
  </r>
  <r>
    <n v="11.410444798750522"/>
    <s v="99.- Cosecha 2013 - Real"/>
    <x v="2"/>
    <s v="Real"/>
    <s v="SV01EQ01TR02"/>
    <x v="3"/>
    <x v="5"/>
    <x v="3"/>
    <x v="3"/>
    <s v="SV01E01T2"/>
    <x v="0"/>
    <x v="1"/>
    <x v="52"/>
    <x v="0"/>
    <n v="347.06769596199501"/>
    <n v="16.84"/>
    <n v="16.84"/>
    <n v="81.78"/>
    <n v="7.17"/>
    <n v="15.3949249904809"/>
    <n v="13.889306002047499"/>
    <n v="1377.24"/>
    <n v="376705.52"/>
    <x v="230"/>
    <x v="0"/>
    <x v="1"/>
    <n v="21202.50649389"/>
    <n v="19128.907798259999"/>
    <n v="5844.62"/>
    <n v="212025.0649389"/>
    <x v="1"/>
    <s v="REAL-PROY."/>
    <m/>
    <m/>
    <m/>
    <m/>
    <m/>
    <m/>
    <m/>
    <m/>
    <m/>
  </r>
  <r>
    <n v="10.453627927529819"/>
    <s v="99.- Cosecha 2013 - Real"/>
    <x v="2"/>
    <s v="Real"/>
    <s v="SV01EQ01TR03"/>
    <x v="3"/>
    <x v="5"/>
    <x v="3"/>
    <x v="1"/>
    <s v="SV01E01T3"/>
    <x v="0"/>
    <x v="1"/>
    <x v="223"/>
    <x v="0"/>
    <n v="317.96451612903201"/>
    <n v="13.99"/>
    <n v="12.4"/>
    <n v="100.62"/>
    <n v="9.6199999999999992"/>
    <n v="13.3174839481501"/>
    <n v="11.7796901046696"/>
    <n v="1247.6399999999901"/>
    <n v="627451.59"/>
    <x v="122"/>
    <x v="0"/>
    <x v="10"/>
    <n v="16615.42567307"/>
    <n v="14696.8125621899"/>
    <n v="3942.76"/>
    <n v="166154.2567307"/>
    <x v="1"/>
    <s v="REAL-PROY."/>
    <m/>
    <m/>
    <m/>
    <m/>
    <m/>
    <m/>
    <m/>
    <m/>
    <m/>
  </r>
  <r>
    <n v="10.487671232876712"/>
    <s v="99.- Cosecha 2013 - Real"/>
    <x v="2"/>
    <s v="Real"/>
    <s v="SV01EQ01TR03"/>
    <x v="3"/>
    <x v="5"/>
    <x v="3"/>
    <x v="1"/>
    <s v="SV01E01T3"/>
    <x v="0"/>
    <x v="1"/>
    <x v="223"/>
    <x v="0"/>
    <n v="319"/>
    <n v="13.99"/>
    <n v="1.59"/>
    <n v="100.41"/>
    <n v="9.57"/>
    <n v="13.400333"/>
    <n v="11.836333"/>
    <n v="159.65"/>
    <n v="160302.66"/>
    <x v="231"/>
    <x v="0"/>
    <x v="3"/>
    <n v="2139.3631634499998"/>
    <n v="1889.6705634499999"/>
    <n v="507.21"/>
    <n v="21393.631634500001"/>
    <x v="1"/>
    <s v="REAL-PROY."/>
    <m/>
    <m/>
    <m/>
    <m/>
    <m/>
    <m/>
    <m/>
    <m/>
    <m/>
  </r>
  <r>
    <n v="11.403903784634695"/>
    <s v="99.- Cosecha 2013 - Real"/>
    <x v="2"/>
    <s v="Real"/>
    <s v="SV01EQ01TR05"/>
    <x v="3"/>
    <x v="5"/>
    <x v="3"/>
    <x v="5"/>
    <s v="SV01E01T5"/>
    <x v="1"/>
    <x v="14"/>
    <x v="52"/>
    <x v="0"/>
    <n v="346.868740115972"/>
    <n v="18.97"/>
    <n v="18.97"/>
    <n v="92.98"/>
    <n v="8.15"/>
    <n v="15.8074348223181"/>
    <n v="14.296019079222299"/>
    <n v="1763.77"/>
    <n v="410415.67"/>
    <x v="232"/>
    <x v="0"/>
    <x v="1"/>
    <n v="27880.679316559999"/>
    <n v="25214.88957136"/>
    <n v="6580.1"/>
    <n v="278806.79316559999"/>
    <x v="1"/>
    <s v="REAL-PROY."/>
    <m/>
    <m/>
    <m/>
    <m/>
    <m/>
    <m/>
    <m/>
    <m/>
    <m/>
  </r>
  <r>
    <n v="12.391380505570257"/>
    <s v="99.- Cosecha 2013 - Real"/>
    <x v="2"/>
    <s v="Real"/>
    <s v="SV01EQ01TR06"/>
    <x v="3"/>
    <x v="5"/>
    <x v="3"/>
    <x v="0"/>
    <s v="SV01E01T6"/>
    <x v="1"/>
    <x v="13"/>
    <x v="121"/>
    <x v="0"/>
    <n v="376.90449037776199"/>
    <n v="14.28"/>
    <n v="14.0299999999999"/>
    <n v="141.82"/>
    <n v="11.44"/>
    <n v="13.7211107525179"/>
    <n v="12.2865795775284"/>
    <n v="1989.72"/>
    <n v="708680.6"/>
    <x v="233"/>
    <x v="0"/>
    <x v="2"/>
    <n v="27301.168486499999"/>
    <n v="24446.853116999999"/>
    <n v="5287.97"/>
    <n v="273011.68486499903"/>
    <x v="1"/>
    <s v="REAL-PROY."/>
    <m/>
    <m/>
    <m/>
    <m/>
    <m/>
    <m/>
    <m/>
    <m/>
    <m/>
  </r>
  <r>
    <n v="12.887671232876713"/>
    <s v="99.- Cosecha 2013 - Real"/>
    <x v="2"/>
    <s v="Real"/>
    <s v="SV01EQ01TR06"/>
    <x v="3"/>
    <x v="5"/>
    <x v="3"/>
    <x v="0"/>
    <s v="SV01E01T6"/>
    <x v="1"/>
    <x v="13"/>
    <x v="121"/>
    <x v="0"/>
    <n v="392"/>
    <n v="14.28"/>
    <n v="0.12"/>
    <n v="219"/>
    <n v="16.989999999999998"/>
    <n v="13.793118"/>
    <n v="12.36997"/>
    <n v="26.28"/>
    <n v="57553.2"/>
    <x v="139"/>
    <x v="0"/>
    <x v="5"/>
    <n v="362.48314104000002"/>
    <n v="325.08281160000001"/>
    <n v="47.04"/>
    <n v="3624.8314104000001"/>
    <x v="1"/>
    <s v="REAL-PROY."/>
    <m/>
    <m/>
    <m/>
    <m/>
    <m/>
    <m/>
    <m/>
    <m/>
    <m/>
  </r>
  <r>
    <n v="12.452187641390431"/>
    <s v="99.- Cosecha 2013 - Real"/>
    <x v="2"/>
    <s v="Real"/>
    <s v="SV01EQ01TR07"/>
    <x v="3"/>
    <x v="5"/>
    <x v="3"/>
    <x v="6"/>
    <s v="SV01E01T7"/>
    <x v="1"/>
    <x v="13"/>
    <x v="121"/>
    <x v="0"/>
    <n v="378.75404075895898"/>
    <n v="14.23"/>
    <n v="14.23"/>
    <n v="110.88"/>
    <n v="8.9"/>
    <n v="14.1660564420424"/>
    <n v="12.7183065032321"/>
    <n v="1577.88"/>
    <n v="440830.99"/>
    <x v="137"/>
    <x v="0"/>
    <x v="2"/>
    <n v="22352.337138769999"/>
    <n v="20067.961465320001"/>
    <n v="5389.67"/>
    <n v="223523.3713877"/>
    <x v="1"/>
    <s v="REAL-PROY."/>
    <m/>
    <m/>
    <m/>
    <m/>
    <m/>
    <m/>
    <m/>
    <m/>
    <m/>
  </r>
  <r>
    <n v="12.430332681017589"/>
    <s v="99.- Cosecha 2013 - Real"/>
    <x v="2"/>
    <s v="Real"/>
    <s v="SV01EQ02TR01"/>
    <x v="3"/>
    <x v="5"/>
    <x v="8"/>
    <x v="2"/>
    <s v="SV01E02T1"/>
    <x v="0"/>
    <x v="1"/>
    <x v="224"/>
    <x v="0"/>
    <n v="378.08928571428498"/>
    <n v="12.56"/>
    <n v="11.76"/>
    <n v="133.69999999999999"/>
    <n v="10.76"/>
    <n v="14.618336508624299"/>
    <n v="13.167893676461199"/>
    <n v="1572.3"/>
    <n v="697102.59"/>
    <x v="234"/>
    <x v="0"/>
    <x v="2"/>
    <n v="22984.41049251"/>
    <n v="20703.8792274999"/>
    <n v="4446.33"/>
    <n v="229844.10492509999"/>
    <x v="1"/>
    <s v="REAL-PROY."/>
    <m/>
    <m/>
    <m/>
    <m/>
    <m/>
    <m/>
    <m/>
    <m/>
    <m/>
  </r>
  <r>
    <n v="12.797260273972569"/>
    <s v="99.- Cosecha 2013 - Real"/>
    <x v="2"/>
    <s v="Real"/>
    <s v="SV01EQ02TR01"/>
    <x v="3"/>
    <x v="5"/>
    <x v="8"/>
    <x v="2"/>
    <s v="SV01E02T1"/>
    <x v="0"/>
    <x v="1"/>
    <x v="224"/>
    <x v="0"/>
    <n v="389.24999999999898"/>
    <n v="12.56"/>
    <n v="0.8"/>
    <n v="60.17"/>
    <n v="4.7"/>
    <n v="13.707282509347699"/>
    <n v="12.254845450768499"/>
    <n v="48.14"/>
    <n v="14422.6"/>
    <x v="130"/>
    <x v="0"/>
    <x v="5"/>
    <n v="659.86857999999995"/>
    <n v="589.94826"/>
    <n v="311.39999999999998"/>
    <n v="6598.6858000000002"/>
    <x v="1"/>
    <s v="REAL-PROY."/>
    <m/>
    <m/>
    <m/>
    <m/>
    <m/>
    <m/>
    <m/>
    <m/>
    <m/>
  </r>
  <r>
    <n v="11.371533266580002"/>
    <s v="99.- Cosecha 2013 - Real"/>
    <x v="2"/>
    <s v="Real"/>
    <s v="SV01EQ02TR02"/>
    <x v="3"/>
    <x v="5"/>
    <x v="8"/>
    <x v="3"/>
    <s v="SV01E02T2"/>
    <x v="0"/>
    <x v="10"/>
    <x v="95"/>
    <x v="2"/>
    <n v="345.88413685847502"/>
    <n v="12.86"/>
    <n v="12.86"/>
    <n v="83.91"/>
    <n v="7.38"/>
    <n v="14.378420339924499"/>
    <n v="12.948530648256799"/>
    <n v="1079.0630000000001"/>
    <n v="301404.39"/>
    <x v="235"/>
    <x v="0"/>
    <x v="5"/>
    <n v="15515.22138726"/>
    <n v="13972.2803269"/>
    <n v="4448.07"/>
    <n v="155152.2138726"/>
    <x v="1"/>
    <s v="REAL-PROY."/>
    <m/>
    <m/>
    <m/>
    <m/>
    <m/>
    <m/>
    <m/>
    <m/>
    <m/>
  </r>
  <r>
    <n v="11.809059333408459"/>
    <s v="99.- Cosecha 2013 - Real"/>
    <x v="2"/>
    <s v="Real"/>
    <s v="SV01EQ02TR03"/>
    <x v="3"/>
    <x v="5"/>
    <x v="8"/>
    <x v="1"/>
    <s v="SV01E02T3"/>
    <x v="0"/>
    <x v="1"/>
    <x v="225"/>
    <x v="0"/>
    <n v="359.19222139117397"/>
    <n v="13.37"/>
    <n v="13.37"/>
    <n v="110.47"/>
    <n v="9.35"/>
    <n v="15.5575097960095"/>
    <n v="14.0615936737913"/>
    <n v="1477.03"/>
    <n v="822821.05"/>
    <x v="236"/>
    <x v="0"/>
    <x v="1"/>
    <n v="22978.9086939999"/>
    <n v="20769.395703999999"/>
    <n v="4802.3999999999996"/>
    <n v="229789.08694000001"/>
    <x v="1"/>
    <s v="REAL-PROY."/>
    <m/>
    <m/>
    <m/>
    <m/>
    <m/>
    <m/>
    <m/>
    <m/>
    <m/>
  </r>
  <r>
    <n v="14.398473069964405"/>
    <s v="99.- Cosecha 2013 - Real"/>
    <x v="2"/>
    <s v="Real"/>
    <s v="SV01EQ02TR05"/>
    <x v="3"/>
    <x v="5"/>
    <x v="8"/>
    <x v="5"/>
    <s v="SV01E02T5"/>
    <x v="1"/>
    <x v="13"/>
    <x v="99"/>
    <x v="0"/>
    <n v="437.95355587808399"/>
    <n v="13.78"/>
    <n v="13.78"/>
    <n v="140.03"/>
    <n v="9.73"/>
    <n v="13.6783027962083"/>
    <n v="12.2176332164273"/>
    <n v="1929.6130000000001"/>
    <n v="930653.47"/>
    <x v="51"/>
    <x v="0"/>
    <x v="3"/>
    <n v="26393.830893499999"/>
    <n v="23575.303883650002"/>
    <n v="6034.99999999999"/>
    <n v="263938.30893499998"/>
    <x v="1"/>
    <s v="REAL-PROY."/>
    <m/>
    <m/>
    <m/>
    <m/>
    <m/>
    <m/>
    <m/>
    <m/>
    <m/>
  </r>
  <r>
    <n v="14.088985379161938"/>
    <s v="99.- Cosecha 2013 - Real"/>
    <x v="2"/>
    <s v="Real"/>
    <s v="SV01EQ02TR07"/>
    <x v="3"/>
    <x v="5"/>
    <x v="8"/>
    <x v="6"/>
    <s v="SV01E02T7"/>
    <x v="1"/>
    <x v="12"/>
    <x v="94"/>
    <x v="0"/>
    <n v="428.53997194950898"/>
    <n v="13.89"/>
    <n v="7.13"/>
    <n v="122.61"/>
    <n v="8.6999999999999993"/>
    <n v="14.4454511604364"/>
    <n v="12.974279963168"/>
    <n v="874.24"/>
    <n v="535921.15"/>
    <x v="68"/>
    <x v="0"/>
    <x v="7"/>
    <n v="12628.7912225"/>
    <n v="11342.634515"/>
    <n v="3055.49"/>
    <n v="126287.91222499999"/>
    <x v="1"/>
    <s v="REAL-PROY."/>
    <m/>
    <m/>
    <m/>
    <m/>
    <m/>
    <m/>
    <m/>
    <m/>
    <m/>
  </r>
  <r>
    <n v="14.141682974559684"/>
    <s v="99.- Cosecha 2013 - Real"/>
    <x v="2"/>
    <s v="Real"/>
    <s v="SV01EQ02TR07"/>
    <x v="3"/>
    <x v="5"/>
    <x v="8"/>
    <x v="6"/>
    <s v="SV01E02T7"/>
    <x v="1"/>
    <x v="12"/>
    <x v="94"/>
    <x v="0"/>
    <n v="430.142857142857"/>
    <n v="13.89"/>
    <n v="4.76"/>
    <n v="126.98"/>
    <n v="8.98"/>
    <n v="14.6514031299096"/>
    <n v="13.2062881184606"/>
    <n v="604.41999999999996"/>
    <n v="384449.69"/>
    <x v="71"/>
    <x v="0"/>
    <x v="4"/>
    <n v="8855.6010797800009"/>
    <n v="7982.1446645599999"/>
    <n v="2047.48"/>
    <n v="88556.010797800001"/>
    <x v="1"/>
    <s v="REAL-PROY."/>
    <m/>
    <m/>
    <m/>
    <m/>
    <m/>
    <m/>
    <m/>
    <m/>
    <m/>
  </r>
  <r>
    <n v="13.285161996563934"/>
    <s v="99.- Cosecha 2013 - Real"/>
    <x v="2"/>
    <s v="Real"/>
    <s v="SV01EQ03TR02"/>
    <x v="3"/>
    <x v="5"/>
    <x v="5"/>
    <x v="3"/>
    <s v="SV01E03T2"/>
    <x v="1"/>
    <x v="1"/>
    <x v="226"/>
    <x v="0"/>
    <n v="404.09034406215301"/>
    <n v="45.05"/>
    <n v="45.05"/>
    <n v="148.22999999999999"/>
    <n v="11.16"/>
    <n v="13.817564627410601"/>
    <n v="12.332866764624001"/>
    <n v="6677.9549999999999"/>
    <n v="1651906.23"/>
    <x v="59"/>
    <x v="0"/>
    <x v="8"/>
    <n v="92273.074791439998"/>
    <n v="82358.329275155003"/>
    <n v="18204.27"/>
    <n v="922730.74791439902"/>
    <x v="1"/>
    <s v="REAL-PROY."/>
    <m/>
    <m/>
    <m/>
    <m/>
    <m/>
    <m/>
    <m/>
    <m/>
    <m/>
  </r>
  <r>
    <n v="13.868175544309054"/>
    <s v="99.- Cosecha 2013 - Real"/>
    <x v="2"/>
    <s v="Real"/>
    <s v="SV01EQ03TR03"/>
    <x v="3"/>
    <x v="5"/>
    <x v="5"/>
    <x v="1"/>
    <s v="SV01E03T3"/>
    <x v="1"/>
    <x v="1"/>
    <x v="81"/>
    <x v="0"/>
    <n v="421.82367280606701"/>
    <n v="38.92"/>
    <n v="36.92"/>
    <n v="136.43"/>
    <n v="9.84"/>
    <n v="13.506853367817101"/>
    <n v="12.045455828353299"/>
    <n v="5037.1499999999996"/>
    <n v="978066.91"/>
    <x v="237"/>
    <x v="0"/>
    <x v="8"/>
    <n v="68036.046441700004"/>
    <n v="60674.767825789997"/>
    <n v="15573.73"/>
    <n v="680360.46441699995"/>
    <x v="1"/>
    <s v="REAL-PROY."/>
    <m/>
    <m/>
    <m/>
    <m/>
    <m/>
    <m/>
    <m/>
    <m/>
    <m/>
  </r>
  <r>
    <n v="11.27965918918629"/>
    <s v="99.- Cosecha 2013 - Real"/>
    <x v="2"/>
    <s v="Real"/>
    <s v="SV01EQ03TR04"/>
    <x v="3"/>
    <x v="5"/>
    <x v="5"/>
    <x v="4"/>
    <s v="SV01E03T4"/>
    <x v="1"/>
    <x v="14"/>
    <x v="72"/>
    <x v="0"/>
    <n v="343.08963367108299"/>
    <n v="41.99"/>
    <n v="38.49"/>
    <n v="91.57"/>
    <n v="8.1199999999999992"/>
    <n v="14.1060959744415"/>
    <n v="12.663909142815299"/>
    <n v="3524.4670000000001"/>
    <n v="1076790.95"/>
    <x v="238"/>
    <x v="0"/>
    <x v="5"/>
    <n v="49716.469760751999"/>
    <n v="44633.529864851"/>
    <n v="13205.52"/>
    <n v="497164.69760751998"/>
    <x v="1"/>
    <s v="REAL-PROY."/>
    <m/>
    <m/>
    <m/>
    <m/>
    <m/>
    <m/>
    <m/>
    <m/>
    <m/>
  </r>
  <r>
    <n v="13.786566414641623"/>
    <s v="99.- Cosecha 2013 - Real"/>
    <x v="2"/>
    <s v="Real"/>
    <s v="SV01EQ03TR06"/>
    <x v="3"/>
    <x v="5"/>
    <x v="5"/>
    <x v="0"/>
    <s v="SV01E03T6"/>
    <x v="1"/>
    <x v="14"/>
    <x v="85"/>
    <x v="0"/>
    <n v="419.34139511201602"/>
    <n v="39.54"/>
    <n v="39.28"/>
    <n v="108.01"/>
    <n v="7.83"/>
    <n v="14.3769945786484"/>
    <n v="12.978559648029"/>
    <n v="4242.68"/>
    <n v="1147152.24"/>
    <x v="229"/>
    <x v="0"/>
    <x v="7"/>
    <n v="60996.987358940001"/>
    <n v="55063.875447500002"/>
    <n v="16471.73"/>
    <n v="609969.87358939997"/>
    <x v="1"/>
    <s v="REAL-PROY."/>
    <m/>
    <m/>
    <m/>
    <m/>
    <m/>
    <m/>
    <m/>
    <m/>
    <m/>
  </r>
  <r>
    <n v="13.946048472075848"/>
    <s v="99.- Cosecha 2013 - Real"/>
    <x v="2"/>
    <s v="Real"/>
    <s v="SV01EQ03TR06"/>
    <x v="3"/>
    <x v="5"/>
    <x v="5"/>
    <x v="0"/>
    <s v="SV01E03T6"/>
    <x v="1"/>
    <x v="14"/>
    <x v="85"/>
    <x v="0"/>
    <n v="424.192307692307"/>
    <n v="39.54"/>
    <n v="0.26"/>
    <n v="135.19"/>
    <n v="9.69"/>
    <n v="14.4559445234708"/>
    <n v="13.1003285917496"/>
    <n v="35.15"/>
    <n v="23555.86"/>
    <x v="53"/>
    <x v="0"/>
    <x v="4"/>
    <n v="508.12644999999998"/>
    <n v="460.47654999999997"/>
    <n v="110.289999999999"/>
    <n v="5081.2645000000002"/>
    <x v="1"/>
    <s v="REAL-PROY."/>
    <m/>
    <m/>
    <m/>
    <m/>
    <m/>
    <m/>
    <m/>
    <m/>
    <m/>
  </r>
  <r>
    <n v="12.227453378171802"/>
    <s v="99.- Cosecha 2013 - Real"/>
    <x v="2"/>
    <s v="Real"/>
    <s v="SV01EQ04TR01"/>
    <x v="3"/>
    <x v="5"/>
    <x v="1"/>
    <x v="2"/>
    <s v="SV01E04T1"/>
    <x v="1"/>
    <x v="8"/>
    <x v="227"/>
    <x v="2"/>
    <n v="371.91837358605898"/>
    <n v="33.81"/>
    <n v="32.71"/>
    <n v="84.09"/>
    <n v="6.88"/>
    <n v="14.837449924314001"/>
    <n v="13.325660706134"/>
    <n v="2750.70999999999"/>
    <n v="256940.03"/>
    <x v="113"/>
    <x v="0"/>
    <x v="2"/>
    <n v="40813.52188131"/>
    <n v="36655.028160969901"/>
    <n v="12165.449999999901"/>
    <n v="408135.21881310001"/>
    <x v="1"/>
    <s v="REAL-PROY."/>
    <m/>
    <m/>
    <m/>
    <m/>
    <m/>
    <m/>
    <m/>
    <m/>
    <m/>
  </r>
  <r>
    <n v="12.401805350272012"/>
    <s v="99.- Cosecha 2013 - Real"/>
    <x v="2"/>
    <s v="Real"/>
    <s v="SV01EQ04TR02"/>
    <x v="3"/>
    <x v="5"/>
    <x v="1"/>
    <x v="3"/>
    <s v="SV01E04T2"/>
    <x v="1"/>
    <x v="8"/>
    <x v="194"/>
    <x v="2"/>
    <n v="377.22157940410699"/>
    <n v="34.57"/>
    <n v="34.57"/>
    <n v="88.49"/>
    <n v="7.13"/>
    <n v="15.491613569508599"/>
    <n v="13.962391783848799"/>
    <n v="3058.97"/>
    <n v="895168"/>
    <x v="239"/>
    <x v="0"/>
    <x v="2"/>
    <n v="47388.381160719997"/>
    <n v="42710.537595039998"/>
    <n v="13040.55"/>
    <n v="473883.81160720001"/>
    <x v="1"/>
    <s v="REAL-PROY."/>
    <m/>
    <m/>
    <m/>
    <m/>
    <m/>
    <m/>
    <m/>
    <m/>
    <m/>
  </r>
  <r>
    <n v="12.586719320216021"/>
    <s v="99.- Cosecha 2013 - Real"/>
    <x v="2"/>
    <s v="Real"/>
    <s v="SV01EQ04TR04"/>
    <x v="3"/>
    <x v="5"/>
    <x v="1"/>
    <x v="4"/>
    <s v="SV01E04T4"/>
    <x v="1"/>
    <x v="1"/>
    <x v="145"/>
    <x v="0"/>
    <n v="382.84604598990398"/>
    <n v="35.659999999999997"/>
    <n v="35.659999999999997"/>
    <n v="112.81"/>
    <n v="8.9600000000000009"/>
    <n v="13.785105623488599"/>
    <n v="12.3445385241923"/>
    <n v="4022.6299999999901"/>
    <n v="1518857.7"/>
    <x v="65"/>
    <x v="0"/>
    <x v="11"/>
    <n v="55452.379434214003"/>
    <n v="49657.511003571999"/>
    <n v="13652.289999999901"/>
    <n v="554523.79434213997"/>
    <x v="1"/>
    <s v="REAL-PROY."/>
    <m/>
    <m/>
    <m/>
    <m/>
    <m/>
    <m/>
    <m/>
    <m/>
    <m/>
  </r>
  <r>
    <n v="12.678419546105063"/>
    <s v="99.- Cosecha 2013 - Real"/>
    <x v="2"/>
    <s v="Real"/>
    <s v="SV01EQ04TR05"/>
    <x v="3"/>
    <x v="5"/>
    <x v="1"/>
    <x v="5"/>
    <s v="SV01E04T5"/>
    <x v="1"/>
    <x v="1"/>
    <x v="228"/>
    <x v="0"/>
    <n v="385.635261194029"/>
    <n v="38.81"/>
    <n v="10.719999999999899"/>
    <n v="115.75"/>
    <n v="9.1300000000000008"/>
    <n v="14.808943208100599"/>
    <n v="13.363162353721901"/>
    <n v="1240.8899999999901"/>
    <n v="360860.77"/>
    <x v="191"/>
    <x v="0"/>
    <x v="11"/>
    <n v="18376.2695375"/>
    <n v="16582.21453311"/>
    <n v="4134.01"/>
    <n v="183762.69537500001"/>
    <x v="1"/>
    <s v="REAL-PROY."/>
    <m/>
    <m/>
    <m/>
    <m/>
    <m/>
    <m/>
    <m/>
    <m/>
    <m/>
  </r>
  <r>
    <n v="13.425777222918477"/>
    <s v="99.- Cosecha 2013 - Real"/>
    <x v="2"/>
    <s v="Real"/>
    <s v="SV01EQ04TR05"/>
    <x v="3"/>
    <x v="5"/>
    <x v="1"/>
    <x v="5"/>
    <s v="SV01E04T5"/>
    <x v="1"/>
    <x v="1"/>
    <x v="228"/>
    <x v="0"/>
    <n v="408.36739053043698"/>
    <n v="38.81"/>
    <n v="28.09"/>
    <n v="118.85"/>
    <n v="8.85"/>
    <n v="13.8773077469356"/>
    <n v="12.4203747015522"/>
    <n v="3338.44"/>
    <n v="793184.41"/>
    <x v="203"/>
    <x v="0"/>
    <x v="8"/>
    <n v="46328.559274679901"/>
    <n v="41464.675718649902"/>
    <n v="11471.039999999901"/>
    <n v="463285.59274679999"/>
    <x v="1"/>
    <s v="REAL-PROY."/>
    <m/>
    <m/>
    <m/>
    <m/>
    <m/>
    <m/>
    <m/>
    <m/>
    <m/>
  </r>
  <r>
    <n v="13.430331225083176"/>
    <s v="99.- Cosecha 2013 - Real"/>
    <x v="2"/>
    <s v="Real"/>
    <s v="SV01EQ04TR06"/>
    <x v="3"/>
    <x v="5"/>
    <x v="1"/>
    <x v="0"/>
    <s v="SV01E04T6"/>
    <x v="1"/>
    <x v="1"/>
    <x v="229"/>
    <x v="0"/>
    <n v="408.50590809628"/>
    <n v="29.43"/>
    <n v="22.85"/>
    <n v="122.87"/>
    <n v="9.15"/>
    <n v="13.772761292115"/>
    <n v="12.3118926597708"/>
    <n v="2807.49"/>
    <n v="855484.8"/>
    <x v="164"/>
    <x v="0"/>
    <x v="8"/>
    <n v="38666.889600000002"/>
    <n v="34565.515523379901"/>
    <n v="9334.36"/>
    <n v="386668.89600000001"/>
    <x v="1"/>
    <s v="REAL-PROY."/>
    <m/>
    <m/>
    <m/>
    <m/>
    <m/>
    <m/>
    <m/>
    <m/>
    <m/>
  </r>
  <r>
    <n v="15.005028839221316"/>
    <s v="99.- Cosecha 2013 - Real"/>
    <x v="2"/>
    <s v="Real"/>
    <s v="SV01EQ04TR06"/>
    <x v="3"/>
    <x v="5"/>
    <x v="1"/>
    <x v="0"/>
    <s v="SV01E04T6"/>
    <x v="1"/>
    <x v="1"/>
    <x v="229"/>
    <x v="0"/>
    <n v="456.40296052631498"/>
    <n v="29.43"/>
    <n v="6.0799999999999903"/>
    <n v="141.09"/>
    <n v="9.4"/>
    <n v="13.694552412685599"/>
    <n v="12.1940289216152"/>
    <n v="857.81999999999903"/>
    <n v="300489.62"/>
    <x v="116"/>
    <x v="0"/>
    <x v="9"/>
    <n v="11747.46095065"/>
    <n v="10460.28188954"/>
    <n v="2774.93"/>
    <n v="117474.6095065"/>
    <x v="1"/>
    <s v="REAL-PROY."/>
    <m/>
    <m/>
    <m/>
    <m/>
    <m/>
    <m/>
    <m/>
    <m/>
    <m/>
  </r>
  <r>
    <n v="12.776575682382115"/>
    <s v="99.- Cosecha 2013 - Real"/>
    <x v="2"/>
    <s v="Real"/>
    <s v="SV01EQ05TR01"/>
    <x v="3"/>
    <x v="5"/>
    <x v="2"/>
    <x v="2"/>
    <s v="SV01E05T1"/>
    <x v="0"/>
    <x v="12"/>
    <x v="230"/>
    <x v="0"/>
    <n v="388.62084367245598"/>
    <n v="40.299999999999997"/>
    <n v="40.299999999999997"/>
    <n v="119.8"/>
    <n v="9.3800000000000008"/>
    <n v="15.937455897046901"/>
    <n v="14.452323834046499"/>
    <n v="4827.7529999999997"/>
    <n v="1442950.08"/>
    <x v="240"/>
    <x v="0"/>
    <x v="2"/>
    <n v="76942.100519336294"/>
    <n v="69772.249746789603"/>
    <n v="15661.4199999999"/>
    <n v="769421.00519336294"/>
    <x v="1"/>
    <s v="REAL-PROY."/>
    <m/>
    <m/>
    <m/>
    <m/>
    <m/>
    <m/>
    <m/>
    <m/>
    <m/>
  </r>
  <r>
    <n v="12.427397260273972"/>
    <s v="99.- Cosecha 2013 - Real"/>
    <x v="2"/>
    <s v="Real"/>
    <s v="SV01EQ05TR03"/>
    <x v="3"/>
    <x v="5"/>
    <x v="2"/>
    <x v="1"/>
    <s v="SV01E05T3"/>
    <x v="3"/>
    <x v="5"/>
    <x v="231"/>
    <x v="2"/>
    <n v="378"/>
    <n v="35.32"/>
    <n v="2.46"/>
    <n v="145.84"/>
    <n v="11.74"/>
    <n v="13.755625"/>
    <n v="12.236249999999901"/>
    <n v="358.77"/>
    <n v="261617.71"/>
    <x v="76"/>
    <x v="0"/>
    <x v="3"/>
    <n v="4935.1055812499999"/>
    <n v="4389.9994124999903"/>
    <n v="929.88"/>
    <n v="49351.055812500003"/>
    <x v="1"/>
    <s v="REAL-PROY."/>
    <m/>
    <m/>
    <m/>
    <m/>
    <m/>
    <m/>
    <m/>
    <m/>
    <m/>
  </r>
  <r>
    <n v="12.550269720441205"/>
    <s v="99.- Cosecha 2013 - Real"/>
    <x v="2"/>
    <s v="Real"/>
    <s v="SV01EQ05TR03"/>
    <x v="3"/>
    <x v="5"/>
    <x v="2"/>
    <x v="1"/>
    <s v="SV01E05T3"/>
    <x v="3"/>
    <x v="5"/>
    <x v="231"/>
    <x v="2"/>
    <n v="381.73737066341999"/>
    <n v="35.32"/>
    <n v="32.86"/>
    <n v="155.55000000000001"/>
    <n v="12.39"/>
    <n v="14.699916909893901"/>
    <n v="13.1870834106451"/>
    <n v="5111.53"/>
    <n v="1331109.83"/>
    <x v="151"/>
    <x v="0"/>
    <x v="1"/>
    <n v="75139.066282429994"/>
    <n v="67406.172466015007"/>
    <n v="12543.89"/>
    <n v="751390.6628243"/>
    <x v="1"/>
    <s v="REAL-PROY."/>
    <m/>
    <m/>
    <m/>
    <m/>
    <m/>
    <m/>
    <m/>
    <m/>
    <m/>
  </r>
  <r>
    <n v="13.869856661938126"/>
    <s v="99.- Cosecha 2013 - Real"/>
    <x v="2"/>
    <s v="Real"/>
    <s v="SV01EQ05TR04"/>
    <x v="3"/>
    <x v="5"/>
    <x v="2"/>
    <x v="4"/>
    <s v="SV01E05T4"/>
    <x v="1"/>
    <x v="5"/>
    <x v="46"/>
    <x v="0"/>
    <n v="421.87480680061799"/>
    <n v="38.82"/>
    <n v="38.82"/>
    <n v="122.73"/>
    <n v="8.85"/>
    <n v="14.6212580579839"/>
    <n v="13.087164355337499"/>
    <n v="4764.2139999999999"/>
    <n v="1475247.6"/>
    <x v="241"/>
    <x v="0"/>
    <x v="10"/>
    <n v="69658.8023374599"/>
    <n v="62350.051641999897"/>
    <n v="16377.1799999999"/>
    <n v="696588.02337459906"/>
    <x v="1"/>
    <s v="REAL-PROY."/>
    <m/>
    <m/>
    <m/>
    <m/>
    <m/>
    <m/>
    <m/>
    <m/>
    <m/>
  </r>
  <r>
    <n v="13.693935956722784"/>
    <s v="99.- Cosecha 2013 - Real"/>
    <x v="2"/>
    <s v="Real"/>
    <s v="SV01EQ05TR05"/>
    <x v="3"/>
    <x v="5"/>
    <x v="2"/>
    <x v="5"/>
    <s v="SV01E05T5"/>
    <x v="1"/>
    <x v="5"/>
    <x v="232"/>
    <x v="0"/>
    <n v="416.52388535031798"/>
    <n v="43.96"/>
    <n v="43.96"/>
    <n v="120.58"/>
    <n v="8.81"/>
    <n v="14.285673535660701"/>
    <n v="12.7761681285936"/>
    <n v="5300.65"/>
    <n v="1067752.3700000001"/>
    <x v="242"/>
    <x v="0"/>
    <x v="8"/>
    <n v="75723.355426800001"/>
    <n v="67721.995590830003"/>
    <n v="18310.39"/>
    <n v="757233.55426799995"/>
    <x v="1"/>
    <s v="REAL-PROY."/>
    <m/>
    <m/>
    <m/>
    <m/>
    <m/>
    <m/>
    <m/>
    <m/>
    <m/>
  </r>
  <r>
    <n v="12.038867147953281"/>
    <s v="99.- Cosecha 2013 - Real"/>
    <x v="2"/>
    <s v="Real"/>
    <s v="SV01EQ06TR03"/>
    <x v="3"/>
    <x v="5"/>
    <x v="14"/>
    <x v="1"/>
    <s v="SV01E06T3"/>
    <x v="1"/>
    <x v="14"/>
    <x v="67"/>
    <x v="0"/>
    <n v="366.18220908357898"/>
    <n v="37.21"/>
    <n v="37.21"/>
    <n v="140.56"/>
    <n v="11.68"/>
    <n v="15.1474305486601"/>
    <n v="13.6345571047557"/>
    <n v="5230.1469999999899"/>
    <n v="815611.46"/>
    <x v="243"/>
    <x v="0"/>
    <x v="3"/>
    <n v="79223.288441783006"/>
    <n v="71310.737937767"/>
    <n v="13625.64"/>
    <n v="792232.88441783004"/>
    <x v="1"/>
    <s v="REAL-PROY."/>
    <m/>
    <m/>
    <m/>
    <m/>
    <m/>
    <m/>
    <m/>
    <m/>
    <m/>
  </r>
  <r>
    <n v="14.670913228243036"/>
    <s v="99.- Cosecha 2013 - Real"/>
    <x v="2"/>
    <s v="Real"/>
    <s v="SV01EQ06TR04"/>
    <x v="3"/>
    <x v="5"/>
    <x v="14"/>
    <x v="4"/>
    <s v="SV01E06T4"/>
    <x v="0"/>
    <x v="3"/>
    <x v="166"/>
    <x v="0"/>
    <n v="446.24027735905901"/>
    <n v="33.17"/>
    <n v="33.17"/>
    <n v="86.31"/>
    <n v="5.88"/>
    <n v="15.9786235371587"/>
    <n v="14.512144724910399"/>
    <n v="2862.85"/>
    <n v="484676.98"/>
    <x v="58"/>
    <x v="0"/>
    <x v="4"/>
    <n v="45744.402393354998"/>
    <n v="41546.093525709999"/>
    <n v="14801.789999999901"/>
    <n v="457444.02393354999"/>
    <x v="1"/>
    <s v="REAL-PROY."/>
    <m/>
    <m/>
    <m/>
    <m/>
    <m/>
    <m/>
    <m/>
    <m/>
    <m/>
  </r>
  <r>
    <n v="14.50653212844993"/>
    <s v="99.- Cosecha 2013 - Real"/>
    <x v="2"/>
    <s v="Real"/>
    <s v="SV01EQ06TR05"/>
    <x v="3"/>
    <x v="5"/>
    <x v="14"/>
    <x v="5"/>
    <s v="SV01E06T5"/>
    <x v="0"/>
    <x v="3"/>
    <x v="86"/>
    <x v="0"/>
    <n v="441.24035224035202"/>
    <n v="38.61"/>
    <n v="38.61"/>
    <n v="104.27"/>
    <n v="7.19"/>
    <n v="15.601348517070999"/>
    <n v="14.1317045654287"/>
    <n v="4025.83"/>
    <n v="1039545.45"/>
    <x v="244"/>
    <x v="0"/>
    <x v="4"/>
    <n v="62808.376900479998"/>
    <n v="56891.840190640003"/>
    <n v="17036.29"/>
    <n v="628083.76900480001"/>
    <x v="1"/>
    <s v="REAL-PROY."/>
    <m/>
    <m/>
    <m/>
    <m/>
    <m/>
    <m/>
    <m/>
    <m/>
    <m/>
  </r>
  <r>
    <n v="14.33309407066672"/>
    <s v="99.- Cosecha 2013 - Real"/>
    <x v="2"/>
    <s v="Real"/>
    <s v="SV01EQ07TR01"/>
    <x v="3"/>
    <x v="5"/>
    <x v="15"/>
    <x v="2"/>
    <s v="SV01E07T1"/>
    <x v="0"/>
    <x v="12"/>
    <x v="233"/>
    <x v="0"/>
    <n v="435.96494464944601"/>
    <n v="37.94"/>
    <n v="37.94"/>
    <n v="109.69"/>
    <n v="7.65"/>
    <n v="15.876639136319399"/>
    <n v="14.390352989751401"/>
    <n v="4161.5499999999902"/>
    <n v="1521581.54"/>
    <x v="64"/>
    <x v="0"/>
    <x v="4"/>
    <n v="66071.427597749993"/>
    <n v="59886.173484500003"/>
    <n v="16540.509999999998"/>
    <n v="660714.27597750002"/>
    <x v="1"/>
    <s v="REAL-PROY."/>
    <m/>
    <m/>
    <m/>
    <m/>
    <m/>
    <m/>
    <m/>
    <m/>
    <m/>
  </r>
  <r>
    <n v="14.209021846065305"/>
    <s v="99.- Cosecha 2013 - Real"/>
    <x v="2"/>
    <s v="Real"/>
    <s v="SV01EQ07TR02"/>
    <x v="3"/>
    <x v="5"/>
    <x v="15"/>
    <x v="3"/>
    <s v="SV01E07T2"/>
    <x v="0"/>
    <x v="12"/>
    <x v="234"/>
    <x v="0"/>
    <n v="432.19108115115301"/>
    <n v="38.57"/>
    <n v="38.57"/>
    <n v="117.35"/>
    <n v="8.26"/>
    <n v="15.5786706991518"/>
    <n v="14.1072890463383"/>
    <n v="4526.2700000000004"/>
    <n v="1059867.8799999999"/>
    <x v="205"/>
    <x v="0"/>
    <x v="4"/>
    <n v="70513.269825449999"/>
    <n v="63853.399191769902"/>
    <n v="16669.61"/>
    <n v="705132.69825450005"/>
    <x v="1"/>
    <s v="REAL-PROY."/>
    <m/>
    <m/>
    <m/>
    <m/>
    <m/>
    <m/>
    <m/>
    <m/>
    <m/>
  </r>
  <r>
    <n v="15.893622306626106"/>
    <s v="99.- Cosecha 2013 - Real"/>
    <x v="2"/>
    <s v="Real"/>
    <s v="SV01EQ07TR03"/>
    <x v="3"/>
    <x v="5"/>
    <x v="15"/>
    <x v="1"/>
    <s v="SV01E07T3"/>
    <x v="1"/>
    <x v="13"/>
    <x v="235"/>
    <x v="0"/>
    <n v="483.43101182654402"/>
    <n v="32.909999999999897"/>
    <n v="15.219999999999899"/>
    <n v="185.72"/>
    <n v="11.69"/>
    <n v="13.7129358696961"/>
    <n v="12.2195855375427"/>
    <n v="2826.6550000000002"/>
    <n v="404845.93"/>
    <x v="227"/>
    <x v="0"/>
    <x v="11"/>
    <n v="38761.738740756002"/>
    <n v="34540.552557622999"/>
    <n v="7357.82"/>
    <n v="387617.38740756002"/>
    <x v="1"/>
    <s v="REAL-PROY."/>
    <m/>
    <m/>
    <m/>
    <m/>
    <m/>
    <m/>
    <m/>
    <m/>
    <m/>
  </r>
  <r>
    <n v="13.691985356044045"/>
    <s v="99.- Cosecha 2013 - Real"/>
    <x v="2"/>
    <s v="Real"/>
    <s v="SV01EQ07TR04"/>
    <x v="3"/>
    <x v="5"/>
    <x v="15"/>
    <x v="4"/>
    <s v="SV01E07T4"/>
    <x v="0"/>
    <x v="12"/>
    <x v="236"/>
    <x v="0"/>
    <n v="416.46455457967301"/>
    <n v="31.88"/>
    <n v="31.88"/>
    <n v="151.63999999999999"/>
    <n v="11.07"/>
    <n v="14.1117991752121"/>
    <n v="12.6104487235537"/>
    <n v="4834.1399999999903"/>
    <n v="1052115.58"/>
    <x v="122"/>
    <x v="0"/>
    <x v="10"/>
    <n v="68218.412864860002"/>
    <n v="60960.674592479998"/>
    <n v="13276.89"/>
    <n v="682184.12864859996"/>
    <x v="1"/>
    <s v="REAL-PROY."/>
    <m/>
    <m/>
    <m/>
    <m/>
    <m/>
    <m/>
    <m/>
    <m/>
    <m/>
  </r>
  <r>
    <n v="13.796574590619946"/>
    <s v="99.- Cosecha 2013 - Real"/>
    <x v="2"/>
    <s v="Real"/>
    <s v="SV01EQ07TR05"/>
    <x v="3"/>
    <x v="5"/>
    <x v="15"/>
    <x v="5"/>
    <s v="SV01E07T5"/>
    <x v="1"/>
    <x v="5"/>
    <x v="237"/>
    <x v="0"/>
    <n v="419.64581046468999"/>
    <n v="29.25"/>
    <n v="27.33"/>
    <n v="176.34"/>
    <n v="12.78"/>
    <n v="13.029906063046401"/>
    <n v="11.5941646791835"/>
    <n v="4819.3509999999997"/>
    <n v="1416216.52"/>
    <x v="245"/>
    <x v="0"/>
    <x v="8"/>
    <n v="62795.690814848997"/>
    <n v="55876.349140787897"/>
    <n v="11468.92"/>
    <n v="627956.90814849001"/>
    <x v="1"/>
    <s v="REAL-PROY."/>
    <m/>
    <m/>
    <m/>
    <m/>
    <m/>
    <m/>
    <m/>
    <m/>
    <m/>
  </r>
  <r>
    <n v="14.483390410958892"/>
    <s v="99.- Cosecha 2013 - Real"/>
    <x v="2"/>
    <s v="Real"/>
    <s v="SV01EQ07TR05"/>
    <x v="3"/>
    <x v="5"/>
    <x v="15"/>
    <x v="5"/>
    <s v="SV01E07T5"/>
    <x v="1"/>
    <x v="5"/>
    <x v="237"/>
    <x v="0"/>
    <n v="440.53645833333297"/>
    <n v="29.25"/>
    <n v="1.92"/>
    <n v="154.30000000000001"/>
    <n v="10.65"/>
    <n v="13.2743491824895"/>
    <n v="11.786698819279099"/>
    <n v="296.25799999999998"/>
    <n v="153574.16"/>
    <x v="246"/>
    <x v="0"/>
    <x v="9"/>
    <n v="3932.632140106"/>
    <n v="3491.9038188019999"/>
    <n v="845.83"/>
    <n v="39326.321401059999"/>
    <x v="1"/>
    <s v="REAL-PROY."/>
    <m/>
    <m/>
    <m/>
    <m/>
    <m/>
    <m/>
    <m/>
    <m/>
    <m/>
  </r>
  <r>
    <n v="13.661865948401489"/>
    <s v="99.- Cosecha 2013 - Real"/>
    <x v="2"/>
    <s v="Real"/>
    <s v="SV01EQ08TR01"/>
    <x v="3"/>
    <x v="5"/>
    <x v="6"/>
    <x v="2"/>
    <s v="SV01E08T1"/>
    <x v="1"/>
    <x v="14"/>
    <x v="55"/>
    <x v="0"/>
    <n v="415.54842259721198"/>
    <n v="27.76"/>
    <n v="27.259999999999899"/>
    <n v="103.6"/>
    <n v="7.58"/>
    <n v="14.5523936339541"/>
    <n v="13.1067197211528"/>
    <n v="2824.05599999999"/>
    <n v="495979.63"/>
    <x v="201"/>
    <x v="0"/>
    <x v="11"/>
    <n v="41096.774556329998"/>
    <n v="37014.110468840001"/>
    <n v="11327.8499999999"/>
    <n v="410967.74556329998"/>
    <x v="1"/>
    <s v="REAL-PROY."/>
    <m/>
    <m/>
    <m/>
    <m/>
    <m/>
    <m/>
    <m/>
    <m/>
    <m/>
  </r>
  <r>
    <n v="14.794520547945206"/>
    <s v="99.- Cosecha 2013 - Real"/>
    <x v="2"/>
    <s v="Real"/>
    <s v="SV01EQ08TR01"/>
    <x v="3"/>
    <x v="5"/>
    <x v="6"/>
    <x v="2"/>
    <s v="SV01E08T1"/>
    <x v="1"/>
    <x v="14"/>
    <x v="55"/>
    <x v="0"/>
    <n v="450"/>
    <n v="27.76"/>
    <n v="0.5"/>
    <n v="114.46"/>
    <n v="7.74"/>
    <n v="14.0025"/>
    <n v="12.567"/>
    <n v="57.23"/>
    <n v="65505.46"/>
    <x v="247"/>
    <x v="0"/>
    <x v="8"/>
    <n v="801.36307499999998"/>
    <n v="719.20940999999902"/>
    <n v="225"/>
    <n v="8013.6307500000003"/>
    <x v="1"/>
    <s v="REAL-PROY."/>
    <m/>
    <m/>
    <m/>
    <m/>
    <m/>
    <m/>
    <m/>
    <m/>
    <m/>
  </r>
  <r>
    <n v="12.680981964151103"/>
    <s v="99.- Cosecha 2013 - Real"/>
    <x v="2"/>
    <s v="Real"/>
    <s v="SV01EQ08TR02"/>
    <x v="3"/>
    <x v="5"/>
    <x v="6"/>
    <x v="3"/>
    <s v="SV01E08T2"/>
    <x v="1"/>
    <x v="14"/>
    <x v="200"/>
    <x v="5"/>
    <n v="385.71320140959602"/>
    <n v="36.89"/>
    <n v="36.89"/>
    <n v="110.75"/>
    <n v="8.73"/>
    <n v="13.7759985406404"/>
    <n v="12.334281369962101"/>
    <n v="4085.58"/>
    <n v="1522094.59"/>
    <x v="247"/>
    <x v="0"/>
    <x v="8"/>
    <n v="56282.944117669998"/>
    <n v="50392.693279489999"/>
    <n v="14228.96"/>
    <n v="562829.44117670006"/>
    <x v="1"/>
    <s v="REAL-PROY."/>
    <m/>
    <m/>
    <m/>
    <m/>
    <m/>
    <m/>
    <m/>
    <m/>
    <m/>
  </r>
  <r>
    <n v="13.27979163147929"/>
    <s v="99.- Cosecha 2013 - Real"/>
    <x v="2"/>
    <s v="Real"/>
    <s v="SV01EQ08TR03"/>
    <x v="3"/>
    <x v="5"/>
    <x v="6"/>
    <x v="1"/>
    <s v="SV01E08T3"/>
    <x v="1"/>
    <x v="14"/>
    <x v="37"/>
    <x v="0"/>
    <n v="403.92699545749502"/>
    <n v="40.67"/>
    <n v="30.819999999999901"/>
    <n v="94.45"/>
    <n v="7.11"/>
    <n v="15.0486007426847"/>
    <n v="13.5487467669405"/>
    <n v="2911.06"/>
    <n v="915477.32"/>
    <x v="157"/>
    <x v="0"/>
    <x v="11"/>
    <n v="43807.379677999998"/>
    <n v="39441.214763370001"/>
    <n v="12449.029999999901"/>
    <n v="438073.79677999998"/>
    <x v="1"/>
    <s v="REAL-PROY."/>
    <m/>
    <m/>
    <m/>
    <m/>
    <m/>
    <m/>
    <m/>
    <m/>
    <m/>
  </r>
  <r>
    <n v="12.826404987706358"/>
    <s v="99.- Cosecha 2013 - Real"/>
    <x v="2"/>
    <s v="Real"/>
    <s v="SV01EQ08TR04"/>
    <x v="3"/>
    <x v="5"/>
    <x v="6"/>
    <x v="4"/>
    <s v="SV01E08T4"/>
    <x v="0"/>
    <x v="1"/>
    <x v="212"/>
    <x v="0"/>
    <n v="390.13648504273499"/>
    <n v="37.44"/>
    <n v="37.44"/>
    <n v="105.69"/>
    <n v="8.24"/>
    <n v="13.594968045644499"/>
    <n v="12.0665201586654"/>
    <n v="3956.88"/>
    <n v="529114.72"/>
    <x v="203"/>
    <x v="0"/>
    <x v="8"/>
    <n v="53793.657160449999"/>
    <n v="47745.772285419996"/>
    <n v="14606.71"/>
    <n v="537936.57160449994"/>
    <x v="1"/>
    <s v="REAL-PROY."/>
    <m/>
    <m/>
    <m/>
    <m/>
    <m/>
    <m/>
    <m/>
    <m/>
    <m/>
  </r>
  <r>
    <n v="5.7238356164383557"/>
    <s v="99.- Cosecha 2013 - Real"/>
    <x v="2"/>
    <s v="Real"/>
    <s v="SV01EQ08TR04"/>
    <x v="3"/>
    <x v="5"/>
    <x v="6"/>
    <x v="4"/>
    <s v="SV01E08T4"/>
    <x v="2"/>
    <x v="2"/>
    <x v="238"/>
    <x v="0"/>
    <n v="174.1"/>
    <n v="39.81"/>
    <n v="4.5"/>
    <n v="121.39"/>
    <n v="21.21"/>
    <n v="14.847131716147601"/>
    <n v="13.4288008105698"/>
    <n v="546.27"/>
    <n v="338738.43"/>
    <x v="155"/>
    <x v="0"/>
    <x v="5"/>
    <n v="8110.5426425799997"/>
    <n v="7335.7510187899998"/>
    <n v="783.44999999999902"/>
    <n v="81105.426425799902"/>
    <x v="1"/>
    <s v="REAL-PROY."/>
    <m/>
    <m/>
    <m/>
    <m/>
    <m/>
    <m/>
    <m/>
    <m/>
    <m/>
  </r>
  <r>
    <n v="12.379444762748054"/>
    <s v="99.- Cosecha 2013 - Real"/>
    <x v="2"/>
    <s v="Real"/>
    <s v="SV01EQ08TR05"/>
    <x v="3"/>
    <x v="5"/>
    <x v="6"/>
    <x v="5"/>
    <s v="SV01E08T5"/>
    <x v="0"/>
    <x v="5"/>
    <x v="44"/>
    <x v="0"/>
    <n v="376.54144486692002"/>
    <n v="39.450000000000003"/>
    <n v="39.450000000000003"/>
    <n v="117.65"/>
    <n v="9.5"/>
    <n v="15.5676896338907"/>
    <n v="14.0960443024771"/>
    <n v="4641.21"/>
    <n v="1366748.61"/>
    <x v="177"/>
    <x v="0"/>
    <x v="2"/>
    <n v="72252.916805710003"/>
    <n v="65422.701777099901"/>
    <n v="14854.56"/>
    <n v="722529.16805710003"/>
    <x v="1"/>
    <s v="REAL-PROY."/>
    <m/>
    <m/>
    <m/>
    <m/>
    <m/>
    <m/>
    <m/>
    <m/>
    <m/>
  </r>
  <r>
    <n v="13.074683053304188"/>
    <s v="99.- Cosecha 2013 - Real"/>
    <x v="2"/>
    <s v="Real"/>
    <s v="SV01EQ08TR06"/>
    <x v="3"/>
    <x v="5"/>
    <x v="6"/>
    <x v="0"/>
    <s v="SV01E08T6"/>
    <x v="1"/>
    <x v="1"/>
    <x v="239"/>
    <x v="0"/>
    <n v="397.68827620466902"/>
    <n v="40.26"/>
    <n v="40.26"/>
    <n v="129.77000000000001"/>
    <n v="9.93"/>
    <n v="13.6742645375138"/>
    <n v="12.2015873318137"/>
    <n v="5224.7290000000003"/>
    <n v="1145216.1299999999"/>
    <x v="248"/>
    <x v="0"/>
    <x v="8"/>
    <n v="71444.326482819903"/>
    <n v="63749.987178559997"/>
    <n v="16010.9299999999"/>
    <n v="714443.26482819906"/>
    <x v="1"/>
    <s v="REAL-PROY."/>
    <m/>
    <m/>
    <m/>
    <m/>
    <m/>
    <m/>
    <m/>
    <m/>
    <m/>
  </r>
  <r>
    <n v="13.309616936488142"/>
    <s v="99.- Cosecha 2013 - Real"/>
    <x v="2"/>
    <s v="Real"/>
    <s v="SV01EQ09TR01"/>
    <x v="3"/>
    <x v="5"/>
    <x v="10"/>
    <x v="2"/>
    <s v="SV01E09T1"/>
    <x v="1"/>
    <x v="12"/>
    <x v="90"/>
    <x v="0"/>
    <n v="404.83418181818098"/>
    <n v="50.92"/>
    <n v="27.5"/>
    <n v="131.11000000000001"/>
    <n v="9.85"/>
    <n v="14.4712643387267"/>
    <n v="13.0139371223423"/>
    <n v="3605.62"/>
    <n v="1214786"/>
    <x v="226"/>
    <x v="0"/>
    <x v="11"/>
    <n v="52177.880124999901"/>
    <n v="46923.311967059999"/>
    <n v="11132.94"/>
    <n v="521778.80125000002"/>
    <x v="1"/>
    <s v="REAL-PROY."/>
    <m/>
    <m/>
    <m/>
    <m/>
    <m/>
    <m/>
    <m/>
    <m/>
    <m/>
  </r>
  <r>
    <n v="14.961958765409918"/>
    <s v="99.- Cosecha 2013 - Real"/>
    <x v="2"/>
    <s v="Real"/>
    <s v="SV01EQ09TR01"/>
    <x v="3"/>
    <x v="5"/>
    <x v="10"/>
    <x v="2"/>
    <s v="SV01E09T1"/>
    <x v="1"/>
    <x v="12"/>
    <x v="90"/>
    <x v="0"/>
    <n v="455.092912447885"/>
    <n v="50.92"/>
    <n v="16.79"/>
    <n v="115.25"/>
    <n v="7.7"/>
    <n v="12.886985076103301"/>
    <n v="11.457273878883701"/>
    <n v="1935"/>
    <n v="553594.01"/>
    <x v="48"/>
    <x v="0"/>
    <x v="8"/>
    <n v="24936.316122259999"/>
    <n v="22169.824955640001"/>
    <n v="7641.01"/>
    <n v="249363.1612226"/>
    <x v="1"/>
    <s v="REAL-PROY."/>
    <m/>
    <m/>
    <m/>
    <m/>
    <m/>
    <m/>
    <m/>
    <m/>
    <m/>
  </r>
  <r>
    <n v="15.024657534246575"/>
    <s v="99.- Cosecha 2013 - Real"/>
    <x v="2"/>
    <s v="Real"/>
    <s v="SV01EQ09TR01"/>
    <x v="3"/>
    <x v="5"/>
    <x v="10"/>
    <x v="2"/>
    <s v="SV01E09T1"/>
    <x v="1"/>
    <x v="12"/>
    <x v="90"/>
    <x v="0"/>
    <n v="457"/>
    <n v="50.919999999999902"/>
    <n v="6.63"/>
    <n v="173.59"/>
    <n v="11.55"/>
    <n v="13.015222222222199"/>
    <n v="11.535555555555501"/>
    <n v="1150.8719999999901"/>
    <n v="665915.72"/>
    <x v="49"/>
    <x v="0"/>
    <x v="9"/>
    <n v="14978.854829333301"/>
    <n v="13275.947893333299"/>
    <n v="3029.91"/>
    <n v="149788.54829333301"/>
    <x v="1"/>
    <s v="REAL-PROY."/>
    <m/>
    <m/>
    <m/>
    <m/>
    <m/>
    <m/>
    <m/>
    <m/>
    <m/>
  </r>
  <r>
    <n v="15.246472602739725"/>
    <s v="99.- Cosecha 2013 - Real"/>
    <x v="2"/>
    <s v="Real"/>
    <s v="SV01EQ09TR02"/>
    <x v="3"/>
    <x v="5"/>
    <x v="10"/>
    <x v="3"/>
    <s v="SV01E09T2"/>
    <x v="1"/>
    <x v="13"/>
    <x v="240"/>
    <x v="0"/>
    <n v="463.74687499999999"/>
    <n v="45.56"/>
    <n v="22.4"/>
    <n v="151.18"/>
    <n v="9.92"/>
    <n v="14.5025054672629"/>
    <n v="12.995894081651199"/>
    <n v="3386.5259999999998"/>
    <n v="1286311.92"/>
    <x v="122"/>
    <x v="0"/>
    <x v="10"/>
    <n v="49113.111830028"/>
    <n v="44010.933200758001"/>
    <n v="10387.93"/>
    <n v="491131.11830028001"/>
    <x v="1"/>
    <s v="REAL-PROY."/>
    <m/>
    <m/>
    <m/>
    <m/>
    <m/>
    <m/>
    <m/>
    <m/>
    <m/>
  </r>
  <r>
    <n v="15.418198594648274"/>
    <s v="99.- Cosecha 2013 - Real"/>
    <x v="2"/>
    <s v="Real"/>
    <s v="SV01EQ09TR02"/>
    <x v="3"/>
    <x v="5"/>
    <x v="10"/>
    <x v="3"/>
    <s v="SV01E09T2"/>
    <x v="1"/>
    <x v="13"/>
    <x v="240"/>
    <x v="0"/>
    <n v="468.97020725388501"/>
    <n v="45.56"/>
    <n v="23.16"/>
    <n v="157.13999999999999"/>
    <n v="10.19"/>
    <n v="14.1813134882028"/>
    <n v="12.682361109310399"/>
    <n v="3639.45"/>
    <n v="1414783.54"/>
    <x v="249"/>
    <x v="0"/>
    <x v="3"/>
    <n v="51612.18137464"/>
    <n v="46156.81913928"/>
    <n v="10861.3499999999"/>
    <n v="516121.81374639901"/>
    <x v="1"/>
    <s v="REAL-PROY."/>
    <m/>
    <m/>
    <m/>
    <m/>
    <m/>
    <m/>
    <m/>
    <m/>
    <m/>
  </r>
  <r>
    <n v="11.739230473206971"/>
    <s v="99.- Cosecha 2013 - Real"/>
    <x v="2"/>
    <s v="Real"/>
    <s v="SV01EQ09TR03"/>
    <x v="3"/>
    <x v="5"/>
    <x v="10"/>
    <x v="1"/>
    <s v="SV01E09T3"/>
    <x v="1"/>
    <x v="12"/>
    <x v="75"/>
    <x v="0"/>
    <n v="357.06826022671203"/>
    <n v="40.68"/>
    <n v="40.58"/>
    <n v="109.47"/>
    <n v="9.33"/>
    <n v="15.499724359075801"/>
    <n v="14.0350868510733"/>
    <n v="4442.32"/>
    <n v="1230437.58"/>
    <x v="250"/>
    <x v="0"/>
    <x v="2"/>
    <n v="68854.735514810003"/>
    <n v="62348.34702026"/>
    <n v="14489.8299999999"/>
    <n v="688547.35514809994"/>
    <x v="1"/>
    <s v="REAL-PROY."/>
    <m/>
    <m/>
    <m/>
    <m/>
    <m/>
    <m/>
    <m/>
    <m/>
    <m/>
  </r>
  <r>
    <n v="12.032876712328767"/>
    <s v="99.- Cosecha 2013 - Real"/>
    <x v="2"/>
    <s v="Real"/>
    <s v="SV01EQ09TR03"/>
    <x v="3"/>
    <x v="5"/>
    <x v="10"/>
    <x v="1"/>
    <s v="SV01E09T3"/>
    <x v="1"/>
    <x v="12"/>
    <x v="75"/>
    <x v="0"/>
    <n v="366"/>
    <n v="40.68"/>
    <n v="0.1"/>
    <n v="113.19"/>
    <n v="9.41"/>
    <n v="12.698"/>
    <n v="11.252000000000001"/>
    <n v="11.319000000000001"/>
    <n v="12811.98"/>
    <x v="118"/>
    <x v="0"/>
    <x v="5"/>
    <n v="143.72866200000001"/>
    <n v="127.36138800000001"/>
    <n v="36.6"/>
    <n v="1437.2866200000001"/>
    <x v="1"/>
    <s v="REAL-PROY."/>
    <m/>
    <m/>
    <m/>
    <m/>
    <m/>
    <m/>
    <m/>
    <m/>
    <m/>
  </r>
  <r>
    <n v="14.537852046690805"/>
    <s v="99.- Cosecha 2013 - Real"/>
    <x v="2"/>
    <s v="Real"/>
    <s v="SV01EQ09TR05"/>
    <x v="3"/>
    <x v="5"/>
    <x v="10"/>
    <x v="5"/>
    <s v="SV01E09T5"/>
    <x v="1"/>
    <x v="12"/>
    <x v="150"/>
    <x v="0"/>
    <n v="442.19299975351203"/>
    <n v="40.840000000000003"/>
    <n v="40.57"/>
    <n v="146.91999999999999"/>
    <n v="10.11"/>
    <n v="14.0392648025719"/>
    <n v="12.5690551561147"/>
    <n v="5960.5499999999902"/>
    <n v="1766956.85"/>
    <x v="138"/>
    <x v="0"/>
    <x v="10"/>
    <n v="83681.739818970003"/>
    <n v="74918.481710780005"/>
    <n v="17939.77"/>
    <n v="836817.39818969998"/>
    <x v="1"/>
    <s v="REAL-PROY."/>
    <m/>
    <m/>
    <m/>
    <m/>
    <m/>
    <m/>
    <m/>
    <m/>
    <m/>
  </r>
  <r>
    <n v="15.045357686453555"/>
    <s v="99.- Cosecha 2013 - Real"/>
    <x v="2"/>
    <s v="Real"/>
    <s v="SV01EQ09TR05"/>
    <x v="3"/>
    <x v="5"/>
    <x v="10"/>
    <x v="5"/>
    <s v="SV01E09T5"/>
    <x v="1"/>
    <x v="12"/>
    <x v="150"/>
    <x v="0"/>
    <n v="457.62962962962899"/>
    <n v="40.840000000000003"/>
    <n v="0.27"/>
    <n v="189.48"/>
    <n v="12.59"/>
    <n v="14.094891623534"/>
    <n v="12.556225579554299"/>
    <n v="51.16"/>
    <n v="32327.77"/>
    <x v="192"/>
    <x v="0"/>
    <x v="3"/>
    <n v="721.09465546000001"/>
    <n v="642.37650065000003"/>
    <n v="123.56"/>
    <n v="7210.9465546000001"/>
    <x v="1"/>
    <s v="REAL-PROY."/>
    <m/>
    <m/>
    <m/>
    <m/>
    <m/>
    <m/>
    <m/>
    <m/>
    <m/>
  </r>
  <r>
    <n v="13.237067794636966"/>
    <s v="99.- Cosecha 2013 - Real"/>
    <x v="2"/>
    <s v="Real"/>
    <s v="SV01EQ10TR01"/>
    <x v="3"/>
    <x v="5"/>
    <x v="13"/>
    <x v="2"/>
    <s v="SV01E10T1"/>
    <x v="3"/>
    <x v="14"/>
    <x v="241"/>
    <x v="0"/>
    <n v="402.62747875354103"/>
    <n v="21.32"/>
    <n v="21.18"/>
    <n v="128.99"/>
    <n v="9.74"/>
    <n v="15.918606754893"/>
    <n v="14.417573076109001"/>
    <n v="2731.9870000000001"/>
    <n v="1182399.03"/>
    <x v="178"/>
    <x v="0"/>
    <x v="2"/>
    <n v="43489.426712480003"/>
    <n v="39388.622215479998"/>
    <n v="8527.65"/>
    <n v="434894.26712480001"/>
    <x v="1"/>
    <s v="REAL-PROY."/>
    <m/>
    <m/>
    <m/>
    <m/>
    <m/>
    <m/>
    <m/>
    <m/>
    <m/>
  </r>
  <r>
    <n v="13.676712328767124"/>
    <s v="99.- Cosecha 2013 - Real"/>
    <x v="2"/>
    <s v="Real"/>
    <s v="SV01EQ10TR01"/>
    <x v="3"/>
    <x v="5"/>
    <x v="13"/>
    <x v="2"/>
    <s v="SV01E10T1"/>
    <x v="3"/>
    <x v="14"/>
    <x v="241"/>
    <x v="0"/>
    <n v="416"/>
    <n v="21.32"/>
    <n v="0.14000000000000001"/>
    <n v="87.58"/>
    <n v="6.4"/>
    <n v="13.006"/>
    <n v="11.388999999999999"/>
    <n v="12.260999999999999"/>
    <n v="10738.01"/>
    <x v="118"/>
    <x v="0"/>
    <x v="5"/>
    <n v="159.466566"/>
    <n v="139.64052899999999"/>
    <n v="58.24"/>
    <n v="1594.6656599999999"/>
    <x v="1"/>
    <s v="REAL-PROY."/>
    <m/>
    <m/>
    <m/>
    <m/>
    <m/>
    <m/>
    <m/>
    <m/>
    <m/>
  </r>
  <r>
    <n v="15.413551190094905"/>
    <s v="99.- Cosecha 2013 - Real"/>
    <x v="2"/>
    <s v="Real"/>
    <s v="SV01EQ10TR02"/>
    <x v="3"/>
    <x v="5"/>
    <x v="13"/>
    <x v="3"/>
    <s v="SV01E10T2"/>
    <x v="3"/>
    <x v="13"/>
    <x v="242"/>
    <x v="2"/>
    <n v="468.82884869871998"/>
    <n v="22.669999999999899"/>
    <n v="22.669999999999899"/>
    <n v="179.87"/>
    <n v="11.67"/>
    <n v="13.7069388214656"/>
    <n v="12.217163944668201"/>
    <n v="4077.59"/>
    <n v="1051539.25"/>
    <x v="60"/>
    <x v="0"/>
    <x v="8"/>
    <n v="55891.276669019899"/>
    <n v="49816.585529139898"/>
    <n v="10628.35"/>
    <n v="558912.76669019903"/>
    <x v="1"/>
    <s v="REAL-PROY."/>
    <m/>
    <m/>
    <m/>
    <m/>
    <m/>
    <m/>
    <m/>
    <m/>
    <m/>
  </r>
  <r>
    <n v="12.575384759980242"/>
    <s v="99.- Cosecha 2013 - Real"/>
    <x v="2"/>
    <s v="Real"/>
    <s v="SV01EQ10TR03"/>
    <x v="3"/>
    <x v="5"/>
    <x v="13"/>
    <x v="1"/>
    <s v="SV01E10T3"/>
    <x v="3"/>
    <x v="5"/>
    <x v="152"/>
    <x v="0"/>
    <n v="382.501286449399"/>
    <n v="23.319999999999901"/>
    <n v="23.32"/>
    <n v="124.43"/>
    <n v="9.89"/>
    <n v="14.2373462511648"/>
    <n v="12.744651162731"/>
    <n v="2901.72"/>
    <n v="617661.92000000004"/>
    <x v="203"/>
    <x v="0"/>
    <x v="8"/>
    <n v="41312.792363929999"/>
    <n v="36981.409171920001"/>
    <n v="8919.93"/>
    <n v="413127.92363929999"/>
    <x v="1"/>
    <s v="REAL-PROY."/>
    <m/>
    <m/>
    <m/>
    <m/>
    <m/>
    <m/>
    <m/>
    <m/>
    <m/>
  </r>
  <r>
    <n v="15.336706165784218"/>
    <s v="99.- Cosecha 2013 - Real"/>
    <x v="2"/>
    <s v="Real"/>
    <s v="SV01EQ10TR05"/>
    <x v="3"/>
    <x v="5"/>
    <x v="13"/>
    <x v="5"/>
    <s v="SV01E10T5"/>
    <x v="1"/>
    <x v="12"/>
    <x v="118"/>
    <x v="0"/>
    <n v="466.49147920926998"/>
    <n v="21.69"/>
    <n v="14.67"/>
    <n v="91.55"/>
    <n v="5.97"/>
    <n v="14.218219219085"/>
    <n v="12.7441677072164"/>
    <n v="1343.04"/>
    <n v="614648.39"/>
    <x v="68"/>
    <x v="0"/>
    <x v="7"/>
    <n v="19095.637139999999"/>
    <n v="17115.926997499999"/>
    <n v="6843.43"/>
    <n v="190956.37139999901"/>
    <x v="1"/>
    <s v="REAL-PROY."/>
    <m/>
    <m/>
    <m/>
    <m/>
    <m/>
    <m/>
    <m/>
    <m/>
    <m/>
  </r>
  <r>
    <n v="15.386301369863014"/>
    <s v="99.- Cosecha 2013 - Real"/>
    <x v="2"/>
    <s v="Real"/>
    <s v="SV01EQ10TR05"/>
    <x v="3"/>
    <x v="5"/>
    <x v="13"/>
    <x v="5"/>
    <s v="SV01E10T5"/>
    <x v="1"/>
    <x v="12"/>
    <x v="118"/>
    <x v="0"/>
    <n v="468"/>
    <n v="21.69"/>
    <n v="2.08"/>
    <n v="95.75"/>
    <n v="6.22"/>
    <n v="14.506625"/>
    <n v="13.06475"/>
    <n v="199.15"/>
    <n v="190676.55"/>
    <x v="69"/>
    <x v="0"/>
    <x v="4"/>
    <n v="2888.9943687499999"/>
    <n v="2601.8449624999998"/>
    <n v="973.44"/>
    <n v="28889.943687499999"/>
    <x v="1"/>
    <s v="REAL-PROY.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endimientos" cacheId="1314" applyNumberFormats="0" applyBorderFormats="0" applyFontFormats="0" applyPatternFormats="0" applyAlignmentFormats="0" applyWidthHeightFormats="1" dataCaption="Valores" updatedVersion="8" minRefreshableVersion="3" showCalcMbrs="0" useAutoFormatting="1" colGrandTotals="0" itemPrintTitles="1" createdVersion="3" indent="0" compact="0" compactData="0" multipleFieldFilters="0">
  <location ref="B4:L13" firstHeaderRow="1" firstDataRow="2" firstDataCol="1"/>
  <pivotFields count="50">
    <pivotField compact="0" numFmtId="164" outline="0" showAll="0" defaultSubtotal="0"/>
    <pivotField compact="0" outline="0" multipleItemSelectionAllowed="1" showAll="0" sortType="ascending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7">
        <item sd="0" x="5"/>
        <item sd="0" x="4"/>
        <item sd="0" x="2"/>
        <item sd="0" x="1"/>
        <item sd="0" x="0"/>
        <item sd="0" x="3"/>
        <item x="6"/>
      </items>
    </pivotField>
    <pivotField compact="0" outline="0" showAll="0" sortType="ascending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dataField="1" compact="0" outline="0" showAll="0" defaultSubtotal="0"/>
    <pivotField compact="0" numFmtId="164" outline="0" showAll="0" defaultSubtotal="0"/>
    <pivotField compact="0" numFmtId="14" outline="0" showAll="0" defaultSubtotal="0"/>
    <pivotField compact="0" outline="0" showAll="0" defaultSubtotal="0">
      <items count="1">
        <item x="0"/>
      </items>
    </pivotField>
    <pivotField compact="0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outline="0" showAll="0" sortType="ascending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Edad (Dias)" fld="43" baseField="0" baseItem="0" numFmtId="164"/>
    <dataField name="Edad (Mes)" fld="41" baseField="5" baseItem="0" numFmtId="172"/>
    <dataField name="Area." fld="16" baseField="5" baseItem="0" numFmtId="172"/>
    <dataField name="Tn." fld="21" baseField="2" baseItem="3" numFmtId="166"/>
    <dataField name="Tn/Ha." fld="42" baseField="5" baseItem="2" numFmtId="2"/>
    <dataField name="Tn/Ha/Año." fld="48" baseField="0" baseItem="0" numFmtId="164"/>
    <dataField name="Tn/Ha/Mes." fld="49" baseField="0" baseItem="0" numFmtId="164"/>
    <dataField name="%ART." fld="44" baseField="0" baseItem="0" numFmtId="164"/>
    <dataField name="%POL." fld="46" baseField="0" baseItem="0" numFmtId="164"/>
    <dataField name="KgAzucar/ha/Año." fld="47" baseField="0" baseItem="0" numFmtId="166"/>
  </dataFields>
  <formats count="20">
    <format dxfId="865">
      <pivotArea type="origin" dataOnly="0" labelOnly="1" outline="0" fieldPosition="0"/>
    </format>
    <format dxfId="864">
      <pivotArea field="-2" type="button" dataOnly="0" labelOnly="1" outline="0" axis="axisCol" fieldPosition="0"/>
    </format>
    <format dxfId="863">
      <pivotArea type="topRight" dataOnly="0" labelOnly="1" outline="0" fieldPosition="0"/>
    </format>
    <format dxfId="862">
      <pivotArea type="origin" dataOnly="0" labelOnly="1" outline="0" fieldPosition="0"/>
    </format>
    <format dxfId="861">
      <pivotArea field="-2" type="button" dataOnly="0" labelOnly="1" outline="0" axis="axisCol" fieldPosition="0"/>
    </format>
    <format dxfId="860">
      <pivotArea type="topRight" dataOnly="0" labelOnly="1" outline="0" fieldPosition="0"/>
    </format>
    <format dxfId="85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58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85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856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855">
      <pivotArea field="5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85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5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51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850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849">
      <pivotArea outline="0" fieldPosition="0">
        <references count="1">
          <reference field="4294967294" count="1">
            <x v="1"/>
          </reference>
        </references>
      </pivotArea>
    </format>
    <format dxfId="848">
      <pivotArea outline="0" fieldPosition="0">
        <references count="1">
          <reference field="4294967294" count="1">
            <x v="2"/>
          </reference>
        </references>
      </pivotArea>
    </format>
    <format dxfId="847">
      <pivotArea outline="0" fieldPosition="0">
        <references count="1">
          <reference field="4294967294" count="1">
            <x v="4"/>
          </reference>
        </references>
      </pivotArea>
    </format>
    <format dxfId="8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Areas" cacheId="1314" applyNumberFormats="0" applyBorderFormats="0" applyFontFormats="0" applyPatternFormats="0" applyAlignmentFormats="0" applyWidthHeightFormats="1" dataCaption="Valores" updatedVersion="8" minRefreshableVersion="3" showCalcMbrs="0" itemPrintTitles="1" createdVersion="3" indent="0" outline="1" outlineData="1" multipleFieldFilters="0" colHeaderCaption="…">
  <location ref="B4:O14" firstHeaderRow="1" firstDataRow="3" firstDataCol="1"/>
  <pivotFields count="50">
    <pivotField numFmtId="164" showAll="0" defaultSubtotal="0"/>
    <pivotField multipleItemSelectionAllowed="1" showAll="0" sortType="ascending" defaultSubtotal="0"/>
    <pivotField showAll="0" defaultSubtotal="0"/>
    <pivotField showAll="0" defaultSubtotal="0"/>
    <pivotField showAll="0" defaultSubtotal="0"/>
    <pivotField axis="axisRow" showAll="0" sortType="ascending" defaultSubtotal="0">
      <items count="7">
        <item x="5"/>
        <item x="4"/>
        <item x="2"/>
        <item x="1"/>
        <item x="0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dataField="1" showAll="0" defaultSubtotal="0"/>
    <pivotField showAll="0" defaultSubtotal="0"/>
    <pivotField showAll="0" defaultSubtotal="0"/>
    <pivotField showAll="0" defaultSubtotal="0"/>
    <pivotField numFmtId="164" showAll="0" defaultSubtotal="0"/>
    <pivotField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sd="0"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descending" defaultSubtotal="0">
      <items count="2">
        <item x="1"/>
        <item x="0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5"/>
    <field x="3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Áreas." fld="16" baseField="2" baseItem="3" numFmtId="166"/>
  </dataFields>
  <formats count="3">
    <format dxfId="845">
      <pivotArea dataOnly="0" labelOnly="1" grandCol="1" outline="0" fieldPosition="0"/>
    </format>
    <format dxfId="844">
      <pivotArea outline="0" collapsedLevelsAreSubtotals="1" fieldPosition="0"/>
    </format>
    <format dxfId="843">
      <pivotArea collapsedLevelsAreSubtotals="1" fieldPosition="0">
        <references count="2">
          <reference field="5" count="6">
            <x v="0"/>
            <x v="1"/>
            <x v="2"/>
            <x v="3"/>
            <x v="4"/>
            <x v="5"/>
          </reference>
          <reference field="25" count="4" selected="0">
            <x v="8"/>
            <x v="9"/>
            <x v="10"/>
            <x v="11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Edades" cacheId="1314" applyNumberFormats="0" applyBorderFormats="0" applyFontFormats="0" applyPatternFormats="0" applyAlignmentFormats="0" applyWidthHeightFormats="1" dataCaption="Valores" showError="1" updatedVersion="8" minRefreshableVersion="3" showCalcMbrs="0" itemPrintTitles="1" createdVersion="3" indent="0" outline="1" outlineData="1" multipleFieldFilters="0" colHeaderCaption="…">
  <location ref="B4:O14" firstHeaderRow="1" firstDataRow="3" firstDataCol="1"/>
  <pivotFields count="50">
    <pivotField numFmtId="164" showAll="0" defaultSubtotal="0"/>
    <pivotField multipleItemSelectionAllowed="1" showAll="0" sortType="ascending" defaultSubtotal="0"/>
    <pivotField showAll="0" defaultSubtotal="0"/>
    <pivotField showAll="0" defaultSubtotal="0"/>
    <pivotField showAll="0" defaultSubtotal="0"/>
    <pivotField axis="axisRow" showAll="0" sortType="ascending" defaultSubtotal="0">
      <items count="7">
        <item x="5"/>
        <item x="4"/>
        <item x="2"/>
        <item x="1"/>
        <item x="0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showAll="0" defaultSubtotal="0"/>
    <pivotField showAll="0" defaultSubtotal="0"/>
    <pivotField showAll="0" defaultSubtotal="0"/>
    <pivotField showAll="0" defaultSubtotal="0"/>
    <pivotField numFmtId="164" showAll="0" defaultSubtotal="0"/>
    <pivotField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sd="0"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descending" defaultSubtotal="0">
      <items count="2">
        <item x="1"/>
        <item x="0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5"/>
    <field x="3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Edades." fld="43" baseField="2" baseItem="3" numFmtId="170"/>
  </dataFields>
  <formats count="3">
    <format dxfId="842">
      <pivotArea dataOnly="0" labelOnly="1" grandCol="1" outline="0" fieldPosition="0"/>
    </format>
    <format dxfId="841">
      <pivotArea outline="0" collapsedLevelsAreSubtotals="1" fieldPosition="0"/>
    </format>
    <format dxfId="84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ART" cacheId="1314" applyNumberFormats="0" applyBorderFormats="0" applyFontFormats="0" applyPatternFormats="0" applyAlignmentFormats="0" applyWidthHeightFormats="1" dataCaption="Valores" showError="1" updatedVersion="8" minRefreshableVersion="3" showCalcMbrs="0" itemPrintTitles="1" createdVersion="3" indent="0" outline="1" outlineData="1" multipleFieldFilters="0" colHeaderCaption="…">
  <location ref="B4:O14" firstHeaderRow="1" firstDataRow="3" firstDataCol="1"/>
  <pivotFields count="50">
    <pivotField numFmtId="164" showAll="0" defaultSubtotal="0"/>
    <pivotField multipleItemSelectionAllowed="1" showAll="0" sortType="ascending" defaultSubtotal="0"/>
    <pivotField showAll="0" defaultSubtotal="0"/>
    <pivotField showAll="0" defaultSubtotal="0"/>
    <pivotField showAll="0" defaultSubtotal="0"/>
    <pivotField axis="axisRow" showAll="0" sortType="ascending" defaultSubtotal="0">
      <items count="7">
        <item x="5"/>
        <item x="4"/>
        <item x="2"/>
        <item x="1"/>
        <item x="0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showAll="0" defaultSubtotal="0"/>
    <pivotField showAll="0" defaultSubtotal="0"/>
    <pivotField showAll="0" defaultSubtotal="0"/>
    <pivotField showAll="0" defaultSubtotal="0"/>
    <pivotField numFmtId="164" showAll="0" defaultSubtotal="0"/>
    <pivotField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sd="0"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descending" defaultSubtotal="0">
      <items count="2">
        <item x="1"/>
        <item x="0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5"/>
    <field x="3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ARTs." fld="44" baseField="0" baseItem="0" numFmtId="164"/>
  </dataField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D_Mec_Manual" cacheId="1314" applyNumberFormats="0" applyBorderFormats="0" applyFontFormats="0" applyPatternFormats="0" applyAlignmentFormats="0" applyWidthHeightFormats="1" dataCaption="Valores" grandTotalCaption="Total PROPIA" updatedVersion="8" minRefreshableVersion="3" showCalcMbrs="0" itemPrintTitles="1" createdVersion="3" indent="0" outline="1" outlineData="1" multipleFieldFilters="0" colHeaderCaption="…">
  <location ref="B16:O22" firstHeaderRow="1" firstDataRow="3" firstDataCol="1"/>
  <pivotFields count="50">
    <pivotField numFmtId="164" showAll="0" defaultSubtotal="0"/>
    <pivotField multipleItemSelectionAllowed="1" showAll="0" sortType="ascending" defaultSubtotal="0"/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showAll="0" defaultSubtotal="0"/>
    <pivotField showAll="0" defaultSubtotal="0"/>
    <pivotField showAll="0" defaultSubtotal="0"/>
    <pivotField showAll="0" defaultSubtotal="0"/>
    <pivotField numFmtId="164" showAll="0" defaultSubtotal="0"/>
    <pivotField dataField="1"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sd="0"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ascending" defaultSubtotal="0">
      <items count="2">
        <item x="0"/>
        <item x="1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2">
    <field x="25"/>
    <field x="3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TN" fld="21" baseField="2" baseItem="0" numFmtId="166"/>
  </dataFields>
  <formats count="34">
    <format dxfId="788">
      <pivotArea outline="0" collapsedLevelsAreSubtotals="1" fieldPosition="0"/>
    </format>
    <format dxfId="787">
      <pivotArea dataOnly="0" labelOnly="1" fieldPosition="0">
        <references count="1">
          <reference field="25" count="0"/>
        </references>
      </pivotArea>
    </format>
    <format dxfId="786">
      <pivotArea dataOnly="0" labelOnly="1" grandCol="1" outline="0" fieldPosition="0"/>
    </format>
    <format dxfId="785">
      <pivotArea dataOnly="0" labelOnly="1" fieldPosition="0">
        <references count="2">
          <reference field="25" count="1" selected="0">
            <x v="0"/>
          </reference>
          <reference field="30" count="0"/>
        </references>
      </pivotArea>
    </format>
    <format dxfId="784">
      <pivotArea dataOnly="0" labelOnly="1" fieldPosition="0">
        <references count="2">
          <reference field="25" count="1" selected="0">
            <x v="1"/>
          </reference>
          <reference field="30" count="0"/>
        </references>
      </pivotArea>
    </format>
    <format dxfId="783">
      <pivotArea dataOnly="0" labelOnly="1" fieldPosition="0">
        <references count="2">
          <reference field="25" count="1" selected="0">
            <x v="3"/>
          </reference>
          <reference field="30" count="0"/>
        </references>
      </pivotArea>
    </format>
    <format dxfId="782">
      <pivotArea dataOnly="0" labelOnly="1" fieldPosition="0">
        <references count="2">
          <reference field="25" count="1" selected="0">
            <x v="4"/>
          </reference>
          <reference field="30" count="0"/>
        </references>
      </pivotArea>
    </format>
    <format dxfId="781">
      <pivotArea dataOnly="0" labelOnly="1" fieldPosition="0">
        <references count="2">
          <reference field="25" count="1" selected="0">
            <x v="5"/>
          </reference>
          <reference field="30" count="0"/>
        </references>
      </pivotArea>
    </format>
    <format dxfId="780">
      <pivotArea dataOnly="0" labelOnly="1" fieldPosition="0">
        <references count="2">
          <reference field="25" count="1" selected="0">
            <x v="6"/>
          </reference>
          <reference field="30" count="0"/>
        </references>
      </pivotArea>
    </format>
    <format dxfId="779">
      <pivotArea dataOnly="0" labelOnly="1" fieldPosition="0">
        <references count="2">
          <reference field="25" count="1" selected="0">
            <x v="7"/>
          </reference>
          <reference field="30" count="0"/>
        </references>
      </pivotArea>
    </format>
    <format dxfId="778">
      <pivotArea dataOnly="0" labelOnly="1" fieldPosition="0">
        <references count="2">
          <reference field="25" count="1" selected="0">
            <x v="8"/>
          </reference>
          <reference field="30" count="0"/>
        </references>
      </pivotArea>
    </format>
    <format dxfId="777">
      <pivotArea dataOnly="0" labelOnly="1" fieldPosition="0">
        <references count="2">
          <reference field="25" count="1" selected="0">
            <x v="9"/>
          </reference>
          <reference field="30" count="0"/>
        </references>
      </pivotArea>
    </format>
    <format dxfId="776">
      <pivotArea dataOnly="0" labelOnly="1" fieldPosition="0">
        <references count="2">
          <reference field="25" count="1" selected="0">
            <x v="10"/>
          </reference>
          <reference field="30" count="0"/>
        </references>
      </pivotArea>
    </format>
    <format dxfId="775">
      <pivotArea dataOnly="0" labelOnly="1" fieldPosition="0">
        <references count="2">
          <reference field="25" count="1" selected="0">
            <x v="11"/>
          </reference>
          <reference field="30" count="0"/>
        </references>
      </pivotArea>
    </format>
    <format dxfId="774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773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772">
      <pivotArea outline="0" collapsedLevelsAreSubtotals="1" fieldPosition="0"/>
    </format>
    <format dxfId="771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1" selected="0">
            <x v="0"/>
          </reference>
        </references>
      </pivotArea>
    </format>
    <format dxfId="770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0" selected="0"/>
        </references>
      </pivotArea>
    </format>
    <format dxfId="769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768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767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766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0" selected="0"/>
        </references>
      </pivotArea>
    </format>
    <format dxfId="765">
      <pivotArea field="30" grandRow="1" outline="0" collapsedLevelsAreSubtotals="1" axis="axisCol" fieldPosition="1">
        <references count="2">
          <reference field="25" count="4" selected="0">
            <x v="0"/>
            <x v="1"/>
            <x v="3"/>
            <x v="4"/>
          </reference>
          <reference field="30" count="0" selected="0"/>
        </references>
      </pivotArea>
    </format>
    <format dxfId="764">
      <pivotArea field="25" grandRow="1" outline="0" collapsedLevelsAreSubtotals="1" axis="axisCol" fieldPosition="0">
        <references count="1">
          <reference field="25" count="1" selected="0">
            <x v="0"/>
          </reference>
        </references>
      </pivotArea>
    </format>
    <format dxfId="763">
      <pivotArea field="25" grandRow="1" outline="0" collapsedLevelsAreSubtotals="1" axis="axisCol" fieldPosition="0">
        <references count="1">
          <reference field="25" count="1" selected="0">
            <x v="1"/>
          </reference>
        </references>
      </pivotArea>
    </format>
    <format dxfId="762">
      <pivotArea outline="0" collapsedLevelsAreSubtotals="1" fieldPosition="0"/>
    </format>
    <format dxfId="761">
      <pivotArea dataOnly="0" labelOnly="1" grandRow="1" outline="0" fieldPosition="0"/>
    </format>
    <format dxfId="760">
      <pivotArea field="25" grandRow="1" outline="0" collapsedLevelsAreSubtotals="1" axis="axisCol" fieldPosition="0">
        <references count="1">
          <reference field="25" count="9" selected="0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59">
      <pivotArea field="25" grandRow="1" outline="0" collapsedLevelsAreSubtotals="1" axis="axisCol" fieldPosition="0">
        <references count="1">
          <reference field="25" count="9" selected="0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58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757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756">
      <pivotArea outline="0" collapsedLevelsAreSubtotals="1" fieldPosition="0">
        <references count="1">
          <reference field="25" count="1" selected="0">
            <x v="1"/>
          </reference>
        </references>
      </pivotArea>
    </format>
    <format dxfId="755">
      <pivotArea outline="0" collapsedLevelsAreSubtotals="1" fieldPosition="0">
        <references count="1">
          <reference field="25" count="2" selected="0">
            <x v="0"/>
            <x v="1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D_General" cacheId="1314" applyNumberFormats="0" applyBorderFormats="0" applyFontFormats="0" applyPatternFormats="0" applyAlignmentFormats="0" applyWidthHeightFormats="1" dataCaption="Valores" grandTotalCaption="Total PROPIA" updatedVersion="8" minRefreshableVersion="3" showCalcMbrs="0" itemPrintTitles="1" createdVersion="3" indent="0" outline="1" outlineData="1" multipleFieldFilters="0" colHeaderCaption="…">
  <location ref="B4:O14" firstHeaderRow="1" firstDataRow="3" firstDataCol="1"/>
  <pivotFields count="50">
    <pivotField numFmtId="164" showAll="0" defaultSubtotal="0"/>
    <pivotField multipleItemSelectionAllowed="1" showAll="0" sortType="ascending" defaultSubtotal="0"/>
    <pivotField showAll="0" defaultSubtotal="0"/>
    <pivotField showAll="0" defaultSubtotal="0"/>
    <pivotField showAll="0" defaultSubtotal="0"/>
    <pivotField axis="axisRow" showAll="0" defaultSubtotal="0">
      <items count="7">
        <item x="5"/>
        <item x="4"/>
        <item x="2"/>
        <item x="1"/>
        <item x="0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showAll="0" defaultSubtotal="0"/>
    <pivotField showAll="0" defaultSubtotal="0"/>
    <pivotField showAll="0" defaultSubtotal="0"/>
    <pivotField showAll="0" defaultSubtotal="0"/>
    <pivotField numFmtId="164" showAll="0" defaultSubtotal="0"/>
    <pivotField dataField="1"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sd="0"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ascending" defaultSubtotal="0">
      <items count="2">
        <item x="0"/>
        <item x="1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5"/>
    <field x="3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TN" fld="21" baseField="2" baseItem="0" numFmtId="166"/>
  </dataFields>
  <formats count="49">
    <format dxfId="837">
      <pivotArea outline="0" collapsedLevelsAreSubtotals="1" fieldPosition="0"/>
    </format>
    <format dxfId="836">
      <pivotArea dataOnly="0" labelOnly="1" fieldPosition="0">
        <references count="1">
          <reference field="25" count="0"/>
        </references>
      </pivotArea>
    </format>
    <format dxfId="835">
      <pivotArea dataOnly="0" labelOnly="1" grandCol="1" outline="0" fieldPosition="0"/>
    </format>
    <format dxfId="834">
      <pivotArea dataOnly="0" labelOnly="1" fieldPosition="0">
        <references count="2">
          <reference field="25" count="1" selected="0">
            <x v="0"/>
          </reference>
          <reference field="30" count="0"/>
        </references>
      </pivotArea>
    </format>
    <format dxfId="833">
      <pivotArea dataOnly="0" labelOnly="1" fieldPosition="0">
        <references count="2">
          <reference field="25" count="1" selected="0">
            <x v="1"/>
          </reference>
          <reference field="30" count="0"/>
        </references>
      </pivotArea>
    </format>
    <format dxfId="832">
      <pivotArea dataOnly="0" labelOnly="1" fieldPosition="0">
        <references count="2">
          <reference field="25" count="1" selected="0">
            <x v="3"/>
          </reference>
          <reference field="30" count="0"/>
        </references>
      </pivotArea>
    </format>
    <format dxfId="831">
      <pivotArea dataOnly="0" labelOnly="1" fieldPosition="0">
        <references count="2">
          <reference field="25" count="1" selected="0">
            <x v="4"/>
          </reference>
          <reference field="30" count="0"/>
        </references>
      </pivotArea>
    </format>
    <format dxfId="830">
      <pivotArea dataOnly="0" labelOnly="1" fieldPosition="0">
        <references count="2">
          <reference field="25" count="1" selected="0">
            <x v="5"/>
          </reference>
          <reference field="30" count="0"/>
        </references>
      </pivotArea>
    </format>
    <format dxfId="829">
      <pivotArea dataOnly="0" labelOnly="1" fieldPosition="0">
        <references count="2">
          <reference field="25" count="1" selected="0">
            <x v="6"/>
          </reference>
          <reference field="30" count="0"/>
        </references>
      </pivotArea>
    </format>
    <format dxfId="828">
      <pivotArea dataOnly="0" labelOnly="1" fieldPosition="0">
        <references count="2">
          <reference field="25" count="1" selected="0">
            <x v="7"/>
          </reference>
          <reference field="30" count="0"/>
        </references>
      </pivotArea>
    </format>
    <format dxfId="827">
      <pivotArea dataOnly="0" labelOnly="1" fieldPosition="0">
        <references count="2">
          <reference field="25" count="1" selected="0">
            <x v="8"/>
          </reference>
          <reference field="30" count="0"/>
        </references>
      </pivotArea>
    </format>
    <format dxfId="826">
      <pivotArea dataOnly="0" labelOnly="1" fieldPosition="0">
        <references count="2">
          <reference field="25" count="1" selected="0">
            <x v="9"/>
          </reference>
          <reference field="30" count="0"/>
        </references>
      </pivotArea>
    </format>
    <format dxfId="825">
      <pivotArea dataOnly="0" labelOnly="1" fieldPosition="0">
        <references count="2">
          <reference field="25" count="1" selected="0">
            <x v="10"/>
          </reference>
          <reference field="30" count="0"/>
        </references>
      </pivotArea>
    </format>
    <format dxfId="824">
      <pivotArea dataOnly="0" labelOnly="1" fieldPosition="0">
        <references count="2">
          <reference field="25" count="1" selected="0">
            <x v="11"/>
          </reference>
          <reference field="30" count="0"/>
        </references>
      </pivotArea>
    </format>
    <format dxfId="823">
      <pivotArea collapsedLevelsAreSubtotals="1" fieldPosition="0">
        <references count="2">
          <reference field="5" count="0"/>
          <reference field="25" count="2" selected="0">
            <x v="0"/>
            <x v="1"/>
          </reference>
        </references>
      </pivotArea>
    </format>
    <format dxfId="822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821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820">
      <pivotArea outline="0" collapsedLevelsAreSubtotals="1" fieldPosition="0"/>
    </format>
    <format dxfId="819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1" selected="0">
            <x v="0"/>
          </reference>
        </references>
      </pivotArea>
    </format>
    <format dxfId="818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0" selected="0"/>
        </references>
      </pivotArea>
    </format>
    <format dxfId="817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816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815">
      <pivotArea field="25" grandRow="1" outline="0" collapsedLevelsAreSubtotals="1" axis="axisCol" fieldPosition="0">
        <references count="1">
          <reference field="25" count="2" selected="0">
            <x v="0"/>
            <x v="1"/>
          </reference>
        </references>
      </pivotArea>
    </format>
    <format dxfId="814">
      <pivotArea field="30" grandRow="1" outline="0" collapsedLevelsAreSubtotals="1" axis="axisCol" fieldPosition="1">
        <references count="2">
          <reference field="25" count="1" selected="0">
            <x v="4"/>
          </reference>
          <reference field="30" count="0" selected="0"/>
        </references>
      </pivotArea>
    </format>
    <format dxfId="813">
      <pivotArea field="30" grandRow="1" outline="0" collapsedLevelsAreSubtotals="1" axis="axisCol" fieldPosition="1">
        <references count="2">
          <reference field="25" count="4" selected="0">
            <x v="0"/>
            <x v="1"/>
            <x v="3"/>
            <x v="4"/>
          </reference>
          <reference field="30" count="0" selected="0"/>
        </references>
      </pivotArea>
    </format>
    <format dxfId="812">
      <pivotArea field="25" grandRow="1" outline="0" collapsedLevelsAreSubtotals="1" axis="axisCol" fieldPosition="0">
        <references count="1">
          <reference field="25" count="1" selected="0">
            <x v="0"/>
          </reference>
        </references>
      </pivotArea>
    </format>
    <format dxfId="811">
      <pivotArea field="25" grandRow="1" outline="0" collapsedLevelsAreSubtotals="1" axis="axisCol" fieldPosition="0">
        <references count="1">
          <reference field="25" count="1" selected="0">
            <x v="1"/>
          </reference>
        </references>
      </pivotArea>
    </format>
    <format dxfId="810">
      <pivotArea outline="0" collapsedLevelsAreSubtotals="1" fieldPosition="0"/>
    </format>
    <format dxfId="809">
      <pivotArea dataOnly="0" labelOnly="1" fieldPosition="0">
        <references count="1">
          <reference field="5" count="0"/>
        </references>
      </pivotArea>
    </format>
    <format dxfId="808">
      <pivotArea dataOnly="0" labelOnly="1" grandRow="1" outline="0" fieldPosition="0"/>
    </format>
    <format dxfId="807">
      <pivotArea field="25" grandRow="1" outline="0" collapsedLevelsAreSubtotals="1" axis="axisCol" fieldPosition="0">
        <references count="1">
          <reference field="25" count="9" selected="0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06">
      <pivotArea field="25" grandRow="1" outline="0" collapsedLevelsAreSubtotals="1" axis="axisCol" fieldPosition="0">
        <references count="1">
          <reference field="25" count="9" selected="0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05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804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803">
      <pivotArea outline="0" collapsedLevelsAreSubtotals="1" fieldPosition="0">
        <references count="1">
          <reference field="25" count="1" selected="0">
            <x v="1"/>
          </reference>
        </references>
      </pivotArea>
    </format>
    <format dxfId="802">
      <pivotArea dataOnly="0" grandRow="1" fieldPosition="0"/>
    </format>
    <format dxfId="801">
      <pivotArea collapsedLevelsAreSubtotals="1" fieldPosition="0">
        <references count="2">
          <reference field="5" count="0"/>
          <reference field="25" count="2" selected="0">
            <x v="0"/>
            <x v="1"/>
          </reference>
        </references>
      </pivotArea>
    </format>
    <format dxfId="800">
      <pivotArea collapsedLevelsAreSubtotals="1" fieldPosition="0">
        <references count="2">
          <reference field="5" count="0"/>
          <reference field="25" count="1" selected="0">
            <x v="0"/>
          </reference>
        </references>
      </pivotArea>
    </format>
    <format dxfId="799">
      <pivotArea collapsedLevelsAreSubtotals="1" fieldPosition="0">
        <references count="2">
          <reference field="5" count="0"/>
          <reference field="25" count="1" selected="0">
            <x v="1"/>
          </reference>
        </references>
      </pivotArea>
    </format>
    <format dxfId="798">
      <pivotArea collapsedLevelsAreSubtotals="1" fieldPosition="0">
        <references count="2">
          <reference field="5" count="0"/>
          <reference field="25" count="1" selected="0">
            <x v="2"/>
          </reference>
        </references>
      </pivotArea>
    </format>
    <format dxfId="797">
      <pivotArea collapsedLevelsAreSubtotals="1" fieldPosition="0">
        <references count="2">
          <reference field="5" count="0"/>
          <reference field="25" count="1" selected="0">
            <x v="3"/>
          </reference>
        </references>
      </pivotArea>
    </format>
    <format dxfId="796">
      <pivotArea collapsedLevelsAreSubtotals="1" fieldPosition="0">
        <references count="2">
          <reference field="5" count="0"/>
          <reference field="25" count="1" selected="0">
            <x v="4"/>
          </reference>
        </references>
      </pivotArea>
    </format>
    <format dxfId="795">
      <pivotArea collapsedLevelsAreSubtotals="1" fieldPosition="0">
        <references count="2">
          <reference field="5" count="0"/>
          <reference field="25" count="1" selected="0">
            <x v="5"/>
          </reference>
        </references>
      </pivotArea>
    </format>
    <format dxfId="794">
      <pivotArea collapsedLevelsAreSubtotals="1" fieldPosition="0">
        <references count="2">
          <reference field="5" count="0"/>
          <reference field="25" count="1" selected="0">
            <x v="6"/>
          </reference>
        </references>
      </pivotArea>
    </format>
    <format dxfId="793">
      <pivotArea collapsedLevelsAreSubtotals="1" fieldPosition="0">
        <references count="2">
          <reference field="5" count="0"/>
          <reference field="25" count="1" selected="0">
            <x v="7"/>
          </reference>
        </references>
      </pivotArea>
    </format>
    <format dxfId="792">
      <pivotArea collapsedLevelsAreSubtotals="1" fieldPosition="0">
        <references count="2">
          <reference field="5" count="0"/>
          <reference field="25" count="1" selected="0">
            <x v="8"/>
          </reference>
        </references>
      </pivotArea>
    </format>
    <format dxfId="791">
      <pivotArea grandRow="1" grandCol="1" outline="0" collapsedLevelsAreSubtotals="1" fieldPosition="0"/>
    </format>
    <format dxfId="790">
      <pivotArea collapsedLevelsAreSubtotals="1" fieldPosition="0">
        <references count="2">
          <reference field="5" count="0"/>
          <reference field="25" count="1" selected="0">
            <x v="9"/>
          </reference>
        </references>
      </pivotArea>
    </format>
    <format dxfId="789">
      <pivotArea collapsedLevelsAreSubtotals="1" fieldPosition="0">
        <references count="2">
          <reference field="5" count="0"/>
          <reference field="25" count="1" selected="0">
            <x v="10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etalle_CAT" cacheId="1314" dataPosition="0" applyNumberFormats="0" applyBorderFormats="0" applyFontFormats="0" applyPatternFormats="0" applyAlignmentFormats="0" applyWidthHeightFormats="1" dataCaption="Valores" grandTotalCaption="Total PROPIA" updatedVersion="8" minRefreshableVersion="3" showCalcMbrs="0" itemPrintTitles="1" createdVersion="3" indent="0" outline="1" outlineData="1" multipleFieldFilters="0" colHeaderCaption="…">
  <location ref="B3:AB23" firstHeaderRow="1" firstDataRow="4" firstDataCol="1"/>
  <pivotFields count="50">
    <pivotField numFmtId="164" showAll="0" defaultSubtotal="0"/>
    <pivotField multipleItemSelectionAllowed="1" showAll="0" sortType="ascending" defaultSubtotal="0"/>
    <pivotField axis="axisRow" showAll="0" sortType="descending">
      <items count="4">
        <item x="2"/>
        <item x="0"/>
        <item x="1"/>
        <item t="default"/>
      </items>
    </pivotField>
    <pivotField showAll="0" defaultSubtotal="0"/>
    <pivotField showAll="0" defaultSubtotal="0"/>
    <pivotField axis="axisRow" showAll="0" defaultSubtotal="0">
      <items count="7">
        <item x="5"/>
        <item x="4"/>
        <item x="2"/>
        <item x="1"/>
        <item x="0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dataField="1" showAll="0" defaultSubtotal="0"/>
    <pivotField showAll="0" defaultSubtotal="0"/>
    <pivotField showAll="0" defaultSubtotal="0"/>
    <pivotField showAll="0" defaultSubtotal="0"/>
    <pivotField numFmtId="164" showAll="0" defaultSubtotal="0"/>
    <pivotField dataField="1" showAll="0" defaultSubtotal="0"/>
    <pivotField numFmtId="164" showAll="0" defaultSubtotal="0"/>
    <pivotField numFmtId="14" showAll="0" defaultSubtotal="0"/>
    <pivotField showAll="0" defaultSubtotal="0">
      <items count="1">
        <item x="0"/>
      </items>
    </pivotField>
    <pivotField axis="axisCol" showAll="0" sortType="ascending" defaultSubtotal="0">
      <items count="12">
        <item sd="0" x="11"/>
        <item sd="0" x="8"/>
        <item x="9"/>
        <item sd="0" x="10"/>
        <item sd="0" x="3"/>
        <item sd="0" x="1"/>
        <item sd="0" x="2"/>
        <item sd="0" x="5"/>
        <item sd="0" x="6"/>
        <item sd="0" x="7"/>
        <item sd="0" x="4"/>
        <item sd="0" x="0"/>
      </items>
    </pivotField>
    <pivotField numFmtId="164" showAll="0" defaultSubtotal="0"/>
    <pivotField numFmtId="164" showAll="0" defaultSubtotal="0"/>
    <pivotField numFmtId="164" showAll="0" defaultSubtotal="0"/>
    <pivotField numFmtId="164" showAll="0" defaultSubtotal="0"/>
    <pivotField axis="axisCol" showAll="0" sortType="ascending" defaultSubtotal="0">
      <items count="2">
        <item x="0"/>
        <item x="1"/>
      </items>
    </pivotField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2"/>
    <field x="5"/>
  </rowFields>
  <rowItems count="1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>
      <x v="2"/>
    </i>
    <i r="1">
      <x v="4"/>
    </i>
    <i t="grand">
      <x/>
    </i>
  </rowItems>
  <colFields count="3">
    <field x="-2"/>
    <field x="25"/>
    <field x="30"/>
  </colFields>
  <colItems count="26">
    <i>
      <x/>
      <x/>
    </i>
    <i r="1">
      <x v="1"/>
    </i>
    <i r="1">
      <x v="2"/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i="1">
      <x v="1"/>
      <x/>
    </i>
    <i r="1" i="1">
      <x v="1"/>
    </i>
    <i r="1" i="1">
      <x v="2"/>
      <x v="1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t="grand">
      <x/>
    </i>
    <i t="grand" i="1">
      <x/>
    </i>
  </colItems>
  <dataFields count="2">
    <dataField name="Tm" fld="21" baseField="2" baseItem="0" numFmtId="166"/>
    <dataField name="Area" fld="16" baseField="0" baseItem="0"/>
  </dataFields>
  <formats count="40">
    <format dxfId="754">
      <pivotArea outline="0" collapsedLevelsAreSubtotals="1" fieldPosition="0"/>
    </format>
    <format dxfId="753">
      <pivotArea dataOnly="0" labelOnly="1" fieldPosition="0">
        <references count="1">
          <reference field="25" count="0"/>
        </references>
      </pivotArea>
    </format>
    <format dxfId="752">
      <pivotArea dataOnly="0" labelOnly="1" grandCol="1" outline="0" fieldPosition="0"/>
    </format>
    <format dxfId="751">
      <pivotArea dataOnly="0" labelOnly="1" fieldPosition="0">
        <references count="2">
          <reference field="25" count="1" selected="0">
            <x v="0"/>
          </reference>
          <reference field="30" count="0"/>
        </references>
      </pivotArea>
    </format>
    <format dxfId="750">
      <pivotArea dataOnly="0" labelOnly="1" fieldPosition="0">
        <references count="2">
          <reference field="25" count="1" selected="0">
            <x v="1"/>
          </reference>
          <reference field="30" count="0"/>
        </references>
      </pivotArea>
    </format>
    <format dxfId="749">
      <pivotArea dataOnly="0" labelOnly="1" fieldPosition="0">
        <references count="2">
          <reference field="25" count="1" selected="0">
            <x v="3"/>
          </reference>
          <reference field="30" count="0"/>
        </references>
      </pivotArea>
    </format>
    <format dxfId="748">
      <pivotArea dataOnly="0" labelOnly="1" fieldPosition="0">
        <references count="2">
          <reference field="25" count="1" selected="0">
            <x v="4"/>
          </reference>
          <reference field="30" count="0"/>
        </references>
      </pivotArea>
    </format>
    <format dxfId="747">
      <pivotArea dataOnly="0" labelOnly="1" fieldPosition="0">
        <references count="2">
          <reference field="25" count="1" selected="0">
            <x v="5"/>
          </reference>
          <reference field="30" count="0"/>
        </references>
      </pivotArea>
    </format>
    <format dxfId="746">
      <pivotArea dataOnly="0" labelOnly="1" fieldPosition="0">
        <references count="2">
          <reference field="25" count="1" selected="0">
            <x v="6"/>
          </reference>
          <reference field="30" count="0"/>
        </references>
      </pivotArea>
    </format>
    <format dxfId="745">
      <pivotArea dataOnly="0" labelOnly="1" fieldPosition="0">
        <references count="2">
          <reference field="25" count="1" selected="0">
            <x v="7"/>
          </reference>
          <reference field="30" count="0"/>
        </references>
      </pivotArea>
    </format>
    <format dxfId="744">
      <pivotArea dataOnly="0" labelOnly="1" fieldPosition="0">
        <references count="2">
          <reference field="25" count="1" selected="0">
            <x v="8"/>
          </reference>
          <reference field="30" count="0"/>
        </references>
      </pivotArea>
    </format>
    <format dxfId="743">
      <pivotArea dataOnly="0" labelOnly="1" fieldPosition="0">
        <references count="2">
          <reference field="25" count="1" selected="0">
            <x v="9"/>
          </reference>
          <reference field="30" count="0"/>
        </references>
      </pivotArea>
    </format>
    <format dxfId="742">
      <pivotArea dataOnly="0" labelOnly="1" fieldPosition="0">
        <references count="2">
          <reference field="25" count="1" selected="0">
            <x v="10"/>
          </reference>
          <reference field="30" count="0"/>
        </references>
      </pivotArea>
    </format>
    <format dxfId="741">
      <pivotArea dataOnly="0" labelOnly="1" fieldPosition="0">
        <references count="2">
          <reference field="25" count="1" selected="0">
            <x v="11"/>
          </reference>
          <reference field="30" count="0"/>
        </references>
      </pivotArea>
    </format>
    <format dxfId="740">
      <pivotArea collapsedLevelsAreSubtotals="1" fieldPosition="0">
        <references count="2">
          <reference field="5" count="0"/>
          <reference field="25" count="2" selected="0">
            <x v="0"/>
            <x v="1"/>
          </reference>
        </references>
      </pivotArea>
    </format>
    <format dxfId="739">
      <pivotArea field="25" grandRow="1" outline="0" collapsedLevelsAreSubtotals="1" axis="axisCol" fieldPosition="1">
        <references count="1">
          <reference field="25" count="2" selected="0">
            <x v="0"/>
            <x v="1"/>
          </reference>
        </references>
      </pivotArea>
    </format>
    <format dxfId="738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737">
      <pivotArea outline="0" collapsedLevelsAreSubtotals="1" fieldPosition="0"/>
    </format>
    <format dxfId="736">
      <pivotArea field="30" grandRow="1" outline="0" collapsedLevelsAreSubtotals="1" axis="axisCol" fieldPosition="2">
        <references count="2">
          <reference field="25" count="1" selected="0">
            <x v="4"/>
          </reference>
          <reference field="30" count="1" selected="0">
            <x v="0"/>
          </reference>
        </references>
      </pivotArea>
    </format>
    <format dxfId="735">
      <pivotArea field="30" grandRow="1" outline="0" collapsedLevelsAreSubtotals="1" axis="axisCol" fieldPosition="2">
        <references count="2">
          <reference field="25" count="1" selected="0">
            <x v="4"/>
          </reference>
          <reference field="30" count="0" selected="0"/>
        </references>
      </pivotArea>
    </format>
    <format dxfId="734">
      <pivotArea field="25" grandRow="1" outline="0" collapsedLevelsAreSubtotals="1" axis="axisCol" fieldPosition="1">
        <references count="1">
          <reference field="25" count="2" selected="0">
            <x v="0"/>
            <x v="1"/>
          </reference>
        </references>
      </pivotArea>
    </format>
    <format dxfId="733">
      <pivotArea field="25" grandRow="1" outline="0" collapsedLevelsAreSubtotals="1" axis="axisCol" fieldPosition="1">
        <references count="1">
          <reference field="25" count="2" selected="0">
            <x v="0"/>
            <x v="1"/>
          </reference>
        </references>
      </pivotArea>
    </format>
    <format dxfId="732">
      <pivotArea field="25" grandRow="1" outline="0" collapsedLevelsAreSubtotals="1" axis="axisCol" fieldPosition="1">
        <references count="1">
          <reference field="25" count="2" selected="0">
            <x v="0"/>
            <x v="1"/>
          </reference>
        </references>
      </pivotArea>
    </format>
    <format dxfId="731">
      <pivotArea field="30" grandRow="1" outline="0" collapsedLevelsAreSubtotals="1" axis="axisCol" fieldPosition="2">
        <references count="2">
          <reference field="25" count="1" selected="0">
            <x v="4"/>
          </reference>
          <reference field="30" count="0" selected="0"/>
        </references>
      </pivotArea>
    </format>
    <format dxfId="730">
      <pivotArea field="30" grandRow="1" outline="0" collapsedLevelsAreSubtotals="1" axis="axisCol" fieldPosition="2">
        <references count="2">
          <reference field="25" count="4" selected="0">
            <x v="0"/>
            <x v="1"/>
            <x v="3"/>
            <x v="4"/>
          </reference>
          <reference field="30" count="0" selected="0"/>
        </references>
      </pivotArea>
    </format>
    <format dxfId="729">
      <pivotArea field="25" grandRow="1" outline="0" collapsedLevelsAreSubtotals="1" axis="axisCol" fieldPosition="1">
        <references count="1">
          <reference field="25" count="1" selected="0">
            <x v="0"/>
          </reference>
        </references>
      </pivotArea>
    </format>
    <format dxfId="728">
      <pivotArea field="25" grandRow="1" outline="0" collapsedLevelsAreSubtotals="1" axis="axisCol" fieldPosition="1">
        <references count="1">
          <reference field="25" count="1" selected="0">
            <x v="1"/>
          </reference>
        </references>
      </pivotArea>
    </format>
    <format dxfId="727">
      <pivotArea outline="0" collapsedLevelsAreSubtotals="1" fieldPosition="0"/>
    </format>
    <format dxfId="726">
      <pivotArea dataOnly="0" labelOnly="1" fieldPosition="0">
        <references count="1">
          <reference field="5" count="0"/>
        </references>
      </pivotArea>
    </format>
    <format dxfId="725">
      <pivotArea dataOnly="0" labelOnly="1" grandRow="1" outline="0" fieldPosition="0"/>
    </format>
    <format dxfId="7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1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Detalle_Plan" cacheId="1314" applyNumberFormats="0" applyBorderFormats="0" applyFontFormats="0" applyPatternFormats="0" applyAlignmentFormats="0" applyWidthHeightFormats="1" dataCaption="Valores" updatedVersion="8" minRefreshableVersion="3" showCalcMbrs="0" useAutoFormatting="1" colGrandTotals="0" itemPrintTitles="1" createdVersion="3" indent="0" compact="0" compactData="0" multipleFieldFilters="0">
  <location ref="B5:U475" firstHeaderRow="1" firstDataRow="2" firstDataCol="11"/>
  <pivotFields count="50"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5"/>
        <item x="4"/>
        <item x="2"/>
        <item x="1"/>
        <item x="0"/>
        <item x="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7">
        <item x="10"/>
        <item x="11"/>
        <item x="12"/>
        <item x="13"/>
        <item x="9"/>
        <item x="4"/>
        <item x="3"/>
        <item x="1"/>
        <item x="2"/>
        <item x="6"/>
        <item x="0"/>
        <item x="7"/>
        <item x="8"/>
        <item x="14"/>
        <item x="15"/>
        <item x="1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3"/>
        <item x="8"/>
        <item x="5"/>
        <item x="1"/>
        <item x="2"/>
        <item x="14"/>
        <item x="15"/>
        <item x="6"/>
        <item x="10"/>
        <item x="13"/>
        <item x="7"/>
        <item x="9"/>
        <item x="0"/>
        <item x="16"/>
        <item x="17"/>
        <item x="4"/>
        <item x="11"/>
        <item x="18"/>
        <item x="19"/>
        <item x="20"/>
        <item x="12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">
        <item x="8"/>
        <item x="9"/>
        <item x="10"/>
        <item x="11"/>
        <item x="12"/>
        <item x="13"/>
        <item x="14"/>
        <item x="2"/>
        <item x="3"/>
        <item x="1"/>
        <item x="4"/>
        <item x="5"/>
        <item x="0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">
        <item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6">
        <item x="13"/>
        <item x="5"/>
        <item x="14"/>
        <item x="3"/>
        <item x="10"/>
        <item x="8"/>
        <item x="11"/>
        <item x="15"/>
        <item x="6"/>
        <item x="12"/>
        <item x="4"/>
        <item x="1"/>
        <item x="2"/>
        <item x="9"/>
        <item x="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3">
        <item x="218"/>
        <item x="217"/>
        <item x="215"/>
        <item x="216"/>
        <item x="235"/>
        <item x="179"/>
        <item x="180"/>
        <item x="38"/>
        <item x="64"/>
        <item x="242"/>
        <item x="58"/>
        <item x="63"/>
        <item x="164"/>
        <item x="114"/>
        <item x="83"/>
        <item x="55"/>
        <item x="190"/>
        <item x="185"/>
        <item x="171"/>
        <item x="183"/>
        <item x="37"/>
        <item x="76"/>
        <item x="172"/>
        <item x="170"/>
        <item x="90"/>
        <item x="161"/>
        <item x="73"/>
        <item x="143"/>
        <item x="155"/>
        <item x="123"/>
        <item x="158"/>
        <item x="195"/>
        <item x="132"/>
        <item x="145"/>
        <item x="228"/>
        <item x="229"/>
        <item x="82"/>
        <item x="232"/>
        <item x="146"/>
        <item x="81"/>
        <item x="181"/>
        <item x="124"/>
        <item x="237"/>
        <item x="174"/>
        <item x="210"/>
        <item x="173"/>
        <item x="211"/>
        <item x="226"/>
        <item x="212"/>
        <item x="130"/>
        <item x="89"/>
        <item x="57"/>
        <item x="200"/>
        <item x="240"/>
        <item x="199"/>
        <item x="239"/>
        <item x="201"/>
        <item x="153"/>
        <item x="219"/>
        <item x="152"/>
        <item x="203"/>
        <item x="56"/>
        <item x="204"/>
        <item x="205"/>
        <item x="207"/>
        <item x="150"/>
        <item x="40"/>
        <item x="45"/>
        <item x="39"/>
        <item x="48"/>
        <item x="41"/>
        <item x="47"/>
        <item x="77"/>
        <item x="42"/>
        <item x="147"/>
        <item x="46"/>
        <item x="43"/>
        <item x="120"/>
        <item x="110"/>
        <item x="236"/>
        <item x="220"/>
        <item x="99"/>
        <item x="154"/>
        <item x="100"/>
        <item x="60"/>
        <item x="61"/>
        <item x="105"/>
        <item x="69"/>
        <item x="117"/>
        <item x="106"/>
        <item x="112"/>
        <item x="98"/>
        <item x="68"/>
        <item x="67"/>
        <item x="102"/>
        <item x="231"/>
        <item x="74"/>
        <item x="163"/>
        <item x="131"/>
        <item x="103"/>
        <item x="176"/>
        <item x="221"/>
        <item x="177"/>
        <item x="128"/>
        <item x="241"/>
        <item x="222"/>
        <item x="225"/>
        <item x="107"/>
        <item x="223"/>
        <item x="109"/>
        <item x="111"/>
        <item x="230"/>
        <item x="126"/>
        <item x="52"/>
        <item x="49"/>
        <item x="227"/>
        <item x="194"/>
        <item x="97"/>
        <item x="175"/>
        <item x="44"/>
        <item x="135"/>
        <item x="224"/>
        <item x="159"/>
        <item x="121"/>
        <item x="151"/>
        <item x="115"/>
        <item x="119"/>
        <item x="118"/>
        <item x="96"/>
        <item x="133"/>
        <item x="75"/>
        <item x="101"/>
        <item x="162"/>
        <item x="189"/>
        <item x="108"/>
        <item x="187"/>
        <item x="122"/>
        <item x="113"/>
        <item x="104"/>
        <item x="138"/>
        <item x="139"/>
        <item x="84"/>
        <item x="140"/>
        <item x="141"/>
        <item x="51"/>
        <item x="142"/>
        <item x="95"/>
        <item x="94"/>
        <item x="137"/>
        <item x="72"/>
        <item x="85"/>
        <item x="168"/>
        <item x="66"/>
        <item x="166"/>
        <item x="167"/>
        <item x="86"/>
        <item x="54"/>
        <item x="233"/>
        <item x="234"/>
        <item x="53"/>
        <item x="88"/>
        <item x="71"/>
        <item x="160"/>
        <item x="78"/>
        <item x="214"/>
        <item x="165"/>
        <item x="169"/>
        <item x="136"/>
        <item x="213"/>
        <item x="92"/>
        <item x="127"/>
        <item x="208"/>
        <item x="50"/>
        <item x="209"/>
        <item x="129"/>
        <item x="70"/>
        <item x="134"/>
        <item x="23"/>
        <item x="206"/>
        <item x="16"/>
        <item x="10"/>
        <item x="116"/>
        <item x="24"/>
        <item x="65"/>
        <item x="178"/>
        <item x="62"/>
        <item x="34"/>
        <item x="193"/>
        <item x="192"/>
        <item x="196"/>
        <item x="87"/>
        <item x="25"/>
        <item x="26"/>
        <item x="198"/>
        <item x="144"/>
        <item x="191"/>
        <item x="20"/>
        <item x="79"/>
        <item x="91"/>
        <item x="182"/>
        <item x="93"/>
        <item x="80"/>
        <item x="6"/>
        <item x="148"/>
        <item x="32"/>
        <item x="27"/>
        <item x="22"/>
        <item x="149"/>
        <item x="59"/>
        <item x="125"/>
        <item x="4"/>
        <item x="21"/>
        <item x="18"/>
        <item x="7"/>
        <item x="202"/>
        <item x="11"/>
        <item x="2"/>
        <item x="14"/>
        <item x="197"/>
        <item x="36"/>
        <item x="184"/>
        <item x="31"/>
        <item x="3"/>
        <item x="29"/>
        <item x="186"/>
        <item x="30"/>
        <item x="188"/>
        <item x="15"/>
        <item x="0"/>
        <item x="28"/>
        <item x="19"/>
        <item x="33"/>
        <item x="35"/>
        <item x="1"/>
        <item x="12"/>
        <item x="157"/>
        <item x="13"/>
        <item x="8"/>
        <item x="5"/>
        <item x="9"/>
        <item x="156"/>
        <item x="17"/>
        <item x="2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6"/>
        <item x="4"/>
        <item x="3"/>
        <item x="1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sortType="ascending" defaultSubtotal="0">
      <items count="251">
        <item x="158"/>
        <item x="157"/>
        <item x="204"/>
        <item x="183"/>
        <item x="190"/>
        <item x="91"/>
        <item x="65"/>
        <item x="57"/>
        <item x="226"/>
        <item x="191"/>
        <item x="207"/>
        <item x="227"/>
        <item x="161"/>
        <item x="201"/>
        <item x="195"/>
        <item x="176"/>
        <item x="175"/>
        <item x="218"/>
        <item x="219"/>
        <item x="202"/>
        <item x="222"/>
        <item x="163"/>
        <item x="180"/>
        <item x="97"/>
        <item x="98"/>
        <item x="174"/>
        <item x="164"/>
        <item x="131"/>
        <item x="181"/>
        <item x="247"/>
        <item x="203"/>
        <item x="67"/>
        <item x="242"/>
        <item x="60"/>
        <item x="59"/>
        <item x="140"/>
        <item x="86"/>
        <item x="237"/>
        <item x="248"/>
        <item x="245"/>
        <item x="48"/>
        <item x="49"/>
        <item x="246"/>
        <item x="116"/>
        <item x="99"/>
        <item x="81"/>
        <item x="82"/>
        <item x="115"/>
        <item x="128"/>
        <item x="221"/>
        <item x="136"/>
        <item x="100"/>
        <item x="220"/>
        <item x="173"/>
        <item x="127"/>
        <item x="85"/>
        <item x="50"/>
        <item x="121"/>
        <item x="170"/>
        <item x="138"/>
        <item x="241"/>
        <item x="122"/>
        <item x="231"/>
        <item x="123"/>
        <item x="249"/>
        <item x="78"/>
        <item x="171"/>
        <item x="134"/>
        <item x="93"/>
        <item x="192"/>
        <item x="129"/>
        <item x="193"/>
        <item x="166"/>
        <item x="165"/>
        <item x="243"/>
        <item x="51"/>
        <item x="29"/>
        <item x="145"/>
        <item x="162"/>
        <item x="194"/>
        <item x="62"/>
        <item x="77"/>
        <item x="76"/>
        <item x="167"/>
        <item x="83"/>
        <item x="151"/>
        <item x="236"/>
        <item x="124"/>
        <item x="230"/>
        <item x="63"/>
        <item x="119"/>
        <item x="232"/>
        <item x="172"/>
        <item x="38"/>
        <item x="146"/>
        <item x="52"/>
        <item x="40"/>
        <item x="37"/>
        <item x="141"/>
        <item x="39"/>
        <item x="30"/>
        <item x="32"/>
        <item x="27"/>
        <item x="41"/>
        <item x="112"/>
        <item x="228"/>
        <item x="126"/>
        <item x="198"/>
        <item x="197"/>
        <item x="196"/>
        <item x="143"/>
        <item x="33"/>
        <item x="34"/>
        <item x="36"/>
        <item x="217"/>
        <item x="35"/>
        <item x="113"/>
        <item x="239"/>
        <item x="84"/>
        <item x="28"/>
        <item x="240"/>
        <item x="135"/>
        <item x="178"/>
        <item x="31"/>
        <item x="177"/>
        <item x="149"/>
        <item x="250"/>
        <item x="234"/>
        <item x="233"/>
        <item x="137"/>
        <item x="147"/>
        <item x="117"/>
        <item x="118"/>
        <item x="120"/>
        <item x="130"/>
        <item x="208"/>
        <item x="125"/>
        <item x="235"/>
        <item x="139"/>
        <item x="238"/>
        <item x="155"/>
        <item x="154"/>
        <item x="95"/>
        <item x="94"/>
        <item x="108"/>
        <item x="80"/>
        <item x="46"/>
        <item x="184"/>
        <item x="44"/>
        <item x="187"/>
        <item x="185"/>
        <item x="43"/>
        <item x="105"/>
        <item x="106"/>
        <item x="107"/>
        <item x="150"/>
        <item x="186"/>
        <item x="152"/>
        <item x="73"/>
        <item x="55"/>
        <item x="54"/>
        <item x="87"/>
        <item x="79"/>
        <item x="188"/>
        <item x="225"/>
        <item x="102"/>
        <item x="223"/>
        <item x="109"/>
        <item x="224"/>
        <item x="179"/>
        <item x="111"/>
        <item x="189"/>
        <item x="45"/>
        <item x="213"/>
        <item x="148"/>
        <item x="142"/>
        <item x="160"/>
        <item x="144"/>
        <item x="159"/>
        <item x="103"/>
        <item x="96"/>
        <item x="47"/>
        <item x="104"/>
        <item x="211"/>
        <item x="133"/>
        <item x="199"/>
        <item x="153"/>
        <item x="200"/>
        <item x="72"/>
        <item x="212"/>
        <item x="90"/>
        <item x="210"/>
        <item x="209"/>
        <item x="88"/>
        <item x="74"/>
        <item x="229"/>
        <item x="68"/>
        <item x="69"/>
        <item x="71"/>
        <item x="53"/>
        <item x="114"/>
        <item x="214"/>
        <item x="169"/>
        <item x="182"/>
        <item x="70"/>
        <item x="110"/>
        <item x="101"/>
        <item x="156"/>
        <item x="215"/>
        <item x="132"/>
        <item x="216"/>
        <item x="89"/>
        <item x="75"/>
        <item x="168"/>
        <item x="92"/>
        <item x="206"/>
        <item x="42"/>
        <item x="205"/>
        <item x="64"/>
        <item x="61"/>
        <item x="244"/>
        <item x="58"/>
        <item x="66"/>
        <item x="56"/>
        <item x="1"/>
        <item x="18"/>
        <item x="4"/>
        <item x="24"/>
        <item x="13"/>
        <item x="25"/>
        <item x="11"/>
        <item x="16"/>
        <item x="7"/>
        <item x="21"/>
        <item x="15"/>
        <item x="2"/>
        <item x="0"/>
        <item x="6"/>
        <item x="17"/>
        <item x="22"/>
        <item x="5"/>
        <item x="3"/>
        <item x="20"/>
        <item x="12"/>
        <item x="10"/>
        <item x="8"/>
        <item x="9"/>
        <item x="26"/>
        <item x="19"/>
        <item x="2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Año cosecha" axis="axisRow" compact="0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es cosecha" axis="axisRow" compact="0" outline="0" showAll="0" sortType="ascending">
      <items count="13">
        <item x="11"/>
        <item x="8"/>
        <item x="9"/>
        <item x="10"/>
        <item x="3"/>
        <item x="1"/>
        <item x="2"/>
        <item x="5"/>
        <item x="6"/>
        <item x="7"/>
        <item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1">
    <field x="24"/>
    <field x="25"/>
    <field x="5"/>
    <field x="23"/>
    <field x="6"/>
    <field x="7"/>
    <field x="8"/>
    <field x="10"/>
    <field x="11"/>
    <field x="13"/>
    <field x="12"/>
  </rowFields>
  <rowItems count="469">
    <i>
      <x/>
      <x/>
      <x v="1"/>
      <x v="6"/>
      <x v="4"/>
      <x v="3"/>
      <x v="9"/>
      <x v="1"/>
      <x v="3"/>
      <x/>
      <x v="11"/>
    </i>
    <i r="3">
      <x v="7"/>
      <x v="4"/>
      <x v="1"/>
      <x v="8"/>
      <x v="1"/>
      <x v="11"/>
      <x/>
      <x v="15"/>
    </i>
    <i r="5">
      <x v="2"/>
      <x v="8"/>
      <x/>
      <x v="3"/>
      <x v="6"/>
      <x v="10"/>
    </i>
    <i r="2">
      <x v="2"/>
      <x v="5"/>
      <x v="5"/>
      <x v="2"/>
      <x v="10"/>
      <x v="1"/>
      <x v="9"/>
      <x/>
      <x v="39"/>
    </i>
    <i r="3">
      <x v="23"/>
      <x v="5"/>
      <x v="4"/>
      <x v="9"/>
      <x v="2"/>
      <x v="9"/>
      <x v="4"/>
      <x v="50"/>
    </i>
    <i r="2">
      <x v="4"/>
      <x/>
      <x v="7"/>
      <x/>
      <x v="9"/>
      <x v="1"/>
      <x v="11"/>
      <x/>
      <x v="26"/>
    </i>
    <i r="3">
      <x v="1"/>
      <x v="7"/>
      <x/>
      <x v="7"/>
      <x v="1"/>
      <x v="11"/>
      <x/>
      <x v="32"/>
    </i>
    <i r="3">
      <x v="2"/>
      <x v="10"/>
      <x v="12"/>
      <x v="7"/>
      <x v="1"/>
      <x v="10"/>
      <x/>
      <x v="19"/>
    </i>
    <i r="3">
      <x v="3"/>
      <x v="8"/>
      <x v="6"/>
      <x v="8"/>
      <x v="1"/>
      <x v="11"/>
      <x/>
      <x v="12"/>
    </i>
    <i r="4">
      <x v="10"/>
      <x v="12"/>
      <x v="8"/>
      <x v="2"/>
      <x v="13"/>
      <x/>
      <x v="17"/>
    </i>
    <i r="3">
      <x v="4"/>
      <x v="9"/>
      <x v="8"/>
      <x v="7"/>
      <x v="1"/>
      <x v="11"/>
      <x/>
      <x v="18"/>
    </i>
    <i r="4">
      <x v="11"/>
      <x v="15"/>
      <x v="7"/>
      <x v="1"/>
      <x v="4"/>
      <x/>
      <x v="31"/>
    </i>
    <i r="3">
      <x v="9"/>
      <x v="9"/>
      <x v="8"/>
      <x v="8"/>
      <x v="1"/>
      <x v="11"/>
      <x/>
      <x v="22"/>
    </i>
    <i r="3">
      <x v="10"/>
      <x v="10"/>
      <x v="12"/>
      <x v="10"/>
      <x v="1"/>
      <x v="13"/>
      <x/>
      <x v="22"/>
    </i>
    <i r="3">
      <x v="12"/>
      <x v="7"/>
      <x v="1"/>
      <x v="7"/>
      <x v="2"/>
      <x v="14"/>
      <x/>
      <x v="33"/>
    </i>
    <i r="3">
      <x v="13"/>
      <x v="9"/>
      <x v="10"/>
      <x v="10"/>
      <x v="1"/>
      <x v="11"/>
      <x/>
      <x v="5"/>
    </i>
    <i r="4">
      <x v="10"/>
      <x v="12"/>
      <x v="12"/>
      <x v="1"/>
      <x v="13"/>
      <x/>
      <x v="16"/>
    </i>
    <i r="3">
      <x v="14"/>
      <x v="9"/>
      <x v="9"/>
      <x v="7"/>
      <x v="1"/>
      <x v="9"/>
      <x/>
      <x v="45"/>
    </i>
    <i r="6">
      <x v="8"/>
      <x v="1"/>
      <x v="9"/>
      <x/>
      <x v="43"/>
    </i>
    <i r="3">
      <x v="15"/>
      <x v="7"/>
      <x v="3"/>
      <x v="12"/>
      <x v="1"/>
      <x v="10"/>
      <x/>
      <x v="30"/>
    </i>
    <i r="3">
      <x v="16"/>
      <x v="7"/>
      <x v="3"/>
      <x v="11"/>
      <x v="1"/>
      <x v="10"/>
      <x/>
      <x v="29"/>
    </i>
    <i r="3">
      <x v="17"/>
      <x v="12"/>
      <x v="17"/>
      <x v="10"/>
      <x v="1"/>
      <x v="12"/>
      <x/>
      <x v="54"/>
    </i>
    <i r="6">
      <x v="12"/>
      <x v="1"/>
      <x v="12"/>
      <x/>
      <x v="56"/>
    </i>
    <i r="3">
      <x v="18"/>
      <x v="12"/>
      <x v="17"/>
      <x v="11"/>
      <x v="1"/>
      <x v="12"/>
      <x/>
      <x v="52"/>
    </i>
    <i r="5">
      <x v="20"/>
      <x v="7"/>
      <x v="1"/>
      <x v="12"/>
      <x/>
      <x v="44"/>
    </i>
    <i r="3">
      <x v="19"/>
      <x v="9"/>
      <x v="11"/>
      <x v="7"/>
      <x v="2"/>
      <x v="12"/>
      <x/>
      <x v="40"/>
    </i>
    <i r="3">
      <x v="20"/>
      <x v="12"/>
      <x v="20"/>
      <x v="11"/>
      <x v="1"/>
      <x v="12"/>
      <x/>
      <x v="49"/>
    </i>
    <i r="3">
      <x v="21"/>
      <x v="7"/>
      <x v="1"/>
      <x v="9"/>
      <x v="2"/>
      <x v="14"/>
      <x/>
      <x v="38"/>
    </i>
    <i r="4">
      <x v="12"/>
      <x v="20"/>
      <x v="9"/>
      <x v="1"/>
      <x v="12"/>
      <x/>
      <x v="46"/>
    </i>
    <i r="3">
      <x v="22"/>
      <x v="8"/>
      <x v="5"/>
      <x v="12"/>
      <x v="1"/>
      <x v="10"/>
      <x/>
      <x v="24"/>
    </i>
    <i r="5">
      <x v="7"/>
      <x v="11"/>
      <x v="1"/>
      <x v="9"/>
      <x/>
      <x v="23"/>
    </i>
    <i r="4">
      <x v="9"/>
      <x v="8"/>
      <x v="9"/>
      <x v="1"/>
      <x v="11"/>
      <x/>
      <x v="26"/>
    </i>
    <i r="5">
      <x v="10"/>
      <x v="12"/>
      <x v="1"/>
      <x v="11"/>
      <x/>
      <x v="6"/>
    </i>
    <i r="4">
      <x v="12"/>
      <x v="20"/>
      <x v="8"/>
      <x v="1"/>
      <x v="12"/>
      <x/>
      <x v="45"/>
    </i>
    <i r="6">
      <x v="10"/>
      <x v="1"/>
      <x v="12"/>
      <x/>
      <x v="48"/>
    </i>
    <i r="3">
      <x v="23"/>
      <x v="7"/>
      <x/>
      <x v="10"/>
      <x v="2"/>
      <x v="7"/>
      <x v="6"/>
      <x v="27"/>
    </i>
    <i r="5">
      <x v="3"/>
      <x v="10"/>
      <x v="2"/>
      <x v="10"/>
      <x/>
      <x v="28"/>
    </i>
    <i r="4">
      <x v="8"/>
      <x v="5"/>
      <x v="9"/>
      <x v="1"/>
      <x v="3"/>
      <x/>
      <x v="25"/>
    </i>
    <i r="5">
      <x v="7"/>
      <x v="12"/>
      <x v="1"/>
      <x v="9"/>
      <x/>
      <x v="25"/>
    </i>
    <i r="4">
      <x v="9"/>
      <x v="10"/>
      <x v="11"/>
      <x v="1"/>
      <x v="11"/>
      <x/>
      <x v="11"/>
    </i>
    <i r="2">
      <x v="5"/>
      <x v="1"/>
      <x v="16"/>
      <x v="7"/>
      <x v="9"/>
      <x v="1"/>
      <x v="2"/>
      <x/>
      <x v="20"/>
    </i>
    <i r="3">
      <x v="6"/>
      <x v="16"/>
      <x v="3"/>
      <x v="10"/>
      <x v="1"/>
      <x v="11"/>
      <x/>
      <x v="33"/>
    </i>
    <i r="3">
      <x v="8"/>
      <x v="16"/>
      <x v="8"/>
      <x v="7"/>
      <x v="1"/>
      <x v="9"/>
      <x/>
      <x v="24"/>
    </i>
    <i r="3">
      <x v="9"/>
      <x v="16"/>
      <x v="3"/>
      <x v="11"/>
      <x v="1"/>
      <x v="11"/>
      <x/>
      <x v="34"/>
    </i>
    <i r="3">
      <x v="11"/>
      <x v="16"/>
      <x v="6"/>
      <x v="9"/>
      <x v="1"/>
      <x/>
      <x/>
      <x v="4"/>
    </i>
    <i r="3">
      <x v="13"/>
      <x v="16"/>
      <x v="7"/>
      <x v="7"/>
      <x v="1"/>
      <x v="2"/>
      <x/>
      <x v="15"/>
    </i>
    <i r="2">
      <x v="6"/>
      <x v="8"/>
      <x v="13"/>
      <x/>
      <x v="7"/>
      <x v="1"/>
      <x/>
      <x/>
      <x v="2"/>
    </i>
    <i r="3">
      <x v="9"/>
      <x v="13"/>
      <x/>
      <x v="8"/>
      <x v="1"/>
      <x/>
      <x/>
      <x v="3"/>
    </i>
    <i r="3">
      <x v="10"/>
      <x v="13"/>
      <x/>
      <x v="10"/>
      <x v="1"/>
      <x/>
      <x/>
      <x/>
    </i>
    <i r="3">
      <x v="11"/>
      <x v="13"/>
      <x/>
      <x v="9"/>
      <x v="1"/>
      <x/>
      <x/>
      <x v="1"/>
    </i>
    <i t="default" r="1">
      <x/>
    </i>
    <i r="1">
      <x v="1"/>
      <x v="1"/>
      <x v="31"/>
      <x v="4"/>
      <x v="4"/>
      <x v="7"/>
      <x/>
      <x/>
      <x/>
      <x v="8"/>
    </i>
    <i r="3">
      <x v="33"/>
      <x v="4"/>
      <x v="2"/>
      <x v="7"/>
      <x v="2"/>
      <x v="3"/>
      <x/>
      <x v="51"/>
    </i>
    <i r="3">
      <x v="34"/>
      <x v="4"/>
      <x v="1"/>
      <x v="10"/>
      <x v="1"/>
      <x v="3"/>
      <x/>
      <x v="61"/>
    </i>
    <i r="3">
      <x v="40"/>
      <x v="4"/>
      <x/>
      <x v="7"/>
      <x v="1"/>
      <x/>
      <x/>
      <x v="7"/>
    </i>
    <i r="2">
      <x v="2"/>
      <x v="24"/>
      <x v="5"/>
      <x v="4"/>
      <x v="9"/>
      <x v="2"/>
      <x v="9"/>
      <x v="4"/>
      <x v="50"/>
    </i>
    <i r="3">
      <x v="36"/>
      <x v="5"/>
      <x v="1"/>
      <x v="9"/>
      <x v="1"/>
      <x v="2"/>
      <x/>
      <x v="72"/>
    </i>
    <i r="2">
      <x v="3"/>
      <x v="27"/>
      <x v="6"/>
      <x v="13"/>
      <x v="7"/>
      <x v="1"/>
      <x/>
      <x/>
      <x v="13"/>
    </i>
    <i r="3">
      <x v="35"/>
      <x v="6"/>
      <x v="15"/>
      <x v="9"/>
      <x v="1"/>
      <x/>
      <x/>
      <x v="29"/>
    </i>
    <i r="3">
      <x v="40"/>
      <x v="6"/>
      <x v="15"/>
      <x v="10"/>
      <x v="1"/>
      <x/>
      <x/>
      <x v="41"/>
    </i>
    <i r="2">
      <x v="4"/>
      <x v="24"/>
      <x v="7"/>
      <x/>
      <x v="10"/>
      <x v="2"/>
      <x v="7"/>
      <x v="6"/>
      <x v="27"/>
    </i>
    <i r="3">
      <x v="25"/>
      <x v="7"/>
      <x v="3"/>
      <x v="10"/>
      <x v="2"/>
      <x v="10"/>
      <x/>
      <x v="28"/>
    </i>
    <i r="3">
      <x v="26"/>
      <x v="7"/>
      <x v="1"/>
      <x v="9"/>
      <x v="2"/>
      <x v="14"/>
      <x/>
      <x v="38"/>
    </i>
    <i r="4">
      <x v="12"/>
      <x v="20"/>
      <x v="7"/>
      <x v="1"/>
      <x v="12"/>
      <x/>
      <x v="44"/>
    </i>
    <i r="6">
      <x v="9"/>
      <x v="1"/>
      <x v="12"/>
      <x/>
      <x v="46"/>
    </i>
    <i r="3">
      <x v="28"/>
      <x v="8"/>
      <x v="5"/>
      <x v="12"/>
      <x v="1"/>
      <x v="10"/>
      <x/>
      <x v="24"/>
    </i>
    <i r="3">
      <x v="30"/>
      <x v="9"/>
      <x v="11"/>
      <x v="8"/>
      <x v="2"/>
      <x v="12"/>
      <x/>
      <x v="43"/>
    </i>
    <i r="6">
      <x v="9"/>
      <x v="2"/>
      <x v="12"/>
      <x/>
      <x v="41"/>
    </i>
    <i r="3">
      <x v="33"/>
      <x v="8"/>
      <x v="7"/>
      <x v="12"/>
      <x v="1"/>
      <x v="9"/>
      <x/>
      <x v="25"/>
    </i>
    <i r="3">
      <x v="36"/>
      <x v="8"/>
      <x v="5"/>
      <x v="9"/>
      <x v="1"/>
      <x v="3"/>
      <x/>
      <x v="25"/>
    </i>
    <i r="2">
      <x v="5"/>
      <x v="26"/>
      <x v="16"/>
      <x v="3"/>
      <x v="12"/>
      <x v="1"/>
      <x v="11"/>
      <x/>
      <x v="35"/>
    </i>
    <i r="3">
      <x v="29"/>
      <x v="16"/>
      <x v="7"/>
      <x v="7"/>
      <x v="1"/>
      <x v="2"/>
      <x/>
      <x v="15"/>
    </i>
    <i r="6">
      <x v="8"/>
      <x v="1"/>
      <x v="2"/>
      <x v="5"/>
      <x v="52"/>
    </i>
    <i r="3">
      <x v="30"/>
      <x v="16"/>
      <x v="3"/>
      <x v="11"/>
      <x v="1"/>
      <x v="11"/>
      <x/>
      <x v="34"/>
    </i>
    <i r="5">
      <x v="7"/>
      <x v="10"/>
      <x v="2"/>
      <x v="11"/>
      <x/>
      <x v="48"/>
    </i>
    <i r="5">
      <x v="9"/>
      <x v="9"/>
      <x/>
      <x v="1"/>
      <x/>
      <x v="59"/>
    </i>
    <i r="3">
      <x v="32"/>
      <x v="16"/>
      <x v="4"/>
      <x v="11"/>
      <x v="1"/>
      <x v="1"/>
      <x/>
      <x v="37"/>
    </i>
    <i r="3">
      <x v="33"/>
      <x v="16"/>
      <x v="9"/>
      <x v="8"/>
      <x/>
      <x/>
      <x v="6"/>
      <x v="9"/>
    </i>
    <i r="3">
      <x v="34"/>
      <x v="16"/>
      <x v="2"/>
      <x v="8"/>
      <x v="1"/>
      <x v="11"/>
      <x/>
      <x v="47"/>
    </i>
    <i r="3">
      <x v="37"/>
      <x v="16"/>
      <x v="2"/>
      <x v="9"/>
      <x v="1"/>
      <x v="11"/>
      <x/>
      <x v="39"/>
    </i>
    <i r="3">
      <x v="38"/>
      <x v="16"/>
      <x v="7"/>
      <x v="12"/>
      <x v="1"/>
      <x v="11"/>
      <x/>
      <x v="55"/>
    </i>
    <i r="3">
      <x v="39"/>
      <x v="16"/>
      <x v="6"/>
      <x v="11"/>
      <x v="1"/>
      <x v="1"/>
      <x/>
      <x v="42"/>
    </i>
    <i r="3">
      <x v="40"/>
      <x v="16"/>
      <x v="8"/>
      <x v="7"/>
      <x v="1"/>
      <x v="9"/>
      <x/>
      <x v="24"/>
    </i>
    <i t="default" r="1">
      <x v="1"/>
    </i>
    <i r="1">
      <x v="2"/>
      <x v="1"/>
      <x v="41"/>
      <x v="4"/>
      <x/>
      <x v="7"/>
      <x v="1"/>
      <x/>
      <x/>
      <x v="7"/>
    </i>
    <i r="2">
      <x v="2"/>
      <x v="44"/>
      <x v="5"/>
      <x v="4"/>
      <x v="11"/>
      <x v="2"/>
      <x/>
      <x/>
      <x v="24"/>
    </i>
    <i r="3">
      <x v="45"/>
      <x v="5"/>
      <x/>
      <x v="10"/>
      <x v="1"/>
      <x/>
      <x/>
      <x v="26"/>
    </i>
    <i r="2">
      <x v="3"/>
      <x v="41"/>
      <x v="6"/>
      <x v="15"/>
      <x v="10"/>
      <x v="1"/>
      <x/>
      <x/>
      <x v="41"/>
    </i>
    <i r="3">
      <x v="43"/>
      <x v="6"/>
      <x v="9"/>
      <x v="7"/>
      <x v="1"/>
      <x v="4"/>
      <x/>
      <x v="83"/>
    </i>
    <i r="3">
      <x v="44"/>
      <x v="6"/>
      <x v="12"/>
      <x v="8"/>
      <x v="1"/>
      <x v="2"/>
      <x/>
      <x v="78"/>
    </i>
    <i r="2">
      <x v="4"/>
      <x v="44"/>
      <x v="10"/>
      <x v="13"/>
      <x v="10"/>
      <x v="2"/>
      <x v="13"/>
      <x/>
      <x v="75"/>
    </i>
    <i r="3">
      <x v="45"/>
      <x v="7"/>
      <x v="3"/>
      <x v="7"/>
      <x v="2"/>
      <x v="8"/>
      <x v="1"/>
      <x v="59"/>
    </i>
    <i r="4">
      <x v="10"/>
      <x v="13"/>
      <x v="11"/>
      <x v="2"/>
      <x v="13"/>
      <x/>
      <x v="75"/>
    </i>
    <i r="6">
      <x v="12"/>
      <x v="1"/>
      <x v="13"/>
      <x/>
      <x v="75"/>
    </i>
    <i r="2">
      <x v="5"/>
      <x v="41"/>
      <x v="16"/>
      <x v="8"/>
      <x v="7"/>
      <x v="1"/>
      <x v="9"/>
      <x/>
      <x v="24"/>
    </i>
    <i r="3">
      <x v="42"/>
      <x v="16"/>
      <x v="6"/>
      <x v="11"/>
      <x v="1"/>
      <x v="1"/>
      <x/>
      <x v="42"/>
    </i>
    <i r="3">
      <x v="43"/>
      <x v="16"/>
      <x v="3"/>
      <x v="12"/>
      <x v="1"/>
      <x v="11"/>
      <x/>
      <x v="35"/>
    </i>
    <i t="default" r="1">
      <x v="2"/>
    </i>
    <i r="1">
      <x v="3"/>
      <x v="1"/>
      <x v="56"/>
      <x v="4"/>
      <x/>
      <x v="7"/>
      <x v="1"/>
      <x/>
      <x/>
      <x v="7"/>
    </i>
    <i r="2">
      <x v="2"/>
      <x v="46"/>
      <x v="5"/>
      <x/>
      <x v="10"/>
      <x v="1"/>
      <x/>
      <x/>
      <x v="26"/>
    </i>
    <i r="3">
      <x v="51"/>
      <x v="5"/>
      <x v="4"/>
      <x v="11"/>
      <x v="2"/>
      <x/>
      <x/>
      <x v="24"/>
    </i>
    <i r="3">
      <x v="55"/>
      <x v="5"/>
      <x v="1"/>
      <x v="8"/>
      <x v="1"/>
      <x/>
      <x/>
      <x v="21"/>
    </i>
    <i r="2">
      <x v="3"/>
      <x v="47"/>
      <x v="6"/>
      <x v="8"/>
      <x v="11"/>
      <x v="1"/>
      <x v="2"/>
      <x/>
      <x v="81"/>
    </i>
    <i r="3">
      <x v="48"/>
      <x v="6"/>
      <x v="12"/>
      <x v="8"/>
      <x v="1"/>
      <x v="2"/>
      <x/>
      <x v="78"/>
    </i>
    <i r="3">
      <x v="50"/>
      <x v="6"/>
      <x v="14"/>
      <x v="9"/>
      <x v="1"/>
      <x v="2"/>
      <x/>
      <x v="77"/>
    </i>
    <i r="3">
      <x v="54"/>
      <x v="6"/>
      <x v="12"/>
      <x v="7"/>
      <x v="1"/>
      <x v="2"/>
      <x v="2"/>
      <x v="87"/>
    </i>
    <i r="3">
      <x v="57"/>
      <x v="6"/>
      <x v="10"/>
      <x v="7"/>
      <x v="1"/>
      <x v="1"/>
      <x/>
      <x v="86"/>
    </i>
    <i r="3">
      <x v="59"/>
      <x v="6"/>
      <x v="14"/>
      <x v="11"/>
      <x/>
      <x v="1"/>
      <x/>
      <x v="70"/>
    </i>
    <i r="3">
      <x v="61"/>
      <x v="6"/>
      <x v="11"/>
      <x v="7"/>
      <x v="1"/>
      <x v="2"/>
      <x/>
      <x v="89"/>
    </i>
    <i r="5">
      <x v="17"/>
      <x v="8"/>
      <x v="1"/>
      <x/>
      <x/>
      <x v="32"/>
    </i>
    <i r="2">
      <x v="4"/>
      <x v="49"/>
      <x v="12"/>
      <x v="19"/>
      <x v="8"/>
      <x v="1"/>
      <x v="12"/>
      <x/>
      <x v="61"/>
    </i>
    <i r="3">
      <x v="50"/>
      <x v="12"/>
      <x v="19"/>
      <x v="10"/>
      <x v="1"/>
      <x v="12"/>
      <x/>
      <x v="64"/>
    </i>
    <i r="3">
      <x v="51"/>
      <x v="12"/>
      <x v="18"/>
      <x v="12"/>
      <x v="1"/>
      <x v="12"/>
      <x/>
      <x v="63"/>
    </i>
    <i r="5">
      <x v="19"/>
      <x v="9"/>
      <x v="1"/>
      <x v="12"/>
      <x/>
      <x v="62"/>
    </i>
    <i r="3">
      <x v="52"/>
      <x v="12"/>
      <x v="18"/>
      <x v="11"/>
      <x v="1"/>
      <x v="12"/>
      <x/>
      <x v="62"/>
    </i>
    <i r="3">
      <x v="53"/>
      <x v="7"/>
      <x v="3"/>
      <x v="7"/>
      <x v="2"/>
      <x v="8"/>
      <x v="1"/>
      <x v="59"/>
    </i>
    <i r="4">
      <x v="12"/>
      <x v="18"/>
      <x v="10"/>
      <x v="1"/>
      <x v="12"/>
      <x/>
      <x v="60"/>
    </i>
    <i r="3">
      <x v="54"/>
      <x v="7"/>
      <x v="3"/>
      <x v="9"/>
      <x v="2"/>
      <x v="5"/>
      <x v="6"/>
      <x v="82"/>
    </i>
    <i r="3">
      <x v="55"/>
      <x v="7"/>
      <x v="3"/>
      <x v="8"/>
      <x v="2"/>
      <x v="8"/>
      <x v="6"/>
      <x v="57"/>
    </i>
    <i r="3">
      <x v="56"/>
      <x v="7"/>
      <x v="2"/>
      <x v="11"/>
      <x v="1"/>
      <x v="10"/>
      <x/>
      <x v="65"/>
    </i>
    <i r="3">
      <x v="58"/>
      <x v="7"/>
      <x v="2"/>
      <x v="10"/>
      <x v="1"/>
      <x v="10"/>
      <x/>
      <x v="65"/>
    </i>
    <i r="2">
      <x v="5"/>
      <x v="59"/>
      <x v="16"/>
      <x v="8"/>
      <x v="11"/>
      <x v="1"/>
      <x v="9"/>
      <x/>
      <x v="65"/>
    </i>
    <i r="3">
      <x v="60"/>
      <x v="16"/>
      <x v="4"/>
      <x v="10"/>
      <x v="1"/>
      <x v="1"/>
      <x/>
      <x v="75"/>
    </i>
    <i r="3">
      <x v="61"/>
      <x v="16"/>
      <x/>
      <x v="9"/>
      <x v="2"/>
      <x v="11"/>
      <x/>
      <x v="108"/>
    </i>
    <i r="5">
      <x v="6"/>
      <x v="10"/>
      <x v="2"/>
      <x v="9"/>
      <x/>
      <x v="79"/>
    </i>
    <i r="5">
      <x v="8"/>
      <x v="8"/>
      <x v="1"/>
      <x/>
      <x/>
      <x v="53"/>
    </i>
    <i t="default" r="1">
      <x v="3"/>
    </i>
    <i r="1">
      <x v="4"/>
      <x/>
      <x v="76"/>
      <x/>
      <x/>
      <x v="9"/>
      <x/>
      <x v="12"/>
      <x/>
      <x v="7"/>
    </i>
    <i r="2">
      <x v="1"/>
      <x v="65"/>
      <x v="4"/>
      <x v="5"/>
      <x v="11"/>
      <x v="1"/>
      <x v="3"/>
      <x/>
      <x v="87"/>
    </i>
    <i r="3">
      <x v="75"/>
      <x v="4"/>
      <x/>
      <x v="7"/>
      <x v="1"/>
      <x/>
      <x/>
      <x v="7"/>
    </i>
    <i r="3">
      <x v="80"/>
      <x v="4"/>
      <x v="2"/>
      <x v="9"/>
      <x/>
      <x/>
      <x/>
      <x v="84"/>
    </i>
    <i r="6">
      <x v="10"/>
      <x/>
      <x/>
      <x/>
      <x v="85"/>
    </i>
    <i r="3">
      <x v="81"/>
      <x v="4"/>
      <x v="5"/>
      <x v="10"/>
      <x v="1"/>
      <x v="2"/>
      <x/>
      <x v="92"/>
    </i>
    <i r="3">
      <x v="82"/>
      <x v="4"/>
      <x v="5"/>
      <x v="9"/>
      <x v="1"/>
      <x v="3"/>
      <x/>
      <x v="93"/>
    </i>
    <i r="2">
      <x v="2"/>
      <x v="68"/>
      <x v="5"/>
      <x v="2"/>
      <x v="12"/>
      <x/>
      <x/>
      <x/>
      <x v="36"/>
    </i>
    <i r="3">
      <x v="75"/>
      <x v="5"/>
      <x v="3"/>
      <x v="8"/>
      <x v="1"/>
      <x/>
      <x/>
      <x v="14"/>
    </i>
    <i r="3">
      <x v="82"/>
      <x v="5"/>
      <x/>
      <x v="11"/>
      <x v="1"/>
      <x v="1"/>
      <x/>
      <x v="96"/>
    </i>
    <i r="2">
      <x v="3"/>
      <x v="63"/>
      <x v="6"/>
      <x v="11"/>
      <x v="7"/>
      <x v="1"/>
      <x v="2"/>
      <x/>
      <x v="89"/>
    </i>
    <i r="3">
      <x v="67"/>
      <x v="6"/>
      <x v="13"/>
      <x v="11"/>
      <x v="1"/>
      <x v="1"/>
      <x/>
      <x v="88"/>
    </i>
    <i r="3">
      <x v="70"/>
      <x v="6"/>
      <x v="12"/>
      <x v="10"/>
      <x v="1"/>
      <x v="1"/>
      <x/>
      <x v="90"/>
    </i>
    <i r="3">
      <x v="77"/>
      <x v="6"/>
      <x v="16"/>
      <x v="11"/>
      <x v="1"/>
      <x/>
      <x/>
      <x v="49"/>
    </i>
    <i r="3">
      <x v="80"/>
      <x v="6"/>
      <x v="8"/>
      <x v="10"/>
      <x v="1"/>
      <x v="1"/>
      <x/>
      <x v="91"/>
    </i>
    <i r="3">
      <x v="82"/>
      <x v="6"/>
      <x v="9"/>
      <x v="10"/>
      <x v="1"/>
      <x v="1"/>
      <x/>
      <x v="99"/>
    </i>
    <i r="2">
      <x v="4"/>
      <x v="66"/>
      <x v="7"/>
      <x v="2"/>
      <x v="11"/>
      <x v="1"/>
      <x v="10"/>
      <x/>
      <x v="65"/>
    </i>
    <i r="3">
      <x v="69"/>
      <x v="9"/>
      <x v="8"/>
      <x v="10"/>
      <x v="1"/>
      <x v="11"/>
      <x/>
      <x v="82"/>
    </i>
    <i r="3">
      <x v="71"/>
      <x v="9"/>
      <x v="8"/>
      <x v="11"/>
      <x v="2"/>
      <x v="11"/>
      <x/>
      <x v="82"/>
    </i>
    <i r="3">
      <x v="72"/>
      <x v="7"/>
      <x v="1"/>
      <x v="11"/>
      <x v="1"/>
      <x v="4"/>
      <x v="6"/>
      <x v="74"/>
    </i>
    <i r="3">
      <x v="73"/>
      <x v="7"/>
      <x v="1"/>
      <x v="10"/>
      <x v="1"/>
      <x v="4"/>
      <x v="6"/>
      <x v="68"/>
    </i>
    <i r="3">
      <x v="76"/>
      <x v="15"/>
      <x v="1"/>
      <x v="10"/>
      <x v="1"/>
      <x v="6"/>
      <x/>
      <x v="179"/>
    </i>
    <i r="3">
      <x v="78"/>
      <x v="7"/>
      <x v="1"/>
      <x v="8"/>
      <x v="2"/>
      <x v="14"/>
      <x/>
      <x v="75"/>
    </i>
    <i r="3">
      <x v="79"/>
      <x v="9"/>
      <x v="8"/>
      <x v="12"/>
      <x v="2"/>
      <x v="11"/>
      <x/>
      <x v="82"/>
    </i>
    <i r="3">
      <x v="82"/>
      <x v="7"/>
      <x v="1"/>
      <x v="12"/>
      <x v="2"/>
      <x v="4"/>
      <x v="6"/>
      <x v="75"/>
    </i>
    <i r="2">
      <x v="5"/>
      <x v="62"/>
      <x v="16"/>
      <x/>
      <x v="9"/>
      <x v="2"/>
      <x v="11"/>
      <x/>
      <x v="108"/>
    </i>
    <i r="3">
      <x v="64"/>
      <x v="16"/>
      <x v="8"/>
      <x v="8"/>
      <x v="1"/>
      <x/>
      <x/>
      <x v="53"/>
    </i>
    <i r="3">
      <x v="69"/>
      <x v="16"/>
      <x v="8"/>
      <x v="11"/>
      <x v="1"/>
      <x v="9"/>
      <x/>
      <x v="65"/>
    </i>
    <i r="3">
      <x v="74"/>
      <x v="16"/>
      <x v="5"/>
      <x v="9"/>
      <x v="1"/>
      <x v="2"/>
      <x/>
      <x v="93"/>
    </i>
    <i r="3">
      <x v="75"/>
      <x v="16"/>
      <x v="1"/>
      <x v="11"/>
      <x v="1"/>
      <x/>
      <x/>
      <x v="81"/>
    </i>
    <i r="3">
      <x v="82"/>
      <x v="16"/>
      <x v="4"/>
      <x v="9"/>
      <x/>
      <x v="1"/>
      <x v="6"/>
      <x v="95"/>
    </i>
    <i r="2">
      <x v="6"/>
      <x v="77"/>
      <x v="14"/>
      <x/>
      <x v="11"/>
      <x v="1"/>
      <x v="1"/>
      <x/>
      <x v="105"/>
    </i>
    <i t="default" r="1">
      <x v="4"/>
    </i>
    <i r="1">
      <x v="5"/>
      <x/>
      <x v="100"/>
      <x/>
      <x/>
      <x v="9"/>
      <x/>
      <x v="12"/>
      <x/>
      <x v="7"/>
    </i>
    <i r="3">
      <x v="101"/>
      <x/>
      <x/>
      <x v="11"/>
      <x v="1"/>
      <x v="4"/>
      <x/>
      <x v="66"/>
    </i>
    <i r="3">
      <x v="102"/>
      <x/>
      <x/>
      <x v="8"/>
      <x/>
      <x v="9"/>
      <x/>
      <x v="20"/>
    </i>
    <i r="2">
      <x v="1"/>
      <x v="89"/>
      <x v="4"/>
      <x v="2"/>
      <x v="10"/>
      <x/>
      <x/>
      <x/>
      <x v="85"/>
    </i>
    <i r="3">
      <x v="95"/>
      <x v="4"/>
      <x/>
      <x v="7"/>
      <x v="1"/>
      <x/>
      <x/>
      <x v="7"/>
    </i>
    <i r="2">
      <x v="2"/>
      <x v="84"/>
      <x v="5"/>
      <x/>
      <x v="11"/>
      <x v="1"/>
      <x v="1"/>
      <x/>
      <x v="96"/>
    </i>
    <i r="3">
      <x v="104"/>
      <x v="5"/>
      <x v="7"/>
      <x v="11"/>
      <x v="2"/>
      <x v="13"/>
      <x/>
      <x v="128"/>
    </i>
    <i r="6">
      <x v="12"/>
      <x v="2"/>
      <x v="13"/>
      <x/>
      <x v="117"/>
    </i>
    <i r="2">
      <x v="3"/>
      <x v="85"/>
      <x v="6"/>
      <x v="18"/>
      <x v="8"/>
      <x v="1"/>
      <x v="8"/>
      <x/>
      <x v="93"/>
    </i>
    <i r="3">
      <x v="87"/>
      <x v="6"/>
      <x v="11"/>
      <x v="8"/>
      <x v="1"/>
      <x v="1"/>
      <x/>
      <x v="107"/>
    </i>
    <i r="3">
      <x v="90"/>
      <x v="6"/>
      <x v="9"/>
      <x v="9"/>
      <x v="1"/>
      <x v="1"/>
      <x/>
      <x v="94"/>
    </i>
    <i r="3">
      <x v="93"/>
      <x v="6"/>
      <x v="12"/>
      <x v="9"/>
      <x v="1"/>
      <x v="1"/>
      <x/>
      <x v="110"/>
    </i>
    <i r="3">
      <x v="94"/>
      <x v="6"/>
      <x v="17"/>
      <x v="7"/>
      <x v="1"/>
      <x v="8"/>
      <x/>
      <x v="98"/>
    </i>
    <i r="3">
      <x v="98"/>
      <x v="6"/>
      <x v="16"/>
      <x v="7"/>
      <x v="1"/>
      <x v="1"/>
      <x/>
      <x v="112"/>
    </i>
    <i r="3">
      <x v="106"/>
      <x v="6"/>
      <x v="11"/>
      <x v="10"/>
      <x v="2"/>
      <x v="1"/>
      <x/>
      <x v="109"/>
    </i>
    <i r="5">
      <x v="16"/>
      <x v="9"/>
      <x v="1"/>
      <x v="1"/>
      <x/>
      <x v="103"/>
    </i>
    <i r="2">
      <x v="4"/>
      <x v="83"/>
      <x v="7"/>
      <x v="1"/>
      <x v="12"/>
      <x v="2"/>
      <x v="4"/>
      <x v="6"/>
      <x v="75"/>
    </i>
    <i r="3">
      <x v="90"/>
      <x v="8"/>
      <x v="5"/>
      <x v="11"/>
      <x v="2"/>
      <x v="11"/>
      <x/>
      <x v="97"/>
    </i>
    <i r="3">
      <x v="92"/>
      <x v="7"/>
      <x v="2"/>
      <x v="12"/>
      <x v="1"/>
      <x v="3"/>
      <x v="5"/>
      <x v="124"/>
    </i>
    <i r="3">
      <x v="93"/>
      <x v="15"/>
      <x v="1"/>
      <x v="11"/>
      <x v="2"/>
      <x v="5"/>
      <x/>
      <x v="127"/>
    </i>
    <i r="3">
      <x v="96"/>
      <x v="15"/>
      <x v="1"/>
      <x v="9"/>
      <x v="2"/>
      <x v="5"/>
      <x/>
      <x v="126"/>
    </i>
    <i r="3">
      <x v="106"/>
      <x v="9"/>
      <x v="9"/>
      <x v="10"/>
      <x v="2"/>
      <x v="10"/>
      <x/>
      <x v="112"/>
    </i>
    <i r="6">
      <x v="11"/>
      <x v="2"/>
      <x v="10"/>
      <x/>
      <x v="100"/>
    </i>
    <i r="6">
      <x v="12"/>
      <x v="2"/>
      <x v="10"/>
      <x/>
      <x v="102"/>
    </i>
    <i r="2">
      <x v="5"/>
      <x v="85"/>
      <x v="16"/>
      <x v="4"/>
      <x v="9"/>
      <x/>
      <x v="1"/>
      <x v="6"/>
      <x v="95"/>
    </i>
    <i r="3">
      <x v="86"/>
      <x v="16"/>
      <x v="1"/>
      <x v="9"/>
      <x v="2"/>
      <x v="11"/>
      <x/>
      <x v="106"/>
    </i>
    <i r="3">
      <x v="88"/>
      <x v="16"/>
      <x/>
      <x v="8"/>
      <x v="2"/>
      <x v="11"/>
      <x/>
      <x v="113"/>
    </i>
    <i r="3">
      <x v="91"/>
      <x v="16"/>
      <x/>
      <x v="11"/>
      <x v="1"/>
      <x v="2"/>
      <x/>
      <x v="113"/>
    </i>
    <i r="2">
      <x v="6"/>
      <x v="90"/>
      <x v="13"/>
      <x/>
      <x v="11"/>
      <x v="1"/>
      <x/>
      <x/>
      <x v="58"/>
    </i>
    <i r="6">
      <x v="12"/>
      <x v="1"/>
      <x/>
      <x/>
      <x v="60"/>
    </i>
    <i r="3">
      <x v="93"/>
      <x v="1"/>
      <x/>
      <x v="1"/>
      <x v="1"/>
      <x v="1"/>
      <x/>
      <x v="119"/>
    </i>
    <i r="6">
      <x v="5"/>
      <x v="1"/>
      <x v="1"/>
      <x/>
      <x v="69"/>
    </i>
    <i r="3">
      <x v="96"/>
      <x v="1"/>
      <x/>
      <x v="4"/>
      <x v="1"/>
      <x v="1"/>
      <x/>
      <x v="71"/>
    </i>
    <i r="3">
      <x v="97"/>
      <x v="1"/>
      <x/>
      <x/>
      <x v="1"/>
      <x v="1"/>
      <x/>
      <x v="119"/>
    </i>
    <i r="6">
      <x v="2"/>
      <x v="1"/>
      <x v="1"/>
      <x/>
      <x v="67"/>
    </i>
    <i r="3">
      <x v="99"/>
      <x v="1"/>
      <x/>
      <x v="3"/>
      <x v="1"/>
      <x v="1"/>
      <x/>
      <x v="75"/>
    </i>
    <i r="3">
      <x v="102"/>
      <x v="14"/>
      <x/>
      <x v="10"/>
      <x v="1"/>
      <x v="1"/>
      <x/>
      <x v="103"/>
    </i>
    <i r="6">
      <x v="11"/>
      <x v="1"/>
      <x v="1"/>
      <x/>
      <x v="105"/>
    </i>
    <i r="3">
      <x v="103"/>
      <x v="1"/>
      <x/>
      <x v="6"/>
      <x v="1"/>
      <x v="1"/>
      <x/>
      <x v="114"/>
    </i>
    <i r="4">
      <x v="14"/>
      <x/>
      <x v="9"/>
      <x v="1"/>
      <x v="1"/>
      <x/>
      <x v="101"/>
    </i>
    <i r="3">
      <x v="105"/>
      <x v="14"/>
      <x/>
      <x v="7"/>
      <x v="1"/>
      <x v="1"/>
      <x/>
      <x v="80"/>
    </i>
    <i r="6">
      <x v="8"/>
      <x v="1"/>
      <x v="1"/>
      <x/>
      <x v="81"/>
    </i>
    <i t="default" r="1">
      <x v="5"/>
    </i>
    <i r="1">
      <x v="6"/>
      <x/>
      <x v="111"/>
      <x/>
      <x/>
      <x v="11"/>
      <x v="1"/>
      <x v="4"/>
      <x/>
      <x v="66"/>
    </i>
    <i r="3">
      <x v="112"/>
      <x/>
      <x/>
      <x v="12"/>
      <x v="1"/>
      <x v="4"/>
      <x/>
      <x v="70"/>
    </i>
    <i r="3">
      <x v="113"/>
      <x/>
      <x/>
      <x v="14"/>
      <x v="1"/>
      <x v="4"/>
      <x/>
      <x v="76"/>
    </i>
    <i r="3">
      <x v="115"/>
      <x/>
      <x/>
      <x v="13"/>
      <x/>
      <x v="9"/>
      <x v="3"/>
      <x v="73"/>
    </i>
    <i r="3">
      <x v="119"/>
      <x/>
      <x/>
      <x v="8"/>
      <x/>
      <x v="9"/>
      <x/>
      <x v="20"/>
    </i>
    <i r="3">
      <x v="123"/>
      <x/>
      <x/>
      <x v="10"/>
      <x/>
      <x v="12"/>
      <x/>
      <x v="68"/>
    </i>
    <i r="2">
      <x v="2"/>
      <x v="116"/>
      <x v="5"/>
      <x v="7"/>
      <x v="11"/>
      <x v="2"/>
      <x v="13"/>
      <x/>
      <x v="128"/>
    </i>
    <i r="6">
      <x v="12"/>
      <x v="2"/>
      <x v="13"/>
      <x/>
      <x v="117"/>
    </i>
    <i r="3">
      <x v="118"/>
      <x v="5"/>
      <x v="1"/>
      <x v="7"/>
      <x v="2"/>
      <x v="5"/>
      <x/>
      <x v="130"/>
    </i>
    <i r="2">
      <x v="3"/>
      <x v="110"/>
      <x v="6"/>
      <x v="16"/>
      <x v="9"/>
      <x v="1"/>
      <x v="1"/>
      <x/>
      <x v="103"/>
    </i>
    <i r="3">
      <x v="119"/>
      <x v="6"/>
      <x v="14"/>
      <x v="7"/>
      <x v="1"/>
      <x v="2"/>
      <x/>
      <x v="127"/>
    </i>
    <i r="3">
      <x v="121"/>
      <x v="6"/>
      <x v="14"/>
      <x v="8"/>
      <x v="1"/>
      <x v="2"/>
      <x/>
      <x v="126"/>
    </i>
    <i r="3">
      <x v="123"/>
      <x v="6"/>
      <x v="13"/>
      <x v="8"/>
      <x v="1"/>
      <x v="2"/>
      <x/>
      <x v="125"/>
    </i>
    <i r="3">
      <x v="125"/>
      <x v="6"/>
      <x v="17"/>
      <x v="11"/>
      <x v="1"/>
      <x v="1"/>
      <x/>
      <x v="120"/>
    </i>
    <i r="3">
      <x v="129"/>
      <x v="6"/>
      <x v="14"/>
      <x v="10"/>
      <x v="1"/>
      <x v="2"/>
      <x/>
      <x v="123"/>
    </i>
    <i r="3">
      <x v="130"/>
      <x v="6"/>
      <x v="17"/>
      <x v="9"/>
      <x v="1"/>
      <x v="1"/>
      <x/>
      <x v="129"/>
    </i>
    <i r="3">
      <x v="131"/>
      <x v="6"/>
      <x v="9"/>
      <x v="8"/>
      <x v="1"/>
      <x v="2"/>
      <x/>
      <x v="131"/>
    </i>
    <i r="2">
      <x v="4"/>
      <x v="107"/>
      <x v="9"/>
      <x v="9"/>
      <x v="12"/>
      <x v="2"/>
      <x v="10"/>
      <x/>
      <x v="102"/>
    </i>
    <i r="3">
      <x v="108"/>
      <x v="9"/>
      <x v="9"/>
      <x v="11"/>
      <x v="2"/>
      <x v="10"/>
      <x/>
      <x v="100"/>
    </i>
    <i r="3">
      <x v="109"/>
      <x v="9"/>
      <x v="9"/>
      <x v="9"/>
      <x v="2"/>
      <x v="10"/>
      <x/>
      <x v="118"/>
    </i>
    <i r="6">
      <x v="10"/>
      <x v="2"/>
      <x v="10"/>
      <x/>
      <x v="112"/>
    </i>
    <i r="3">
      <x v="114"/>
      <x v="11"/>
      <x v="16"/>
      <x v="11"/>
      <x v="2"/>
      <x v="5"/>
      <x/>
      <x v="133"/>
    </i>
    <i r="6">
      <x v="12"/>
      <x v="2"/>
      <x v="5"/>
      <x/>
      <x v="131"/>
    </i>
    <i r="3">
      <x v="115"/>
      <x v="11"/>
      <x v="14"/>
      <x v="10"/>
      <x v="1"/>
      <x v="4"/>
      <x v="6"/>
      <x v="113"/>
    </i>
    <i r="3">
      <x v="118"/>
      <x v="15"/>
      <x v="1"/>
      <x v="10"/>
      <x v="1"/>
      <x v="6"/>
      <x/>
      <x v="179"/>
    </i>
    <i r="3">
      <x v="122"/>
      <x v="8"/>
      <x v="4"/>
      <x v="12"/>
      <x v="1"/>
      <x v="11"/>
      <x/>
      <x v="122"/>
    </i>
    <i r="3">
      <x v="124"/>
      <x v="8"/>
      <x v="4"/>
      <x v="11"/>
      <x v="1"/>
      <x v="11"/>
      <x/>
      <x v="125"/>
    </i>
    <i r="3">
      <x v="125"/>
      <x v="8"/>
      <x v="4"/>
      <x v="10"/>
      <x v="1"/>
      <x v="11"/>
      <x/>
      <x v="126"/>
    </i>
    <i r="3">
      <x v="131"/>
      <x v="8"/>
      <x v="5"/>
      <x v="10"/>
      <x v="2"/>
      <x v="11"/>
      <x/>
      <x v="132"/>
    </i>
    <i r="4">
      <x v="11"/>
      <x v="14"/>
      <x v="11"/>
      <x v="1"/>
      <x v="4"/>
      <x v="6"/>
      <x v="116"/>
    </i>
    <i r="2">
      <x v="5"/>
      <x v="116"/>
      <x v="16"/>
      <x v="3"/>
      <x v="7"/>
      <x v="1"/>
      <x v="5"/>
      <x v="6"/>
      <x v="115"/>
    </i>
    <i r="3">
      <x v="117"/>
      <x v="16"/>
      <x v="3"/>
      <x v="8"/>
      <x v="1"/>
      <x v="5"/>
      <x v="6"/>
      <x v="116"/>
    </i>
    <i r="3">
      <x v="120"/>
      <x v="16"/>
      <x v="4"/>
      <x v="7"/>
      <x v="2"/>
      <x v="9"/>
      <x/>
      <x v="111"/>
    </i>
    <i r="3">
      <x v="122"/>
      <x v="16"/>
      <x v="9"/>
      <x v="7"/>
      <x/>
      <x v="2"/>
      <x/>
      <x v="104"/>
    </i>
    <i r="3">
      <x v="124"/>
      <x v="16"/>
      <x v="7"/>
      <x v="11"/>
      <x v="2"/>
      <x v="1"/>
      <x/>
      <x v="119"/>
    </i>
    <i r="3">
      <x v="126"/>
      <x v="16"/>
      <x v="8"/>
      <x v="9"/>
      <x v="1"/>
      <x v="9"/>
      <x/>
      <x v="130"/>
    </i>
    <i r="3">
      <x v="127"/>
      <x v="16"/>
      <x v="1"/>
      <x v="7"/>
      <x v="2"/>
      <x v="11"/>
      <x/>
      <x v="121"/>
    </i>
    <i r="3">
      <x v="128"/>
      <x v="16"/>
      <x/>
      <x v="12"/>
      <x v="1"/>
      <x/>
      <x/>
      <x v="123"/>
    </i>
    <i r="3">
      <x v="129"/>
      <x v="16"/>
      <x/>
      <x v="13"/>
      <x v="1"/>
      <x/>
      <x/>
      <x v="123"/>
    </i>
    <i r="2">
      <x v="6"/>
      <x v="107"/>
      <x v="14"/>
      <x/>
      <x v="7"/>
      <x v="1"/>
      <x v="1"/>
      <x/>
      <x v="80"/>
    </i>
    <i t="default" r="1">
      <x v="6"/>
    </i>
    <i r="1">
      <x v="7"/>
      <x/>
      <x v="146"/>
      <x v="3"/>
      <x/>
      <x v="8"/>
      <x v="1"/>
      <x v="5"/>
      <x/>
      <x v="144"/>
    </i>
    <i r="3">
      <x v="148"/>
      <x v="3"/>
      <x/>
      <x v="7"/>
      <x v="1"/>
      <x v="5"/>
      <x/>
      <x v="113"/>
    </i>
    <i r="3">
      <x v="151"/>
      <x v="2"/>
      <x/>
      <x v="8"/>
      <x v="1"/>
      <x v="8"/>
      <x/>
      <x v="144"/>
    </i>
    <i r="2">
      <x v="2"/>
      <x v="142"/>
      <x v="5"/>
      <x v="3"/>
      <x v="11"/>
      <x v="2"/>
      <x v="11"/>
      <x/>
      <x v="150"/>
    </i>
    <i r="3">
      <x v="143"/>
      <x v="5"/>
      <x v="3"/>
      <x v="10"/>
      <x v="2"/>
      <x v="11"/>
      <x/>
      <x v="141"/>
    </i>
    <i r="6">
      <x v="12"/>
      <x v="2"/>
      <x v="11"/>
      <x/>
      <x v="155"/>
    </i>
    <i r="5">
      <x v="6"/>
      <x v="9"/>
      <x v="2"/>
      <x v="13"/>
      <x/>
      <x v="147"/>
    </i>
    <i r="3">
      <x v="144"/>
      <x v="5"/>
      <x v="6"/>
      <x v="11"/>
      <x v="2"/>
      <x v="13"/>
      <x/>
      <x v="146"/>
    </i>
    <i r="3">
      <x v="145"/>
      <x v="5"/>
      <x/>
      <x v="9"/>
      <x v="2"/>
      <x v="11"/>
      <x/>
      <x v="149"/>
    </i>
    <i r="3">
      <x v="152"/>
      <x v="5"/>
      <x v="6"/>
      <x v="8"/>
      <x v="2"/>
      <x v="13"/>
      <x/>
      <x v="156"/>
    </i>
    <i r="2">
      <x v="3"/>
      <x v="132"/>
      <x v="6"/>
      <x v="9"/>
      <x v="8"/>
      <x v="1"/>
      <x v="2"/>
      <x/>
      <x v="131"/>
    </i>
    <i r="3">
      <x v="133"/>
      <x v="6"/>
      <x v="9"/>
      <x v="11"/>
      <x v="1"/>
      <x v="2"/>
      <x/>
      <x v="138"/>
    </i>
    <i r="3">
      <x v="134"/>
      <x v="6"/>
      <x v="12"/>
      <x v="11"/>
      <x v="1"/>
      <x v="2"/>
      <x/>
      <x v="137"/>
    </i>
    <i r="3">
      <x v="136"/>
      <x v="6"/>
      <x v="11"/>
      <x v="9"/>
      <x v="1"/>
      <x v="2"/>
      <x/>
      <x v="134"/>
    </i>
    <i r="3">
      <x v="138"/>
      <x v="6"/>
      <x v="15"/>
      <x v="8"/>
      <x v="1"/>
      <x v="1"/>
      <x/>
      <x v="136"/>
    </i>
    <i r="5">
      <x v="17"/>
      <x v="9"/>
      <x v="1"/>
      <x v="1"/>
      <x/>
      <x v="129"/>
    </i>
    <i r="3">
      <x v="140"/>
      <x v="6"/>
      <x v="19"/>
      <x v="9"/>
      <x v="1"/>
      <x v="1"/>
      <x/>
      <x v="143"/>
    </i>
    <i r="3">
      <x v="141"/>
      <x v="6"/>
      <x v="19"/>
      <x v="7"/>
      <x v="1"/>
      <x v="1"/>
      <x/>
      <x v="140"/>
    </i>
    <i r="6">
      <x v="8"/>
      <x v="1"/>
      <x v="1"/>
      <x/>
      <x v="142"/>
    </i>
    <i r="6">
      <x v="10"/>
      <x v="1"/>
      <x v="1"/>
      <x/>
      <x v="145"/>
    </i>
    <i r="2">
      <x v="4"/>
      <x v="133"/>
      <x v="8"/>
      <x v="5"/>
      <x v="10"/>
      <x v="2"/>
      <x v="11"/>
      <x/>
      <x v="132"/>
    </i>
    <i r="3">
      <x v="135"/>
      <x v="10"/>
      <x v="12"/>
      <x v="11"/>
      <x v="1"/>
      <x v="13"/>
      <x/>
      <x v="133"/>
    </i>
    <i r="3">
      <x v="141"/>
      <x v="10"/>
      <x v="12"/>
      <x v="9"/>
      <x v="1"/>
      <x v="10"/>
      <x/>
      <x v="135"/>
    </i>
    <i r="3">
      <x v="147"/>
      <x v="8"/>
      <x v="6"/>
      <x v="9"/>
      <x v="2"/>
      <x v="12"/>
      <x/>
      <x v="161"/>
    </i>
    <i r="3">
      <x v="149"/>
      <x v="8"/>
      <x v="6"/>
      <x v="11"/>
      <x v="2"/>
      <x v="11"/>
      <x/>
      <x v="165"/>
    </i>
    <i r="3">
      <x v="150"/>
      <x v="8"/>
      <x v="6"/>
      <x v="10"/>
      <x v="2"/>
      <x v="12"/>
      <x/>
      <x v="163"/>
    </i>
    <i r="3">
      <x v="152"/>
      <x v="8"/>
      <x v="5"/>
      <x v="7"/>
      <x v="1"/>
      <x v="4"/>
      <x v="6"/>
      <x v="169"/>
    </i>
    <i r="5">
      <x v="6"/>
      <x v="12"/>
      <x v="1"/>
      <x v="11"/>
      <x/>
      <x v="165"/>
    </i>
    <i r="5">
      <x v="7"/>
      <x v="7"/>
      <x v="2"/>
      <x v="12"/>
      <x/>
      <x v="153"/>
    </i>
    <i r="6">
      <x v="8"/>
      <x v="2"/>
      <x v="11"/>
      <x/>
      <x v="154"/>
    </i>
    <i r="6">
      <x v="9"/>
      <x v="2"/>
      <x v="11"/>
      <x/>
      <x v="151"/>
    </i>
    <i r="2">
      <x v="5"/>
      <x v="132"/>
      <x v="16"/>
      <x v="8"/>
      <x v="9"/>
      <x v="1"/>
      <x v="9"/>
      <x/>
      <x v="130"/>
    </i>
    <i r="5">
      <x v="9"/>
      <x v="7"/>
      <x/>
      <x v="2"/>
      <x/>
      <x v="104"/>
    </i>
    <i r="3">
      <x v="134"/>
      <x v="16"/>
      <x v="1"/>
      <x v="7"/>
      <x v="2"/>
      <x v="11"/>
      <x/>
      <x v="121"/>
    </i>
    <i r="3">
      <x v="137"/>
      <x v="16"/>
      <x v="1"/>
      <x v="8"/>
      <x v="2"/>
      <x v="4"/>
      <x v="6"/>
      <x v="146"/>
    </i>
    <i r="3">
      <x v="138"/>
      <x v="16"/>
      <x/>
      <x v="12"/>
      <x v="1"/>
      <x/>
      <x/>
      <x v="123"/>
    </i>
    <i r="3">
      <x v="139"/>
      <x v="16"/>
      <x v="2"/>
      <x v="10"/>
      <x v="1"/>
      <x v="2"/>
      <x/>
      <x v="149"/>
    </i>
    <i r="3">
      <x v="140"/>
      <x v="16"/>
      <x v="7"/>
      <x v="10"/>
      <x v="3"/>
      <x v="12"/>
      <x/>
      <x v="242"/>
    </i>
    <i r="3">
      <x v="142"/>
      <x v="16"/>
      <x/>
      <x v="7"/>
      <x v="2"/>
      <x v="4"/>
      <x v="6"/>
      <x v="144"/>
    </i>
    <i t="default" r="1">
      <x v="7"/>
    </i>
    <i r="1">
      <x v="8"/>
      <x/>
      <x v="172"/>
      <x v="3"/>
      <x/>
      <x v="7"/>
      <x v="1"/>
      <x v="5"/>
      <x/>
      <x v="113"/>
    </i>
    <i r="6">
      <x v="8"/>
      <x v="1"/>
      <x v="5"/>
      <x/>
      <x v="144"/>
    </i>
    <i r="2">
      <x v="1"/>
      <x v="158"/>
      <x v="4"/>
      <x v="5"/>
      <x v="7"/>
      <x v="1"/>
      <x v="4"/>
      <x/>
      <x v="152"/>
    </i>
    <i r="3">
      <x v="159"/>
      <x v="4"/>
      <x/>
      <x v="10"/>
      <x v="2"/>
      <x v="6"/>
      <x/>
      <x v="156"/>
    </i>
    <i r="3">
      <x v="160"/>
      <x v="4"/>
      <x/>
      <x v="9"/>
      <x v="2"/>
      <x v="6"/>
      <x/>
      <x v="159"/>
    </i>
    <i r="2">
      <x v="2"/>
      <x v="153"/>
      <x v="5"/>
      <x v="6"/>
      <x v="8"/>
      <x v="2"/>
      <x v="13"/>
      <x/>
      <x v="156"/>
    </i>
    <i r="3">
      <x v="154"/>
      <x v="5"/>
      <x v="6"/>
      <x v="10"/>
      <x v="2"/>
      <x v="13"/>
      <x/>
      <x v="159"/>
    </i>
    <i r="3">
      <x v="159"/>
      <x v="5"/>
      <x v="4"/>
      <x v="8"/>
      <x v="2"/>
      <x v="9"/>
      <x/>
      <x v="160"/>
    </i>
    <i r="3">
      <x v="161"/>
      <x v="5"/>
      <x v="1"/>
      <x v="10"/>
      <x v="2"/>
      <x v="10"/>
      <x/>
      <x v="163"/>
    </i>
    <i r="3">
      <x v="162"/>
      <x v="5"/>
      <x/>
      <x v="8"/>
      <x v="2"/>
      <x v="11"/>
      <x/>
      <x v="161"/>
    </i>
    <i r="3">
      <x v="165"/>
      <x v="5"/>
      <x v="5"/>
      <x v="8"/>
      <x v="2"/>
      <x v="1"/>
      <x/>
      <x v="169"/>
    </i>
    <i r="3">
      <x v="167"/>
      <x v="5"/>
      <x v="7"/>
      <x v="7"/>
      <x v="2"/>
      <x v="4"/>
      <x/>
      <x v="201"/>
    </i>
    <i r="3">
      <x v="170"/>
      <x v="5"/>
      <x v="7"/>
      <x v="10"/>
      <x v="1"/>
      <x v="2"/>
      <x/>
      <x v="202"/>
    </i>
    <i r="3">
      <x v="172"/>
      <x v="5"/>
      <x v="5"/>
      <x v="7"/>
      <x v="1"/>
      <x v="2"/>
      <x/>
      <x v="177"/>
    </i>
    <i r="2">
      <x v="3"/>
      <x v="155"/>
      <x v="6"/>
      <x v="18"/>
      <x v="7"/>
      <x v="1"/>
      <x v="1"/>
      <x/>
      <x v="167"/>
    </i>
    <i r="3">
      <x v="157"/>
      <x v="6"/>
      <x v="18"/>
      <x v="9"/>
      <x v="1"/>
      <x v="1"/>
      <x/>
      <x v="148"/>
    </i>
    <i r="3">
      <x v="158"/>
      <x v="6"/>
      <x v="18"/>
      <x v="10"/>
      <x v="1"/>
      <x v="1"/>
      <x/>
      <x v="139"/>
    </i>
    <i r="3">
      <x v="172"/>
      <x v="6"/>
      <x v="17"/>
      <x v="10"/>
      <x v="1"/>
      <x v="1"/>
      <x/>
      <x v="176"/>
    </i>
    <i r="2">
      <x v="4"/>
      <x v="153"/>
      <x v="8"/>
      <x v="5"/>
      <x v="7"/>
      <x v="1"/>
      <x v="4"/>
      <x v="6"/>
      <x v="169"/>
    </i>
    <i r="3">
      <x v="154"/>
      <x v="8"/>
      <x v="6"/>
      <x v="11"/>
      <x v="2"/>
      <x v="11"/>
      <x/>
      <x v="165"/>
    </i>
    <i r="3">
      <x v="156"/>
      <x v="8"/>
      <x v="6"/>
      <x v="10"/>
      <x v="2"/>
      <x v="12"/>
      <x/>
      <x v="163"/>
    </i>
    <i r="3">
      <x v="158"/>
      <x v="8"/>
      <x v="6"/>
      <x v="12"/>
      <x v="1"/>
      <x v="11"/>
      <x/>
      <x v="165"/>
    </i>
    <i r="3">
      <x v="159"/>
      <x v="8"/>
      <x v="7"/>
      <x v="8"/>
      <x v="2"/>
      <x v="11"/>
      <x/>
      <x v="154"/>
    </i>
    <i r="3">
      <x v="163"/>
      <x v="8"/>
      <x v="7"/>
      <x v="9"/>
      <x v="2"/>
      <x v="11"/>
      <x/>
      <x v="151"/>
    </i>
    <i r="4">
      <x v="12"/>
      <x v="19"/>
      <x v="11"/>
      <x v="2"/>
      <x v="13"/>
      <x/>
      <x v="171"/>
    </i>
    <i r="6">
      <x v="12"/>
      <x v="2"/>
      <x v="13"/>
      <x/>
      <x v="173"/>
    </i>
    <i r="3">
      <x v="164"/>
      <x v="12"/>
      <x v="21"/>
      <x v="11"/>
      <x v="2"/>
      <x v="13"/>
      <x/>
      <x v="164"/>
    </i>
    <i r="3">
      <x v="166"/>
      <x v="12"/>
      <x v="21"/>
      <x v="9"/>
      <x v="2"/>
      <x v="13"/>
      <x/>
      <x v="166"/>
    </i>
    <i r="3">
      <x v="167"/>
      <x v="12"/>
      <x v="21"/>
      <x v="8"/>
      <x v="2"/>
      <x v="13"/>
      <x/>
      <x v="166"/>
    </i>
    <i r="3">
      <x v="168"/>
      <x v="12"/>
      <x v="21"/>
      <x v="10"/>
      <x v="2"/>
      <x v="13"/>
      <x/>
      <x v="168"/>
    </i>
    <i r="3">
      <x v="169"/>
      <x v="8"/>
      <x v="5"/>
      <x v="8"/>
      <x v="1"/>
      <x v="11"/>
      <x/>
      <x v="162"/>
    </i>
    <i r="3">
      <x v="171"/>
      <x v="8"/>
      <x v="7"/>
      <x v="10"/>
      <x v="2"/>
      <x v="11"/>
      <x/>
      <x v="166"/>
    </i>
    <i r="4">
      <x v="12"/>
      <x v="19"/>
      <x v="7"/>
      <x v="2"/>
      <x v="13"/>
      <x/>
      <x v="178"/>
    </i>
    <i r="5">
      <x v="21"/>
      <x v="7"/>
      <x v="2"/>
      <x v="13"/>
      <x/>
      <x v="169"/>
    </i>
    <i r="3">
      <x v="172"/>
      <x v="11"/>
      <x v="14"/>
      <x v="9"/>
      <x v="2"/>
      <x v="5"/>
      <x/>
      <x v="187"/>
    </i>
    <i t="default" r="1">
      <x v="8"/>
    </i>
    <i r="1">
      <x v="9"/>
      <x/>
      <x v="181"/>
      <x v="3"/>
      <x/>
      <x v="8"/>
      <x v="1"/>
      <x v="5"/>
      <x/>
      <x v="144"/>
    </i>
    <i r="2">
      <x v="1"/>
      <x v="188"/>
      <x v="4"/>
      <x v="4"/>
      <x v="11"/>
      <x v="1"/>
      <x v="6"/>
      <x/>
      <x v="179"/>
    </i>
    <i r="3">
      <x v="194"/>
      <x v="4"/>
      <x v="5"/>
      <x v="8"/>
      <x v="1"/>
      <x v="3"/>
      <x/>
      <x v="177"/>
    </i>
    <i r="6">
      <x v="12"/>
      <x v="2"/>
      <x v="3"/>
      <x/>
      <x v="175"/>
    </i>
    <i r="3">
      <x v="196"/>
      <x v="4"/>
      <x v="4"/>
      <x v="8"/>
      <x v="1"/>
      <x v="6"/>
      <x/>
      <x v="182"/>
    </i>
    <i r="6">
      <x v="9"/>
      <x v="1"/>
      <x v="6"/>
      <x/>
      <x v="186"/>
    </i>
    <i r="6">
      <x v="10"/>
      <x v="1"/>
      <x v="6"/>
      <x/>
      <x v="183"/>
    </i>
    <i r="2">
      <x v="2"/>
      <x v="179"/>
      <x v="5"/>
      <x v="5"/>
      <x v="9"/>
      <x v="2"/>
      <x v="13"/>
      <x/>
      <x v="200"/>
    </i>
    <i r="3">
      <x v="180"/>
      <x v="5"/>
      <x v="4"/>
      <x v="7"/>
      <x v="2"/>
      <x v="1"/>
      <x/>
      <x v="190"/>
    </i>
    <i r="3">
      <x v="182"/>
      <x v="5"/>
      <x v="5"/>
      <x v="12"/>
      <x v="2"/>
      <x v="1"/>
      <x/>
      <x v="200"/>
    </i>
    <i r="3">
      <x v="190"/>
      <x v="5"/>
      <x v="2"/>
      <x v="9"/>
      <x v="3"/>
      <x v="14"/>
      <x v="3"/>
      <x v="191"/>
    </i>
    <i r="3">
      <x v="193"/>
      <x v="5"/>
      <x v="1"/>
      <x v="12"/>
      <x v="2"/>
      <x v="1"/>
      <x/>
      <x v="197"/>
    </i>
    <i r="2">
      <x v="3"/>
      <x v="174"/>
      <x v="6"/>
      <x v="17"/>
      <x v="10"/>
      <x v="1"/>
      <x v="1"/>
      <x/>
      <x v="176"/>
    </i>
    <i r="3">
      <x v="175"/>
      <x v="6"/>
      <x v="16"/>
      <x v="8"/>
      <x v="1"/>
      <x v="1"/>
      <x/>
      <x v="170"/>
    </i>
    <i r="3">
      <x v="177"/>
      <x v="6"/>
      <x v="16"/>
      <x v="10"/>
      <x v="1"/>
      <x v="1"/>
      <x/>
      <x v="174"/>
    </i>
    <i r="3">
      <x v="184"/>
      <x v="6"/>
      <x v="13"/>
      <x v="10"/>
      <x v="1"/>
      <x v="2"/>
      <x/>
      <x v="181"/>
    </i>
    <i r="3">
      <x v="186"/>
      <x v="6"/>
      <x v="18"/>
      <x v="11"/>
      <x v="1"/>
      <x v="1"/>
      <x/>
      <x v="197"/>
    </i>
    <i r="2">
      <x v="4"/>
      <x v="173"/>
      <x v="11"/>
      <x v="14"/>
      <x v="12"/>
      <x v="2"/>
      <x v="5"/>
      <x/>
      <x v="190"/>
    </i>
    <i r="3">
      <x v="176"/>
      <x v="7"/>
      <x/>
      <x v="12"/>
      <x v="1"/>
      <x v="6"/>
      <x/>
      <x v="197"/>
    </i>
    <i r="3">
      <x v="178"/>
      <x v="7"/>
      <x/>
      <x v="11"/>
      <x v="2"/>
      <x v="12"/>
      <x/>
      <x v="194"/>
    </i>
    <i r="4">
      <x v="11"/>
      <x v="15"/>
      <x v="8"/>
      <x v="2"/>
      <x v="5"/>
      <x/>
      <x v="189"/>
    </i>
    <i r="3">
      <x v="179"/>
      <x v="11"/>
      <x v="15"/>
      <x v="9"/>
      <x v="2"/>
      <x v="5"/>
      <x/>
      <x v="191"/>
    </i>
    <i r="3">
      <x v="180"/>
      <x v="11"/>
      <x v="15"/>
      <x v="10"/>
      <x v="2"/>
      <x v="5"/>
      <x/>
      <x v="192"/>
    </i>
    <i r="6">
      <x v="13"/>
      <x v="2"/>
      <x v="5"/>
      <x/>
      <x v="193"/>
    </i>
    <i r="3">
      <x v="183"/>
      <x v="11"/>
      <x v="14"/>
      <x v="7"/>
      <x v="2"/>
      <x v="5"/>
      <x/>
      <x v="182"/>
    </i>
    <i r="3">
      <x v="185"/>
      <x v="9"/>
      <x v="10"/>
      <x v="7"/>
      <x v="2"/>
      <x v="11"/>
      <x/>
      <x v="181"/>
    </i>
    <i r="4">
      <x v="15"/>
      <x v="1"/>
      <x v="10"/>
      <x v="1"/>
      <x v="6"/>
      <x/>
      <x v="179"/>
    </i>
    <i r="3">
      <x v="186"/>
      <x v="11"/>
      <x v="14"/>
      <x v="13"/>
      <x v="2"/>
      <x v="5"/>
      <x/>
      <x v="185"/>
    </i>
    <i r="5">
      <x v="15"/>
      <x v="12"/>
      <x v="2"/>
      <x v="5"/>
      <x/>
      <x v="193"/>
    </i>
    <i r="4">
      <x v="15"/>
      <x v="1"/>
      <x v="7"/>
      <x v="2"/>
      <x v="6"/>
      <x/>
      <x v="181"/>
    </i>
    <i r="3">
      <x v="187"/>
      <x v="9"/>
      <x v="10"/>
      <x v="8"/>
      <x v="2"/>
      <x v="11"/>
      <x/>
      <x v="184"/>
    </i>
    <i r="4">
      <x v="11"/>
      <x v="14"/>
      <x v="9"/>
      <x v="2"/>
      <x v="5"/>
      <x/>
      <x v="187"/>
    </i>
    <i r="3">
      <x v="189"/>
      <x v="11"/>
      <x v="14"/>
      <x v="8"/>
      <x v="2"/>
      <x v="5"/>
      <x/>
      <x v="188"/>
    </i>
    <i r="3">
      <x v="190"/>
      <x v="9"/>
      <x v="10"/>
      <x v="9"/>
      <x v="2"/>
      <x v="12"/>
      <x/>
      <x v="190"/>
    </i>
    <i r="3">
      <x v="191"/>
      <x v="10"/>
      <x v="13"/>
      <x v="8"/>
      <x v="3"/>
      <x v="14"/>
      <x/>
      <x v="195"/>
    </i>
    <i r="3">
      <x v="192"/>
      <x v="10"/>
      <x v="13"/>
      <x v="7"/>
      <x v="3"/>
      <x v="14"/>
      <x/>
      <x v="201"/>
    </i>
    <i r="6">
      <x v="9"/>
      <x v="3"/>
      <x v="14"/>
      <x/>
      <x v="197"/>
    </i>
    <i r="3">
      <x v="195"/>
      <x v="15"/>
      <x v="1"/>
      <x v="8"/>
      <x v="2"/>
      <x v="6"/>
      <x/>
      <x v="179"/>
    </i>
    <i r="3">
      <x v="196"/>
      <x v="9"/>
      <x v="11"/>
      <x v="12"/>
      <x v="1"/>
      <x v="12"/>
      <x/>
      <x v="217"/>
    </i>
    <i r="2">
      <x v="5"/>
      <x v="195"/>
      <x v="16"/>
      <x v="2"/>
      <x v="12"/>
      <x v="1"/>
      <x v="2"/>
      <x/>
      <x v="150"/>
    </i>
    <i r="3">
      <x v="196"/>
      <x v="16"/>
      <x v="1"/>
      <x v="13"/>
      <x v="1"/>
      <x v="9"/>
      <x/>
      <x v="147"/>
    </i>
    <i r="5">
      <x v="9"/>
      <x v="11"/>
      <x v="1"/>
      <x v="9"/>
      <x/>
      <x v="127"/>
    </i>
    <i t="default" r="1">
      <x v="9"/>
    </i>
    <i r="1">
      <x v="10"/>
      <x/>
      <x v="216"/>
      <x v="2"/>
      <x/>
      <x v="7"/>
      <x v="1"/>
      <x v="8"/>
      <x/>
      <x v="172"/>
    </i>
    <i r="2">
      <x v="1"/>
      <x v="197"/>
      <x v="4"/>
      <x v="4"/>
      <x v="8"/>
      <x v="1"/>
      <x v="6"/>
      <x/>
      <x v="182"/>
    </i>
    <i r="3">
      <x v="198"/>
      <x v="4"/>
      <x v="4"/>
      <x v="10"/>
      <x v="1"/>
      <x v="6"/>
      <x/>
      <x v="183"/>
    </i>
    <i r="3">
      <x v="199"/>
      <x v="4"/>
      <x/>
      <x v="8"/>
      <x v="2"/>
      <x v="6"/>
      <x/>
      <x v="191"/>
    </i>
    <i r="3">
      <x v="204"/>
      <x v="4"/>
      <x v="4"/>
      <x v="9"/>
      <x v="1"/>
      <x v="6"/>
      <x/>
      <x v="186"/>
    </i>
    <i r="3">
      <x v="212"/>
      <x v="4"/>
      <x v="5"/>
      <x v="8"/>
      <x v="1"/>
      <x v="3"/>
      <x/>
      <x v="177"/>
    </i>
    <i r="3">
      <x v="218"/>
      <x v="4"/>
      <x v="3"/>
      <x v="8"/>
      <x v="2"/>
      <x v="5"/>
      <x/>
      <x v="185"/>
    </i>
    <i r="3">
      <x v="219"/>
      <x v="4"/>
      <x v="2"/>
      <x v="8"/>
      <x v="1"/>
      <x v="4"/>
      <x v="6"/>
      <x v="208"/>
    </i>
    <i r="3">
      <x v="221"/>
      <x v="4"/>
      <x v="1"/>
      <x v="9"/>
      <x v="2"/>
      <x v="5"/>
      <x/>
      <x v="213"/>
    </i>
    <i r="3">
      <x v="222"/>
      <x v="4"/>
      <x v="3"/>
      <x v="9"/>
      <x v="2"/>
      <x v="4"/>
      <x/>
      <x v="223"/>
    </i>
    <i r="3">
      <x v="223"/>
      <x v="4"/>
      <x v="1"/>
      <x v="7"/>
      <x v="2"/>
      <x v="13"/>
      <x/>
      <x v="192"/>
    </i>
    <i r="5">
      <x v="3"/>
      <x v="7"/>
      <x v="2"/>
      <x v="4"/>
      <x/>
      <x v="212"/>
    </i>
    <i r="6">
      <x v="10"/>
      <x v="2"/>
      <x v="4"/>
      <x/>
      <x v="211"/>
    </i>
    <i r="2">
      <x v="2"/>
      <x v="205"/>
      <x v="5"/>
      <x v="7"/>
      <x v="8"/>
      <x v="3"/>
      <x v="1"/>
      <x/>
      <x v="201"/>
    </i>
    <i r="3">
      <x v="206"/>
      <x v="5"/>
      <x v="4"/>
      <x v="12"/>
      <x v="3"/>
      <x v="10"/>
      <x/>
      <x v="198"/>
    </i>
    <i r="3">
      <x v="211"/>
      <x v="5"/>
      <x v="2"/>
      <x v="7"/>
      <x v="2"/>
      <x v="10"/>
      <x/>
      <x v="201"/>
    </i>
    <i r="3">
      <x v="214"/>
      <x v="5"/>
      <x v="2"/>
      <x v="11"/>
      <x v="3"/>
      <x v="14"/>
      <x v="3"/>
      <x v="204"/>
    </i>
    <i r="3">
      <x v="223"/>
      <x v="5"/>
      <x v="3"/>
      <x v="7"/>
      <x v="2"/>
      <x v="4"/>
      <x/>
      <x v="205"/>
    </i>
    <i r="2">
      <x v="3"/>
      <x v="200"/>
      <x v="6"/>
      <x v="8"/>
      <x v="9"/>
      <x v="2"/>
      <x v="1"/>
      <x/>
      <x v="204"/>
    </i>
    <i r="3">
      <x v="207"/>
      <x v="6"/>
      <x v="19"/>
      <x v="11"/>
      <x v="1"/>
      <x v="1"/>
      <x v="2"/>
      <x v="211"/>
    </i>
    <i r="3">
      <x v="209"/>
      <x v="6"/>
      <x v="13"/>
      <x v="9"/>
      <x v="2"/>
      <x v="1"/>
      <x/>
      <x v="208"/>
    </i>
    <i r="3">
      <x v="216"/>
      <x v="6"/>
      <x v="15"/>
      <x v="11"/>
      <x v="2"/>
      <x v="9"/>
      <x/>
      <x v="209"/>
    </i>
    <i r="2">
      <x v="4"/>
      <x v="198"/>
      <x v="9"/>
      <x v="11"/>
      <x v="12"/>
      <x v="1"/>
      <x v="12"/>
      <x/>
      <x v="217"/>
    </i>
    <i r="4">
      <x v="15"/>
      <x v="1"/>
      <x v="8"/>
      <x v="2"/>
      <x v="6"/>
      <x/>
      <x v="179"/>
    </i>
    <i r="3">
      <x v="199"/>
      <x v="9"/>
      <x v="11"/>
      <x v="10"/>
      <x v="2"/>
      <x v="12"/>
      <x/>
      <x v="199"/>
    </i>
    <i r="6">
      <x v="11"/>
      <x v="2"/>
      <x v="12"/>
      <x/>
      <x v="199"/>
    </i>
    <i r="3">
      <x v="201"/>
      <x v="11"/>
      <x v="14"/>
      <x v="12"/>
      <x v="2"/>
      <x v="5"/>
      <x/>
      <x v="190"/>
    </i>
    <i r="3">
      <x v="202"/>
      <x v="7"/>
      <x v="2"/>
      <x v="8"/>
      <x v="2"/>
      <x v="11"/>
      <x/>
      <x v="203"/>
    </i>
    <i r="6">
      <x v="9"/>
      <x v="2"/>
      <x v="11"/>
      <x/>
      <x v="207"/>
    </i>
    <i r="3">
      <x v="203"/>
      <x v="8"/>
      <x v="6"/>
      <x v="7"/>
      <x v="2"/>
      <x v="11"/>
      <x/>
      <x v="217"/>
    </i>
    <i r="3">
      <x v="205"/>
      <x v="8"/>
      <x v="6"/>
      <x v="8"/>
      <x v="2"/>
      <x v="12"/>
      <x/>
      <x v="217"/>
    </i>
    <i r="3">
      <x v="206"/>
      <x v="11"/>
      <x v="15"/>
      <x v="13"/>
      <x v="2"/>
      <x v="5"/>
      <x/>
      <x v="193"/>
    </i>
    <i r="5">
      <x v="16"/>
      <x v="9"/>
      <x v="2"/>
      <x v="5"/>
      <x/>
      <x v="212"/>
    </i>
    <i r="3">
      <x v="207"/>
      <x v="11"/>
      <x v="16"/>
      <x v="10"/>
      <x v="2"/>
      <x v="5"/>
      <x/>
      <x v="217"/>
    </i>
    <i r="3">
      <x v="208"/>
      <x v="11"/>
      <x v="15"/>
      <x v="11"/>
      <x v="2"/>
      <x v="5"/>
      <x/>
      <x v="218"/>
    </i>
    <i r="3">
      <x v="210"/>
      <x v="11"/>
      <x v="16"/>
      <x v="8"/>
      <x v="2"/>
      <x v="5"/>
      <x/>
      <x v="210"/>
    </i>
    <i r="4">
      <x v="12"/>
      <x v="18"/>
      <x v="7"/>
      <x v="2"/>
      <x v="13"/>
      <x/>
      <x v="217"/>
    </i>
    <i r="3">
      <x v="211"/>
      <x v="12"/>
      <x v="18"/>
      <x v="8"/>
      <x v="2"/>
      <x v="13"/>
      <x/>
      <x v="214"/>
    </i>
    <i r="6">
      <x v="9"/>
      <x v="2"/>
      <x v="13"/>
      <x/>
      <x v="214"/>
    </i>
    <i r="3">
      <x v="213"/>
      <x v="7"/>
      <x v="2"/>
      <x v="7"/>
      <x v="2"/>
      <x v="13"/>
      <x/>
      <x v="202"/>
    </i>
    <i r="4">
      <x v="10"/>
      <x v="12"/>
      <x v="10"/>
      <x v="2"/>
      <x v="14"/>
      <x/>
      <x v="226"/>
    </i>
    <i r="3">
      <x v="215"/>
      <x v="10"/>
      <x v="12"/>
      <x v="8"/>
      <x v="3"/>
      <x v="14"/>
      <x/>
      <x v="224"/>
    </i>
    <i r="3">
      <x v="217"/>
      <x v="10"/>
      <x v="12"/>
      <x v="7"/>
      <x v="2"/>
      <x v="11"/>
      <x/>
      <x v="220"/>
    </i>
    <i r="3">
      <x v="219"/>
      <x v="9"/>
      <x v="8"/>
      <x v="7"/>
      <x v="2"/>
      <x v="12"/>
      <x/>
      <x v="227"/>
    </i>
    <i r="3">
      <x v="223"/>
      <x v="7"/>
      <x v="3"/>
      <x v="10"/>
      <x v="3"/>
      <x v="11"/>
      <x/>
      <x v="240"/>
    </i>
    <i r="6">
      <x v="11"/>
      <x v="2"/>
      <x v="11"/>
      <x/>
      <x v="235"/>
    </i>
    <i r="6">
      <x v="12"/>
      <x v="2"/>
      <x v="11"/>
      <x/>
      <x v="233"/>
    </i>
    <i r="4">
      <x v="8"/>
      <x v="4"/>
      <x v="8"/>
      <x v="2"/>
      <x v="11"/>
      <x/>
      <x v="213"/>
    </i>
    <i r="2">
      <x v="5"/>
      <x v="197"/>
      <x v="16"/>
      <x v="9"/>
      <x v="11"/>
      <x v="1"/>
      <x v="9"/>
      <x/>
      <x v="127"/>
    </i>
    <i r="3">
      <x v="198"/>
      <x v="16"/>
      <x v="1"/>
      <x v="13"/>
      <x v="1"/>
      <x v="9"/>
      <x/>
      <x v="147"/>
    </i>
    <i r="3">
      <x v="199"/>
      <x v="16"/>
      <x v="2"/>
      <x v="12"/>
      <x v="1"/>
      <x v="2"/>
      <x/>
      <x v="150"/>
    </i>
    <i r="3">
      <x v="217"/>
      <x v="16"/>
      <x v="6"/>
      <x v="8"/>
      <x v="2"/>
      <x v="9"/>
      <x/>
      <x v="158"/>
    </i>
    <i r="3">
      <x v="218"/>
      <x v="16"/>
      <x v="6"/>
      <x v="7"/>
      <x v="2"/>
      <x v="9"/>
      <x/>
      <x v="157"/>
    </i>
    <i r="3">
      <x v="220"/>
      <x v="16"/>
      <x v="5"/>
      <x v="11"/>
      <x v="2"/>
      <x v="3"/>
      <x/>
      <x v="155"/>
    </i>
    <i r="3">
      <x v="221"/>
      <x v="16"/>
      <x v="5"/>
      <x v="10"/>
      <x v="2"/>
      <x v="3"/>
      <x/>
      <x v="153"/>
    </i>
    <i t="default" r="1">
      <x v="10"/>
    </i>
    <i r="1">
      <x v="11"/>
      <x v="1"/>
      <x v="224"/>
      <x v="4"/>
      <x/>
      <x v="8"/>
      <x v="2"/>
      <x v="6"/>
      <x/>
      <x v="191"/>
    </i>
    <i r="5">
      <x v="1"/>
      <x v="9"/>
      <x v="2"/>
      <x v="5"/>
      <x/>
      <x v="213"/>
    </i>
    <i r="5">
      <x v="3"/>
      <x v="7"/>
      <x v="2"/>
      <x v="4"/>
      <x/>
      <x v="212"/>
    </i>
    <i r="6">
      <x v="9"/>
      <x v="2"/>
      <x v="4"/>
      <x/>
      <x v="223"/>
    </i>
    <i r="6">
      <x v="10"/>
      <x v="2"/>
      <x v="4"/>
      <x/>
      <x v="211"/>
    </i>
    <i r="5">
      <x v="4"/>
      <x v="8"/>
      <x v="1"/>
      <x v="6"/>
      <x/>
      <x v="182"/>
    </i>
    <i r="5">
      <x v="5"/>
      <x v="8"/>
      <x v="1"/>
      <x v="3"/>
      <x/>
      <x v="177"/>
    </i>
    <i r="3">
      <x v="225"/>
      <x v="4"/>
      <x v="1"/>
      <x v="7"/>
      <x v="2"/>
      <x v="13"/>
      <x/>
      <x v="192"/>
    </i>
    <i r="6">
      <x v="8"/>
      <x v="2"/>
      <x v="12"/>
      <x/>
      <x v="225"/>
    </i>
    <i r="3">
      <x v="226"/>
      <x v="4"/>
      <x v="4"/>
      <x v="9"/>
      <x v="1"/>
      <x v="6"/>
      <x/>
      <x v="186"/>
    </i>
    <i r="2">
      <x v="2"/>
      <x v="226"/>
      <x v="5"/>
      <x v="3"/>
      <x v="7"/>
      <x v="2"/>
      <x v="4"/>
      <x/>
      <x v="205"/>
    </i>
    <i r="3">
      <x v="235"/>
      <x v="5"/>
      <x/>
      <x v="7"/>
      <x v="2"/>
      <x v="1"/>
      <x/>
      <x v="204"/>
    </i>
    <i r="3">
      <x v="237"/>
      <x v="5"/>
      <x v="2"/>
      <x v="8"/>
      <x v="2"/>
      <x v="1"/>
      <x/>
      <x v="202"/>
    </i>
    <i r="3">
      <x v="238"/>
      <x v="5"/>
      <x v="1"/>
      <x v="11"/>
      <x v="2"/>
      <x v="3"/>
      <x/>
      <x v="206"/>
    </i>
    <i r="3">
      <x v="240"/>
      <x v="5"/>
      <x v="4"/>
      <x v="9"/>
      <x v="3"/>
      <x v="10"/>
      <x v="4"/>
      <x v="238"/>
    </i>
    <i r="2">
      <x v="3"/>
      <x v="226"/>
      <x v="6"/>
      <x v="15"/>
      <x v="7"/>
      <x v="1"/>
      <x v="3"/>
      <x/>
      <x v="210"/>
    </i>
    <i r="3">
      <x v="228"/>
      <x v="6"/>
      <x v="11"/>
      <x v="11"/>
      <x v="3"/>
      <x v="3"/>
      <x/>
      <x v="217"/>
    </i>
    <i r="3">
      <x v="230"/>
      <x v="6"/>
      <x v="10"/>
      <x v="8"/>
      <x v="2"/>
      <x v="1"/>
      <x/>
      <x v="215"/>
    </i>
    <i r="3">
      <x v="233"/>
      <x v="6"/>
      <x v="10"/>
      <x v="10"/>
      <x v="2"/>
      <x v="1"/>
      <x/>
      <x v="206"/>
    </i>
    <i r="2">
      <x v="4"/>
      <x v="224"/>
      <x v="7"/>
      <x v="3"/>
      <x v="12"/>
      <x v="2"/>
      <x v="11"/>
      <x/>
      <x v="233"/>
    </i>
    <i r="4">
      <x v="9"/>
      <x v="8"/>
      <x v="7"/>
      <x v="2"/>
      <x v="12"/>
      <x/>
      <x v="227"/>
    </i>
    <i r="4">
      <x v="11"/>
      <x v="15"/>
      <x v="7"/>
      <x v="2"/>
      <x v="5"/>
      <x/>
      <x v="219"/>
    </i>
    <i r="3">
      <x v="225"/>
      <x v="11"/>
      <x v="16"/>
      <x v="7"/>
      <x v="2"/>
      <x v="5"/>
      <x/>
      <x v="211"/>
    </i>
    <i r="3">
      <x v="226"/>
      <x v="11"/>
      <x v="16"/>
      <x v="13"/>
      <x v="2"/>
      <x v="5"/>
      <x/>
      <x v="215"/>
    </i>
    <i r="3">
      <x v="227"/>
      <x v="9"/>
      <x v="9"/>
      <x v="7"/>
      <x v="2"/>
      <x v="10"/>
      <x/>
      <x v="231"/>
    </i>
    <i r="3">
      <x v="229"/>
      <x v="9"/>
      <x v="9"/>
      <x v="8"/>
      <x v="2"/>
      <x v="10"/>
      <x/>
      <x v="232"/>
    </i>
    <i r="3">
      <x v="231"/>
      <x v="9"/>
      <x v="8"/>
      <x v="8"/>
      <x v="2"/>
      <x v="12"/>
      <x/>
      <x v="230"/>
    </i>
    <i r="3">
      <x v="232"/>
      <x v="8"/>
      <x v="4"/>
      <x v="8"/>
      <x v="2"/>
      <x v="11"/>
      <x/>
      <x v="213"/>
    </i>
    <i r="3">
      <x v="234"/>
      <x v="8"/>
      <x v="4"/>
      <x v="7"/>
      <x v="2"/>
      <x v="12"/>
      <x/>
      <x v="212"/>
    </i>
    <i r="3">
      <x v="235"/>
      <x v="8"/>
      <x v="4"/>
      <x v="9"/>
      <x v="2"/>
      <x v="12"/>
      <x/>
      <x v="216"/>
    </i>
    <i r="3">
      <x v="236"/>
      <x v="10"/>
      <x v="12"/>
      <x v="12"/>
      <x v="2"/>
      <x v="14"/>
      <x/>
      <x v="228"/>
    </i>
    <i r="3">
      <x v="241"/>
      <x v="7"/>
      <x/>
      <x v="7"/>
      <x v="2"/>
      <x v="12"/>
      <x/>
      <x v="222"/>
    </i>
    <i r="3">
      <x v="242"/>
      <x v="7"/>
      <x/>
      <x v="9"/>
      <x v="2"/>
      <x v="12"/>
      <x/>
      <x v="223"/>
    </i>
    <i r="3">
      <x v="243"/>
      <x v="7"/>
      <x v="1"/>
      <x v="7"/>
      <x v="3"/>
      <x v="15"/>
      <x/>
      <x v="234"/>
    </i>
    <i r="3">
      <x v="244"/>
      <x v="8"/>
      <x v="7"/>
      <x v="11"/>
      <x v="2"/>
      <x v="10"/>
      <x/>
      <x v="236"/>
    </i>
    <i r="3">
      <x v="245"/>
      <x v="8"/>
      <x v="7"/>
      <x v="12"/>
      <x v="2"/>
      <x v="10"/>
      <x/>
      <x v="237"/>
    </i>
    <i r="3">
      <x v="246"/>
      <x v="7"/>
      <x/>
      <x v="10"/>
      <x v="3"/>
      <x v="8"/>
      <x v="6"/>
      <x v="239"/>
    </i>
    <i r="3">
      <x v="247"/>
      <x v="7"/>
      <x v="1"/>
      <x v="9"/>
      <x v="3"/>
      <x v="15"/>
      <x/>
      <x v="241"/>
    </i>
    <i r="3">
      <x v="248"/>
      <x v="12"/>
      <x v="20"/>
      <x v="8"/>
      <x v="2"/>
      <x v="13"/>
      <x/>
      <x v="241"/>
    </i>
    <i r="3">
      <x v="249"/>
      <x v="12"/>
      <x v="20"/>
      <x v="10"/>
      <x v="2"/>
      <x v="13"/>
      <x/>
      <x v="241"/>
    </i>
    <i r="3">
      <x v="250"/>
      <x v="12"/>
      <x v="20"/>
      <x v="11"/>
      <x v="2"/>
      <x v="13"/>
      <x/>
      <x v="241"/>
    </i>
    <i r="2">
      <x v="5"/>
      <x v="236"/>
      <x v="16"/>
      <x v="9"/>
      <x v="10"/>
      <x v="1"/>
      <x v="1"/>
      <x/>
      <x v="196"/>
    </i>
    <i r="3">
      <x v="237"/>
      <x v="16"/>
      <x v="5"/>
      <x v="7"/>
      <x v="2"/>
      <x v="3"/>
      <x/>
      <x v="177"/>
    </i>
    <i r="3">
      <x v="239"/>
      <x v="16"/>
      <x v="5"/>
      <x v="8"/>
      <x v="2"/>
      <x v="3"/>
      <x/>
      <x v="221"/>
    </i>
    <i r="3">
      <x v="242"/>
      <x v="16"/>
      <x v="7"/>
      <x v="9"/>
      <x v="2"/>
      <x v="3"/>
      <x/>
      <x v="223"/>
    </i>
    <i r="3">
      <x v="244"/>
      <x v="16"/>
      <x v="2"/>
      <x v="7"/>
      <x/>
      <x v="1"/>
      <x/>
      <x v="180"/>
    </i>
    <i r="3">
      <x v="245"/>
      <x v="16"/>
      <x v="8"/>
      <x v="10"/>
      <x v="2"/>
      <x v="10"/>
      <x/>
      <x v="179"/>
    </i>
    <i r="3">
      <x v="248"/>
      <x v="16"/>
      <x v="6"/>
      <x v="9"/>
      <x v="2"/>
      <x v="1"/>
      <x/>
      <x v="229"/>
    </i>
    <i t="default" r="1">
      <x v="1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Tn." fld="21" baseField="2" baseItem="3" numFmtId="166"/>
    <dataField name="Area." fld="16" baseField="8" baseItem="32" numFmtId="171"/>
    <dataField name="Edad (días)" fld="43" baseField="0" baseItem="0" numFmtId="166"/>
    <dataField name="Edad (mes)" fld="41" baseField="8" baseItem="34" numFmtId="171"/>
    <dataField name="Tn/Ha." fld="42" baseField="0" baseItem="0" numFmtId="168"/>
    <dataField name="Tn/Ha/Mes." fld="49" baseField="0" baseItem="0" numFmtId="164"/>
    <dataField name="Tn/Ha/Año." fld="48" baseField="0" baseItem="0" numFmtId="164"/>
    <dataField name="%ART." fld="44" baseField="0" baseItem="0" numFmtId="164"/>
    <dataField name="KgAzucar/ha/Año." fld="47" baseField="0" baseItem="0" numFmtId="166"/>
  </dataFields>
  <formats count="256">
    <format dxfId="714">
      <pivotArea type="origin" dataOnly="0" labelOnly="1" outline="0" fieldPosition="0"/>
    </format>
    <format dxfId="713">
      <pivotArea field="-2" type="button" dataOnly="0" labelOnly="1" outline="0" axis="axisCol" fieldPosition="0"/>
    </format>
    <format dxfId="712">
      <pivotArea type="topRight" dataOnly="0" labelOnly="1" outline="0" fieldPosition="0"/>
    </format>
    <format dxfId="711">
      <pivotArea type="origin" dataOnly="0" labelOnly="1" outline="0" fieldPosition="0"/>
    </format>
    <format dxfId="710">
      <pivotArea field="-2" type="button" dataOnly="0" labelOnly="1" outline="0" axis="axisCol" fieldPosition="0"/>
    </format>
    <format dxfId="709">
      <pivotArea type="topRight" dataOnly="0" labelOnly="1" outline="0" fieldPosition="0"/>
    </format>
    <format dxfId="70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7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706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70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04">
      <pivotArea field="5" grandRow="1" outline="0" collapsedLevelsAreSubtotals="1" axis="axisRow" fieldPosition="2">
        <references count="1">
          <reference field="4294967294" count="1" selected="0">
            <x v="4"/>
          </reference>
        </references>
      </pivotArea>
    </format>
    <format dxfId="70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0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00">
      <pivotArea field="5" type="button" dataOnly="0" labelOnly="1" outline="0" axis="axisRow" fieldPosition="2"/>
    </format>
    <format dxfId="699">
      <pivotArea field="6" type="button" dataOnly="0" labelOnly="1" outline="0" axis="axisRow" fieldPosition="4"/>
    </format>
    <format dxfId="698">
      <pivotArea field="7" type="button" dataOnly="0" labelOnly="1" outline="0" axis="axisRow" fieldPosition="5"/>
    </format>
    <format dxfId="697">
      <pivotArea field="8" type="button" dataOnly="0" labelOnly="1" outline="0" axis="axisRow" fieldPosition="6"/>
    </format>
    <format dxfId="696">
      <pivotArea field="25" type="button" dataOnly="0" labelOnly="1" outline="0" axis="axisRow" fieldPosition="1"/>
    </format>
    <format dxfId="695">
      <pivotArea field="11" type="button" dataOnly="0" labelOnly="1" outline="0" axis="axisRow" fieldPosition="8"/>
    </format>
    <format dxfId="694">
      <pivotArea dataOnly="0" labelOnly="1" outline="0" fieldPosition="0">
        <references count="1">
          <reference field="4294967294" count="8">
            <x v="0"/>
            <x v="1"/>
            <x v="2"/>
            <x v="4"/>
            <x v="5"/>
            <x v="6"/>
            <x v="7"/>
            <x v="8"/>
          </reference>
        </references>
      </pivotArea>
    </format>
    <format dxfId="693">
      <pivotArea field="5" type="button" dataOnly="0" labelOnly="1" outline="0" axis="axisRow" fieldPosition="2"/>
    </format>
    <format dxfId="692">
      <pivotArea field="6" type="button" dataOnly="0" labelOnly="1" outline="0" axis="axisRow" fieldPosition="4"/>
    </format>
    <format dxfId="691">
      <pivotArea field="7" type="button" dataOnly="0" labelOnly="1" outline="0" axis="axisRow" fieldPosition="5"/>
    </format>
    <format dxfId="690">
      <pivotArea field="8" type="button" dataOnly="0" labelOnly="1" outline="0" axis="axisRow" fieldPosition="6"/>
    </format>
    <format dxfId="689">
      <pivotArea field="25" type="button" dataOnly="0" labelOnly="1" outline="0" axis="axisRow" fieldPosition="1"/>
    </format>
    <format dxfId="688">
      <pivotArea field="11" type="button" dataOnly="0" labelOnly="1" outline="0" axis="axisRow" fieldPosition="8"/>
    </format>
    <format dxfId="687">
      <pivotArea dataOnly="0" labelOnly="1" outline="0" fieldPosition="0">
        <references count="1">
          <reference field="4294967294" count="8">
            <x v="0"/>
            <x v="1"/>
            <x v="2"/>
            <x v="4"/>
            <x v="5"/>
            <x v="6"/>
            <x v="7"/>
            <x v="8"/>
          </reference>
        </references>
      </pivotArea>
    </format>
    <format dxfId="686">
      <pivotArea field="5" type="button" dataOnly="0" labelOnly="1" outline="0" axis="axisRow" fieldPosition="2"/>
    </format>
    <format dxfId="685">
      <pivotArea field="6" type="button" dataOnly="0" labelOnly="1" outline="0" axis="axisRow" fieldPosition="4"/>
    </format>
    <format dxfId="684">
      <pivotArea field="7" type="button" dataOnly="0" labelOnly="1" outline="0" axis="axisRow" fieldPosition="5"/>
    </format>
    <format dxfId="683">
      <pivotArea field="8" type="button" dataOnly="0" labelOnly="1" outline="0" axis="axisRow" fieldPosition="6"/>
    </format>
    <format dxfId="682">
      <pivotArea field="25" type="button" dataOnly="0" labelOnly="1" outline="0" axis="axisRow" fieldPosition="1"/>
    </format>
    <format dxfId="681">
      <pivotArea field="11" type="button" dataOnly="0" labelOnly="1" outline="0" axis="axisRow" fieldPosition="8"/>
    </format>
    <format dxfId="680">
      <pivotArea dataOnly="0" labelOnly="1" outline="0" fieldPosition="0">
        <references count="1">
          <reference field="4294967294" count="8">
            <x v="0"/>
            <x v="1"/>
            <x v="2"/>
            <x v="4"/>
            <x v="5"/>
            <x v="6"/>
            <x v="7"/>
            <x v="8"/>
          </reference>
        </references>
      </pivotArea>
    </format>
    <format dxfId="679">
      <pivotArea dataOnly="0" labelOnly="1" outline="0" fieldPosition="0">
        <references count="1">
          <reference field="11" count="0"/>
        </references>
      </pivotArea>
    </format>
    <format dxfId="678">
      <pivotArea dataOnly="0" labelOnly="1" outline="0" fieldPosition="0">
        <references count="1">
          <reference field="25" count="0"/>
        </references>
      </pivotArea>
    </format>
    <format dxfId="677">
      <pivotArea field="25" type="button" dataOnly="0" labelOnly="1" outline="0" axis="axisRow" fieldPosition="1"/>
    </format>
    <format dxfId="676">
      <pivotArea field="5" type="button" dataOnly="0" labelOnly="1" outline="0" axis="axisRow" fieldPosition="2"/>
    </format>
    <format dxfId="675">
      <pivotArea field="6" type="button" dataOnly="0" labelOnly="1" outline="0" axis="axisRow" fieldPosition="4"/>
    </format>
    <format dxfId="674">
      <pivotArea field="7" type="button" dataOnly="0" labelOnly="1" outline="0" axis="axisRow" fieldPosition="5"/>
    </format>
    <format dxfId="673">
      <pivotArea field="8" type="button" dataOnly="0" labelOnly="1" outline="0" axis="axisRow" fieldPosition="6"/>
    </format>
    <format dxfId="672">
      <pivotArea field="11" type="button" dataOnly="0" labelOnly="1" outline="0" axis="axisRow" fieldPosition="8"/>
    </format>
    <format dxfId="671">
      <pivotArea field="13" type="button" dataOnly="0" labelOnly="1" outline="0" axis="axisRow" fieldPosition="9"/>
    </format>
    <format dxfId="670">
      <pivotArea field="12" type="button" dataOnly="0" labelOnly="1" outline="0" axis="axisRow" fieldPosition="10"/>
    </format>
    <format dxfId="669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68">
      <pivotArea field="25" type="button" dataOnly="0" labelOnly="1" outline="0" axis="axisRow" fieldPosition="1"/>
    </format>
    <format dxfId="667">
      <pivotArea field="5" type="button" dataOnly="0" labelOnly="1" outline="0" axis="axisRow" fieldPosition="2"/>
    </format>
    <format dxfId="666">
      <pivotArea field="6" type="button" dataOnly="0" labelOnly="1" outline="0" axis="axisRow" fieldPosition="4"/>
    </format>
    <format dxfId="665">
      <pivotArea field="7" type="button" dataOnly="0" labelOnly="1" outline="0" axis="axisRow" fieldPosition="5"/>
    </format>
    <format dxfId="664">
      <pivotArea field="8" type="button" dataOnly="0" labelOnly="1" outline="0" axis="axisRow" fieldPosition="6"/>
    </format>
    <format dxfId="663">
      <pivotArea field="11" type="button" dataOnly="0" labelOnly="1" outline="0" axis="axisRow" fieldPosition="8"/>
    </format>
    <format dxfId="662">
      <pivotArea field="13" type="button" dataOnly="0" labelOnly="1" outline="0" axis="axisRow" fieldPosition="9"/>
    </format>
    <format dxfId="661">
      <pivotArea field="12" type="button" dataOnly="0" labelOnly="1" outline="0" axis="axisRow" fieldPosition="10"/>
    </format>
    <format dxfId="66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59">
      <pivotArea outline="0" fieldPosition="0">
        <references count="1">
          <reference field="4294967294" count="1">
            <x v="3"/>
          </reference>
        </references>
      </pivotArea>
    </format>
    <format dxfId="658">
      <pivotArea field="25" type="button" dataOnly="0" labelOnly="1" outline="0" axis="axisRow" fieldPosition="1"/>
    </format>
    <format dxfId="657">
      <pivotArea field="5" type="button" dataOnly="0" labelOnly="1" outline="0" axis="axisRow" fieldPosition="2"/>
    </format>
    <format dxfId="656">
      <pivotArea field="6" type="button" dataOnly="0" labelOnly="1" outline="0" axis="axisRow" fieldPosition="4"/>
    </format>
    <format dxfId="655">
      <pivotArea field="7" type="button" dataOnly="0" labelOnly="1" outline="0" axis="axisRow" fieldPosition="5"/>
    </format>
    <format dxfId="654">
      <pivotArea field="8" type="button" dataOnly="0" labelOnly="1" outline="0" axis="axisRow" fieldPosition="6"/>
    </format>
    <format dxfId="653">
      <pivotArea field="11" type="button" dataOnly="0" labelOnly="1" outline="0" axis="axisRow" fieldPosition="8"/>
    </format>
    <format dxfId="652">
      <pivotArea field="13" type="button" dataOnly="0" labelOnly="1" outline="0" axis="axisRow" fieldPosition="9"/>
    </format>
    <format dxfId="651">
      <pivotArea field="12" type="button" dataOnly="0" labelOnly="1" outline="0" axis="axisRow" fieldPosition="10"/>
    </format>
    <format dxfId="65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49">
      <pivotArea field="25" type="button" dataOnly="0" labelOnly="1" outline="0" axis="axisRow" fieldPosition="1"/>
    </format>
    <format dxfId="648">
      <pivotArea field="5" type="button" dataOnly="0" labelOnly="1" outline="0" axis="axisRow" fieldPosition="2"/>
    </format>
    <format dxfId="647">
      <pivotArea field="6" type="button" dataOnly="0" labelOnly="1" outline="0" axis="axisRow" fieldPosition="4"/>
    </format>
    <format dxfId="646">
      <pivotArea field="7" type="button" dataOnly="0" labelOnly="1" outline="0" axis="axisRow" fieldPosition="5"/>
    </format>
    <format dxfId="645">
      <pivotArea field="8" type="button" dataOnly="0" labelOnly="1" outline="0" axis="axisRow" fieldPosition="6"/>
    </format>
    <format dxfId="644">
      <pivotArea field="11" type="button" dataOnly="0" labelOnly="1" outline="0" axis="axisRow" fieldPosition="8"/>
    </format>
    <format dxfId="643">
      <pivotArea field="13" type="button" dataOnly="0" labelOnly="1" outline="0" axis="axisRow" fieldPosition="9"/>
    </format>
    <format dxfId="642">
      <pivotArea field="12" type="button" dataOnly="0" labelOnly="1" outline="0" axis="axisRow" fieldPosition="10"/>
    </format>
    <format dxfId="64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40">
      <pivotArea outline="0" fieldPosition="0">
        <references count="1">
          <reference field="4294967294" count="1">
            <x v="1"/>
          </reference>
        </references>
      </pivotArea>
    </format>
    <format dxfId="639">
      <pivotArea field="25" type="button" dataOnly="0" labelOnly="1" outline="0" axis="axisRow" fieldPosition="1"/>
    </format>
    <format dxfId="638">
      <pivotArea field="5" type="button" dataOnly="0" labelOnly="1" outline="0" axis="axisRow" fieldPosition="2"/>
    </format>
    <format dxfId="637">
      <pivotArea field="6" type="button" dataOnly="0" labelOnly="1" outline="0" axis="axisRow" fieldPosition="4"/>
    </format>
    <format dxfId="636">
      <pivotArea field="7" type="button" dataOnly="0" labelOnly="1" outline="0" axis="axisRow" fieldPosition="5"/>
    </format>
    <format dxfId="635">
      <pivotArea field="8" type="button" dataOnly="0" labelOnly="1" outline="0" axis="axisRow" fieldPosition="6"/>
    </format>
    <format dxfId="634">
      <pivotArea field="11" type="button" dataOnly="0" labelOnly="1" outline="0" axis="axisRow" fieldPosition="8"/>
    </format>
    <format dxfId="633">
      <pivotArea field="13" type="button" dataOnly="0" labelOnly="1" outline="0" axis="axisRow" fieldPosition="9"/>
    </format>
    <format dxfId="632">
      <pivotArea field="12" type="button" dataOnly="0" labelOnly="1" outline="0" axis="axisRow" fieldPosition="10"/>
    </format>
    <format dxfId="63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30">
      <pivotArea field="25" type="button" dataOnly="0" labelOnly="1" outline="0" axis="axisRow" fieldPosition="1"/>
    </format>
    <format dxfId="629">
      <pivotArea field="5" type="button" dataOnly="0" labelOnly="1" outline="0" axis="axisRow" fieldPosition="2"/>
    </format>
    <format dxfId="628">
      <pivotArea field="6" type="button" dataOnly="0" labelOnly="1" outline="0" axis="axisRow" fieldPosition="4"/>
    </format>
    <format dxfId="627">
      <pivotArea field="7" type="button" dataOnly="0" labelOnly="1" outline="0" axis="axisRow" fieldPosition="5"/>
    </format>
    <format dxfId="626">
      <pivotArea field="8" type="button" dataOnly="0" labelOnly="1" outline="0" axis="axisRow" fieldPosition="6"/>
    </format>
    <format dxfId="625">
      <pivotArea field="11" type="button" dataOnly="0" labelOnly="1" outline="0" axis="axisRow" fieldPosition="8"/>
    </format>
    <format dxfId="624">
      <pivotArea field="13" type="button" dataOnly="0" labelOnly="1" outline="0" axis="axisRow" fieldPosition="9"/>
    </format>
    <format dxfId="623">
      <pivotArea field="12" type="button" dataOnly="0" labelOnly="1" outline="0" axis="axisRow" fieldPosition="10"/>
    </format>
    <format dxfId="62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21">
      <pivotArea field="25" type="button" dataOnly="0" labelOnly="1" outline="0" axis="axisRow" fieldPosition="1"/>
    </format>
    <format dxfId="620">
      <pivotArea field="5" type="button" dataOnly="0" labelOnly="1" outline="0" axis="axisRow" fieldPosition="2"/>
    </format>
    <format dxfId="619">
      <pivotArea field="6" type="button" dataOnly="0" labelOnly="1" outline="0" axis="axisRow" fieldPosition="4"/>
    </format>
    <format dxfId="618">
      <pivotArea field="7" type="button" dataOnly="0" labelOnly="1" outline="0" axis="axisRow" fieldPosition="5"/>
    </format>
    <format dxfId="617">
      <pivotArea field="8" type="button" dataOnly="0" labelOnly="1" outline="0" axis="axisRow" fieldPosition="6"/>
    </format>
    <format dxfId="616">
      <pivotArea field="11" type="button" dataOnly="0" labelOnly="1" outline="0" axis="axisRow" fieldPosition="8"/>
    </format>
    <format dxfId="615">
      <pivotArea field="13" type="button" dataOnly="0" labelOnly="1" outline="0" axis="axisRow" fieldPosition="9"/>
    </format>
    <format dxfId="614">
      <pivotArea field="12" type="button" dataOnly="0" labelOnly="1" outline="0" axis="axisRow" fieldPosition="10"/>
    </format>
    <format dxfId="613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12">
      <pivotArea field="25" type="button" dataOnly="0" labelOnly="1" outline="0" axis="axisRow" fieldPosition="1"/>
    </format>
    <format dxfId="611">
      <pivotArea field="5" type="button" dataOnly="0" labelOnly="1" outline="0" axis="axisRow" fieldPosition="2"/>
    </format>
    <format dxfId="610">
      <pivotArea field="6" type="button" dataOnly="0" labelOnly="1" outline="0" axis="axisRow" fieldPosition="4"/>
    </format>
    <format dxfId="609">
      <pivotArea field="7" type="button" dataOnly="0" labelOnly="1" outline="0" axis="axisRow" fieldPosition="5"/>
    </format>
    <format dxfId="608">
      <pivotArea field="8" type="button" dataOnly="0" labelOnly="1" outline="0" axis="axisRow" fieldPosition="6"/>
    </format>
    <format dxfId="607">
      <pivotArea field="11" type="button" dataOnly="0" labelOnly="1" outline="0" axis="axisRow" fieldPosition="8"/>
    </format>
    <format dxfId="606">
      <pivotArea field="13" type="button" dataOnly="0" labelOnly="1" outline="0" axis="axisRow" fieldPosition="9"/>
    </format>
    <format dxfId="605">
      <pivotArea field="12" type="button" dataOnly="0" labelOnly="1" outline="0" axis="axisRow" fieldPosition="10"/>
    </format>
    <format dxfId="60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603">
      <pivotArea field="25" type="button" dataOnly="0" labelOnly="1" outline="0" axis="axisRow" fieldPosition="1"/>
    </format>
    <format dxfId="602">
      <pivotArea field="5" type="button" dataOnly="0" labelOnly="1" outline="0" axis="axisRow" fieldPosition="2"/>
    </format>
    <format dxfId="601">
      <pivotArea field="6" type="button" dataOnly="0" labelOnly="1" outline="0" axis="axisRow" fieldPosition="4"/>
    </format>
    <format dxfId="600">
      <pivotArea field="7" type="button" dataOnly="0" labelOnly="1" outline="0" axis="axisRow" fieldPosition="5"/>
    </format>
    <format dxfId="599">
      <pivotArea field="8" type="button" dataOnly="0" labelOnly="1" outline="0" axis="axisRow" fieldPosition="6"/>
    </format>
    <format dxfId="598">
      <pivotArea field="11" type="button" dataOnly="0" labelOnly="1" outline="0" axis="axisRow" fieldPosition="8"/>
    </format>
    <format dxfId="597">
      <pivotArea field="13" type="button" dataOnly="0" labelOnly="1" outline="0" axis="axisRow" fieldPosition="9"/>
    </format>
    <format dxfId="596">
      <pivotArea field="12" type="button" dataOnly="0" labelOnly="1" outline="0" axis="axisRow" fieldPosition="10"/>
    </format>
    <format dxfId="595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94">
      <pivotArea field="25" type="button" dataOnly="0" labelOnly="1" outline="0" axis="axisRow" fieldPosition="1"/>
    </format>
    <format dxfId="593">
      <pivotArea field="5" type="button" dataOnly="0" labelOnly="1" outline="0" axis="axisRow" fieldPosition="2"/>
    </format>
    <format dxfId="592">
      <pivotArea field="6" type="button" dataOnly="0" labelOnly="1" outline="0" axis="axisRow" fieldPosition="4"/>
    </format>
    <format dxfId="591">
      <pivotArea field="7" type="button" dataOnly="0" labelOnly="1" outline="0" axis="axisRow" fieldPosition="5"/>
    </format>
    <format dxfId="590">
      <pivotArea field="8" type="button" dataOnly="0" labelOnly="1" outline="0" axis="axisRow" fieldPosition="6"/>
    </format>
    <format dxfId="589">
      <pivotArea field="11" type="button" dataOnly="0" labelOnly="1" outline="0" axis="axisRow" fieldPosition="8"/>
    </format>
    <format dxfId="588">
      <pivotArea field="13" type="button" dataOnly="0" labelOnly="1" outline="0" axis="axisRow" fieldPosition="9"/>
    </format>
    <format dxfId="587">
      <pivotArea field="12" type="button" dataOnly="0" labelOnly="1" outline="0" axis="axisRow" fieldPosition="10"/>
    </format>
    <format dxfId="58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85">
      <pivotArea field="24" type="button" dataOnly="0" labelOnly="1" outline="0" axis="axisRow" fieldPosition="0"/>
    </format>
    <format dxfId="584">
      <pivotArea field="25" type="button" dataOnly="0" labelOnly="1" outline="0" axis="axisRow" fieldPosition="1"/>
    </format>
    <format dxfId="583">
      <pivotArea field="5" type="button" dataOnly="0" labelOnly="1" outline="0" axis="axisRow" fieldPosition="2"/>
    </format>
    <format dxfId="582">
      <pivotArea field="6" type="button" dataOnly="0" labelOnly="1" outline="0" axis="axisRow" fieldPosition="4"/>
    </format>
    <format dxfId="581">
      <pivotArea field="7" type="button" dataOnly="0" labelOnly="1" outline="0" axis="axisRow" fieldPosition="5"/>
    </format>
    <format dxfId="580">
      <pivotArea field="8" type="button" dataOnly="0" labelOnly="1" outline="0" axis="axisRow" fieldPosition="6"/>
    </format>
    <format dxfId="579">
      <pivotArea field="11" type="button" dataOnly="0" labelOnly="1" outline="0" axis="axisRow" fieldPosition="8"/>
    </format>
    <format dxfId="578">
      <pivotArea field="13" type="button" dataOnly="0" labelOnly="1" outline="0" axis="axisRow" fieldPosition="9"/>
    </format>
    <format dxfId="577">
      <pivotArea field="12" type="button" dataOnly="0" labelOnly="1" outline="0" axis="axisRow" fieldPosition="10"/>
    </format>
    <format dxfId="57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75">
      <pivotArea field="24" type="button" dataOnly="0" labelOnly="1" outline="0" axis="axisRow" fieldPosition="0"/>
    </format>
    <format dxfId="574">
      <pivotArea field="25" type="button" dataOnly="0" labelOnly="1" outline="0" axis="axisRow" fieldPosition="1"/>
    </format>
    <format dxfId="573">
      <pivotArea field="5" type="button" dataOnly="0" labelOnly="1" outline="0" axis="axisRow" fieldPosition="2"/>
    </format>
    <format dxfId="572">
      <pivotArea field="6" type="button" dataOnly="0" labelOnly="1" outline="0" axis="axisRow" fieldPosition="4"/>
    </format>
    <format dxfId="571">
      <pivotArea field="7" type="button" dataOnly="0" labelOnly="1" outline="0" axis="axisRow" fieldPosition="5"/>
    </format>
    <format dxfId="570">
      <pivotArea field="8" type="button" dataOnly="0" labelOnly="1" outline="0" axis="axisRow" fieldPosition="6"/>
    </format>
    <format dxfId="569">
      <pivotArea field="11" type="button" dataOnly="0" labelOnly="1" outline="0" axis="axisRow" fieldPosition="8"/>
    </format>
    <format dxfId="568">
      <pivotArea field="13" type="button" dataOnly="0" labelOnly="1" outline="0" axis="axisRow" fieldPosition="9"/>
    </format>
    <format dxfId="567">
      <pivotArea field="12" type="button" dataOnly="0" labelOnly="1" outline="0" axis="axisRow" fieldPosition="10"/>
    </format>
    <format dxfId="56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65">
      <pivotArea field="24" type="button" dataOnly="0" labelOnly="1" outline="0" axis="axisRow" fieldPosition="0"/>
    </format>
    <format dxfId="564">
      <pivotArea field="25" type="button" dataOnly="0" labelOnly="1" outline="0" axis="axisRow" fieldPosition="1"/>
    </format>
    <format dxfId="563">
      <pivotArea field="5" type="button" dataOnly="0" labelOnly="1" outline="0" axis="axisRow" fieldPosition="2"/>
    </format>
    <format dxfId="562">
      <pivotArea field="6" type="button" dataOnly="0" labelOnly="1" outline="0" axis="axisRow" fieldPosition="4"/>
    </format>
    <format dxfId="561">
      <pivotArea field="7" type="button" dataOnly="0" labelOnly="1" outline="0" axis="axisRow" fieldPosition="5"/>
    </format>
    <format dxfId="560">
      <pivotArea field="8" type="button" dataOnly="0" labelOnly="1" outline="0" axis="axisRow" fieldPosition="6"/>
    </format>
    <format dxfId="559">
      <pivotArea field="11" type="button" dataOnly="0" labelOnly="1" outline="0" axis="axisRow" fieldPosition="8"/>
    </format>
    <format dxfId="558">
      <pivotArea field="13" type="button" dataOnly="0" labelOnly="1" outline="0" axis="axisRow" fieldPosition="9"/>
    </format>
    <format dxfId="557">
      <pivotArea field="12" type="button" dataOnly="0" labelOnly="1" outline="0" axis="axisRow" fieldPosition="10"/>
    </format>
    <format dxfId="55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55">
      <pivotArea field="24" type="button" dataOnly="0" labelOnly="1" outline="0" axis="axisRow" fieldPosition="0"/>
    </format>
    <format dxfId="554">
      <pivotArea field="25" type="button" dataOnly="0" labelOnly="1" outline="0" axis="axisRow" fieldPosition="1"/>
    </format>
    <format dxfId="553">
      <pivotArea field="5" type="button" dataOnly="0" labelOnly="1" outline="0" axis="axisRow" fieldPosition="2"/>
    </format>
    <format dxfId="552">
      <pivotArea field="6" type="button" dataOnly="0" labelOnly="1" outline="0" axis="axisRow" fieldPosition="4"/>
    </format>
    <format dxfId="551">
      <pivotArea field="7" type="button" dataOnly="0" labelOnly="1" outline="0" axis="axisRow" fieldPosition="5"/>
    </format>
    <format dxfId="550">
      <pivotArea field="8" type="button" dataOnly="0" labelOnly="1" outline="0" axis="axisRow" fieldPosition="6"/>
    </format>
    <format dxfId="549">
      <pivotArea field="11" type="button" dataOnly="0" labelOnly="1" outline="0" axis="axisRow" fieldPosition="8"/>
    </format>
    <format dxfId="548">
      <pivotArea field="13" type="button" dataOnly="0" labelOnly="1" outline="0" axis="axisRow" fieldPosition="9"/>
    </format>
    <format dxfId="547">
      <pivotArea field="12" type="button" dataOnly="0" labelOnly="1" outline="0" axis="axisRow" fieldPosition="10"/>
    </format>
    <format dxfId="54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45">
      <pivotArea type="origin" dataOnly="0" labelOnly="1" outline="0" fieldPosition="0"/>
    </format>
    <format dxfId="544">
      <pivotArea field="24" type="button" dataOnly="0" labelOnly="1" outline="0" axis="axisRow" fieldPosition="0"/>
    </format>
    <format dxfId="543">
      <pivotArea field="25" type="button" dataOnly="0" labelOnly="1" outline="0" axis="axisRow" fieldPosition="1"/>
    </format>
    <format dxfId="542">
      <pivotArea field="5" type="button" dataOnly="0" labelOnly="1" outline="0" axis="axisRow" fieldPosition="2"/>
    </format>
    <format dxfId="541">
      <pivotArea field="6" type="button" dataOnly="0" labelOnly="1" outline="0" axis="axisRow" fieldPosition="4"/>
    </format>
    <format dxfId="540">
      <pivotArea field="7" type="button" dataOnly="0" labelOnly="1" outline="0" axis="axisRow" fieldPosition="5"/>
    </format>
    <format dxfId="539">
      <pivotArea field="8" type="button" dataOnly="0" labelOnly="1" outline="0" axis="axisRow" fieldPosition="6"/>
    </format>
    <format dxfId="538">
      <pivotArea field="11" type="button" dataOnly="0" labelOnly="1" outline="0" axis="axisRow" fieldPosition="8"/>
    </format>
    <format dxfId="537">
      <pivotArea field="13" type="button" dataOnly="0" labelOnly="1" outline="0" axis="axisRow" fieldPosition="9"/>
    </format>
    <format dxfId="536">
      <pivotArea dataOnly="0" labelOnly="1" outline="0" fieldPosition="0">
        <references count="1">
          <reference field="24" count="0"/>
        </references>
      </pivotArea>
    </format>
    <format dxfId="535">
      <pivotArea dataOnly="0" labelOnly="1" grandRow="1" outline="0" fieldPosition="0"/>
    </format>
    <format dxfId="534">
      <pivotArea type="origin" dataOnly="0" labelOnly="1" outline="0" fieldPosition="0"/>
    </format>
    <format dxfId="533">
      <pivotArea field="24" type="button" dataOnly="0" labelOnly="1" outline="0" axis="axisRow" fieldPosition="0"/>
    </format>
    <format dxfId="532">
      <pivotArea field="25" type="button" dataOnly="0" labelOnly="1" outline="0" axis="axisRow" fieldPosition="1"/>
    </format>
    <format dxfId="531">
      <pivotArea field="5" type="button" dataOnly="0" labelOnly="1" outline="0" axis="axisRow" fieldPosition="2"/>
    </format>
    <format dxfId="530">
      <pivotArea field="6" type="button" dataOnly="0" labelOnly="1" outline="0" axis="axisRow" fieldPosition="4"/>
    </format>
    <format dxfId="529">
      <pivotArea field="7" type="button" dataOnly="0" labelOnly="1" outline="0" axis="axisRow" fieldPosition="5"/>
    </format>
    <format dxfId="528">
      <pivotArea field="8" type="button" dataOnly="0" labelOnly="1" outline="0" axis="axisRow" fieldPosition="6"/>
    </format>
    <format dxfId="527">
      <pivotArea field="11" type="button" dataOnly="0" labelOnly="1" outline="0" axis="axisRow" fieldPosition="8"/>
    </format>
    <format dxfId="526">
      <pivotArea field="13" type="button" dataOnly="0" labelOnly="1" outline="0" axis="axisRow" fieldPosition="9"/>
    </format>
    <format dxfId="525">
      <pivotArea dataOnly="0" labelOnly="1" outline="0" fieldPosition="0">
        <references count="1">
          <reference field="24" count="0"/>
        </references>
      </pivotArea>
    </format>
    <format dxfId="524">
      <pivotArea dataOnly="0" labelOnly="1" grandRow="1" outline="0" fieldPosition="0"/>
    </format>
    <format dxfId="523">
      <pivotArea field="24" type="button" dataOnly="0" labelOnly="1" outline="0" axis="axisRow" fieldPosition="0"/>
    </format>
    <format dxfId="522">
      <pivotArea field="25" type="button" dataOnly="0" labelOnly="1" outline="0" axis="axisRow" fieldPosition="1"/>
    </format>
    <format dxfId="521">
      <pivotArea field="5" type="button" dataOnly="0" labelOnly="1" outline="0" axis="axisRow" fieldPosition="2"/>
    </format>
    <format dxfId="520">
      <pivotArea field="6" type="button" dataOnly="0" labelOnly="1" outline="0" axis="axisRow" fieldPosition="4"/>
    </format>
    <format dxfId="519">
      <pivotArea field="7" type="button" dataOnly="0" labelOnly="1" outline="0" axis="axisRow" fieldPosition="5"/>
    </format>
    <format dxfId="518">
      <pivotArea field="8" type="button" dataOnly="0" labelOnly="1" outline="0" axis="axisRow" fieldPosition="6"/>
    </format>
    <format dxfId="517">
      <pivotArea field="11" type="button" dataOnly="0" labelOnly="1" outline="0" axis="axisRow" fieldPosition="8"/>
    </format>
    <format dxfId="516">
      <pivotArea field="13" type="button" dataOnly="0" labelOnly="1" outline="0" axis="axisRow" fieldPosition="9"/>
    </format>
    <format dxfId="515">
      <pivotArea field="12" type="button" dataOnly="0" labelOnly="1" outline="0" axis="axisRow" fieldPosition="10"/>
    </format>
    <format dxfId="51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13">
      <pivotArea field="24" type="button" dataOnly="0" labelOnly="1" outline="0" axis="axisRow" fieldPosition="0"/>
    </format>
    <format dxfId="512">
      <pivotArea field="25" type="button" dataOnly="0" labelOnly="1" outline="0" axis="axisRow" fieldPosition="1"/>
    </format>
    <format dxfId="511">
      <pivotArea field="5" type="button" dataOnly="0" labelOnly="1" outline="0" axis="axisRow" fieldPosition="2"/>
    </format>
    <format dxfId="510">
      <pivotArea field="6" type="button" dataOnly="0" labelOnly="1" outline="0" axis="axisRow" fieldPosition="4"/>
    </format>
    <format dxfId="509">
      <pivotArea field="7" type="button" dataOnly="0" labelOnly="1" outline="0" axis="axisRow" fieldPosition="5"/>
    </format>
    <format dxfId="508">
      <pivotArea field="8" type="button" dataOnly="0" labelOnly="1" outline="0" axis="axisRow" fieldPosition="6"/>
    </format>
    <format dxfId="507">
      <pivotArea field="11" type="button" dataOnly="0" labelOnly="1" outline="0" axis="axisRow" fieldPosition="8"/>
    </format>
    <format dxfId="506">
      <pivotArea field="13" type="button" dataOnly="0" labelOnly="1" outline="0" axis="axisRow" fieldPosition="9"/>
    </format>
    <format dxfId="505">
      <pivotArea field="12" type="button" dataOnly="0" labelOnly="1" outline="0" axis="axisRow" fieldPosition="10"/>
    </format>
    <format dxfId="50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03">
      <pivotArea dataOnly="0" labelOnly="1" outline="0" fieldPosition="0">
        <references count="1">
          <reference field="24" count="0"/>
        </references>
      </pivotArea>
    </format>
    <format dxfId="502">
      <pivotArea dataOnly="0" labelOnly="1" outline="0" fieldPosition="0">
        <references count="1">
          <reference field="24" count="0"/>
        </references>
      </pivotArea>
    </format>
    <format dxfId="501">
      <pivotArea dataOnly="0" labelOnly="1" outline="0" fieldPosition="0">
        <references count="1">
          <reference field="25" count="0"/>
        </references>
      </pivotArea>
    </format>
    <format dxfId="500">
      <pivotArea dataOnly="0" labelOnly="1" outline="0" fieldPosition="0">
        <references count="1">
          <reference field="25" count="0"/>
        </references>
      </pivotArea>
    </format>
    <format dxfId="499">
      <pivotArea dataOnly="0" labelOnly="1" outline="0" fieldPosition="0">
        <references count="1">
          <reference field="5" count="0"/>
        </references>
      </pivotArea>
    </format>
    <format dxfId="498">
      <pivotArea dataOnly="0" labelOnly="1" outline="0" fieldPosition="0">
        <references count="1">
          <reference field="5" count="0"/>
        </references>
      </pivotArea>
    </format>
    <format dxfId="497">
      <pivotArea dataOnly="0" labelOnly="1" outline="0" fieldPosition="0">
        <references count="1">
          <reference field="6" count="0"/>
        </references>
      </pivotArea>
    </format>
    <format dxfId="496">
      <pivotArea dataOnly="0" labelOnly="1" outline="0" fieldPosition="0">
        <references count="1">
          <reference field="6" count="0"/>
        </references>
      </pivotArea>
    </format>
    <format dxfId="495">
      <pivotArea dataOnly="0" labelOnly="1" outline="0" fieldPosition="0">
        <references count="1">
          <reference field="6" count="0"/>
        </references>
      </pivotArea>
    </format>
    <format dxfId="494">
      <pivotArea dataOnly="0" labelOnly="1" outline="0" fieldPosition="0">
        <references count="1">
          <reference field="6" count="0"/>
        </references>
      </pivotArea>
    </format>
    <format dxfId="493">
      <pivotArea dataOnly="0" labelOnly="1" outline="0" fieldPosition="0">
        <references count="1">
          <reference field="7" count="0"/>
        </references>
      </pivotArea>
    </format>
    <format dxfId="492">
      <pivotArea dataOnly="0" labelOnly="1" outline="0" fieldPosition="0">
        <references count="1">
          <reference field="7" count="0"/>
        </references>
      </pivotArea>
    </format>
    <format dxfId="491">
      <pivotArea dataOnly="0" labelOnly="1" outline="0" fieldPosition="0">
        <references count="1">
          <reference field="8" count="0"/>
        </references>
      </pivotArea>
    </format>
    <format dxfId="490">
      <pivotArea dataOnly="0" labelOnly="1" outline="0" fieldPosition="0">
        <references count="1">
          <reference field="8" count="0"/>
        </references>
      </pivotArea>
    </format>
    <format dxfId="489">
      <pivotArea dataOnly="0" labelOnly="1" outline="0" fieldPosition="0">
        <references count="1">
          <reference field="11" count="0"/>
        </references>
      </pivotArea>
    </format>
    <format dxfId="488">
      <pivotArea dataOnly="0" labelOnly="1" outline="0" fieldPosition="0">
        <references count="1">
          <reference field="11" count="0"/>
        </references>
      </pivotArea>
    </format>
    <format dxfId="487">
      <pivotArea dataOnly="0" labelOnly="1" outline="0" fieldPosition="0">
        <references count="1">
          <reference field="13" count="0"/>
        </references>
      </pivotArea>
    </format>
    <format dxfId="486">
      <pivotArea dataOnly="0" labelOnly="1" outline="0" fieldPosition="0">
        <references count="1">
          <reference field="13" count="0"/>
        </references>
      </pivotArea>
    </format>
    <format dxfId="485">
      <pivotArea dataOnly="0" labelOnly="1" outline="0" fieldPosition="0">
        <references count="1">
          <reference field="12" count="0"/>
        </references>
      </pivotArea>
    </format>
    <format dxfId="484">
      <pivotArea dataOnly="0" labelOnly="1" outline="0" fieldPosition="0">
        <references count="1">
          <reference field="12" count="0"/>
        </references>
      </pivotArea>
    </format>
    <format dxfId="483">
      <pivotArea dataOnly="0" outline="0" fieldPosition="0">
        <references count="1">
          <reference field="25" count="0" defaultSubtotal="1"/>
        </references>
      </pivotArea>
    </format>
    <format dxfId="482">
      <pivotArea field="24" type="button" dataOnly="0" labelOnly="1" outline="0" axis="axisRow" fieldPosition="0"/>
    </format>
    <format dxfId="481">
      <pivotArea field="25" type="button" dataOnly="0" labelOnly="1" outline="0" axis="axisRow" fieldPosition="1"/>
    </format>
    <format dxfId="480">
      <pivotArea field="5" type="button" dataOnly="0" labelOnly="1" outline="0" axis="axisRow" fieldPosition="2"/>
    </format>
    <format dxfId="479">
      <pivotArea field="23" type="button" dataOnly="0" labelOnly="1" outline="0" axis="axisRow" fieldPosition="3"/>
    </format>
    <format dxfId="478">
      <pivotArea field="6" type="button" dataOnly="0" labelOnly="1" outline="0" axis="axisRow" fieldPosition="4"/>
    </format>
    <format dxfId="477">
      <pivotArea field="7" type="button" dataOnly="0" labelOnly="1" outline="0" axis="axisRow" fieldPosition="5"/>
    </format>
    <format dxfId="476">
      <pivotArea field="8" type="button" dataOnly="0" labelOnly="1" outline="0" axis="axisRow" fieldPosition="6"/>
    </format>
    <format dxfId="475">
      <pivotArea field="10" type="button" dataOnly="0" labelOnly="1" outline="0" axis="axisRow" fieldPosition="7"/>
    </format>
    <format dxfId="474">
      <pivotArea field="11" type="button" dataOnly="0" labelOnly="1" outline="0" axis="axisRow" fieldPosition="8"/>
    </format>
    <format dxfId="473">
      <pivotArea field="13" type="button" dataOnly="0" labelOnly="1" outline="0" axis="axisRow" fieldPosition="9"/>
    </format>
    <format dxfId="472">
      <pivotArea field="12" type="button" dataOnly="0" labelOnly="1" outline="0" axis="axisRow" fieldPosition="10"/>
    </format>
    <format dxfId="47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470">
      <pivotArea field="24" type="button" dataOnly="0" labelOnly="1" outline="0" axis="axisRow" fieldPosition="0"/>
    </format>
    <format dxfId="469">
      <pivotArea field="25" type="button" dataOnly="0" labelOnly="1" outline="0" axis="axisRow" fieldPosition="1"/>
    </format>
    <format dxfId="468">
      <pivotArea field="5" type="button" dataOnly="0" labelOnly="1" outline="0" axis="axisRow" fieldPosition="2"/>
    </format>
    <format dxfId="467">
      <pivotArea field="23" type="button" dataOnly="0" labelOnly="1" outline="0" axis="axisRow" fieldPosition="3"/>
    </format>
    <format dxfId="466">
      <pivotArea field="6" type="button" dataOnly="0" labelOnly="1" outline="0" axis="axisRow" fieldPosition="4"/>
    </format>
    <format dxfId="465">
      <pivotArea field="7" type="button" dataOnly="0" labelOnly="1" outline="0" axis="axisRow" fieldPosition="5"/>
    </format>
    <format dxfId="464">
      <pivotArea field="8" type="button" dataOnly="0" labelOnly="1" outline="0" axis="axisRow" fieldPosition="6"/>
    </format>
    <format dxfId="463">
      <pivotArea field="10" type="button" dataOnly="0" labelOnly="1" outline="0" axis="axisRow" fieldPosition="7"/>
    </format>
    <format dxfId="462">
      <pivotArea field="11" type="button" dataOnly="0" labelOnly="1" outline="0" axis="axisRow" fieldPosition="8"/>
    </format>
    <format dxfId="461">
      <pivotArea field="13" type="button" dataOnly="0" labelOnly="1" outline="0" axis="axisRow" fieldPosition="9"/>
    </format>
    <format dxfId="460">
      <pivotArea field="12" type="button" dataOnly="0" labelOnly="1" outline="0" axis="axisRow" fieldPosition="10"/>
    </format>
    <format dxfId="459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F1" xr10:uid="{00000000-0013-0000-FFFF-FFFF01000000}" sourceName="MF">
  <pivotTables>
    <pivotTable tabId="155" name="Detalle_Plan"/>
  </pivotTables>
  <data>
    <tabular pivotCacheId="1">
      <items count="7">
        <i x="5" s="1"/>
        <i x="4" s="1"/>
        <i x="2" s="1"/>
        <i x="1" s="1"/>
        <i x="0" s="1"/>
        <i x="3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C1" xr10:uid="{00000000-0013-0000-FFFF-FFFF02000000}" sourceName="Año_C">
  <pivotTables>
    <pivotTable tabId="14" name="TD_General"/>
    <pivotTable tabId="14" name="TD_Mec_Manual"/>
    <pivotTable tabId="22" name="Areas"/>
    <pivotTable tabId="151" name="Rendimientos"/>
    <pivotTable tabId="152" name="Edades"/>
    <pivotTable tabId="140" name="ART"/>
    <pivotTable tabId="161" name="Detalle_CAT"/>
  </pivotTables>
  <data>
    <tabular pivotCacheId="1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C" xr10:uid="{00000000-0013-0000-FFFF-FFFF03000000}" sourceName="Año_C">
  <pivotTables>
    <pivotTable tabId="155" name="Detalle_Plan"/>
  </pivotTables>
  <data>
    <tabular pivotCacheId="1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_C 1" xr10:uid="{00000000-0014-0000-FFFF-FFFF01000000}" cache="SegmentaciónDeDatos_Año_C1" caption="Año_C" columnCount="3" showCaption="0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F" xr10:uid="{00000000-0014-0000-FFFF-FFFF02000000}" cache="SegmentaciónDeDatos_MF1" caption="MF" style="SlicerStyleDark3" rowHeight="241300"/>
  <slicer name="Año cosecha" xr10:uid="{00000000-0014-0000-FFFF-FFFF03000000}" cache="SegmentaciónDeDatos_Año_C" caption="Año cosecha" style="SlicerStyleDark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3:AP469" totalsRowShown="0" headerRowDxfId="458" dataDxfId="457" tableBorderDxfId="456">
  <tableColumns count="41">
    <tableColumn id="13" xr3:uid="{00000000-0010-0000-0000-00000D000000}" name="Valor" dataDxfId="455" dataCellStyle="Millares">
      <calculatedColumnFormula>CHOOSE(B$1,Tabla2[[#This Row],[Edad]]*12/365,Tabla2[[#This Row],[Tn/Ha]],Tabla2[[#This Row],[Tn]],Tabla2[[#This Row],[Area_Cosecha]])</calculatedColumnFormula>
    </tableColumn>
    <tableColumn id="1" xr3:uid="{00000000-0010-0000-0000-000001000000}" name="Agrupador" dataDxfId="454"/>
    <tableColumn id="2" xr3:uid="{00000000-0010-0000-0000-000002000000}" name="Extraccion" dataDxfId="453"/>
    <tableColumn id="31" xr3:uid="{00000000-0010-0000-0000-00001F000000}" name="Condicion" dataDxfId="452"/>
    <tableColumn id="32" xr3:uid="{00000000-0010-0000-0000-000020000000}" name="CONCATENAR2" dataDxfId="451"/>
    <tableColumn id="3" xr3:uid="{00000000-0010-0000-0000-000003000000}" name="MF" dataDxfId="450"/>
    <tableColumn id="4" xr3:uid="{00000000-0010-0000-0000-000004000000}" name="FD" dataDxfId="449"/>
    <tableColumn id="5" xr3:uid="{00000000-0010-0000-0000-000005000000}" name="EQ" dataDxfId="448"/>
    <tableColumn id="6" xr3:uid="{00000000-0010-0000-0000-000006000000}" name="TR" dataDxfId="447"/>
    <tableColumn id="33" xr3:uid="{00000000-0010-0000-0000-000021000000}" name="PAR" dataDxfId="446"/>
    <tableColumn id="14" xr3:uid="{00000000-0010-0000-0000-00000E000000}" name="Safra" dataDxfId="445"/>
    <tableColumn id="7" xr3:uid="{00000000-0010-0000-0000-000007000000}" name="Estado" dataDxfId="444"/>
    <tableColumn id="8" xr3:uid="{00000000-0010-0000-0000-000008000000}" name="FCultivo" dataDxfId="443"/>
    <tableColumn id="9" xr3:uid="{00000000-0010-0000-0000-000009000000}" name="Var" dataDxfId="442"/>
    <tableColumn id="10" xr3:uid="{00000000-0010-0000-0000-00000A000000}" name="Edad" dataDxfId="441" dataCellStyle="Millares"/>
    <tableColumn id="23" xr3:uid="{00000000-0010-0000-0000-000017000000}" name="Area_Total" dataDxfId="440" dataCellStyle="Millares"/>
    <tableColumn id="12" xr3:uid="{00000000-0010-0000-0000-00000C000000}" name="Area_Cosecha" dataDxfId="439" dataCellStyle="Millares"/>
    <tableColumn id="15" xr3:uid="{00000000-0010-0000-0000-00000F000000}" name="Tn/Ha" dataDxfId="438" dataCellStyle="Millares"/>
    <tableColumn id="16" xr3:uid="{00000000-0010-0000-0000-000010000000}" name="Tn/Ha/Mes" dataDxfId="437" dataCellStyle="Millares"/>
    <tableColumn id="17" xr3:uid="{00000000-0010-0000-0000-000011000000}" name="%ART" dataDxfId="436" dataCellStyle="Millares"/>
    <tableColumn id="29" xr3:uid="{00000000-0010-0000-0000-00001D000000}" name="%POL" dataDxfId="435" dataCellStyle="Millares"/>
    <tableColumn id="18" xr3:uid="{00000000-0010-0000-0000-000012000000}" name="Tn" dataDxfId="434" dataCellStyle="Millares"/>
    <tableColumn id="19" xr3:uid="{00000000-0010-0000-0000-000013000000}" name="Kg_Azucar" dataDxfId="433" dataCellStyle="Millares"/>
    <tableColumn id="20" xr3:uid="{00000000-0010-0000-0000-000014000000}" name="FCosecha" dataDxfId="432" dataCellStyle="Millares"/>
    <tableColumn id="21" xr3:uid="{00000000-0010-0000-0000-000015000000}" name="Año_C" dataDxfId="431"/>
    <tableColumn id="22" xr3:uid="{00000000-0010-0000-0000-000016000000}" name="Mes_C" dataDxfId="430"/>
    <tableColumn id="24" xr3:uid="{00000000-0010-0000-0000-000018000000}" name="%ARTxTN" dataDxfId="429" dataCellStyle="Millares"/>
    <tableColumn id="30" xr3:uid="{00000000-0010-0000-0000-00001E000000}" name="%POLxTN" dataDxfId="428" dataCellStyle="Millares"/>
    <tableColumn id="25" xr3:uid="{00000000-0010-0000-0000-000019000000}" name="EDADxAREA" dataDxfId="427" dataCellStyle="Millares"/>
    <tableColumn id="26" xr3:uid="{00000000-0010-0000-0000-00001A000000}" name="KGAZUCARxAREA" dataDxfId="426" dataCellStyle="Millares"/>
    <tableColumn id="27" xr3:uid="{00000000-0010-0000-0000-00001B000000}" name="REAL-PROY." dataDxfId="425" dataCellStyle="Millares"/>
    <tableColumn id="28" xr3:uid="{00000000-0010-0000-0000-00001C000000}" name="GROUP REAL-PROY." dataDxfId="424" dataCellStyle="Millares"/>
    <tableColumn id="11" xr3:uid="{00000000-0010-0000-0000-00000B000000}" name="Ult_Art" dataDxfId="423"/>
    <tableColumn id="34" xr3:uid="{00000000-0010-0000-0000-000022000000}" name="Ult_Pol" dataDxfId="422"/>
    <tableColumn id="35" xr3:uid="{00000000-0010-0000-0000-000023000000}" name="Ult_Pur" dataDxfId="421"/>
    <tableColumn id="36" xr3:uid="{00000000-0010-0000-0000-000024000000}" name="Ult_Fibra" dataDxfId="420"/>
    <tableColumn id="37" xr3:uid="{00000000-0010-0000-0000-000025000000}" name="Ult_Hum" dataDxfId="419"/>
    <tableColumn id="38" xr3:uid="{00000000-0010-0000-0000-000026000000}" name="Ult_EntBroza" dataDxfId="418"/>
    <tableColumn id="39" xr3:uid="{00000000-0010-0000-0000-000027000000}" name="PenUlt_EntBroza" dataDxfId="417"/>
    <tableColumn id="40" xr3:uid="{00000000-0010-0000-0000-000028000000}" name="Ult_Imp_Veg" dataDxfId="416"/>
    <tableColumn id="41" xr3:uid="{00000000-0010-0000-0000-000029000000}" name="Ult_Imp_Min" dataDxfId="4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B6:E19" totalsRowShown="0" headerRowDxfId="414" dataDxfId="412" headerRowBorderDxfId="413" tableBorderDxfId="411" totalsRowBorderDxfId="410">
  <autoFilter ref="B6:E19" xr:uid="{00000000-0009-0000-0100-000004000000}"/>
  <tableColumns count="4">
    <tableColumn id="1" xr3:uid="{00000000-0010-0000-0200-000001000000}" name="Mes" dataDxfId="409"/>
    <tableColumn id="2" xr3:uid="{00000000-0010-0000-0200-000002000000}" name="CHI01" dataDxfId="408"/>
    <tableColumn id="3" xr3:uid="{00000000-0010-0000-0200-000003000000}" name="CHI02" dataDxfId="407"/>
    <tableColumn id="4" xr3:uid="{00000000-0010-0000-0200-000004000000}" name="CHI03" dataDxfId="406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B3:E18" totalsRowShown="0">
  <autoFilter ref="B3:E18" xr:uid="{00000000-0009-0000-0100-000003000000}"/>
  <tableColumns count="4">
    <tableColumn id="4" xr3:uid="{00000000-0010-0000-0300-000004000000}" name="Concatenar" dataDxfId="405">
      <calculatedColumnFormula>CONCATENATE(Tabla3[[#This Row],[Macrofundo]],Tabla3[[#This Row],[Fundo]])</calculatedColumnFormula>
    </tableColumn>
    <tableColumn id="1" xr3:uid="{00000000-0010-0000-0300-000001000000}" name="Macrofundo"/>
    <tableColumn id="2" xr3:uid="{00000000-0010-0000-0300-000002000000}" name="Fundo"/>
    <tableColumn id="3" xr3:uid="{00000000-0010-0000-0300-000003000000}" name="Gerenc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>
    <tabColor rgb="FF00B0F0"/>
  </sheetPr>
  <dimension ref="B3:L13"/>
  <sheetViews>
    <sheetView showGridLines="0" zoomScaleNormal="100" zoomScaleSheetLayoutView="100" workbookViewId="0">
      <selection activeCell="J9" sqref="J9"/>
    </sheetView>
  </sheetViews>
  <sheetFormatPr baseColWidth="10" defaultColWidth="11.42578125" defaultRowHeight="15" x14ac:dyDescent="0.25"/>
  <cols>
    <col min="1" max="1" width="3" customWidth="1"/>
    <col min="2" max="2" width="12.5703125" bestFit="1" customWidth="1"/>
    <col min="3" max="3" width="10.85546875" bestFit="1" customWidth="1"/>
    <col min="4" max="4" width="11" bestFit="1" customWidth="1"/>
    <col min="5" max="5" width="8.5703125" customWidth="1"/>
    <col min="6" max="6" width="10" customWidth="1"/>
    <col min="7" max="7" width="6.85546875" bestFit="1" customWidth="1"/>
    <col min="8" max="8" width="11.28515625" bestFit="1" customWidth="1"/>
    <col min="9" max="9" width="11.5703125" bestFit="1" customWidth="1"/>
    <col min="10" max="11" width="6.5703125" bestFit="1" customWidth="1"/>
    <col min="12" max="12" width="17.140625" bestFit="1" customWidth="1"/>
  </cols>
  <sheetData>
    <row r="3" spans="2:12" ht="23.25" x14ac:dyDescent="0.35">
      <c r="B3" s="143" t="s">
        <v>394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</row>
    <row r="4" spans="2:12" s="4" customFormat="1" x14ac:dyDescent="0.25">
      <c r="C4" s="123" t="s">
        <v>47</v>
      </c>
    </row>
    <row r="5" spans="2:12" x14ac:dyDescent="0.25">
      <c r="B5" s="124" t="s">
        <v>81</v>
      </c>
      <c r="C5" t="s">
        <v>322</v>
      </c>
      <c r="D5" t="s">
        <v>323</v>
      </c>
      <c r="E5" t="s">
        <v>90</v>
      </c>
      <c r="F5" t="s">
        <v>59</v>
      </c>
      <c r="G5" t="s">
        <v>91</v>
      </c>
      <c r="H5" t="s">
        <v>93</v>
      </c>
      <c r="I5" t="s">
        <v>92</v>
      </c>
      <c r="J5" t="s">
        <v>76</v>
      </c>
      <c r="K5" t="s">
        <v>309</v>
      </c>
      <c r="L5" t="s">
        <v>94</v>
      </c>
    </row>
    <row r="6" spans="2:12" x14ac:dyDescent="0.25">
      <c r="B6" t="s">
        <v>78</v>
      </c>
      <c r="C6" s="121">
        <v>444.05402701350636</v>
      </c>
      <c r="D6" s="137">
        <v>14.599036504553634</v>
      </c>
      <c r="E6" s="137">
        <v>179.90999999999991</v>
      </c>
      <c r="F6" s="20">
        <v>25422.340999999989</v>
      </c>
      <c r="G6" s="138">
        <v>141.30588071813685</v>
      </c>
      <c r="H6" s="121">
        <v>116.14948480255804</v>
      </c>
      <c r="I6" s="121">
        <v>9.6791237335465024</v>
      </c>
      <c r="J6" s="121">
        <v>14.52322750854297</v>
      </c>
      <c r="K6" s="135">
        <v>13.051731649442585</v>
      </c>
      <c r="L6" s="20">
        <v>16868.653927876043</v>
      </c>
    </row>
    <row r="7" spans="2:12" x14ac:dyDescent="0.25">
      <c r="B7" t="s">
        <v>17</v>
      </c>
      <c r="C7" s="121">
        <v>374.9289552681318</v>
      </c>
      <c r="D7" s="137">
        <v>12.326431406075566</v>
      </c>
      <c r="E7" s="137">
        <v>539.65999999999974</v>
      </c>
      <c r="F7" s="20">
        <v>63929.089999999982</v>
      </c>
      <c r="G7" s="138">
        <v>118.4617907571434</v>
      </c>
      <c r="H7" s="121">
        <v>115.32465822874398</v>
      </c>
      <c r="I7" s="121">
        <v>9.6103881857286648</v>
      </c>
      <c r="J7" s="121">
        <v>14.868322389852317</v>
      </c>
      <c r="K7" s="135">
        <v>13.356220231296033</v>
      </c>
      <c r="L7" s="20">
        <v>17146.841980445002</v>
      </c>
    </row>
    <row r="8" spans="2:12" x14ac:dyDescent="0.25">
      <c r="B8" t="s">
        <v>0</v>
      </c>
      <c r="C8" s="121">
        <v>362.52681195487276</v>
      </c>
      <c r="D8" s="137">
        <v>11.918689708105406</v>
      </c>
      <c r="E8" s="137">
        <v>1687.6799999999994</v>
      </c>
      <c r="F8" s="20">
        <v>186712.01799999998</v>
      </c>
      <c r="G8" s="138">
        <v>110.63235802995831</v>
      </c>
      <c r="H8" s="121">
        <v>111.38710117242688</v>
      </c>
      <c r="I8" s="121">
        <v>9.282258431035574</v>
      </c>
      <c r="J8" s="121">
        <v>14.82174538217982</v>
      </c>
      <c r="K8" s="135">
        <v>13.326613488883282</v>
      </c>
      <c r="L8" s="20">
        <v>16509.512524368143</v>
      </c>
    </row>
    <row r="9" spans="2:12" x14ac:dyDescent="0.25">
      <c r="B9" t="s">
        <v>75</v>
      </c>
      <c r="C9" s="121">
        <v>370.14595826138742</v>
      </c>
      <c r="D9" s="137">
        <v>12.169182189415476</v>
      </c>
      <c r="E9" s="137">
        <v>1812.7099999999996</v>
      </c>
      <c r="F9" s="20">
        <v>273732.01999999984</v>
      </c>
      <c r="G9" s="138">
        <v>151.00706676743656</v>
      </c>
      <c r="H9" s="121">
        <v>148.90768935856312</v>
      </c>
      <c r="I9" s="121">
        <v>12.408974113213594</v>
      </c>
      <c r="J9" s="121">
        <v>14.842122100098061</v>
      </c>
      <c r="K9" s="135">
        <v>13.346454637619338</v>
      </c>
      <c r="L9" s="20">
        <v>22101.061071032665</v>
      </c>
    </row>
    <row r="10" spans="2:12" x14ac:dyDescent="0.25">
      <c r="B10" t="s">
        <v>22</v>
      </c>
      <c r="C10" s="121">
        <v>360.62093308203362</v>
      </c>
      <c r="D10" s="137">
        <v>11.856030676669599</v>
      </c>
      <c r="E10" s="137">
        <v>2668.7899999999972</v>
      </c>
      <c r="F10" s="20">
        <v>351299.98159999948</v>
      </c>
      <c r="G10" s="138">
        <v>131.63268057808963</v>
      </c>
      <c r="H10" s="121">
        <v>133.23111334769158</v>
      </c>
      <c r="I10" s="121">
        <v>11.102592778974298</v>
      </c>
      <c r="J10" s="121">
        <v>14.787381817449482</v>
      </c>
      <c r="K10" s="135">
        <v>13.289167795734992</v>
      </c>
      <c r="L10" s="20">
        <v>19701.393430362055</v>
      </c>
    </row>
    <row r="11" spans="2:12" x14ac:dyDescent="0.25">
      <c r="B11" t="s">
        <v>19</v>
      </c>
      <c r="C11" s="121">
        <v>399.00808738513916</v>
      </c>
      <c r="D11" s="137">
        <v>13.118074105812795</v>
      </c>
      <c r="E11" s="137">
        <v>1643.3</v>
      </c>
      <c r="F11" s="20">
        <v>190809.17599999989</v>
      </c>
      <c r="G11" s="138">
        <v>116.11341568794492</v>
      </c>
      <c r="H11" s="121">
        <v>106.2168864892997</v>
      </c>
      <c r="I11" s="121">
        <v>8.8514072074416408</v>
      </c>
      <c r="J11" s="121">
        <v>14.543006365535708</v>
      </c>
      <c r="K11" s="135">
        <v>13.056330645600474</v>
      </c>
      <c r="L11" s="20">
        <v>15447.128563412694</v>
      </c>
    </row>
    <row r="12" spans="2:12" x14ac:dyDescent="0.25">
      <c r="B12" t="s">
        <v>84</v>
      </c>
      <c r="C12" s="121">
        <v>450.38766499563127</v>
      </c>
      <c r="D12" s="137">
        <v>14.807265698486509</v>
      </c>
      <c r="E12" s="137">
        <v>217.42999999999972</v>
      </c>
      <c r="F12" s="20">
        <v>37402.610999999961</v>
      </c>
      <c r="G12" s="138">
        <v>172.02139079243898</v>
      </c>
      <c r="H12" s="121">
        <v>139.40836421408048</v>
      </c>
      <c r="I12" s="121">
        <v>11.617363684506707</v>
      </c>
      <c r="J12" s="121">
        <v>14.111738169099754</v>
      </c>
      <c r="K12" s="135">
        <v>12.641182035803418</v>
      </c>
      <c r="L12" s="20">
        <v>19672.943343715997</v>
      </c>
    </row>
    <row r="13" spans="2:12" x14ac:dyDescent="0.25">
      <c r="B13" t="s">
        <v>46</v>
      </c>
      <c r="C13" s="121">
        <v>375.00054517525575</v>
      </c>
      <c r="D13" s="137">
        <v>12.328785046857723</v>
      </c>
      <c r="E13" s="137">
        <v>8749.4799999999959</v>
      </c>
      <c r="F13" s="20">
        <v>1129307.2375999992</v>
      </c>
      <c r="G13" s="138">
        <v>129.07135482337233</v>
      </c>
      <c r="H13" s="121">
        <v>125.62926938816489</v>
      </c>
      <c r="I13" s="121">
        <v>10.469105782347073</v>
      </c>
      <c r="J13" s="121">
        <v>14.741299920022387</v>
      </c>
      <c r="K13" s="135">
        <v>13.246893558849198</v>
      </c>
      <c r="L13" s="20">
        <v>18519.38738784226</v>
      </c>
    </row>
  </sheetData>
  <mergeCells count="1">
    <mergeCell ref="B3:L3"/>
  </mergeCells>
  <printOptions horizontalCentered="1" verticalCentered="1"/>
  <pageMargins left="0.78740157480314965" right="0.78740157480314965" top="0.78740157480314965" bottom="0.78740157480314965" header="0.31496062992125984" footer="0.31496062992125984"/>
  <pageSetup paperSize="9" scale="120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rgb="FF00B0F0"/>
  </sheetPr>
  <dimension ref="B3:P21"/>
  <sheetViews>
    <sheetView showGridLines="0" zoomScaleNormal="100" zoomScaleSheetLayoutView="115" workbookViewId="0"/>
  </sheetViews>
  <sheetFormatPr baseColWidth="10" defaultColWidth="11.42578125" defaultRowHeight="15" x14ac:dyDescent="0.25"/>
  <cols>
    <col min="1" max="1" width="2.7109375" customWidth="1"/>
    <col min="2" max="2" width="17.5703125" bestFit="1" customWidth="1"/>
    <col min="3" max="7" width="5.5703125" bestFit="1" customWidth="1"/>
    <col min="8" max="8" width="5.5703125" style="3" bestFit="1" customWidth="1"/>
    <col min="9" max="11" width="5.5703125" bestFit="1" customWidth="1"/>
    <col min="12" max="14" width="6.7109375" bestFit="1" customWidth="1"/>
    <col min="15" max="15" width="12.5703125" bestFit="1" customWidth="1"/>
  </cols>
  <sheetData>
    <row r="3" spans="2:16" ht="23.25" x14ac:dyDescent="0.35">
      <c r="B3" s="143" t="s">
        <v>391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</row>
    <row r="4" spans="2:16" s="4" customFormat="1" x14ac:dyDescent="0.25">
      <c r="B4" s="124" t="s">
        <v>348</v>
      </c>
      <c r="C4" s="124" t="s">
        <v>311</v>
      </c>
      <c r="D4"/>
      <c r="E4"/>
      <c r="F4"/>
      <c r="G4"/>
      <c r="H4"/>
      <c r="I4"/>
      <c r="J4"/>
      <c r="K4"/>
      <c r="L4"/>
      <c r="M4"/>
      <c r="N4"/>
      <c r="O4"/>
      <c r="P4"/>
    </row>
    <row r="5" spans="2:16" s="4" customFormat="1" x14ac:dyDescent="0.25">
      <c r="B5"/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 s="5" t="s">
        <v>46</v>
      </c>
      <c r="P5"/>
    </row>
    <row r="6" spans="2:16" s="5" customFormat="1" x14ac:dyDescent="0.25">
      <c r="B6" s="124" t="s">
        <v>77</v>
      </c>
      <c r="C6"/>
      <c r="D6"/>
      <c r="E6"/>
      <c r="F6"/>
      <c r="G6"/>
      <c r="H6"/>
      <c r="I6"/>
      <c r="J6"/>
      <c r="K6"/>
      <c r="L6"/>
      <c r="M6"/>
      <c r="N6"/>
      <c r="P6"/>
    </row>
    <row r="7" spans="2:16" x14ac:dyDescent="0.25">
      <c r="B7" s="119" t="s">
        <v>78</v>
      </c>
      <c r="C7" s="20"/>
      <c r="D7" s="20"/>
      <c r="E7" s="20"/>
      <c r="F7" s="20"/>
      <c r="G7" s="20">
        <v>1</v>
      </c>
      <c r="H7" s="20">
        <v>19.88</v>
      </c>
      <c r="I7" s="20">
        <v>35.550000000000004</v>
      </c>
      <c r="J7" s="20">
        <v>63.989999999999903</v>
      </c>
      <c r="K7" s="151">
        <v>21.59</v>
      </c>
      <c r="L7" s="151">
        <v>9.11</v>
      </c>
      <c r="M7" s="151">
        <v>28.79</v>
      </c>
      <c r="N7" s="151"/>
      <c r="O7" s="20">
        <v>179.90999999999988</v>
      </c>
    </row>
    <row r="8" spans="2:16" x14ac:dyDescent="0.25">
      <c r="B8" s="119" t="s">
        <v>17</v>
      </c>
      <c r="C8" s="20">
        <v>7.92</v>
      </c>
      <c r="D8" s="20">
        <v>74.58</v>
      </c>
      <c r="E8" s="20">
        <v>2.2999999999999998</v>
      </c>
      <c r="F8" s="20">
        <v>7.3199999999999896</v>
      </c>
      <c r="G8" s="20">
        <v>93.439999999999898</v>
      </c>
      <c r="H8" s="20">
        <v>1.3</v>
      </c>
      <c r="I8" s="20"/>
      <c r="J8" s="20"/>
      <c r="K8" s="151">
        <v>68.249999999999901</v>
      </c>
      <c r="L8" s="151">
        <v>83.19</v>
      </c>
      <c r="M8" s="151">
        <v>138.16</v>
      </c>
      <c r="N8" s="151">
        <v>63.199999999999996</v>
      </c>
      <c r="O8" s="20">
        <v>539.65999999999985</v>
      </c>
    </row>
    <row r="9" spans="2:16" x14ac:dyDescent="0.25">
      <c r="B9" s="119" t="s">
        <v>0</v>
      </c>
      <c r="C9" s="20">
        <v>48.29</v>
      </c>
      <c r="D9" s="20">
        <v>72.400000000000006</v>
      </c>
      <c r="E9" s="20">
        <v>53.39</v>
      </c>
      <c r="F9" s="20">
        <v>69.729999999999905</v>
      </c>
      <c r="G9" s="20">
        <v>87.330000000000013</v>
      </c>
      <c r="H9" s="20">
        <v>70.490000000000009</v>
      </c>
      <c r="I9" s="20">
        <v>84.02</v>
      </c>
      <c r="J9" s="20">
        <v>286.44999999999987</v>
      </c>
      <c r="K9" s="151">
        <v>336.5199999999997</v>
      </c>
      <c r="L9" s="151">
        <v>209.38999999999982</v>
      </c>
      <c r="M9" s="151">
        <v>202.9799999999999</v>
      </c>
      <c r="N9" s="151">
        <v>166.69</v>
      </c>
      <c r="O9" s="20">
        <v>1687.6799999999994</v>
      </c>
    </row>
    <row r="10" spans="2:16" x14ac:dyDescent="0.25">
      <c r="B10" s="119" t="s">
        <v>75</v>
      </c>
      <c r="C10" s="20"/>
      <c r="D10" s="20">
        <v>103.36999999999989</v>
      </c>
      <c r="E10" s="20">
        <v>69.03</v>
      </c>
      <c r="F10" s="20">
        <v>206.7299999999999</v>
      </c>
      <c r="G10" s="20">
        <v>201.21000000000004</v>
      </c>
      <c r="H10" s="20">
        <v>235.65999999999988</v>
      </c>
      <c r="I10" s="20">
        <v>278.82</v>
      </c>
      <c r="J10" s="20">
        <v>203.62999999999988</v>
      </c>
      <c r="K10" s="151">
        <v>103.1399999999999</v>
      </c>
      <c r="L10" s="151">
        <v>166.64999999999998</v>
      </c>
      <c r="M10" s="151">
        <v>105.89</v>
      </c>
      <c r="N10" s="151">
        <v>138.57999999999998</v>
      </c>
      <c r="O10" s="20">
        <v>1812.7099999999994</v>
      </c>
    </row>
    <row r="11" spans="2:16" x14ac:dyDescent="0.25">
      <c r="B11" s="119" t="s">
        <v>22</v>
      </c>
      <c r="C11" s="20">
        <v>500.34999999999985</v>
      </c>
      <c r="D11" s="20">
        <v>57.939999999999991</v>
      </c>
      <c r="E11" s="20">
        <v>45.889999999999901</v>
      </c>
      <c r="F11" s="20">
        <v>182.73999999999958</v>
      </c>
      <c r="G11" s="20">
        <v>138.49999999999989</v>
      </c>
      <c r="H11" s="20">
        <v>78.889999999999901</v>
      </c>
      <c r="I11" s="20">
        <v>182.47999999999976</v>
      </c>
      <c r="J11" s="20">
        <v>161.67999999999986</v>
      </c>
      <c r="K11" s="151">
        <v>238.95999999999998</v>
      </c>
      <c r="L11" s="151">
        <v>347.9199999999995</v>
      </c>
      <c r="M11" s="151">
        <v>368.2999999999995</v>
      </c>
      <c r="N11" s="151">
        <v>365.14000000000004</v>
      </c>
      <c r="O11" s="20">
        <v>2668.7899999999977</v>
      </c>
    </row>
    <row r="12" spans="2:16" x14ac:dyDescent="0.25">
      <c r="B12" s="119" t="s">
        <v>19</v>
      </c>
      <c r="C12" s="20">
        <v>147.17999999999961</v>
      </c>
      <c r="D12" s="20">
        <v>382.06999999999988</v>
      </c>
      <c r="E12" s="20">
        <v>14.62999999999999</v>
      </c>
      <c r="F12" s="20">
        <v>146.07</v>
      </c>
      <c r="G12" s="20">
        <v>78.47</v>
      </c>
      <c r="H12" s="20">
        <v>82.039999999999992</v>
      </c>
      <c r="I12" s="20">
        <v>248.80999999999989</v>
      </c>
      <c r="J12" s="20">
        <v>75.39</v>
      </c>
      <c r="K12" s="151"/>
      <c r="L12" s="151">
        <v>61.080000000000005</v>
      </c>
      <c r="M12" s="151">
        <v>155.39000000000001</v>
      </c>
      <c r="N12" s="151">
        <v>252.16999999999996</v>
      </c>
      <c r="O12" s="20">
        <v>1643.2999999999997</v>
      </c>
    </row>
    <row r="13" spans="2:16" x14ac:dyDescent="0.25">
      <c r="B13" s="119" t="s">
        <v>84</v>
      </c>
      <c r="C13" s="20">
        <v>38.659999999999989</v>
      </c>
      <c r="D13" s="20"/>
      <c r="E13" s="20"/>
      <c r="F13" s="20"/>
      <c r="G13" s="20">
        <v>0.5</v>
      </c>
      <c r="H13" s="20">
        <v>178.16999999999976</v>
      </c>
      <c r="I13" s="20">
        <v>0.1</v>
      </c>
      <c r="J13" s="20"/>
      <c r="K13" s="20"/>
      <c r="L13" s="20"/>
      <c r="M13" s="20"/>
      <c r="N13" s="20"/>
      <c r="O13" s="20">
        <v>217.42999999999975</v>
      </c>
    </row>
    <row r="14" spans="2:16" x14ac:dyDescent="0.25">
      <c r="B14" s="119" t="s">
        <v>46</v>
      </c>
      <c r="C14" s="20">
        <v>742.39999999999941</v>
      </c>
      <c r="D14" s="20">
        <v>690.35999999999979</v>
      </c>
      <c r="E14" s="20">
        <v>185.2399999999999</v>
      </c>
      <c r="F14" s="20">
        <v>612.58999999999946</v>
      </c>
      <c r="G14" s="20">
        <v>600.44999999999982</v>
      </c>
      <c r="H14" s="20">
        <v>666.4299999999995</v>
      </c>
      <c r="I14" s="20">
        <v>829.77999999999963</v>
      </c>
      <c r="J14" s="20">
        <v>791.13999999999953</v>
      </c>
      <c r="K14" s="20">
        <v>768.45999999999958</v>
      </c>
      <c r="L14" s="20">
        <v>877.33999999999935</v>
      </c>
      <c r="M14" s="20">
        <v>999.50999999999942</v>
      </c>
      <c r="N14" s="20">
        <v>985.78</v>
      </c>
      <c r="O14" s="20">
        <v>8749.4799999999959</v>
      </c>
    </row>
    <row r="15" spans="2:16" x14ac:dyDescent="0.25">
      <c r="H15"/>
    </row>
    <row r="16" spans="2:16" x14ac:dyDescent="0.25">
      <c r="H16"/>
      <c r="O16" s="2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</sheetData>
  <mergeCells count="1">
    <mergeCell ref="B3:O3"/>
  </mergeCells>
  <printOptions horizontalCentered="1" verticalCentered="1"/>
  <pageMargins left="0.78740157480314965" right="0.78740157480314965" top="0.78740157480314965" bottom="0.78740157480314965" header="0.31496062992125984" footer="0.31496062992125984"/>
  <pageSetup paperSize="9" scale="108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rgb="FF00B0F0"/>
  </sheetPr>
  <dimension ref="B3:R21"/>
  <sheetViews>
    <sheetView showGridLines="0" zoomScaleNormal="100" zoomScaleSheetLayoutView="100" workbookViewId="0"/>
  </sheetViews>
  <sheetFormatPr baseColWidth="10" defaultColWidth="11.42578125" defaultRowHeight="15" x14ac:dyDescent="0.25"/>
  <cols>
    <col min="1" max="1" width="2.85546875" customWidth="1"/>
    <col min="2" max="2" width="17.5703125" bestFit="1" customWidth="1"/>
    <col min="3" max="3" width="4.85546875" bestFit="1" customWidth="1"/>
    <col min="4" max="7" width="4.42578125" bestFit="1" customWidth="1"/>
    <col min="8" max="8" width="4.42578125" style="3" bestFit="1" customWidth="1"/>
    <col min="9" max="11" width="4.42578125" bestFit="1" customWidth="1"/>
    <col min="12" max="14" width="4.85546875" bestFit="1" customWidth="1"/>
    <col min="15" max="15" width="12.5703125" bestFit="1" customWidth="1"/>
  </cols>
  <sheetData>
    <row r="3" spans="2:18" ht="23.25" x14ac:dyDescent="0.35">
      <c r="B3" s="143" t="s">
        <v>392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</row>
    <row r="4" spans="2:18" s="4" customFormat="1" x14ac:dyDescent="0.25">
      <c r="B4" s="124" t="s">
        <v>349</v>
      </c>
      <c r="C4" s="124" t="s">
        <v>311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18" s="4" customFormat="1" x14ac:dyDescent="0.25">
      <c r="B5"/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 s="5" t="s">
        <v>46</v>
      </c>
      <c r="P5"/>
      <c r="Q5"/>
      <c r="R5"/>
    </row>
    <row r="6" spans="2:18" s="5" customFormat="1" x14ac:dyDescent="0.25">
      <c r="B6" s="124" t="s">
        <v>77</v>
      </c>
      <c r="C6"/>
      <c r="D6"/>
      <c r="E6"/>
      <c r="F6"/>
      <c r="G6"/>
      <c r="H6"/>
      <c r="I6"/>
      <c r="J6"/>
      <c r="K6"/>
      <c r="L6"/>
      <c r="M6"/>
      <c r="N6"/>
      <c r="P6"/>
      <c r="Q6"/>
      <c r="R6"/>
    </row>
    <row r="7" spans="2:18" x14ac:dyDescent="0.25">
      <c r="B7" s="119" t="s">
        <v>78</v>
      </c>
      <c r="C7" s="125"/>
      <c r="D7" s="125"/>
      <c r="E7" s="125"/>
      <c r="F7" s="125"/>
      <c r="G7" s="125">
        <v>570.23</v>
      </c>
      <c r="H7" s="125">
        <v>566.68661971830943</v>
      </c>
      <c r="I7" s="125">
        <v>507.67510548523205</v>
      </c>
      <c r="J7" s="125">
        <v>397.8046569776518</v>
      </c>
      <c r="K7" s="125">
        <v>442.25150532653959</v>
      </c>
      <c r="L7" s="125">
        <v>415.07793633369926</v>
      </c>
      <c r="M7" s="125">
        <v>389.74852379298369</v>
      </c>
      <c r="N7" s="125"/>
      <c r="O7" s="125">
        <v>444.05402701350636</v>
      </c>
    </row>
    <row r="8" spans="2:18" x14ac:dyDescent="0.25">
      <c r="B8" s="119" t="s">
        <v>17</v>
      </c>
      <c r="C8" s="125">
        <v>424.3282828282816</v>
      </c>
      <c r="D8" s="125">
        <v>437.33655135425033</v>
      </c>
      <c r="E8" s="125">
        <v>488.99999999999568</v>
      </c>
      <c r="F8" s="125">
        <v>536.33743169398986</v>
      </c>
      <c r="G8" s="125">
        <v>394.42069777397307</v>
      </c>
      <c r="H8" s="125">
        <v>529.59230769230771</v>
      </c>
      <c r="I8" s="125"/>
      <c r="J8" s="125"/>
      <c r="K8" s="125">
        <v>362.52043956043991</v>
      </c>
      <c r="L8" s="125">
        <v>351.43827383098909</v>
      </c>
      <c r="M8" s="125">
        <v>342.05580486392574</v>
      </c>
      <c r="N8" s="125">
        <v>356.43180379746838</v>
      </c>
      <c r="O8" s="125">
        <v>374.92895526813197</v>
      </c>
    </row>
    <row r="9" spans="2:18" x14ac:dyDescent="0.25">
      <c r="B9" s="119" t="s">
        <v>0</v>
      </c>
      <c r="C9" s="125">
        <v>373.11327396976395</v>
      </c>
      <c r="D9" s="125">
        <v>368.27541436464082</v>
      </c>
      <c r="E9" s="125">
        <v>478.66791533994945</v>
      </c>
      <c r="F9" s="125">
        <v>497.07371289258634</v>
      </c>
      <c r="G9" s="125">
        <v>511.7996106721618</v>
      </c>
      <c r="H9" s="125">
        <v>366.23677117321597</v>
      </c>
      <c r="I9" s="125">
        <v>353.09902404189484</v>
      </c>
      <c r="J9" s="125">
        <v>352.06461860708652</v>
      </c>
      <c r="K9" s="125">
        <v>329.08914774753327</v>
      </c>
      <c r="L9" s="125">
        <v>320.9109795119154</v>
      </c>
      <c r="M9" s="125">
        <v>338.75332545078305</v>
      </c>
      <c r="N9" s="125">
        <v>355.16755654208413</v>
      </c>
      <c r="O9" s="125">
        <v>362.52681195487258</v>
      </c>
    </row>
    <row r="10" spans="2:18" x14ac:dyDescent="0.25">
      <c r="B10" s="119" t="s">
        <v>75</v>
      </c>
      <c r="C10" s="125"/>
      <c r="D10" s="125">
        <v>435.23739963238802</v>
      </c>
      <c r="E10" s="125">
        <v>382.66985368680287</v>
      </c>
      <c r="F10" s="125">
        <v>398.10893435882514</v>
      </c>
      <c r="G10" s="125">
        <v>384.94105660752291</v>
      </c>
      <c r="H10" s="125">
        <v>372.41165238054805</v>
      </c>
      <c r="I10" s="125">
        <v>370.3937665877624</v>
      </c>
      <c r="J10" s="125">
        <v>359.5926926287878</v>
      </c>
      <c r="K10" s="125">
        <v>357.42534419236017</v>
      </c>
      <c r="L10" s="125">
        <v>336.60414041404147</v>
      </c>
      <c r="M10" s="125">
        <v>327.43054112758426</v>
      </c>
      <c r="N10" s="125">
        <v>345.7563140424304</v>
      </c>
      <c r="O10" s="125">
        <v>370.14595826138731</v>
      </c>
    </row>
    <row r="11" spans="2:18" x14ac:dyDescent="0.25">
      <c r="B11" s="119" t="s">
        <v>22</v>
      </c>
      <c r="C11" s="125">
        <v>400.22672129509357</v>
      </c>
      <c r="D11" s="125">
        <v>410.59820503969621</v>
      </c>
      <c r="E11" s="125">
        <v>402.79298322074595</v>
      </c>
      <c r="F11" s="125">
        <v>430.73716756046935</v>
      </c>
      <c r="G11" s="125">
        <v>438.56743682310491</v>
      </c>
      <c r="H11" s="125">
        <v>362.89935353023202</v>
      </c>
      <c r="I11" s="125">
        <v>362.95320035072348</v>
      </c>
      <c r="J11" s="125">
        <v>341.60514596734311</v>
      </c>
      <c r="K11" s="125">
        <v>337.99979075995986</v>
      </c>
      <c r="L11" s="125">
        <v>324.75663945734675</v>
      </c>
      <c r="M11" s="125">
        <v>315.67939180016316</v>
      </c>
      <c r="N11" s="125">
        <v>329.53206989100073</v>
      </c>
      <c r="O11" s="125">
        <v>360.62093308203384</v>
      </c>
    </row>
    <row r="12" spans="2:18" x14ac:dyDescent="0.25">
      <c r="B12" s="119" t="s">
        <v>19</v>
      </c>
      <c r="C12" s="125">
        <v>408.03057480635857</v>
      </c>
      <c r="D12" s="125">
        <v>409.93430523202517</v>
      </c>
      <c r="E12" s="125">
        <v>454.59125085440905</v>
      </c>
      <c r="F12" s="125">
        <v>423.93735880057437</v>
      </c>
      <c r="G12" s="125">
        <v>408.85230024212933</v>
      </c>
      <c r="H12" s="125">
        <v>362.88408093612878</v>
      </c>
      <c r="I12" s="125">
        <v>377.24942727382233</v>
      </c>
      <c r="J12" s="125">
        <v>336.7979838174823</v>
      </c>
      <c r="K12" s="125"/>
      <c r="L12" s="125">
        <v>431.73952193844138</v>
      </c>
      <c r="M12" s="125">
        <v>438.76317652358512</v>
      </c>
      <c r="N12" s="125">
        <v>375.85323392949209</v>
      </c>
      <c r="O12" s="125">
        <v>399.00808738513916</v>
      </c>
    </row>
    <row r="13" spans="2:18" x14ac:dyDescent="0.25">
      <c r="B13" s="119" t="s">
        <v>84</v>
      </c>
      <c r="C13" s="125">
        <v>512.94619762027946</v>
      </c>
      <c r="D13" s="125"/>
      <c r="E13" s="125"/>
      <c r="F13" s="125"/>
      <c r="G13" s="125">
        <v>346</v>
      </c>
      <c r="H13" s="125">
        <v>437.08867935118184</v>
      </c>
      <c r="I13" s="125">
        <v>482</v>
      </c>
      <c r="J13" s="125"/>
      <c r="K13" s="125"/>
      <c r="L13" s="125"/>
      <c r="M13" s="125"/>
      <c r="N13" s="125"/>
      <c r="O13" s="125">
        <v>450.38766499563133</v>
      </c>
    </row>
    <row r="14" spans="2:18" x14ac:dyDescent="0.25">
      <c r="B14" s="119" t="s">
        <v>46</v>
      </c>
      <c r="C14" s="125">
        <v>406.13712284482733</v>
      </c>
      <c r="D14" s="125">
        <v>412.37014021669819</v>
      </c>
      <c r="E14" s="125">
        <v>422.32412006046184</v>
      </c>
      <c r="F14" s="125">
        <v>426.91757945771241</v>
      </c>
      <c r="G14" s="125">
        <v>420.63715546673262</v>
      </c>
      <c r="H14" s="125">
        <v>392.85294779646779</v>
      </c>
      <c r="I14" s="125">
        <v>374.95691629106472</v>
      </c>
      <c r="J14" s="125">
        <v>354.1095254948554</v>
      </c>
      <c r="K14" s="125">
        <v>341.81166228561023</v>
      </c>
      <c r="L14" s="125">
        <v>337.00517473271486</v>
      </c>
      <c r="M14" s="125">
        <v>346.52498724374914</v>
      </c>
      <c r="N14" s="125">
        <v>349.72157073586408</v>
      </c>
      <c r="O14" s="125">
        <v>375.00054517525598</v>
      </c>
    </row>
    <row r="15" spans="2:18" x14ac:dyDescent="0.25">
      <c r="H15"/>
    </row>
    <row r="16" spans="2:18" x14ac:dyDescent="0.25">
      <c r="H16"/>
      <c r="O16" s="2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</sheetData>
  <mergeCells count="1">
    <mergeCell ref="B3:O3"/>
  </mergeCells>
  <printOptions horizontalCentered="1" verticalCentered="1"/>
  <pageMargins left="0.78740157480314965" right="0.78740157480314965" top="0.78740157480314965" bottom="0.78740157480314965" header="0.31496062992125984" footer="0.31496062992125984"/>
  <pageSetup paperSize="9" scale="107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B0F0"/>
  </sheetPr>
  <dimension ref="B3:Z15"/>
  <sheetViews>
    <sheetView showGridLines="0" zoomScaleNormal="100" zoomScaleSheetLayoutView="100" workbookViewId="0"/>
  </sheetViews>
  <sheetFormatPr baseColWidth="10" defaultColWidth="11.42578125" defaultRowHeight="15" x14ac:dyDescent="0.25"/>
  <cols>
    <col min="1" max="1" width="2.42578125" customWidth="1"/>
    <col min="2" max="2" width="17.5703125" bestFit="1" customWidth="1"/>
    <col min="3" max="7" width="6.42578125" bestFit="1" customWidth="1"/>
    <col min="8" max="8" width="6.42578125" style="3" bestFit="1" customWidth="1"/>
    <col min="9" max="14" width="6.42578125" bestFit="1" customWidth="1"/>
    <col min="15" max="15" width="12.5703125" bestFit="1" customWidth="1"/>
    <col min="16" max="16" width="4.85546875" bestFit="1" customWidth="1"/>
    <col min="17" max="17" width="5.5703125" bestFit="1" customWidth="1"/>
    <col min="18" max="18" width="4.85546875" bestFit="1" customWidth="1"/>
    <col min="19" max="19" width="5.5703125" bestFit="1" customWidth="1"/>
    <col min="20" max="20" width="4.85546875" bestFit="1" customWidth="1"/>
    <col min="21" max="21" width="12.5703125" bestFit="1" customWidth="1"/>
  </cols>
  <sheetData>
    <row r="3" spans="2:26" ht="23.25" x14ac:dyDescent="0.35">
      <c r="B3" s="143" t="s">
        <v>393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</row>
    <row r="4" spans="2:26" s="4" customFormat="1" x14ac:dyDescent="0.25">
      <c r="B4" s="124" t="s">
        <v>350</v>
      </c>
      <c r="C4" s="124" t="s">
        <v>311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2:26" s="4" customFormat="1" x14ac:dyDescent="0.25">
      <c r="B5"/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 t="s">
        <v>46</v>
      </c>
      <c r="P5"/>
      <c r="Q5"/>
      <c r="R5"/>
      <c r="S5"/>
      <c r="T5"/>
      <c r="U5"/>
      <c r="V5"/>
      <c r="W5"/>
      <c r="X5"/>
      <c r="Y5"/>
      <c r="Z5"/>
    </row>
    <row r="6" spans="2:26" x14ac:dyDescent="0.25">
      <c r="B6" s="124" t="s">
        <v>77</v>
      </c>
      <c r="H6"/>
    </row>
    <row r="7" spans="2:26" x14ac:dyDescent="0.25">
      <c r="B7" s="119" t="s">
        <v>78</v>
      </c>
      <c r="C7" s="121"/>
      <c r="D7" s="121"/>
      <c r="E7" s="121"/>
      <c r="F7" s="121"/>
      <c r="G7" s="121">
        <v>13.85866599999996</v>
      </c>
      <c r="H7" s="121">
        <v>14.698025457540385</v>
      </c>
      <c r="I7" s="121">
        <v>15.176327170538437</v>
      </c>
      <c r="J7" s="121">
        <v>13.984013818000513</v>
      </c>
      <c r="K7" s="121">
        <v>14.014190151549839</v>
      </c>
      <c r="L7" s="121">
        <v>14.639255490150912</v>
      </c>
      <c r="M7" s="121">
        <v>15.067981878986066</v>
      </c>
      <c r="N7" s="121"/>
      <c r="O7" s="121">
        <v>14.523227508542973</v>
      </c>
    </row>
    <row r="8" spans="2:26" x14ac:dyDescent="0.25">
      <c r="B8" s="119" t="s">
        <v>17</v>
      </c>
      <c r="C8" s="121">
        <v>14.014352121238806</v>
      </c>
      <c r="D8" s="121">
        <v>13.256753794297019</v>
      </c>
      <c r="E8" s="121">
        <v>12.351749999999974</v>
      </c>
      <c r="F8" s="121">
        <v>13.765466849770819</v>
      </c>
      <c r="G8" s="121">
        <v>14.924022656471672</v>
      </c>
      <c r="H8" s="121">
        <v>15.405069291481315</v>
      </c>
      <c r="I8" s="121"/>
      <c r="J8" s="121"/>
      <c r="K8" s="121">
        <v>15.628944255304736</v>
      </c>
      <c r="L8" s="121">
        <v>15.138298166627285</v>
      </c>
      <c r="M8" s="121">
        <v>15.672924563148692</v>
      </c>
      <c r="N8" s="121">
        <v>15.102852907653505</v>
      </c>
      <c r="O8" s="121">
        <v>14.868322389852322</v>
      </c>
    </row>
    <row r="9" spans="2:26" x14ac:dyDescent="0.25">
      <c r="B9" s="119" t="s">
        <v>0</v>
      </c>
      <c r="C9" s="121">
        <v>15.065776462713213</v>
      </c>
      <c r="D9" s="121">
        <v>14.084796826409299</v>
      </c>
      <c r="E9" s="121">
        <v>13.607367802665017</v>
      </c>
      <c r="F9" s="121">
        <v>14.054491334479556</v>
      </c>
      <c r="G9" s="121">
        <v>15.192254749161936</v>
      </c>
      <c r="H9" s="121">
        <v>15.102352515966224</v>
      </c>
      <c r="I9" s="121">
        <v>14.925210858276552</v>
      </c>
      <c r="J9" s="121">
        <v>15.41391773387357</v>
      </c>
      <c r="K9" s="121">
        <v>14.664931128583493</v>
      </c>
      <c r="L9" s="121">
        <v>14.562269644696809</v>
      </c>
      <c r="M9" s="121">
        <v>15.169672883877064</v>
      </c>
      <c r="N9" s="121">
        <v>15.302434875605691</v>
      </c>
      <c r="O9" s="121">
        <v>14.821745382179822</v>
      </c>
    </row>
    <row r="10" spans="2:26" x14ac:dyDescent="0.25">
      <c r="B10" s="119" t="s">
        <v>75</v>
      </c>
      <c r="C10" s="121"/>
      <c r="D10" s="121">
        <v>12.915213841829589</v>
      </c>
      <c r="E10" s="121">
        <v>14.394981255525755</v>
      </c>
      <c r="F10" s="121">
        <v>14.667243298147826</v>
      </c>
      <c r="G10" s="121">
        <v>14.91457214260911</v>
      </c>
      <c r="H10" s="121">
        <v>15.051487075656528</v>
      </c>
      <c r="I10" s="121">
        <v>15.057239717695706</v>
      </c>
      <c r="J10" s="121">
        <v>15.268588048130326</v>
      </c>
      <c r="K10" s="121">
        <v>15.169161265636443</v>
      </c>
      <c r="L10" s="121">
        <v>14.856353367633067</v>
      </c>
      <c r="M10" s="121">
        <v>14.898932703148844</v>
      </c>
      <c r="N10" s="121">
        <v>15.114828572658011</v>
      </c>
      <c r="O10" s="121">
        <v>14.842122100098056</v>
      </c>
    </row>
    <row r="11" spans="2:26" x14ac:dyDescent="0.25">
      <c r="B11" s="119" t="s">
        <v>22</v>
      </c>
      <c r="C11" s="121">
        <v>14.261659349011905</v>
      </c>
      <c r="D11" s="121">
        <v>13.006361084323515</v>
      </c>
      <c r="E11" s="121">
        <v>13.955525254546156</v>
      </c>
      <c r="F11" s="121">
        <v>14.133511640466041</v>
      </c>
      <c r="G11" s="121">
        <v>14.588122629303093</v>
      </c>
      <c r="H11" s="121">
        <v>14.040817362177419</v>
      </c>
      <c r="I11" s="121">
        <v>14.884065115282048</v>
      </c>
      <c r="J11" s="121">
        <v>15.082429662130389</v>
      </c>
      <c r="K11" s="121">
        <v>14.978278730085179</v>
      </c>
      <c r="L11" s="121">
        <v>14.975231705280136</v>
      </c>
      <c r="M11" s="121">
        <v>15.33465273980039</v>
      </c>
      <c r="N11" s="121">
        <v>15.538350933466242</v>
      </c>
      <c r="O11" s="121">
        <v>14.787381817449473</v>
      </c>
    </row>
    <row r="12" spans="2:26" x14ac:dyDescent="0.25">
      <c r="B12" s="119" t="s">
        <v>19</v>
      </c>
      <c r="C12" s="121">
        <v>14.323544080501607</v>
      </c>
      <c r="D12" s="121">
        <v>13.705486123653081</v>
      </c>
      <c r="E12" s="121">
        <v>13.301350536926808</v>
      </c>
      <c r="F12" s="121">
        <v>14.227033953945007</v>
      </c>
      <c r="G12" s="121">
        <v>14.515604924541938</v>
      </c>
      <c r="H12" s="121">
        <v>15.129256563946802</v>
      </c>
      <c r="I12" s="121">
        <v>15.30755245334014</v>
      </c>
      <c r="J12" s="121">
        <v>14.431967492945194</v>
      </c>
      <c r="K12" s="121"/>
      <c r="L12" s="121">
        <v>14.353249203004351</v>
      </c>
      <c r="M12" s="121">
        <v>15.679972526445891</v>
      </c>
      <c r="N12" s="121">
        <v>15.086466294165373</v>
      </c>
      <c r="O12" s="121">
        <v>14.543006365535716</v>
      </c>
    </row>
    <row r="13" spans="2:26" x14ac:dyDescent="0.25">
      <c r="B13" s="119" t="s">
        <v>84</v>
      </c>
      <c r="C13" s="121">
        <v>13.686502041059764</v>
      </c>
      <c r="D13" s="121"/>
      <c r="E13" s="121"/>
      <c r="F13" s="121"/>
      <c r="G13" s="121">
        <v>13.2525</v>
      </c>
      <c r="H13" s="121">
        <v>14.210784038879</v>
      </c>
      <c r="I13" s="121">
        <v>14.211011999999998</v>
      </c>
      <c r="J13" s="121"/>
      <c r="K13" s="121"/>
      <c r="L13" s="121"/>
      <c r="M13" s="121"/>
      <c r="N13" s="121"/>
      <c r="O13" s="121">
        <v>14.111738169099754</v>
      </c>
    </row>
    <row r="14" spans="2:26" x14ac:dyDescent="0.25">
      <c r="B14" s="119" t="s">
        <v>46</v>
      </c>
      <c r="C14" s="121">
        <v>14.264477009146608</v>
      </c>
      <c r="D14" s="121">
        <v>13.48758975515832</v>
      </c>
      <c r="E14" s="121">
        <v>13.926724531274207</v>
      </c>
      <c r="F14" s="121">
        <v>14.326803597631834</v>
      </c>
      <c r="G14" s="121">
        <v>14.837045910243841</v>
      </c>
      <c r="H14" s="121">
        <v>14.686990699242855</v>
      </c>
      <c r="I14" s="121">
        <v>15.075198359012214</v>
      </c>
      <c r="J14" s="121">
        <v>15.069030028622176</v>
      </c>
      <c r="K14" s="121">
        <v>14.930138613656563</v>
      </c>
      <c r="L14" s="121">
        <v>14.822825967939126</v>
      </c>
      <c r="M14" s="121">
        <v>15.329708133729534</v>
      </c>
      <c r="N14" s="121">
        <v>15.310301419081553</v>
      </c>
      <c r="O14" s="121">
        <v>14.741299920022394</v>
      </c>
    </row>
    <row r="15" spans="2:26" x14ac:dyDescent="0.25">
      <c r="H15"/>
    </row>
  </sheetData>
  <mergeCells count="1">
    <mergeCell ref="B3:O3"/>
  </mergeCells>
  <printOptions horizontalCentered="1" verticalCentered="1"/>
  <pageMargins left="0.78740157480314965" right="0.78740157480314965" top="0.78740157480314965" bottom="0.78740157480314965" header="0.31496062992125984" footer="0.31496062992125984"/>
  <pageSetup paperSize="9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00B0F0"/>
    <pageSetUpPr fitToPage="1"/>
  </sheetPr>
  <dimension ref="A1:AD54"/>
  <sheetViews>
    <sheetView showGridLines="0" tabSelected="1" zoomScaleNormal="100" workbookViewId="0">
      <pane ySplit="6" topLeftCell="A7" activePane="bottomLeft" state="frozen"/>
      <selection activeCell="Q19" sqref="Q19"/>
      <selection pane="bottomLeft" activeCell="O10" sqref="O10"/>
    </sheetView>
  </sheetViews>
  <sheetFormatPr baseColWidth="10" defaultColWidth="11.42578125" defaultRowHeight="12" x14ac:dyDescent="0.2"/>
  <cols>
    <col min="1" max="1" width="3" style="60" customWidth="1"/>
    <col min="2" max="2" width="47.28515625" style="1" bestFit="1" customWidth="1"/>
    <col min="3" max="3" width="13.85546875" style="1" customWidth="1"/>
    <col min="4" max="4" width="11" style="1" bestFit="1" customWidth="1"/>
    <col min="5" max="5" width="10.42578125" style="1" bestFit="1" customWidth="1"/>
    <col min="6" max="6" width="11" style="1" bestFit="1" customWidth="1"/>
    <col min="7" max="8" width="11.5703125" style="1" bestFit="1" customWidth="1"/>
    <col min="9" max="14" width="11.42578125" style="1" bestFit="1" customWidth="1"/>
    <col min="15" max="15" width="17.85546875" style="31" customWidth="1"/>
    <col min="16" max="16" width="3" style="1" customWidth="1"/>
    <col min="17" max="17" width="10.28515625" style="1" bestFit="1" customWidth="1"/>
    <col min="18" max="18" width="8.140625" style="1" bestFit="1" customWidth="1"/>
    <col min="19" max="19" width="5" style="1" customWidth="1"/>
    <col min="20" max="20" width="10.28515625" style="1" hidden="1" customWidth="1"/>
    <col min="21" max="21" width="9.42578125" style="64" hidden="1" customWidth="1"/>
    <col min="22" max="22" width="9.42578125" style="1" hidden="1" customWidth="1"/>
    <col min="23" max="23" width="6.7109375" style="1" hidden="1" customWidth="1"/>
    <col min="24" max="24" width="10" style="1" bestFit="1" customWidth="1"/>
    <col min="25" max="25" width="7.28515625" style="1" bestFit="1" customWidth="1"/>
    <col min="26" max="16384" width="11.42578125" style="1"/>
  </cols>
  <sheetData>
    <row r="1" spans="2:25" x14ac:dyDescent="0.2"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</row>
    <row r="2" spans="2:25" ht="23.25" x14ac:dyDescent="0.35">
      <c r="C2" s="54" t="s">
        <v>438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</row>
    <row r="3" spans="2:25" ht="15" x14ac:dyDescent="0.25">
      <c r="B3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</row>
    <row r="4" spans="2:25" ht="15" x14ac:dyDescent="0.25">
      <c r="B4" s="124" t="s">
        <v>89</v>
      </c>
      <c r="C4" s="124" t="s">
        <v>311</v>
      </c>
      <c r="D4"/>
      <c r="E4"/>
      <c r="F4"/>
      <c r="G4"/>
      <c r="H4"/>
      <c r="I4"/>
      <c r="J4"/>
      <c r="K4"/>
      <c r="L4"/>
      <c r="M4"/>
      <c r="N4"/>
      <c r="O4"/>
    </row>
    <row r="5" spans="2:25" ht="15" x14ac:dyDescent="0.25">
      <c r="B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>
        <v>6</v>
      </c>
      <c r="I5" s="5">
        <v>7</v>
      </c>
      <c r="J5" s="5">
        <v>8</v>
      </c>
      <c r="K5" s="5">
        <v>9</v>
      </c>
      <c r="L5" s="5">
        <v>10</v>
      </c>
      <c r="M5" s="5">
        <v>11</v>
      </c>
      <c r="N5" s="5">
        <v>12</v>
      </c>
      <c r="O5" s="5" t="s">
        <v>281</v>
      </c>
    </row>
    <row r="6" spans="2:25" ht="15" x14ac:dyDescent="0.25">
      <c r="B6" s="124" t="s">
        <v>77</v>
      </c>
      <c r="C6"/>
      <c r="D6"/>
      <c r="E6"/>
      <c r="F6"/>
      <c r="G6"/>
      <c r="H6"/>
      <c r="I6"/>
      <c r="J6"/>
      <c r="K6"/>
      <c r="L6"/>
      <c r="M6"/>
      <c r="N6"/>
      <c r="O6" s="5"/>
    </row>
    <row r="7" spans="2:25" ht="15" x14ac:dyDescent="0.25">
      <c r="B7" s="153" t="s">
        <v>78</v>
      </c>
      <c r="C7" s="142"/>
      <c r="D7" s="142"/>
      <c r="E7" s="142"/>
      <c r="F7" s="142"/>
      <c r="G7" s="142">
        <v>245.19</v>
      </c>
      <c r="H7" s="142">
        <v>3005.92</v>
      </c>
      <c r="I7" s="142">
        <v>6003.74999999999</v>
      </c>
      <c r="J7" s="142">
        <v>8821.4210000000003</v>
      </c>
      <c r="K7" s="142">
        <v>2836.3599999999997</v>
      </c>
      <c r="L7" s="142">
        <v>1259</v>
      </c>
      <c r="M7" s="142">
        <v>3250.7</v>
      </c>
      <c r="N7" s="151"/>
      <c r="O7" s="151">
        <v>25422.340999999989</v>
      </c>
      <c r="X7" s="20"/>
    </row>
    <row r="8" spans="2:25" ht="15" x14ac:dyDescent="0.25">
      <c r="B8" s="153" t="s">
        <v>17</v>
      </c>
      <c r="C8" s="142">
        <v>1305.44</v>
      </c>
      <c r="D8" s="142">
        <v>11146.800000000001</v>
      </c>
      <c r="E8" s="142">
        <v>368.21</v>
      </c>
      <c r="F8" s="142">
        <v>1180.1299999999901</v>
      </c>
      <c r="G8" s="142">
        <v>13456.46</v>
      </c>
      <c r="H8" s="142">
        <v>156.01000000000002</v>
      </c>
      <c r="I8" s="142"/>
      <c r="J8" s="142"/>
      <c r="K8" s="142">
        <v>7941.49</v>
      </c>
      <c r="L8" s="142">
        <v>8671.4499999999898</v>
      </c>
      <c r="M8" s="142">
        <v>13105.339999999989</v>
      </c>
      <c r="N8" s="151">
        <v>6597.7600000000011</v>
      </c>
      <c r="O8" s="151">
        <v>63929.089999999967</v>
      </c>
      <c r="X8" s="20"/>
    </row>
    <row r="9" spans="2:25" ht="15" x14ac:dyDescent="0.25">
      <c r="B9" s="153" t="s">
        <v>0</v>
      </c>
      <c r="C9" s="142">
        <v>4324.32</v>
      </c>
      <c r="D9" s="142">
        <v>9054.2629999999899</v>
      </c>
      <c r="E9" s="142">
        <v>8786.43</v>
      </c>
      <c r="F9" s="142">
        <v>11489.324000000001</v>
      </c>
      <c r="G9" s="142">
        <v>14223.29999999999</v>
      </c>
      <c r="H9" s="142">
        <v>11135.632000000001</v>
      </c>
      <c r="I9" s="142">
        <v>11632.402</v>
      </c>
      <c r="J9" s="142">
        <v>22559.389999999989</v>
      </c>
      <c r="K9" s="142">
        <v>30542.553999999967</v>
      </c>
      <c r="L9" s="142">
        <v>28334.44</v>
      </c>
      <c r="M9" s="142">
        <v>17771.073000000004</v>
      </c>
      <c r="N9" s="151">
        <v>16858.89</v>
      </c>
      <c r="O9" s="151">
        <v>186712.01799999992</v>
      </c>
      <c r="Q9"/>
      <c r="R9"/>
      <c r="S9"/>
      <c r="X9" s="20"/>
    </row>
    <row r="10" spans="2:25" ht="15" x14ac:dyDescent="0.25">
      <c r="B10" s="153" t="s">
        <v>75</v>
      </c>
      <c r="C10" s="142"/>
      <c r="D10" s="142">
        <v>17238.696999999978</v>
      </c>
      <c r="E10" s="142">
        <v>9928.0799999999908</v>
      </c>
      <c r="F10" s="142">
        <v>31214.696</v>
      </c>
      <c r="G10" s="142">
        <v>33011.769999999982</v>
      </c>
      <c r="H10" s="142">
        <v>36875.01999999999</v>
      </c>
      <c r="I10" s="142">
        <v>41993.176999999996</v>
      </c>
      <c r="J10" s="142">
        <v>30115.79999999997</v>
      </c>
      <c r="K10" s="142">
        <v>14915.310000000001</v>
      </c>
      <c r="L10" s="142">
        <v>24306.97</v>
      </c>
      <c r="M10" s="142">
        <v>15773.41</v>
      </c>
      <c r="N10" s="151">
        <v>18359.09</v>
      </c>
      <c r="O10" s="151">
        <v>273732.0199999999</v>
      </c>
      <c r="Q10" s="19"/>
      <c r="R10" s="19"/>
      <c r="S10" s="19"/>
      <c r="X10" s="20"/>
    </row>
    <row r="11" spans="2:25" ht="15" x14ac:dyDescent="0.25">
      <c r="B11" s="153" t="s">
        <v>22</v>
      </c>
      <c r="C11" s="142">
        <v>64636.388999999945</v>
      </c>
      <c r="D11" s="142">
        <v>8124.7799999999907</v>
      </c>
      <c r="E11" s="142">
        <v>6197.5</v>
      </c>
      <c r="F11" s="142">
        <v>24941.194000000003</v>
      </c>
      <c r="G11" s="142">
        <v>19044.887999999992</v>
      </c>
      <c r="H11" s="142">
        <v>12443.569999999989</v>
      </c>
      <c r="I11" s="142">
        <v>23557.439999999999</v>
      </c>
      <c r="J11" s="142">
        <v>20001.479999999981</v>
      </c>
      <c r="K11" s="142">
        <v>32891.871999999974</v>
      </c>
      <c r="L11" s="142">
        <v>46564.709999999985</v>
      </c>
      <c r="M11" s="142">
        <v>48932.929999999949</v>
      </c>
      <c r="N11" s="151">
        <v>43963.228600000009</v>
      </c>
      <c r="O11" s="151">
        <v>351299.98159999982</v>
      </c>
      <c r="Q11" s="32"/>
      <c r="R11" s="62"/>
      <c r="S11" s="37"/>
      <c r="X11" s="20"/>
      <c r="Y11" s="96"/>
    </row>
    <row r="12" spans="2:25" ht="15" x14ac:dyDescent="0.25">
      <c r="B12" s="153" t="s">
        <v>19</v>
      </c>
      <c r="C12" s="142">
        <v>17430.910999999971</v>
      </c>
      <c r="D12" s="142">
        <v>50219.764999999999</v>
      </c>
      <c r="E12" s="142">
        <v>2304.9499999999889</v>
      </c>
      <c r="F12" s="142">
        <v>20193.069999999971</v>
      </c>
      <c r="G12" s="142">
        <v>11368.78999999999</v>
      </c>
      <c r="H12" s="142">
        <v>9729.57</v>
      </c>
      <c r="I12" s="142">
        <v>27592.849999999991</v>
      </c>
      <c r="J12" s="142">
        <v>7043.1600000000008</v>
      </c>
      <c r="K12" s="142"/>
      <c r="L12" s="142">
        <v>6459.96</v>
      </c>
      <c r="M12" s="142">
        <v>16415.21999999999</v>
      </c>
      <c r="N12" s="151">
        <v>22050.93</v>
      </c>
      <c r="O12" s="151">
        <v>190809.17599999989</v>
      </c>
      <c r="Q12" s="19"/>
      <c r="R12" s="19"/>
      <c r="S12" s="19"/>
      <c r="X12"/>
    </row>
    <row r="13" spans="2:25" ht="15" x14ac:dyDescent="0.25">
      <c r="B13" s="153" t="s">
        <v>84</v>
      </c>
      <c r="C13" s="142">
        <v>6896.5300000000007</v>
      </c>
      <c r="D13" s="142"/>
      <c r="E13" s="142"/>
      <c r="F13" s="142"/>
      <c r="G13" s="142">
        <v>92.72</v>
      </c>
      <c r="H13" s="142">
        <v>30393.69099999997</v>
      </c>
      <c r="I13" s="142">
        <v>19.670000000000002</v>
      </c>
      <c r="J13" s="142"/>
      <c r="K13" s="142"/>
      <c r="L13" s="142"/>
      <c r="M13" s="142"/>
      <c r="N13" s="151"/>
      <c r="O13" s="151">
        <v>37402.610999999968</v>
      </c>
      <c r="Q13" s="19" t="s">
        <v>877</v>
      </c>
      <c r="R13" s="62"/>
      <c r="S13" s="37"/>
      <c r="X13" s="19" t="s">
        <v>878</v>
      </c>
    </row>
    <row r="14" spans="2:25" ht="15.75" thickBot="1" x14ac:dyDescent="0.3">
      <c r="B14" s="140" t="s">
        <v>281</v>
      </c>
      <c r="C14" s="139">
        <v>94593.589999999909</v>
      </c>
      <c r="D14" s="139">
        <v>95784.304999999964</v>
      </c>
      <c r="E14" s="120">
        <v>27585.16999999998</v>
      </c>
      <c r="F14" s="120">
        <v>89018.413999999961</v>
      </c>
      <c r="G14" s="120">
        <v>91443.117999999959</v>
      </c>
      <c r="H14" s="120">
        <v>103739.41299999994</v>
      </c>
      <c r="I14" s="120">
        <v>110799.28899999998</v>
      </c>
      <c r="J14" s="120">
        <v>88541.250999999946</v>
      </c>
      <c r="K14" s="120">
        <v>89127.585999999937</v>
      </c>
      <c r="L14" s="120">
        <v>115596.52999999998</v>
      </c>
      <c r="M14" s="120">
        <v>115248.67299999994</v>
      </c>
      <c r="N14" s="120">
        <v>107829.89860000001</v>
      </c>
      <c r="O14" s="120">
        <v>1129307.2375999996</v>
      </c>
      <c r="Q14" s="53">
        <v>1156077.9745000002</v>
      </c>
      <c r="R14" s="111">
        <f>GETPIVOTDATA("Tn",$B$4)-Q14</f>
        <v>-26770.7369000006</v>
      </c>
      <c r="S14" s="37"/>
      <c r="X14" s="53">
        <v>1129370</v>
      </c>
      <c r="Y14" s="96">
        <f>O14-X14</f>
        <v>-62.762400000356138</v>
      </c>
    </row>
    <row r="15" spans="2:25" ht="15" x14ac:dyDescent="0.25">
      <c r="C15"/>
      <c r="D15"/>
      <c r="E15"/>
      <c r="F15"/>
      <c r="G15"/>
      <c r="H15"/>
      <c r="I15"/>
      <c r="J15"/>
      <c r="K15"/>
      <c r="L15"/>
      <c r="M15"/>
      <c r="N15"/>
      <c r="O15"/>
      <c r="Q15" s="96"/>
      <c r="R15" s="112"/>
      <c r="S15" s="63"/>
      <c r="X15" s="96"/>
    </row>
    <row r="16" spans="2:25" ht="15" hidden="1" x14ac:dyDescent="0.25">
      <c r="B16" s="124" t="s">
        <v>89</v>
      </c>
      <c r="C16" s="124" t="s">
        <v>311</v>
      </c>
      <c r="D16"/>
      <c r="E16"/>
      <c r="F16"/>
      <c r="G16"/>
      <c r="H16"/>
      <c r="I16"/>
      <c r="J16"/>
      <c r="K16"/>
      <c r="L16"/>
      <c r="M16"/>
      <c r="N16"/>
      <c r="O16"/>
      <c r="P16"/>
      <c r="R16" s="68"/>
    </row>
    <row r="17" spans="1:25" ht="15" hidden="1" x14ac:dyDescent="0.25">
      <c r="B17"/>
      <c r="C17" s="5">
        <v>1</v>
      </c>
      <c r="D17" s="5">
        <v>2</v>
      </c>
      <c r="E17" s="5">
        <v>3</v>
      </c>
      <c r="F17" s="5">
        <v>4</v>
      </c>
      <c r="G17" s="5">
        <v>5</v>
      </c>
      <c r="H17" s="5">
        <v>6</v>
      </c>
      <c r="I17" s="5">
        <v>7</v>
      </c>
      <c r="J17" s="5">
        <v>8</v>
      </c>
      <c r="K17" s="5">
        <v>9</v>
      </c>
      <c r="L17" s="5">
        <v>10</v>
      </c>
      <c r="M17" s="5">
        <v>11</v>
      </c>
      <c r="N17" s="5">
        <v>12</v>
      </c>
      <c r="O17" s="5" t="s">
        <v>281</v>
      </c>
      <c r="P17"/>
      <c r="R17" s="68"/>
    </row>
    <row r="18" spans="1:25" ht="15" hidden="1" x14ac:dyDescent="0.25">
      <c r="B18" s="124" t="s">
        <v>77</v>
      </c>
      <c r="C18"/>
      <c r="D18"/>
      <c r="E18"/>
      <c r="F18"/>
      <c r="G18"/>
      <c r="H18"/>
      <c r="I18"/>
      <c r="J18"/>
      <c r="K18"/>
      <c r="L18"/>
      <c r="M18"/>
      <c r="N18"/>
      <c r="O18" s="5"/>
      <c r="P18"/>
      <c r="R18" s="68"/>
    </row>
    <row r="19" spans="1:25" ht="15" x14ac:dyDescent="0.25">
      <c r="A19" s="144"/>
      <c r="B19" s="119" t="s">
        <v>318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>
        <v>690.98890000000006</v>
      </c>
      <c r="O19" s="151">
        <v>690.98890000000006</v>
      </c>
      <c r="P19"/>
      <c r="Q19" s="69"/>
      <c r="R19" s="68"/>
      <c r="X19" s="69"/>
    </row>
    <row r="20" spans="1:25" ht="15" x14ac:dyDescent="0.25">
      <c r="A20" s="144"/>
      <c r="B20" s="119" t="s">
        <v>319</v>
      </c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>
        <v>107138.90970000003</v>
      </c>
      <c r="O20" s="151">
        <v>107138.90970000003</v>
      </c>
      <c r="P20"/>
      <c r="Q20" s="57"/>
      <c r="R20" s="68"/>
      <c r="X20" s="57"/>
    </row>
    <row r="21" spans="1:25" ht="15" x14ac:dyDescent="0.25">
      <c r="B21" s="119" t="s">
        <v>551</v>
      </c>
      <c r="C21" s="151">
        <v>94593.589999999909</v>
      </c>
      <c r="D21" s="151">
        <v>95784.304999999949</v>
      </c>
      <c r="E21" s="151">
        <v>27585.16999999998</v>
      </c>
      <c r="F21" s="151">
        <v>89018.413999999946</v>
      </c>
      <c r="G21" s="151">
        <v>91443.117999999973</v>
      </c>
      <c r="H21" s="151">
        <v>103739.41299999994</v>
      </c>
      <c r="I21" s="151">
        <v>110799.28899999999</v>
      </c>
      <c r="J21" s="151">
        <v>88541.250999999917</v>
      </c>
      <c r="K21" s="151">
        <v>89127.585999999952</v>
      </c>
      <c r="L21" s="151">
        <v>115596.52999999998</v>
      </c>
      <c r="M21" s="151">
        <v>115248.67299999992</v>
      </c>
      <c r="N21" s="151"/>
      <c r="O21" s="151">
        <v>1021477.3389999995</v>
      </c>
      <c r="P21"/>
      <c r="Q21"/>
      <c r="R21" s="113"/>
      <c r="S21"/>
      <c r="X21"/>
    </row>
    <row r="22" spans="1:25" customFormat="1" ht="15" x14ac:dyDescent="0.25">
      <c r="A22" s="61"/>
      <c r="B22" s="153" t="s">
        <v>281</v>
      </c>
      <c r="C22" s="152">
        <v>94593.589999999909</v>
      </c>
      <c r="D22" s="152">
        <v>95784.304999999949</v>
      </c>
      <c r="E22" s="151">
        <v>27585.16999999998</v>
      </c>
      <c r="F22" s="151">
        <v>89018.413999999946</v>
      </c>
      <c r="G22" s="151">
        <v>91443.117999999973</v>
      </c>
      <c r="H22" s="151">
        <v>103739.41299999994</v>
      </c>
      <c r="I22" s="151">
        <v>110799.28899999999</v>
      </c>
      <c r="J22" s="151">
        <v>88541.250999999917</v>
      </c>
      <c r="K22" s="151">
        <v>89127.585999999952</v>
      </c>
      <c r="L22" s="151">
        <v>115596.52999999998</v>
      </c>
      <c r="M22" s="151">
        <v>115248.67299999992</v>
      </c>
      <c r="N22" s="151">
        <v>107829.89860000003</v>
      </c>
      <c r="O22" s="151">
        <v>1129307.2375999994</v>
      </c>
      <c r="Q22" s="19" t="s">
        <v>877</v>
      </c>
      <c r="R22" s="62"/>
      <c r="S22" s="37"/>
      <c r="T22" s="1"/>
      <c r="U22" s="64"/>
      <c r="V22" s="1"/>
      <c r="W22" s="1"/>
      <c r="X22" s="19" t="s">
        <v>878</v>
      </c>
    </row>
    <row r="23" spans="1:25" ht="15.75" thickBot="1" x14ac:dyDescent="0.3">
      <c r="B23" s="55" t="s">
        <v>282</v>
      </c>
      <c r="C23" s="108">
        <v>26263.56</v>
      </c>
      <c r="D23" s="108">
        <v>26746.25</v>
      </c>
      <c r="E23" s="110">
        <v>3716.98</v>
      </c>
      <c r="F23" s="110">
        <v>31515.487000000001</v>
      </c>
      <c r="G23" s="110">
        <v>32492.129000000001</v>
      </c>
      <c r="H23" s="110">
        <v>21658.670000000002</v>
      </c>
      <c r="I23" s="110">
        <v>29686.04</v>
      </c>
      <c r="J23" s="110">
        <v>47702.159999999996</v>
      </c>
      <c r="K23" s="110">
        <v>35925.039999999994</v>
      </c>
      <c r="L23" s="110">
        <v>23521.13</v>
      </c>
      <c r="M23" s="110">
        <v>23295.750000000004</v>
      </c>
      <c r="N23" s="53">
        <v>32900</v>
      </c>
      <c r="O23" s="53">
        <f>SUM(C23:N23)</f>
        <v>335423.196</v>
      </c>
      <c r="Q23" s="53">
        <v>278468.13320335903</v>
      </c>
      <c r="R23" s="111">
        <f t="shared" ref="R23" si="0">O23-Q23</f>
        <v>56955.062796640967</v>
      </c>
      <c r="S23"/>
      <c r="X23" s="53">
        <v>319423</v>
      </c>
      <c r="Y23" s="96">
        <f>O23-X23</f>
        <v>16000.195999999996</v>
      </c>
    </row>
    <row r="24" spans="1:25" ht="15" x14ac:dyDescent="0.25">
      <c r="A24" s="144"/>
      <c r="B24" s="38" t="s">
        <v>378</v>
      </c>
      <c r="C24" s="83"/>
      <c r="D24" s="83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0">
        <f>SUM(C24:N24)</f>
        <v>0</v>
      </c>
      <c r="Q24" s="40">
        <v>84894</v>
      </c>
      <c r="R24" s="111"/>
      <c r="S24"/>
      <c r="X24" s="40"/>
    </row>
    <row r="25" spans="1:25" ht="15" x14ac:dyDescent="0.25">
      <c r="A25" s="144"/>
      <c r="B25" s="38" t="s">
        <v>377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0">
        <f>SUM(C25:N25)</f>
        <v>0</v>
      </c>
      <c r="Q25" s="40">
        <v>32227.25</v>
      </c>
      <c r="R25" s="111"/>
      <c r="S25" s="80"/>
      <c r="X25" s="40"/>
    </row>
    <row r="26" spans="1:25" ht="15" x14ac:dyDescent="0.25">
      <c r="A26" s="144"/>
      <c r="B26" s="38" t="s">
        <v>357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0">
        <f>SUM(C26:N26)</f>
        <v>0</v>
      </c>
      <c r="Q26" s="40">
        <v>161346.883203359</v>
      </c>
      <c r="R26" s="111"/>
      <c r="S26"/>
      <c r="X26" s="40"/>
    </row>
    <row r="27" spans="1:25" ht="15" x14ac:dyDescent="0.25">
      <c r="B27" s="90" t="s">
        <v>390</v>
      </c>
      <c r="C27" s="91">
        <f>(C37*800)</f>
        <v>24800</v>
      </c>
      <c r="D27" s="91">
        <f t="shared" ref="D27:N27" si="1">(D37*800)</f>
        <v>23200</v>
      </c>
      <c r="E27" s="91">
        <f t="shared" si="1"/>
        <v>24800</v>
      </c>
      <c r="F27" s="91">
        <f t="shared" si="1"/>
        <v>24000</v>
      </c>
      <c r="G27" s="91">
        <f t="shared" si="1"/>
        <v>24800</v>
      </c>
      <c r="H27" s="91">
        <f t="shared" si="1"/>
        <v>24000</v>
      </c>
      <c r="I27" s="91">
        <f t="shared" si="1"/>
        <v>24800</v>
      </c>
      <c r="J27" s="91">
        <f t="shared" si="1"/>
        <v>24800</v>
      </c>
      <c r="K27" s="91">
        <f t="shared" si="1"/>
        <v>24000</v>
      </c>
      <c r="L27" s="91">
        <f t="shared" si="1"/>
        <v>24800</v>
      </c>
      <c r="M27" s="91">
        <f t="shared" si="1"/>
        <v>24000</v>
      </c>
      <c r="N27" s="91">
        <f t="shared" si="1"/>
        <v>24800</v>
      </c>
      <c r="O27" s="91"/>
      <c r="R27" s="68"/>
    </row>
    <row r="28" spans="1:25" ht="15.75" thickBot="1" x14ac:dyDescent="0.3">
      <c r="B28" s="89"/>
      <c r="C28" s="95">
        <f t="shared" ref="C28:M28" si="2">IF((C27-C26)&lt;0,(C27-C26),0)</f>
        <v>0</v>
      </c>
      <c r="D28" s="95">
        <f t="shared" si="2"/>
        <v>0</v>
      </c>
      <c r="E28" s="95">
        <f t="shared" si="2"/>
        <v>0</v>
      </c>
      <c r="F28" s="95">
        <f t="shared" si="2"/>
        <v>0</v>
      </c>
      <c r="G28" s="95">
        <f t="shared" si="2"/>
        <v>0</v>
      </c>
      <c r="H28" s="95">
        <f t="shared" si="2"/>
        <v>0</v>
      </c>
      <c r="I28" s="95">
        <f t="shared" si="2"/>
        <v>0</v>
      </c>
      <c r="J28" s="95">
        <f t="shared" si="2"/>
        <v>0</v>
      </c>
      <c r="K28" s="95">
        <f t="shared" si="2"/>
        <v>0</v>
      </c>
      <c r="L28" s="95">
        <f t="shared" si="2"/>
        <v>0</v>
      </c>
      <c r="M28" s="95">
        <f t="shared" si="2"/>
        <v>0</v>
      </c>
      <c r="N28" s="95">
        <f>IF((N27-N26)&lt;0,(N27-N26),0)</f>
        <v>0</v>
      </c>
      <c r="O28" s="91"/>
      <c r="Q28" s="19" t="s">
        <v>877</v>
      </c>
      <c r="R28" s="62"/>
      <c r="S28" s="37"/>
      <c r="X28" s="19" t="s">
        <v>878</v>
      </c>
    </row>
    <row r="29" spans="1:25" ht="15.75" thickBot="1" x14ac:dyDescent="0.3">
      <c r="B29" s="92" t="s">
        <v>345</v>
      </c>
      <c r="C29" s="93">
        <f t="shared" ref="C29:N29" si="3">C14+C23</f>
        <v>120857.14999999991</v>
      </c>
      <c r="D29" s="93">
        <f t="shared" si="3"/>
        <v>122530.55499999996</v>
      </c>
      <c r="E29" s="93">
        <f t="shared" si="3"/>
        <v>31302.14999999998</v>
      </c>
      <c r="F29" s="93">
        <f t="shared" si="3"/>
        <v>120533.90099999995</v>
      </c>
      <c r="G29" s="93">
        <f t="shared" si="3"/>
        <v>123935.24699999996</v>
      </c>
      <c r="H29" s="93">
        <f t="shared" si="3"/>
        <v>125398.08299999994</v>
      </c>
      <c r="I29" s="93">
        <f t="shared" si="3"/>
        <v>140485.32899999997</v>
      </c>
      <c r="J29" s="93">
        <f t="shared" si="3"/>
        <v>136243.41099999993</v>
      </c>
      <c r="K29" s="93">
        <f t="shared" si="3"/>
        <v>125052.62599999993</v>
      </c>
      <c r="L29" s="93">
        <f t="shared" si="3"/>
        <v>139117.65999999997</v>
      </c>
      <c r="M29" s="93">
        <f t="shared" si="3"/>
        <v>138544.42299999995</v>
      </c>
      <c r="N29" s="93">
        <f t="shared" si="3"/>
        <v>140729.89860000001</v>
      </c>
      <c r="O29" s="94">
        <f>SUM(C29:N29)</f>
        <v>1464730.4335999996</v>
      </c>
      <c r="Q29" s="94">
        <f>Q23+Q14</f>
        <v>1434546.1077033593</v>
      </c>
      <c r="R29" s="111">
        <f>O29-Q29</f>
        <v>30184.325896640308</v>
      </c>
      <c r="T29" s="67" t="s">
        <v>382</v>
      </c>
      <c r="U29" s="67" t="s">
        <v>373</v>
      </c>
      <c r="V29" s="66" t="s">
        <v>374</v>
      </c>
      <c r="W29" s="66" t="s">
        <v>375</v>
      </c>
      <c r="X29" s="94">
        <f>X23+X14</f>
        <v>1448793</v>
      </c>
      <c r="Y29" s="96">
        <f>O29-X29</f>
        <v>15937.43359999964</v>
      </c>
    </row>
    <row r="30" spans="1:25" customFormat="1" ht="15" x14ac:dyDescent="0.25">
      <c r="A30" s="61"/>
      <c r="B30" s="38" t="s">
        <v>347</v>
      </c>
      <c r="C30" s="20">
        <f>C19+C24+C26</f>
        <v>0</v>
      </c>
      <c r="D30" s="20">
        <f t="shared" ref="D30:N30" si="4">D19+D24+D26</f>
        <v>0</v>
      </c>
      <c r="E30" s="20">
        <f t="shared" si="4"/>
        <v>0</v>
      </c>
      <c r="F30" s="20">
        <f t="shared" si="4"/>
        <v>0</v>
      </c>
      <c r="G30" s="20">
        <f t="shared" si="4"/>
        <v>0</v>
      </c>
      <c r="H30" s="20">
        <f t="shared" si="4"/>
        <v>0</v>
      </c>
      <c r="I30" s="20">
        <f t="shared" si="4"/>
        <v>0</v>
      </c>
      <c r="J30" s="20">
        <f t="shared" si="4"/>
        <v>0</v>
      </c>
      <c r="K30" s="20">
        <f t="shared" si="4"/>
        <v>0</v>
      </c>
      <c r="L30" s="20">
        <f t="shared" si="4"/>
        <v>0</v>
      </c>
      <c r="M30" s="20">
        <f t="shared" si="4"/>
        <v>0</v>
      </c>
      <c r="N30" s="20">
        <f t="shared" si="4"/>
        <v>690.98890000000006</v>
      </c>
      <c r="O30" s="20">
        <f>SUM(C30:N30)</f>
        <v>690.98890000000006</v>
      </c>
      <c r="T30" s="72">
        <v>3000.5469999999996</v>
      </c>
      <c r="U30" s="72">
        <v>3000.5469999999996</v>
      </c>
      <c r="V30" s="72">
        <v>2662</v>
      </c>
      <c r="W30" s="72">
        <f t="shared" ref="W30" si="5">(V30-V31)/(U30-U31)</f>
        <v>-0.85664597298984901</v>
      </c>
    </row>
    <row r="31" spans="1:25" customFormat="1" ht="15" x14ac:dyDescent="0.25">
      <c r="A31" s="61"/>
      <c r="B31" s="38" t="s">
        <v>346</v>
      </c>
      <c r="C31" s="20">
        <f>C20+C25</f>
        <v>0</v>
      </c>
      <c r="D31" s="20">
        <f t="shared" ref="D31:N31" si="6">D20+D25</f>
        <v>0</v>
      </c>
      <c r="E31" s="20">
        <f t="shared" si="6"/>
        <v>0</v>
      </c>
      <c r="F31" s="20">
        <f t="shared" si="6"/>
        <v>0</v>
      </c>
      <c r="G31" s="20">
        <f t="shared" si="6"/>
        <v>0</v>
      </c>
      <c r="H31" s="20">
        <f t="shared" si="6"/>
        <v>0</v>
      </c>
      <c r="I31" s="20">
        <f t="shared" si="6"/>
        <v>0</v>
      </c>
      <c r="J31" s="20">
        <f t="shared" si="6"/>
        <v>0</v>
      </c>
      <c r="K31" s="20">
        <f t="shared" si="6"/>
        <v>0</v>
      </c>
      <c r="L31" s="20">
        <f t="shared" si="6"/>
        <v>0</v>
      </c>
      <c r="M31" s="20">
        <f t="shared" si="6"/>
        <v>0</v>
      </c>
      <c r="N31" s="20">
        <f t="shared" si="6"/>
        <v>107138.90970000003</v>
      </c>
      <c r="O31" s="20">
        <f>SUM(C31:N31)</f>
        <v>107138.90970000003</v>
      </c>
      <c r="Q31" s="19"/>
      <c r="T31" s="65">
        <v>4357</v>
      </c>
      <c r="U31" s="65">
        <v>4357</v>
      </c>
      <c r="V31" s="65">
        <v>1500</v>
      </c>
      <c r="W31" s="65">
        <f t="shared" ref="W31:W39" si="7">(V31-V32)/(U31-U32)</f>
        <v>-0.5</v>
      </c>
    </row>
    <row r="32" spans="1:25" customFormat="1" ht="15" x14ac:dyDescent="0.25">
      <c r="A32" s="61"/>
      <c r="B32" s="38" t="s">
        <v>451</v>
      </c>
      <c r="C32" s="81">
        <f>C31/C40</f>
        <v>0</v>
      </c>
      <c r="D32" s="81">
        <f t="shared" ref="D32:N32" si="8">D31/D40</f>
        <v>0</v>
      </c>
      <c r="E32" s="81">
        <f t="shared" si="8"/>
        <v>0</v>
      </c>
      <c r="F32" s="81">
        <f t="shared" si="8"/>
        <v>0</v>
      </c>
      <c r="G32" s="81">
        <f t="shared" si="8"/>
        <v>0</v>
      </c>
      <c r="H32" s="81">
        <f t="shared" si="8"/>
        <v>0</v>
      </c>
      <c r="I32" s="81">
        <f t="shared" si="8"/>
        <v>0</v>
      </c>
      <c r="J32" s="81">
        <f t="shared" si="8"/>
        <v>0</v>
      </c>
      <c r="K32" s="81">
        <f t="shared" si="8"/>
        <v>0</v>
      </c>
      <c r="L32" s="81">
        <f t="shared" si="8"/>
        <v>0</v>
      </c>
      <c r="M32" s="81">
        <f t="shared" si="8"/>
        <v>0</v>
      </c>
      <c r="N32" s="81">
        <f t="shared" si="8"/>
        <v>3871.5110681526385</v>
      </c>
      <c r="O32" s="20"/>
      <c r="Q32" s="19"/>
      <c r="T32" s="65">
        <v>4557</v>
      </c>
      <c r="U32" s="65">
        <v>4557</v>
      </c>
      <c r="V32" s="65">
        <v>1400</v>
      </c>
      <c r="W32" s="65">
        <f t="shared" si="7"/>
        <v>-1.3333333333333333</v>
      </c>
    </row>
    <row r="33" spans="1:30" ht="15" x14ac:dyDescent="0.25">
      <c r="B33"/>
      <c r="C33"/>
      <c r="D33"/>
      <c r="E33"/>
      <c r="F33"/>
      <c r="G33"/>
      <c r="H33" s="32"/>
      <c r="I33" s="36"/>
      <c r="J33" s="97"/>
      <c r="K33" s="37"/>
      <c r="L33" s="36"/>
      <c r="M33" s="36"/>
      <c r="N33" s="37"/>
      <c r="O33" s="37"/>
      <c r="Q33" s="37"/>
      <c r="T33" s="65">
        <v>4707</v>
      </c>
      <c r="U33" s="65">
        <v>4707</v>
      </c>
      <c r="V33" s="65">
        <v>1200</v>
      </c>
      <c r="W33" s="65">
        <f t="shared" si="7"/>
        <v>-2.150537634408602</v>
      </c>
    </row>
    <row r="34" spans="1:30" ht="15" x14ac:dyDescent="0.25">
      <c r="A34" s="144"/>
      <c r="B34" s="38" t="s">
        <v>355</v>
      </c>
      <c r="C34" s="58">
        <f>C30/C40</f>
        <v>0</v>
      </c>
      <c r="D34" s="58">
        <f>D30/D40</f>
        <v>0</v>
      </c>
      <c r="E34" s="58">
        <f>E30/E40</f>
        <v>0</v>
      </c>
      <c r="F34" s="58">
        <f>F30/F40</f>
        <v>0</v>
      </c>
      <c r="G34" s="58">
        <f>G30/G40</f>
        <v>0</v>
      </c>
      <c r="H34" s="59">
        <f>(H30-H33)/H40</f>
        <v>0</v>
      </c>
      <c r="I34" s="59">
        <f>(I30-I33)/I40</f>
        <v>0</v>
      </c>
      <c r="J34" s="58">
        <f t="shared" ref="J34:N34" si="9">J30/J40</f>
        <v>0</v>
      </c>
      <c r="K34" s="58">
        <f t="shared" si="9"/>
        <v>0</v>
      </c>
      <c r="L34" s="58">
        <f t="shared" si="9"/>
        <v>0</v>
      </c>
      <c r="M34" s="58">
        <f t="shared" si="9"/>
        <v>0</v>
      </c>
      <c r="N34" s="58">
        <f t="shared" si="9"/>
        <v>24.969184228319769</v>
      </c>
      <c r="O34" s="58">
        <f>O30/O40</f>
        <v>2.2823294241211278</v>
      </c>
      <c r="Q34" s="37"/>
      <c r="T34" s="65">
        <v>4800</v>
      </c>
      <c r="U34" s="65">
        <v>4800</v>
      </c>
      <c r="V34" s="65">
        <v>1000</v>
      </c>
      <c r="W34" s="65">
        <f t="shared" si="7"/>
        <v>-1.6666666666666667</v>
      </c>
    </row>
    <row r="35" spans="1:30" ht="15" x14ac:dyDescent="0.25">
      <c r="A35" s="144"/>
      <c r="B35" s="38" t="s">
        <v>356</v>
      </c>
      <c r="C35" s="82">
        <f>C29/C40</f>
        <v>4527.9165414404442</v>
      </c>
      <c r="D35" s="82">
        <f t="shared" ref="D35:E35" si="10">D29/D40</f>
        <v>4685.3350299979793</v>
      </c>
      <c r="E35" s="82">
        <f t="shared" si="10"/>
        <v>4910.1411764705845</v>
      </c>
      <c r="F35" s="82">
        <f t="shared" ref="F35:N35" si="11">F29/F40</f>
        <v>4447.4947070972667</v>
      </c>
      <c r="G35" s="82">
        <f t="shared" si="11"/>
        <v>4409.5505969363439</v>
      </c>
      <c r="H35" s="82">
        <f t="shared" si="11"/>
        <v>4991.4435039364243</v>
      </c>
      <c r="I35" s="82">
        <f t="shared" si="11"/>
        <v>5050.8000460461026</v>
      </c>
      <c r="J35" s="82">
        <f t="shared" si="11"/>
        <v>4867.7200596785715</v>
      </c>
      <c r="K35" s="82">
        <f t="shared" si="11"/>
        <v>4818.7145183491893</v>
      </c>
      <c r="L35" s="82">
        <f t="shared" si="11"/>
        <v>5176.8124697146295</v>
      </c>
      <c r="M35" s="82">
        <f t="shared" si="11"/>
        <v>5149.3377267139404</v>
      </c>
      <c r="N35" s="82">
        <f t="shared" si="11"/>
        <v>5085.3360518181416</v>
      </c>
      <c r="O35" s="58">
        <f>O29/O40</f>
        <v>4837.9899691745795</v>
      </c>
      <c r="Q35" s="37"/>
      <c r="T35" s="65">
        <v>4860</v>
      </c>
      <c r="U35" s="65">
        <v>4860</v>
      </c>
      <c r="V35" s="65">
        <v>900</v>
      </c>
      <c r="W35" s="65">
        <f t="shared" si="7"/>
        <v>-4.5999999999999996</v>
      </c>
    </row>
    <row r="36" spans="1:30" ht="15" x14ac:dyDescent="0.25">
      <c r="B36"/>
      <c r="C36"/>
      <c r="D36"/>
      <c r="E36"/>
      <c r="F36"/>
      <c r="G36"/>
      <c r="H36" s="32"/>
      <c r="I36" s="36"/>
      <c r="J36" s="36"/>
      <c r="K36" s="37"/>
      <c r="L36" s="36"/>
      <c r="M36" s="36"/>
      <c r="N36" s="37"/>
      <c r="O36" s="37"/>
      <c r="Q36" s="37"/>
      <c r="T36" s="65">
        <v>4880</v>
      </c>
      <c r="U36" s="65">
        <v>4880</v>
      </c>
      <c r="V36" s="65">
        <v>808</v>
      </c>
      <c r="W36" s="65">
        <f t="shared" si="7"/>
        <v>-1.7142857142857142</v>
      </c>
    </row>
    <row r="37" spans="1:30" ht="15" x14ac:dyDescent="0.25">
      <c r="B37" s="38" t="s">
        <v>366</v>
      </c>
      <c r="C37" s="78">
        <v>31</v>
      </c>
      <c r="D37" s="78">
        <v>29</v>
      </c>
      <c r="E37" s="78">
        <v>31</v>
      </c>
      <c r="F37" s="78">
        <v>30</v>
      </c>
      <c r="G37" s="78">
        <v>31</v>
      </c>
      <c r="H37" s="78">
        <v>30</v>
      </c>
      <c r="I37" s="78">
        <v>31</v>
      </c>
      <c r="J37" s="78">
        <v>31</v>
      </c>
      <c r="K37" s="78">
        <v>30</v>
      </c>
      <c r="L37" s="78">
        <v>31</v>
      </c>
      <c r="M37" s="78">
        <v>30</v>
      </c>
      <c r="N37" s="78">
        <v>31</v>
      </c>
      <c r="O37" s="78">
        <f t="shared" ref="O37:O42" si="12">SUM(C37:N37)</f>
        <v>366</v>
      </c>
      <c r="Q37" s="37"/>
      <c r="T37" s="65">
        <v>4943</v>
      </c>
      <c r="U37" s="65">
        <v>4943</v>
      </c>
      <c r="V37" s="65">
        <v>700</v>
      </c>
      <c r="W37" s="65">
        <f t="shared" si="7"/>
        <v>-4.3478260869565215</v>
      </c>
    </row>
    <row r="38" spans="1:30" ht="15" x14ac:dyDescent="0.25">
      <c r="B38" s="38" t="s">
        <v>367</v>
      </c>
      <c r="C38" s="78">
        <v>2.3084413341346153</v>
      </c>
      <c r="D38" s="78">
        <v>0.84806972916666667</v>
      </c>
      <c r="E38" s="78">
        <v>23.208333333333332</v>
      </c>
      <c r="F38" s="78">
        <v>0.8984723</v>
      </c>
      <c r="G38" s="78">
        <v>0.89390522333333333</v>
      </c>
      <c r="H38" s="78">
        <f>0.877391099166667+2</f>
        <v>2.8773910991666671</v>
      </c>
      <c r="I38" s="78">
        <v>1.1855294766666666</v>
      </c>
      <c r="J38" s="78">
        <v>1.0108368333333333</v>
      </c>
      <c r="K38" s="78">
        <f>3.04855059916667-1</f>
        <v>2.0485505991666701</v>
      </c>
      <c r="L38" s="78">
        <f>1.12677235+1</f>
        <v>2.12677235</v>
      </c>
      <c r="M38" s="78">
        <v>1.0947103583333335</v>
      </c>
      <c r="N38" s="78">
        <v>1.3263325833333335</v>
      </c>
      <c r="O38" s="78">
        <f t="shared" si="12"/>
        <v>39.827345219967953</v>
      </c>
      <c r="Q38" s="37"/>
      <c r="T38" s="65">
        <v>4989</v>
      </c>
      <c r="U38" s="65">
        <v>4989</v>
      </c>
      <c r="V38" s="65">
        <v>500</v>
      </c>
      <c r="W38" s="65">
        <f t="shared" si="7"/>
        <v>-4.2553191489361701</v>
      </c>
    </row>
    <row r="39" spans="1:30" ht="15" x14ac:dyDescent="0.25">
      <c r="B39" s="38" t="s">
        <v>368</v>
      </c>
      <c r="C39" s="78">
        <v>2</v>
      </c>
      <c r="D39" s="78">
        <v>2</v>
      </c>
      <c r="E39" s="78">
        <v>0.41666666666666669</v>
      </c>
      <c r="F39" s="78">
        <v>2</v>
      </c>
      <c r="G39" s="78">
        <v>2</v>
      </c>
      <c r="H39" s="78">
        <v>2</v>
      </c>
      <c r="I39" s="78">
        <v>2</v>
      </c>
      <c r="J39" s="78">
        <v>2</v>
      </c>
      <c r="K39" s="78">
        <v>2</v>
      </c>
      <c r="L39" s="78">
        <v>2</v>
      </c>
      <c r="M39" s="78">
        <v>2</v>
      </c>
      <c r="N39" s="78">
        <v>2</v>
      </c>
      <c r="O39" s="78">
        <f t="shared" si="12"/>
        <v>22.416666666666668</v>
      </c>
      <c r="Q39" s="37"/>
      <c r="T39" s="65">
        <v>5036</v>
      </c>
      <c r="U39" s="65">
        <v>5036</v>
      </c>
      <c r="V39" s="65">
        <v>300</v>
      </c>
      <c r="W39" s="65">
        <f t="shared" si="7"/>
        <v>-4.2857142857142856</v>
      </c>
    </row>
    <row r="40" spans="1:30" ht="15" x14ac:dyDescent="0.25">
      <c r="A40" s="145"/>
      <c r="B40" s="38" t="s">
        <v>369</v>
      </c>
      <c r="C40" s="79">
        <f>C37-C38-C39</f>
        <v>26.691558665865387</v>
      </c>
      <c r="D40" s="79">
        <f t="shared" ref="D40:N40" si="13">D37-D38-D39</f>
        <v>26.151930270833333</v>
      </c>
      <c r="E40" s="79">
        <f>E37-E38-E39-1</f>
        <v>6.3750000000000009</v>
      </c>
      <c r="F40" s="79">
        <f t="shared" si="13"/>
        <v>27.101527699999998</v>
      </c>
      <c r="G40" s="79">
        <f t="shared" si="13"/>
        <v>28.106094776666666</v>
      </c>
      <c r="H40" s="79">
        <f t="shared" si="13"/>
        <v>25.122608900833335</v>
      </c>
      <c r="I40" s="79">
        <f t="shared" si="13"/>
        <v>27.814470523333334</v>
      </c>
      <c r="J40" s="79">
        <f t="shared" si="13"/>
        <v>27.989163166666668</v>
      </c>
      <c r="K40" s="79">
        <f t="shared" si="13"/>
        <v>25.951449400833329</v>
      </c>
      <c r="L40" s="79">
        <f t="shared" si="13"/>
        <v>26.87322765</v>
      </c>
      <c r="M40" s="79">
        <f t="shared" si="13"/>
        <v>26.905289641666666</v>
      </c>
      <c r="N40" s="79">
        <f t="shared" si="13"/>
        <v>27.673667416666667</v>
      </c>
      <c r="O40" s="78">
        <f t="shared" si="12"/>
        <v>302.75598811336533</v>
      </c>
      <c r="Q40" s="37"/>
      <c r="T40" s="65">
        <v>5106</v>
      </c>
      <c r="U40" s="65">
        <v>5106</v>
      </c>
      <c r="V40" s="65">
        <v>0</v>
      </c>
      <c r="W40" s="65">
        <f>(V40-V45)/(U40-U45)</f>
        <v>0</v>
      </c>
      <c r="Z40" s="88"/>
    </row>
    <row r="41" spans="1:30" ht="15" x14ac:dyDescent="0.25">
      <c r="A41" s="145"/>
      <c r="B41" s="38" t="s">
        <v>370</v>
      </c>
      <c r="C41" s="41">
        <f>IF(C35&lt;4800,4800,C35)</f>
        <v>4800</v>
      </c>
      <c r="D41" s="41">
        <f t="shared" ref="D41:N41" si="14">IF(D35&lt;4800,4800,D35)</f>
        <v>4800</v>
      </c>
      <c r="E41" s="41">
        <f t="shared" si="14"/>
        <v>4910.1411764705845</v>
      </c>
      <c r="F41" s="41">
        <f t="shared" si="14"/>
        <v>4800</v>
      </c>
      <c r="G41" s="41">
        <f t="shared" si="14"/>
        <v>4800</v>
      </c>
      <c r="H41" s="41">
        <f t="shared" si="14"/>
        <v>4991.4435039364243</v>
      </c>
      <c r="I41" s="41">
        <f t="shared" si="14"/>
        <v>5050.8000460461026</v>
      </c>
      <c r="J41" s="41">
        <f t="shared" si="14"/>
        <v>4867.7200596785715</v>
      </c>
      <c r="K41" s="41">
        <f t="shared" si="14"/>
        <v>4818.7145183491893</v>
      </c>
      <c r="L41" s="41">
        <f t="shared" si="14"/>
        <v>5176.8124697146295</v>
      </c>
      <c r="M41" s="41">
        <f t="shared" si="14"/>
        <v>5149.3377267139404</v>
      </c>
      <c r="N41" s="41">
        <f t="shared" si="14"/>
        <v>5085.3360518181416</v>
      </c>
      <c r="O41" s="42">
        <f t="shared" si="12"/>
        <v>59250.305552727586</v>
      </c>
      <c r="Q41" s="37"/>
      <c r="Z41" s="88"/>
    </row>
    <row r="42" spans="1:30" ht="15" customHeight="1" thickBot="1" x14ac:dyDescent="0.3">
      <c r="A42" s="145"/>
      <c r="B42" s="55" t="s">
        <v>284</v>
      </c>
      <c r="C42" s="56">
        <f>C41*C40</f>
        <v>128119.48159615386</v>
      </c>
      <c r="D42" s="56">
        <f t="shared" ref="D42:N42" si="15">D41*D40</f>
        <v>125529.2653</v>
      </c>
      <c r="E42" s="53">
        <f t="shared" si="15"/>
        <v>31302.14999999998</v>
      </c>
      <c r="F42" s="53">
        <f t="shared" si="15"/>
        <v>130087.33295999999</v>
      </c>
      <c r="G42" s="53">
        <f t="shared" si="15"/>
        <v>134909.25492800001</v>
      </c>
      <c r="H42" s="53">
        <f t="shared" si="15"/>
        <v>125398.08299999994</v>
      </c>
      <c r="I42" s="53">
        <f t="shared" si="15"/>
        <v>140485.32899999997</v>
      </c>
      <c r="J42" s="53">
        <f t="shared" si="15"/>
        <v>136243.41099999993</v>
      </c>
      <c r="K42" s="53">
        <f t="shared" si="15"/>
        <v>125052.62599999993</v>
      </c>
      <c r="L42" s="53">
        <f t="shared" si="15"/>
        <v>139117.65999999997</v>
      </c>
      <c r="M42" s="53">
        <f t="shared" si="15"/>
        <v>138544.42299999995</v>
      </c>
      <c r="N42" s="53">
        <f t="shared" si="15"/>
        <v>140729.89860000001</v>
      </c>
      <c r="O42" s="53">
        <f t="shared" si="12"/>
        <v>1495518.9153841536</v>
      </c>
      <c r="Q42" s="37"/>
    </row>
    <row r="43" spans="1:30" ht="15" customHeight="1" thickBot="1" x14ac:dyDescent="0.3">
      <c r="B43" s="77"/>
      <c r="C43" s="70">
        <f>4800*C40</f>
        <v>128119.48159615386</v>
      </c>
      <c r="D43" s="70">
        <f t="shared" ref="D43:N43" si="16">4800*D40</f>
        <v>125529.2653</v>
      </c>
      <c r="E43" s="70">
        <f t="shared" si="16"/>
        <v>30600.000000000004</v>
      </c>
      <c r="F43" s="70">
        <f t="shared" si="16"/>
        <v>130087.33295999999</v>
      </c>
      <c r="G43" s="70">
        <f t="shared" si="16"/>
        <v>134909.25492800001</v>
      </c>
      <c r="H43" s="70">
        <f t="shared" si="16"/>
        <v>120588.52272400001</v>
      </c>
      <c r="I43" s="70">
        <f t="shared" si="16"/>
        <v>133509.45851200001</v>
      </c>
      <c r="J43" s="70">
        <f t="shared" si="16"/>
        <v>134347.98320000002</v>
      </c>
      <c r="K43" s="70">
        <f t="shared" si="16"/>
        <v>124566.95712399998</v>
      </c>
      <c r="L43" s="70">
        <f t="shared" si="16"/>
        <v>128991.49272000001</v>
      </c>
      <c r="M43" s="70">
        <f t="shared" si="16"/>
        <v>129145.39027999999</v>
      </c>
      <c r="N43" s="70">
        <f t="shared" si="16"/>
        <v>132833.6036</v>
      </c>
      <c r="O43" s="70">
        <f>SUM(C43:N43)</f>
        <v>1453228.742944154</v>
      </c>
      <c r="Q43" s="37"/>
      <c r="U43"/>
      <c r="V43"/>
      <c r="Z43" s="68"/>
    </row>
    <row r="44" spans="1:30" ht="15.75" thickBot="1" x14ac:dyDescent="0.3">
      <c r="B44" s="73" t="s">
        <v>285</v>
      </c>
      <c r="C44" s="74">
        <f t="shared" ref="C44:O44" si="17">C29-C42</f>
        <v>-7262.3315961539483</v>
      </c>
      <c r="D44" s="75">
        <f t="shared" si="17"/>
        <v>-2998.7103000000352</v>
      </c>
      <c r="E44" s="76">
        <f t="shared" si="17"/>
        <v>0</v>
      </c>
      <c r="F44" s="76">
        <f t="shared" si="17"/>
        <v>-9553.4319600000308</v>
      </c>
      <c r="G44" s="76">
        <f t="shared" si="17"/>
        <v>-10974.00792800005</v>
      </c>
      <c r="H44" s="76">
        <f t="shared" si="17"/>
        <v>0</v>
      </c>
      <c r="I44" s="76">
        <f t="shared" si="17"/>
        <v>0</v>
      </c>
      <c r="J44" s="76">
        <f t="shared" si="17"/>
        <v>0</v>
      </c>
      <c r="K44" s="76">
        <f t="shared" si="17"/>
        <v>0</v>
      </c>
      <c r="L44" s="76">
        <f t="shared" si="17"/>
        <v>0</v>
      </c>
      <c r="M44" s="76">
        <f t="shared" si="17"/>
        <v>0</v>
      </c>
      <c r="N44" s="76">
        <f t="shared" si="17"/>
        <v>0</v>
      </c>
      <c r="O44" s="76">
        <f t="shared" si="17"/>
        <v>-30788.481784153963</v>
      </c>
      <c r="Q44" s="37"/>
      <c r="U44"/>
      <c r="V44"/>
    </row>
    <row r="45" spans="1:30" ht="15" x14ac:dyDescent="0.25">
      <c r="B45"/>
      <c r="C45"/>
      <c r="D45"/>
      <c r="E45"/>
      <c r="F45"/>
      <c r="G45"/>
      <c r="H45"/>
      <c r="U45"/>
      <c r="V45"/>
    </row>
    <row r="46" spans="1:30" ht="15" hidden="1" x14ac:dyDescent="0.25">
      <c r="B46" s="71" t="s">
        <v>379</v>
      </c>
      <c r="C46"/>
      <c r="D46"/>
      <c r="E46"/>
      <c r="F46"/>
      <c r="G46"/>
      <c r="H46"/>
      <c r="K46" s="109"/>
      <c r="U46"/>
      <c r="V46"/>
    </row>
    <row r="47" spans="1:30" ht="15" hidden="1" x14ac:dyDescent="0.25">
      <c r="B47" s="1" t="s">
        <v>383</v>
      </c>
      <c r="C47" s="64">
        <f t="shared" ref="C47:N47" si="18">C35</f>
        <v>4527.9165414404442</v>
      </c>
      <c r="D47" s="64">
        <f t="shared" si="18"/>
        <v>4685.3350299979793</v>
      </c>
      <c r="E47" s="64">
        <f t="shared" si="18"/>
        <v>4910.1411764705845</v>
      </c>
      <c r="F47" s="64">
        <f t="shared" si="18"/>
        <v>4447.4947070972667</v>
      </c>
      <c r="G47" s="64">
        <f t="shared" si="18"/>
        <v>4409.5505969363439</v>
      </c>
      <c r="H47" s="64">
        <f t="shared" si="18"/>
        <v>4991.4435039364243</v>
      </c>
      <c r="I47" s="64">
        <f t="shared" si="18"/>
        <v>5050.8000460461026</v>
      </c>
      <c r="J47" s="64">
        <f t="shared" si="18"/>
        <v>4867.7200596785715</v>
      </c>
      <c r="K47" s="64">
        <f t="shared" si="18"/>
        <v>4818.7145183491893</v>
      </c>
      <c r="L47" s="64">
        <f t="shared" si="18"/>
        <v>5176.8124697146295</v>
      </c>
      <c r="M47" s="64">
        <f t="shared" si="18"/>
        <v>5149.3377267139404</v>
      </c>
      <c r="N47" s="64">
        <f t="shared" si="18"/>
        <v>5085.3360518181416</v>
      </c>
      <c r="U47"/>
      <c r="V47"/>
      <c r="W47"/>
      <c r="X47"/>
      <c r="Y47"/>
      <c r="Z47"/>
      <c r="AA47"/>
      <c r="AB47"/>
      <c r="AC47"/>
      <c r="AD47"/>
    </row>
    <row r="48" spans="1:30" ht="15" hidden="1" x14ac:dyDescent="0.25">
      <c r="B48" s="1" t="s">
        <v>384</v>
      </c>
      <c r="C48" s="64">
        <f t="shared" ref="C48:N48" si="19">VLOOKUP(C47,$T$29:$W$40,2,TRUE)</f>
        <v>4357</v>
      </c>
      <c r="D48" s="64">
        <f t="shared" si="19"/>
        <v>4557</v>
      </c>
      <c r="E48" s="64">
        <f t="shared" si="19"/>
        <v>4880</v>
      </c>
      <c r="F48" s="64">
        <f t="shared" si="19"/>
        <v>4357</v>
      </c>
      <c r="G48" s="64">
        <f t="shared" si="19"/>
        <v>4357</v>
      </c>
      <c r="H48" s="64">
        <f t="shared" si="19"/>
        <v>4989</v>
      </c>
      <c r="I48" s="64">
        <f t="shared" si="19"/>
        <v>5036</v>
      </c>
      <c r="J48" s="64">
        <f t="shared" si="19"/>
        <v>4860</v>
      </c>
      <c r="K48" s="64">
        <f t="shared" si="19"/>
        <v>4800</v>
      </c>
      <c r="L48" s="64">
        <f t="shared" si="19"/>
        <v>5106</v>
      </c>
      <c r="M48" s="64">
        <f t="shared" si="19"/>
        <v>5106</v>
      </c>
      <c r="N48" s="64">
        <f t="shared" si="19"/>
        <v>5036</v>
      </c>
      <c r="U48"/>
      <c r="V48"/>
      <c r="W48"/>
      <c r="X48"/>
      <c r="Y48"/>
      <c r="Z48"/>
      <c r="AA48"/>
      <c r="AB48"/>
      <c r="AC48"/>
      <c r="AD48"/>
    </row>
    <row r="49" spans="2:30" ht="15" hidden="1" x14ac:dyDescent="0.25">
      <c r="B49" s="1" t="s">
        <v>385</v>
      </c>
      <c r="C49" s="64">
        <f t="shared" ref="C49:M49" si="20">C47-C48</f>
        <v>170.91654144044423</v>
      </c>
      <c r="D49" s="64">
        <f t="shared" si="20"/>
        <v>128.33502999797929</v>
      </c>
      <c r="E49" s="64">
        <f t="shared" si="20"/>
        <v>30.141176470584469</v>
      </c>
      <c r="F49" s="64">
        <f t="shared" si="20"/>
        <v>90.494707097266655</v>
      </c>
      <c r="G49" s="64">
        <f t="shared" si="20"/>
        <v>52.550596936343936</v>
      </c>
      <c r="H49" s="64">
        <f t="shared" si="20"/>
        <v>2.4435039364243494</v>
      </c>
      <c r="I49" s="64">
        <f t="shared" si="20"/>
        <v>14.80004604610258</v>
      </c>
      <c r="J49" s="64">
        <f t="shared" si="20"/>
        <v>7.7200596785714879</v>
      </c>
      <c r="K49" s="64">
        <f t="shared" si="20"/>
        <v>18.714518349189348</v>
      </c>
      <c r="L49" s="64">
        <f t="shared" si="20"/>
        <v>70.812469714629515</v>
      </c>
      <c r="M49" s="64">
        <f t="shared" si="20"/>
        <v>43.337726713940356</v>
      </c>
      <c r="N49" s="64">
        <f>N47-N48</f>
        <v>49.336051818141641</v>
      </c>
      <c r="R49" s="20"/>
      <c r="S49"/>
      <c r="T49"/>
      <c r="U49"/>
      <c r="V49"/>
      <c r="W49"/>
      <c r="X49"/>
      <c r="Y49"/>
      <c r="Z49"/>
      <c r="AA49"/>
      <c r="AB49"/>
      <c r="AC49"/>
      <c r="AD49"/>
    </row>
    <row r="50" spans="2:30" ht="15" hidden="1" x14ac:dyDescent="0.25">
      <c r="B50" s="1" t="s">
        <v>386</v>
      </c>
      <c r="C50" s="64">
        <f t="shared" ref="C50:N50" si="21">VLOOKUP(C47,$T$29:$W$40,3,TRUE)</f>
        <v>1500</v>
      </c>
      <c r="D50" s="64">
        <f t="shared" si="21"/>
        <v>1400</v>
      </c>
      <c r="E50" s="64">
        <f t="shared" si="21"/>
        <v>808</v>
      </c>
      <c r="F50" s="64">
        <f t="shared" si="21"/>
        <v>1500</v>
      </c>
      <c r="G50" s="64">
        <f t="shared" si="21"/>
        <v>1500</v>
      </c>
      <c r="H50" s="64">
        <f t="shared" si="21"/>
        <v>500</v>
      </c>
      <c r="I50" s="64">
        <f t="shared" si="21"/>
        <v>300</v>
      </c>
      <c r="J50" s="64">
        <f t="shared" si="21"/>
        <v>900</v>
      </c>
      <c r="K50" s="64">
        <f t="shared" si="21"/>
        <v>1000</v>
      </c>
      <c r="L50" s="64">
        <f t="shared" si="21"/>
        <v>0</v>
      </c>
      <c r="M50" s="64">
        <f t="shared" si="21"/>
        <v>0</v>
      </c>
      <c r="N50" s="64">
        <f t="shared" si="21"/>
        <v>300</v>
      </c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2:30" ht="15" hidden="1" x14ac:dyDescent="0.25">
      <c r="B51" s="1" t="s">
        <v>387</v>
      </c>
      <c r="C51" s="64">
        <f t="shared" ref="C51:N51" si="22">VLOOKUP(C47,$T$29:$W$40,4,TRUE)</f>
        <v>-0.5</v>
      </c>
      <c r="D51" s="64">
        <f t="shared" si="22"/>
        <v>-1.3333333333333333</v>
      </c>
      <c r="E51" s="64">
        <f t="shared" si="22"/>
        <v>-1.7142857142857142</v>
      </c>
      <c r="F51" s="64">
        <f t="shared" si="22"/>
        <v>-0.5</v>
      </c>
      <c r="G51" s="64">
        <f t="shared" si="22"/>
        <v>-0.5</v>
      </c>
      <c r="H51" s="64">
        <f t="shared" si="22"/>
        <v>-4.2553191489361701</v>
      </c>
      <c r="I51" s="64">
        <f t="shared" si="22"/>
        <v>-4.2857142857142856</v>
      </c>
      <c r="J51" s="64">
        <f t="shared" si="22"/>
        <v>-4.5999999999999996</v>
      </c>
      <c r="K51" s="64">
        <f t="shared" si="22"/>
        <v>-1.6666666666666667</v>
      </c>
      <c r="L51" s="64">
        <f t="shared" si="22"/>
        <v>0</v>
      </c>
      <c r="M51" s="64">
        <f t="shared" si="22"/>
        <v>0</v>
      </c>
      <c r="N51" s="64">
        <f t="shared" si="22"/>
        <v>-4.2857142857142856</v>
      </c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2:30" ht="15" hidden="1" x14ac:dyDescent="0.25">
      <c r="B52" s="1" t="s">
        <v>388</v>
      </c>
      <c r="C52" s="64">
        <f t="shared" ref="C52:M52" si="23">C49*C51</f>
        <v>-85.458270720222117</v>
      </c>
      <c r="D52" s="64">
        <f t="shared" si="23"/>
        <v>-171.11337333063904</v>
      </c>
      <c r="E52" s="64">
        <f t="shared" si="23"/>
        <v>-51.67058823528766</v>
      </c>
      <c r="F52" s="64">
        <f t="shared" si="23"/>
        <v>-45.247353548633328</v>
      </c>
      <c r="G52" s="64">
        <f t="shared" si="23"/>
        <v>-26.275298468171968</v>
      </c>
      <c r="H52" s="64">
        <f t="shared" si="23"/>
        <v>-10.397889091167444</v>
      </c>
      <c r="I52" s="64">
        <f t="shared" si="23"/>
        <v>-63.42876876901105</v>
      </c>
      <c r="J52" s="64">
        <f t="shared" si="23"/>
        <v>-35.512274521428843</v>
      </c>
      <c r="K52" s="64">
        <f t="shared" si="23"/>
        <v>-31.190863915315582</v>
      </c>
      <c r="L52" s="64">
        <f t="shared" si="23"/>
        <v>0</v>
      </c>
      <c r="M52" s="64">
        <f t="shared" si="23"/>
        <v>0</v>
      </c>
      <c r="N52" s="64">
        <f>N49*N51</f>
        <v>-211.44022207774989</v>
      </c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2:30" ht="15" hidden="1" x14ac:dyDescent="0.25">
      <c r="B53" s="1" t="s">
        <v>389</v>
      </c>
      <c r="C53" s="64">
        <f t="shared" ref="C53:M53" si="24">C50+C52</f>
        <v>1414.5417292797779</v>
      </c>
      <c r="D53" s="64">
        <f t="shared" si="24"/>
        <v>1228.886626669361</v>
      </c>
      <c r="E53" s="64">
        <f t="shared" si="24"/>
        <v>756.32941176471229</v>
      </c>
      <c r="F53" s="64">
        <f t="shared" si="24"/>
        <v>1454.7526464513667</v>
      </c>
      <c r="G53" s="64">
        <f t="shared" si="24"/>
        <v>1473.724701531828</v>
      </c>
      <c r="H53" s="64">
        <f t="shared" si="24"/>
        <v>489.60211090883257</v>
      </c>
      <c r="I53" s="64">
        <f t="shared" si="24"/>
        <v>236.57123123098896</v>
      </c>
      <c r="J53" s="64">
        <f t="shared" si="24"/>
        <v>864.48772547857118</v>
      </c>
      <c r="K53" s="64">
        <f t="shared" si="24"/>
        <v>968.80913608468438</v>
      </c>
      <c r="L53" s="64">
        <f t="shared" si="24"/>
        <v>0</v>
      </c>
      <c r="M53" s="64">
        <f t="shared" si="24"/>
        <v>0</v>
      </c>
      <c r="N53" s="64">
        <f>N50+N52</f>
        <v>88.559777922250106</v>
      </c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2:30" ht="15" hidden="1" x14ac:dyDescent="0.25">
      <c r="C54" s="68">
        <f t="shared" ref="C54:N54" si="25">C53-C34</f>
        <v>1414.5417292797779</v>
      </c>
      <c r="D54" s="68">
        <f t="shared" si="25"/>
        <v>1228.886626669361</v>
      </c>
      <c r="E54" s="68">
        <f t="shared" si="25"/>
        <v>756.32941176471229</v>
      </c>
      <c r="F54" s="68">
        <f t="shared" si="25"/>
        <v>1454.7526464513667</v>
      </c>
      <c r="G54" s="68">
        <f t="shared" si="25"/>
        <v>1473.724701531828</v>
      </c>
      <c r="H54" s="68">
        <f t="shared" si="25"/>
        <v>489.60211090883257</v>
      </c>
      <c r="I54" s="68">
        <f t="shared" si="25"/>
        <v>236.57123123098896</v>
      </c>
      <c r="J54" s="68">
        <f t="shared" si="25"/>
        <v>864.48772547857118</v>
      </c>
      <c r="K54" s="68">
        <f t="shared" si="25"/>
        <v>968.80913608468438</v>
      </c>
      <c r="L54" s="68">
        <f t="shared" si="25"/>
        <v>0</v>
      </c>
      <c r="M54" s="68">
        <f t="shared" si="25"/>
        <v>0</v>
      </c>
      <c r="N54" s="68">
        <f t="shared" si="25"/>
        <v>63.590593693930337</v>
      </c>
      <c r="R54"/>
      <c r="S54"/>
      <c r="T54"/>
      <c r="U54"/>
      <c r="V54"/>
      <c r="W54"/>
      <c r="X54"/>
      <c r="Y54"/>
      <c r="Z54"/>
      <c r="AA54"/>
      <c r="AB54"/>
      <c r="AC54"/>
      <c r="AD54"/>
    </row>
  </sheetData>
  <sortState xmlns:xlrd2="http://schemas.microsoft.com/office/spreadsheetml/2017/richdata2" ref="U43:V52">
    <sortCondition descending="1" ref="U43:U52"/>
  </sortState>
  <mergeCells count="4">
    <mergeCell ref="A19:A20"/>
    <mergeCell ref="A24:A26"/>
    <mergeCell ref="A34:A35"/>
    <mergeCell ref="A40:A42"/>
  </mergeCells>
  <conditionalFormatting sqref="C28:N28">
    <cfRule type="cellIs" dxfId="839" priority="2" operator="lessThan">
      <formula>0</formula>
    </cfRule>
  </conditionalFormatting>
  <conditionalFormatting sqref="C27:N27">
    <cfRule type="cellIs" dxfId="838" priority="1" operator="lessThan">
      <formula>0</formula>
    </cfRule>
  </conditionalFormatting>
  <printOptions horizontalCentered="1" verticalCentered="1"/>
  <pageMargins left="0.78740157480314965" right="0.78740157480314965" top="0.78740157480314965" bottom="0.78740157480314965" header="0.31496062992125984" footer="0.31496062992125984"/>
  <pageSetup paperSize="9" scale="65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rgb="FF92D050"/>
    <pageSetUpPr fitToPage="1"/>
  </sheetPr>
  <dimension ref="B2:AD36"/>
  <sheetViews>
    <sheetView showGridLines="0" zoomScaleNormal="100" workbookViewId="0">
      <selection activeCell="Q10" sqref="Q10"/>
    </sheetView>
  </sheetViews>
  <sheetFormatPr baseColWidth="10" defaultColWidth="11.42578125" defaultRowHeight="12" x14ac:dyDescent="0.2"/>
  <cols>
    <col min="1" max="1" width="3.28515625" style="1" customWidth="1"/>
    <col min="2" max="2" width="21.140625" style="1" bestFit="1" customWidth="1"/>
    <col min="3" max="3" width="13.5703125" style="1" bestFit="1" customWidth="1"/>
    <col min="4" max="7" width="7.42578125" style="1" bestFit="1" customWidth="1"/>
    <col min="8" max="14" width="8.42578125" style="1" bestFit="1" customWidth="1"/>
    <col min="15" max="15" width="9.140625" style="31" bestFit="1" customWidth="1"/>
    <col min="16" max="16" width="4.85546875" style="1" bestFit="1" customWidth="1"/>
    <col min="17" max="17" width="5.5703125" style="1" bestFit="1" customWidth="1"/>
    <col min="18" max="26" width="4.85546875" style="1" bestFit="1" customWidth="1"/>
    <col min="27" max="28" width="10" style="1" bestFit="1" customWidth="1"/>
    <col min="29" max="16384" width="11.42578125" style="1"/>
  </cols>
  <sheetData>
    <row r="2" spans="2:30" ht="23.25" x14ac:dyDescent="0.35">
      <c r="B2" s="146" t="s">
        <v>437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</row>
    <row r="3" spans="2:30" ht="15" x14ac:dyDescent="0.25">
      <c r="B3"/>
      <c r="C3" s="124" t="s">
        <v>311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2:30" ht="26.25" x14ac:dyDescent="0.4">
      <c r="B4"/>
      <c r="C4" s="141" t="s">
        <v>329</v>
      </c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 t="s">
        <v>331</v>
      </c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5" t="s">
        <v>328</v>
      </c>
      <c r="AB4" s="5" t="s">
        <v>330</v>
      </c>
      <c r="AC4"/>
      <c r="AD4"/>
    </row>
    <row r="5" spans="2:30" ht="15" x14ac:dyDescent="0.25">
      <c r="B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>
        <v>6</v>
      </c>
      <c r="I5" s="5">
        <v>7</v>
      </c>
      <c r="J5" s="5">
        <v>8</v>
      </c>
      <c r="K5" s="5">
        <v>9</v>
      </c>
      <c r="L5" s="5">
        <v>10</v>
      </c>
      <c r="M5" s="5">
        <v>11</v>
      </c>
      <c r="N5" s="5">
        <v>12</v>
      </c>
      <c r="O5" s="5">
        <v>1</v>
      </c>
      <c r="P5" s="5">
        <v>2</v>
      </c>
      <c r="Q5" s="5">
        <v>3</v>
      </c>
      <c r="R5" s="5">
        <v>4</v>
      </c>
      <c r="S5" s="5">
        <v>5</v>
      </c>
      <c r="T5" s="5">
        <v>6</v>
      </c>
      <c r="U5" s="5">
        <v>7</v>
      </c>
      <c r="V5" s="5">
        <v>8</v>
      </c>
      <c r="W5" s="5">
        <v>9</v>
      </c>
      <c r="X5" s="5">
        <v>10</v>
      </c>
      <c r="Y5" s="5">
        <v>11</v>
      </c>
      <c r="Z5" s="5">
        <v>12</v>
      </c>
      <c r="AA5" s="5"/>
      <c r="AB5" s="5"/>
      <c r="AC5"/>
      <c r="AD5"/>
    </row>
    <row r="6" spans="2:30" ht="15" x14ac:dyDescent="0.25">
      <c r="B6" s="124" t="s">
        <v>77</v>
      </c>
      <c r="C6"/>
      <c r="D6"/>
      <c r="E6" t="s">
        <v>551</v>
      </c>
      <c r="F6"/>
      <c r="G6"/>
      <c r="H6"/>
      <c r="I6"/>
      <c r="J6"/>
      <c r="K6"/>
      <c r="L6"/>
      <c r="M6"/>
      <c r="N6"/>
      <c r="O6"/>
      <c r="P6"/>
      <c r="Q6" t="s">
        <v>551</v>
      </c>
      <c r="R6"/>
      <c r="S6"/>
      <c r="T6"/>
      <c r="U6"/>
      <c r="V6"/>
      <c r="W6"/>
      <c r="X6"/>
      <c r="Y6"/>
      <c r="Z6"/>
      <c r="AA6" s="5"/>
      <c r="AB6" s="5"/>
      <c r="AC6"/>
      <c r="AD6"/>
    </row>
    <row r="7" spans="2:30" ht="15" x14ac:dyDescent="0.25">
      <c r="B7" s="119" t="s">
        <v>551</v>
      </c>
      <c r="C7" s="151">
        <v>94593.589999999909</v>
      </c>
      <c r="D7" s="151">
        <v>95784.304999999964</v>
      </c>
      <c r="E7" s="151">
        <v>27585.16999999998</v>
      </c>
      <c r="F7" s="151">
        <v>89018.413999999961</v>
      </c>
      <c r="G7" s="151">
        <v>91443.117999999959</v>
      </c>
      <c r="H7" s="151">
        <v>103739.41299999994</v>
      </c>
      <c r="I7" s="151">
        <v>110799.28899999998</v>
      </c>
      <c r="J7" s="151">
        <v>88541.250999999946</v>
      </c>
      <c r="K7" s="151">
        <v>89127.585999999937</v>
      </c>
      <c r="L7" s="151">
        <v>115596.52999999998</v>
      </c>
      <c r="M7" s="151">
        <v>115248.67299999994</v>
      </c>
      <c r="N7" s="151"/>
      <c r="O7" s="151">
        <v>742.39999999999941</v>
      </c>
      <c r="P7" s="151">
        <v>690.35999999999979</v>
      </c>
      <c r="Q7" s="151">
        <v>185.2399999999999</v>
      </c>
      <c r="R7" s="151">
        <v>612.58999999999946</v>
      </c>
      <c r="S7" s="151">
        <v>600.44999999999982</v>
      </c>
      <c r="T7" s="151">
        <v>666.4299999999995</v>
      </c>
      <c r="U7" s="151">
        <v>829.77999999999963</v>
      </c>
      <c r="V7" s="151">
        <v>791.13999999999953</v>
      </c>
      <c r="W7" s="151">
        <v>768.45999999999958</v>
      </c>
      <c r="X7" s="151">
        <v>877.33999999999935</v>
      </c>
      <c r="Y7" s="151">
        <v>999.50999999999942</v>
      </c>
      <c r="Z7" s="151"/>
      <c r="AA7" s="151">
        <v>1021477.3389999995</v>
      </c>
      <c r="AB7" s="151">
        <v>7763.6999999999944</v>
      </c>
      <c r="AC7"/>
      <c r="AD7"/>
    </row>
    <row r="8" spans="2:30" ht="15" x14ac:dyDescent="0.25">
      <c r="B8" s="154" t="s">
        <v>78</v>
      </c>
      <c r="C8" s="151"/>
      <c r="D8" s="151"/>
      <c r="E8" s="151"/>
      <c r="F8" s="151"/>
      <c r="G8" s="151">
        <v>245.19</v>
      </c>
      <c r="H8" s="151">
        <v>3005.92</v>
      </c>
      <c r="I8" s="151">
        <v>6003.74999999999</v>
      </c>
      <c r="J8" s="151">
        <v>8821.4210000000003</v>
      </c>
      <c r="K8" s="151">
        <v>2836.3599999999997</v>
      </c>
      <c r="L8" s="151">
        <v>1259</v>
      </c>
      <c r="M8" s="151">
        <v>3250.7</v>
      </c>
      <c r="N8" s="151"/>
      <c r="O8" s="151"/>
      <c r="P8" s="151"/>
      <c r="Q8" s="151"/>
      <c r="R8" s="151"/>
      <c r="S8" s="151">
        <v>1</v>
      </c>
      <c r="T8" s="151">
        <v>19.88</v>
      </c>
      <c r="U8" s="151">
        <v>35.550000000000004</v>
      </c>
      <c r="V8" s="151">
        <v>63.989999999999903</v>
      </c>
      <c r="W8" s="151">
        <v>21.59</v>
      </c>
      <c r="X8" s="151">
        <v>9.11</v>
      </c>
      <c r="Y8" s="151">
        <v>28.79</v>
      </c>
      <c r="Z8" s="151"/>
      <c r="AA8" s="151">
        <v>25422.340999999989</v>
      </c>
      <c r="AB8" s="151">
        <v>179.90999999999988</v>
      </c>
      <c r="AC8"/>
      <c r="AD8"/>
    </row>
    <row r="9" spans="2:30" ht="15" x14ac:dyDescent="0.25">
      <c r="B9" s="154" t="s">
        <v>17</v>
      </c>
      <c r="C9" s="151">
        <v>1305.44</v>
      </c>
      <c r="D9" s="151">
        <v>11146.800000000001</v>
      </c>
      <c r="E9" s="151">
        <v>368.21</v>
      </c>
      <c r="F9" s="151">
        <v>1180.1299999999901</v>
      </c>
      <c r="G9" s="151">
        <v>13456.46</v>
      </c>
      <c r="H9" s="151">
        <v>156.01000000000002</v>
      </c>
      <c r="I9" s="151"/>
      <c r="J9" s="151"/>
      <c r="K9" s="151">
        <v>7941.49</v>
      </c>
      <c r="L9" s="151">
        <v>8671.4499999999898</v>
      </c>
      <c r="M9" s="151">
        <v>13105.339999999989</v>
      </c>
      <c r="N9" s="151"/>
      <c r="O9" s="151">
        <v>7.92</v>
      </c>
      <c r="P9" s="151">
        <v>74.58</v>
      </c>
      <c r="Q9" s="151">
        <v>2.2999999999999998</v>
      </c>
      <c r="R9" s="151">
        <v>7.3199999999999896</v>
      </c>
      <c r="S9" s="151">
        <v>93.439999999999898</v>
      </c>
      <c r="T9" s="151">
        <v>1.3</v>
      </c>
      <c r="U9" s="151"/>
      <c r="V9" s="151"/>
      <c r="W9" s="151">
        <v>68.249999999999901</v>
      </c>
      <c r="X9" s="151">
        <v>83.19</v>
      </c>
      <c r="Y9" s="151">
        <v>138.16</v>
      </c>
      <c r="Z9" s="151"/>
      <c r="AA9" s="151">
        <v>57331.329999999965</v>
      </c>
      <c r="AB9" s="151">
        <v>476.45999999999981</v>
      </c>
      <c r="AC9"/>
      <c r="AD9"/>
    </row>
    <row r="10" spans="2:30" ht="15" x14ac:dyDescent="0.25">
      <c r="B10" s="154" t="s">
        <v>0</v>
      </c>
      <c r="C10" s="151">
        <v>4324.32</v>
      </c>
      <c r="D10" s="151">
        <v>9054.2629999999899</v>
      </c>
      <c r="E10" s="151">
        <v>8786.43</v>
      </c>
      <c r="F10" s="151">
        <v>11489.324000000001</v>
      </c>
      <c r="G10" s="151">
        <v>14223.29999999999</v>
      </c>
      <c r="H10" s="151">
        <v>11135.632000000001</v>
      </c>
      <c r="I10" s="151">
        <v>11632.402</v>
      </c>
      <c r="J10" s="151">
        <v>22559.389999999989</v>
      </c>
      <c r="K10" s="151">
        <v>30542.553999999967</v>
      </c>
      <c r="L10" s="151">
        <v>28334.44</v>
      </c>
      <c r="M10" s="151">
        <v>17771.073000000004</v>
      </c>
      <c r="N10" s="151"/>
      <c r="O10" s="151">
        <v>48.29</v>
      </c>
      <c r="P10" s="151">
        <v>72.400000000000006</v>
      </c>
      <c r="Q10" s="151">
        <v>53.39</v>
      </c>
      <c r="R10" s="151">
        <v>69.729999999999905</v>
      </c>
      <c r="S10" s="151">
        <v>87.330000000000013</v>
      </c>
      <c r="T10" s="151">
        <v>70.490000000000009</v>
      </c>
      <c r="U10" s="151">
        <v>84.02</v>
      </c>
      <c r="V10" s="151">
        <v>286.44999999999987</v>
      </c>
      <c r="W10" s="151">
        <v>336.5199999999997</v>
      </c>
      <c r="X10" s="151">
        <v>209.38999999999982</v>
      </c>
      <c r="Y10" s="151">
        <v>202.9799999999999</v>
      </c>
      <c r="Z10" s="151"/>
      <c r="AA10" s="151">
        <v>169853.12799999994</v>
      </c>
      <c r="AB10" s="151">
        <v>1520.9899999999993</v>
      </c>
      <c r="AC10"/>
      <c r="AD10"/>
    </row>
    <row r="11" spans="2:30" ht="15" x14ac:dyDescent="0.25">
      <c r="B11" s="154" t="s">
        <v>75</v>
      </c>
      <c r="C11" s="151"/>
      <c r="D11" s="151">
        <v>17238.696999999978</v>
      </c>
      <c r="E11" s="151">
        <v>9928.0799999999908</v>
      </c>
      <c r="F11" s="151">
        <v>31214.696</v>
      </c>
      <c r="G11" s="151">
        <v>33011.769999999982</v>
      </c>
      <c r="H11" s="151">
        <v>36875.01999999999</v>
      </c>
      <c r="I11" s="151">
        <v>41993.176999999996</v>
      </c>
      <c r="J11" s="151">
        <v>30115.79999999997</v>
      </c>
      <c r="K11" s="151">
        <v>14915.310000000001</v>
      </c>
      <c r="L11" s="151">
        <v>24306.97</v>
      </c>
      <c r="M11" s="151">
        <v>15773.41</v>
      </c>
      <c r="N11" s="151"/>
      <c r="O11" s="151"/>
      <c r="P11" s="151">
        <v>103.36999999999989</v>
      </c>
      <c r="Q11" s="151">
        <v>69.03</v>
      </c>
      <c r="R11" s="151">
        <v>206.7299999999999</v>
      </c>
      <c r="S11" s="151">
        <v>201.21000000000004</v>
      </c>
      <c r="T11" s="151">
        <v>235.65999999999988</v>
      </c>
      <c r="U11" s="151">
        <v>278.82</v>
      </c>
      <c r="V11" s="151">
        <v>203.62999999999988</v>
      </c>
      <c r="W11" s="151">
        <v>103.1399999999999</v>
      </c>
      <c r="X11" s="151">
        <v>166.64999999999998</v>
      </c>
      <c r="Y11" s="151">
        <v>105.89</v>
      </c>
      <c r="Z11" s="151"/>
      <c r="AA11" s="151">
        <v>255372.92999999991</v>
      </c>
      <c r="AB11" s="151">
        <v>1674.1299999999994</v>
      </c>
      <c r="AC11"/>
      <c r="AD11"/>
    </row>
    <row r="12" spans="2:30" ht="15" x14ac:dyDescent="0.25">
      <c r="B12" s="154" t="s">
        <v>22</v>
      </c>
      <c r="C12" s="151">
        <v>64636.388999999945</v>
      </c>
      <c r="D12" s="151">
        <v>8124.7799999999907</v>
      </c>
      <c r="E12" s="151">
        <v>6197.5</v>
      </c>
      <c r="F12" s="151">
        <v>24941.194000000003</v>
      </c>
      <c r="G12" s="151">
        <v>19044.887999999992</v>
      </c>
      <c r="H12" s="151">
        <v>12443.569999999989</v>
      </c>
      <c r="I12" s="151">
        <v>23557.439999999999</v>
      </c>
      <c r="J12" s="151">
        <v>20001.479999999981</v>
      </c>
      <c r="K12" s="151">
        <v>32891.871999999974</v>
      </c>
      <c r="L12" s="151">
        <v>46564.709999999985</v>
      </c>
      <c r="M12" s="151">
        <v>48932.929999999949</v>
      </c>
      <c r="N12" s="151"/>
      <c r="O12" s="151">
        <v>500.34999999999985</v>
      </c>
      <c r="P12" s="151">
        <v>57.939999999999991</v>
      </c>
      <c r="Q12" s="151">
        <v>45.889999999999901</v>
      </c>
      <c r="R12" s="151">
        <v>182.73999999999958</v>
      </c>
      <c r="S12" s="151">
        <v>138.49999999999989</v>
      </c>
      <c r="T12" s="151">
        <v>78.889999999999901</v>
      </c>
      <c r="U12" s="151">
        <v>182.47999999999976</v>
      </c>
      <c r="V12" s="151">
        <v>161.67999999999986</v>
      </c>
      <c r="W12" s="151">
        <v>238.95999999999998</v>
      </c>
      <c r="X12" s="151">
        <v>347.9199999999995</v>
      </c>
      <c r="Y12" s="151">
        <v>368.2999999999995</v>
      </c>
      <c r="Z12" s="151"/>
      <c r="AA12" s="151">
        <v>307336.75299999979</v>
      </c>
      <c r="AB12" s="151">
        <v>2303.6499999999978</v>
      </c>
      <c r="AC12"/>
      <c r="AD12"/>
    </row>
    <row r="13" spans="2:30" ht="15" x14ac:dyDescent="0.25">
      <c r="B13" s="154" t="s">
        <v>19</v>
      </c>
      <c r="C13" s="151">
        <v>17430.910999999971</v>
      </c>
      <c r="D13" s="151">
        <v>50219.764999999999</v>
      </c>
      <c r="E13" s="151">
        <v>2304.9499999999889</v>
      </c>
      <c r="F13" s="151">
        <v>20193.069999999971</v>
      </c>
      <c r="G13" s="151">
        <v>11368.78999999999</v>
      </c>
      <c r="H13" s="151">
        <v>9729.57</v>
      </c>
      <c r="I13" s="151">
        <v>27592.849999999991</v>
      </c>
      <c r="J13" s="151">
        <v>7043.1600000000008</v>
      </c>
      <c r="K13" s="151"/>
      <c r="L13" s="151">
        <v>6459.96</v>
      </c>
      <c r="M13" s="151">
        <v>16415.21999999999</v>
      </c>
      <c r="N13" s="151"/>
      <c r="O13" s="151">
        <v>147.17999999999961</v>
      </c>
      <c r="P13" s="151">
        <v>382.06999999999988</v>
      </c>
      <c r="Q13" s="151">
        <v>14.62999999999999</v>
      </c>
      <c r="R13" s="151">
        <v>146.07</v>
      </c>
      <c r="S13" s="151">
        <v>78.47</v>
      </c>
      <c r="T13" s="151">
        <v>82.039999999999992</v>
      </c>
      <c r="U13" s="151">
        <v>248.80999999999989</v>
      </c>
      <c r="V13" s="151">
        <v>75.39</v>
      </c>
      <c r="W13" s="151"/>
      <c r="X13" s="151">
        <v>61.080000000000005</v>
      </c>
      <c r="Y13" s="151">
        <v>155.39000000000001</v>
      </c>
      <c r="Z13" s="151"/>
      <c r="AA13" s="151">
        <v>168758.2459999999</v>
      </c>
      <c r="AB13" s="151">
        <v>1391.1299999999997</v>
      </c>
      <c r="AC13"/>
      <c r="AD13"/>
    </row>
    <row r="14" spans="2:30" ht="15" x14ac:dyDescent="0.25">
      <c r="B14" s="154" t="s">
        <v>84</v>
      </c>
      <c r="C14" s="151">
        <v>6896.5300000000007</v>
      </c>
      <c r="D14" s="151"/>
      <c r="E14" s="151"/>
      <c r="F14" s="151"/>
      <c r="G14" s="151">
        <v>92.72</v>
      </c>
      <c r="H14" s="151">
        <v>30393.69099999997</v>
      </c>
      <c r="I14" s="151">
        <v>19.670000000000002</v>
      </c>
      <c r="J14" s="151"/>
      <c r="K14" s="151"/>
      <c r="L14" s="151"/>
      <c r="M14" s="151"/>
      <c r="N14" s="151"/>
      <c r="O14" s="151">
        <v>38.659999999999989</v>
      </c>
      <c r="P14" s="151"/>
      <c r="Q14" s="151"/>
      <c r="R14" s="151"/>
      <c r="S14" s="151">
        <v>0.5</v>
      </c>
      <c r="T14" s="151">
        <v>178.16999999999976</v>
      </c>
      <c r="U14" s="151">
        <v>0.1</v>
      </c>
      <c r="V14" s="151"/>
      <c r="W14" s="151"/>
      <c r="X14" s="151"/>
      <c r="Y14" s="151"/>
      <c r="Z14" s="151"/>
      <c r="AA14" s="151">
        <v>37402.610999999968</v>
      </c>
      <c r="AB14" s="151">
        <v>217.42999999999975</v>
      </c>
      <c r="AC14"/>
      <c r="AD14"/>
    </row>
    <row r="15" spans="2:30" ht="15" x14ac:dyDescent="0.25">
      <c r="B15" s="119" t="s">
        <v>319</v>
      </c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>
        <v>107138.90970000002</v>
      </c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>
        <v>979.86999999999989</v>
      </c>
      <c r="AA15" s="151">
        <v>107138.90970000002</v>
      </c>
      <c r="AB15" s="151">
        <v>979.86999999999989</v>
      </c>
      <c r="AC15"/>
      <c r="AD15"/>
    </row>
    <row r="16" spans="2:30" ht="15" x14ac:dyDescent="0.25">
      <c r="B16" s="154" t="s">
        <v>17</v>
      </c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>
        <v>6597.7600000000011</v>
      </c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>
        <v>63.199999999999996</v>
      </c>
      <c r="AA16" s="151">
        <v>6597.7600000000011</v>
      </c>
      <c r="AB16" s="151">
        <v>63.199999999999996</v>
      </c>
      <c r="AC16"/>
      <c r="AD16"/>
    </row>
    <row r="17" spans="2:30" ht="15" x14ac:dyDescent="0.25">
      <c r="B17" s="154" t="s">
        <v>0</v>
      </c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>
        <v>16858.89</v>
      </c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>
        <v>166.69</v>
      </c>
      <c r="AA17" s="151">
        <v>16858.89</v>
      </c>
      <c r="AB17" s="151">
        <v>166.69</v>
      </c>
      <c r="AC17"/>
      <c r="AD17"/>
    </row>
    <row r="18" spans="2:30" ht="15" x14ac:dyDescent="0.25">
      <c r="B18" s="154" t="s">
        <v>75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>
        <v>18359.09</v>
      </c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>
        <v>138.57999999999998</v>
      </c>
      <c r="AA18" s="151">
        <v>18359.09</v>
      </c>
      <c r="AB18" s="151">
        <v>138.57999999999998</v>
      </c>
      <c r="AC18"/>
      <c r="AD18"/>
    </row>
    <row r="19" spans="2:30" ht="15" x14ac:dyDescent="0.25">
      <c r="B19" s="154" t="s">
        <v>22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>
        <v>43272.239700000006</v>
      </c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>
        <v>359.22999999999996</v>
      </c>
      <c r="AA19" s="151">
        <v>43272.239700000006</v>
      </c>
      <c r="AB19" s="151">
        <v>359.22999999999996</v>
      </c>
      <c r="AC19"/>
      <c r="AD19"/>
    </row>
    <row r="20" spans="2:30" ht="15" x14ac:dyDescent="0.25">
      <c r="B20" s="154" t="s">
        <v>19</v>
      </c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>
        <v>22050.93</v>
      </c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>
        <v>252.16999999999996</v>
      </c>
      <c r="AA20" s="151">
        <v>22050.93</v>
      </c>
      <c r="AB20" s="151">
        <v>252.16999999999996</v>
      </c>
      <c r="AC20"/>
      <c r="AD20"/>
    </row>
    <row r="21" spans="2:30" ht="15" x14ac:dyDescent="0.25">
      <c r="B21" s="119" t="s">
        <v>318</v>
      </c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>
        <v>690.98890000000006</v>
      </c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>
        <v>5.91</v>
      </c>
      <c r="AA21" s="151">
        <v>690.98890000000006</v>
      </c>
      <c r="AB21" s="151">
        <v>5.91</v>
      </c>
      <c r="AC21"/>
      <c r="AD21"/>
    </row>
    <row r="22" spans="2:30" ht="15" x14ac:dyDescent="0.25">
      <c r="B22" s="154" t="s">
        <v>22</v>
      </c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>
        <v>690.98890000000006</v>
      </c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>
        <v>5.91</v>
      </c>
      <c r="AA22" s="151">
        <v>690.98890000000006</v>
      </c>
      <c r="AB22" s="151">
        <v>5.91</v>
      </c>
      <c r="AC22"/>
      <c r="AD22"/>
    </row>
    <row r="23" spans="2:30" ht="15" x14ac:dyDescent="0.25">
      <c r="B23" s="153" t="s">
        <v>281</v>
      </c>
      <c r="C23" s="152">
        <v>94593.589999999909</v>
      </c>
      <c r="D23" s="152">
        <v>95784.304999999964</v>
      </c>
      <c r="E23" s="151">
        <v>27585.16999999998</v>
      </c>
      <c r="F23" s="151">
        <v>89018.413999999961</v>
      </c>
      <c r="G23" s="151">
        <v>91443.117999999959</v>
      </c>
      <c r="H23" s="151">
        <v>103739.41299999994</v>
      </c>
      <c r="I23" s="151">
        <v>110799.28899999998</v>
      </c>
      <c r="J23" s="151">
        <v>88541.250999999946</v>
      </c>
      <c r="K23" s="151">
        <v>89127.585999999937</v>
      </c>
      <c r="L23" s="151">
        <v>115596.52999999998</v>
      </c>
      <c r="M23" s="151">
        <v>115248.67299999994</v>
      </c>
      <c r="N23" s="151">
        <v>107829.89860000001</v>
      </c>
      <c r="O23" s="152">
        <v>742.39999999999941</v>
      </c>
      <c r="P23" s="152">
        <v>690.35999999999979</v>
      </c>
      <c r="Q23" s="151">
        <v>185.2399999999999</v>
      </c>
      <c r="R23" s="151">
        <v>612.58999999999946</v>
      </c>
      <c r="S23" s="151">
        <v>600.44999999999982</v>
      </c>
      <c r="T23" s="151">
        <v>666.4299999999995</v>
      </c>
      <c r="U23" s="151">
        <v>829.77999999999963</v>
      </c>
      <c r="V23" s="151">
        <v>791.13999999999953</v>
      </c>
      <c r="W23" s="151">
        <v>768.45999999999958</v>
      </c>
      <c r="X23" s="151">
        <v>877.33999999999935</v>
      </c>
      <c r="Y23" s="151">
        <v>999.50999999999942</v>
      </c>
      <c r="Z23" s="151">
        <v>985.77999999999986</v>
      </c>
      <c r="AA23" s="151">
        <v>1129307.2375999994</v>
      </c>
      <c r="AB23" s="151">
        <v>8749.4799999999941</v>
      </c>
      <c r="AC23"/>
      <c r="AD23"/>
    </row>
    <row r="24" spans="2:30" ht="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2:30" ht="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2:30" ht="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2:30" ht="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2:30" ht="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2:30" ht="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2:30" ht="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2:30" ht="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2:30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2:28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2:28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2:28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2:28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</sheetData>
  <mergeCells count="1">
    <mergeCell ref="B2:AB2"/>
  </mergeCells>
  <printOptions horizontalCentered="1" verticalCentered="1"/>
  <pageMargins left="0.78740157480314965" right="0.78740157480314965" top="0.78740157480314965" bottom="0.78740157480314965" header="0.31496062992125984" footer="0.31496062992125984"/>
  <pageSetup paperSize="9" scale="65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">
    <tabColor rgb="FF00B0F0"/>
  </sheetPr>
  <dimension ref="B2:U774"/>
  <sheetViews>
    <sheetView showGridLines="0" view="pageBreakPreview" zoomScale="85" zoomScaleNormal="85" zoomScaleSheetLayoutView="85" workbookViewId="0">
      <selection activeCell="R18" sqref="R18"/>
    </sheetView>
  </sheetViews>
  <sheetFormatPr baseColWidth="10" defaultColWidth="11.42578125" defaultRowHeight="15" x14ac:dyDescent="0.25"/>
  <cols>
    <col min="1" max="1" width="2.28515625" customWidth="1"/>
    <col min="2" max="2" width="10.140625" style="5" customWidth="1"/>
    <col min="3" max="3" width="9.140625" style="5" customWidth="1"/>
    <col min="4" max="4" width="9.28515625" style="5" bestFit="1" customWidth="1"/>
    <col min="5" max="5" width="12.5703125" style="5" bestFit="1" customWidth="1"/>
    <col min="6" max="7" width="8.85546875" style="5" bestFit="1" customWidth="1"/>
    <col min="8" max="8" width="8.7109375" style="5" bestFit="1" customWidth="1"/>
    <col min="9" max="9" width="8.140625" style="5" bestFit="1" customWidth="1"/>
    <col min="10" max="10" width="9.28515625" customWidth="1"/>
    <col min="11" max="11" width="7.42578125" customWidth="1"/>
    <col min="12" max="12" width="13.28515625" bestFit="1" customWidth="1"/>
    <col min="13" max="13" width="10.28515625" customWidth="1"/>
    <col min="14" max="14" width="7.7109375" customWidth="1"/>
    <col min="15" max="15" width="5.28515625" bestFit="1" customWidth="1"/>
    <col min="16" max="16" width="5.42578125" bestFit="1" customWidth="1"/>
    <col min="17" max="17" width="6.85546875" bestFit="1" customWidth="1"/>
    <col min="18" max="18" width="11.28515625" bestFit="1" customWidth="1"/>
    <col min="19" max="19" width="9.5703125" bestFit="1" customWidth="1"/>
    <col min="20" max="20" width="6.7109375" bestFit="1" customWidth="1"/>
    <col min="21" max="21" width="16.42578125" bestFit="1" customWidth="1"/>
  </cols>
  <sheetData>
    <row r="2" spans="2:21" ht="23.25" x14ac:dyDescent="0.35">
      <c r="B2" s="143" t="s">
        <v>437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</row>
    <row r="4" spans="2:21" s="4" customFormat="1" x14ac:dyDescent="0.25">
      <c r="B4" s="5"/>
      <c r="C4" s="5"/>
      <c r="D4" s="5"/>
      <c r="E4" s="5"/>
      <c r="I4" s="5"/>
      <c r="L4"/>
    </row>
    <row r="5" spans="2:21" s="4" customFormat="1" x14ac:dyDescent="0.25">
      <c r="M5" s="123" t="s">
        <v>47</v>
      </c>
    </row>
    <row r="6" spans="2:21" s="32" customFormat="1" ht="45" x14ac:dyDescent="0.25">
      <c r="B6" s="126" t="s">
        <v>301</v>
      </c>
      <c r="C6" s="126" t="s">
        <v>291</v>
      </c>
      <c r="D6" s="126" t="s">
        <v>81</v>
      </c>
      <c r="E6" s="136" t="s">
        <v>278</v>
      </c>
      <c r="F6" s="126" t="s">
        <v>82</v>
      </c>
      <c r="G6" s="126" t="s">
        <v>83</v>
      </c>
      <c r="H6" s="126" t="s">
        <v>84</v>
      </c>
      <c r="I6" s="136" t="s">
        <v>302</v>
      </c>
      <c r="J6" s="126" t="s">
        <v>269</v>
      </c>
      <c r="K6" s="126" t="s">
        <v>271</v>
      </c>
      <c r="L6" s="126" t="s">
        <v>270</v>
      </c>
      <c r="M6" s="32" t="s">
        <v>59</v>
      </c>
      <c r="N6" s="32" t="s">
        <v>90</v>
      </c>
      <c r="O6" s="32" t="s">
        <v>293</v>
      </c>
      <c r="P6" s="32" t="s">
        <v>292</v>
      </c>
      <c r="Q6" s="32" t="s">
        <v>91</v>
      </c>
      <c r="R6" s="32" t="s">
        <v>92</v>
      </c>
      <c r="S6" s="32" t="s">
        <v>93</v>
      </c>
      <c r="T6" s="32" t="s">
        <v>76</v>
      </c>
      <c r="U6" s="32" t="s">
        <v>94</v>
      </c>
    </row>
    <row r="7" spans="2:21" x14ac:dyDescent="0.25">
      <c r="B7" s="5">
        <v>2024</v>
      </c>
      <c r="C7" s="5">
        <v>1</v>
      </c>
      <c r="D7" s="5" t="s">
        <v>17</v>
      </c>
      <c r="E7" s="127">
        <v>45299</v>
      </c>
      <c r="F7" s="5" t="s">
        <v>18</v>
      </c>
      <c r="G7" s="5" t="s">
        <v>11</v>
      </c>
      <c r="H7" s="5" t="s">
        <v>5</v>
      </c>
      <c r="I7">
        <v>2022</v>
      </c>
      <c r="J7" s="5" t="s">
        <v>68</v>
      </c>
      <c r="K7" s="5" t="s">
        <v>50</v>
      </c>
      <c r="L7" s="129">
        <v>44872</v>
      </c>
      <c r="M7" s="20">
        <v>665.25</v>
      </c>
      <c r="N7" s="128">
        <v>4.29</v>
      </c>
      <c r="O7" s="20">
        <v>426.64335664335664</v>
      </c>
      <c r="P7" s="128">
        <v>14.026630903343232</v>
      </c>
      <c r="Q7" s="122">
        <v>155.06993006993008</v>
      </c>
      <c r="R7" s="121">
        <v>11.055393924493252</v>
      </c>
      <c r="S7" s="121">
        <v>132.66472709391903</v>
      </c>
      <c r="T7" s="121">
        <v>13.531155931845172</v>
      </c>
      <c r="U7" s="20">
        <v>17951.071089635036</v>
      </c>
    </row>
    <row r="8" spans="2:21" x14ac:dyDescent="0.25">
      <c r="B8" s="5">
        <v>2024</v>
      </c>
      <c r="C8" s="5">
        <v>1</v>
      </c>
      <c r="D8" s="5" t="s">
        <v>17</v>
      </c>
      <c r="E8" s="127">
        <v>45301</v>
      </c>
      <c r="F8" s="5" t="s">
        <v>18</v>
      </c>
      <c r="G8" s="5" t="s">
        <v>9</v>
      </c>
      <c r="H8" s="5" t="s">
        <v>4</v>
      </c>
      <c r="I8">
        <v>2022</v>
      </c>
      <c r="J8" s="5" t="s">
        <v>304</v>
      </c>
      <c r="K8" s="5" t="s">
        <v>50</v>
      </c>
      <c r="L8" s="129">
        <v>44881</v>
      </c>
      <c r="M8" s="20">
        <v>531.53</v>
      </c>
      <c r="N8" s="128">
        <v>3.13</v>
      </c>
      <c r="O8" s="20">
        <v>419.61022364216939</v>
      </c>
      <c r="P8" s="128">
        <v>13.795404612893241</v>
      </c>
      <c r="Q8" s="122">
        <v>169.81789137380193</v>
      </c>
      <c r="R8" s="121">
        <v>12.309743435512535</v>
      </c>
      <c r="S8" s="121">
        <v>147.71692122615042</v>
      </c>
      <c r="T8" s="121">
        <v>14.510935675295846</v>
      </c>
      <c r="U8" s="20">
        <v>21435.107420654123</v>
      </c>
    </row>
    <row r="9" spans="2:21" x14ac:dyDescent="0.25">
      <c r="B9" s="5">
        <v>2024</v>
      </c>
      <c r="C9" s="5">
        <v>1</v>
      </c>
      <c r="D9" s="5" t="s">
        <v>17</v>
      </c>
      <c r="E9" s="127">
        <v>45301</v>
      </c>
      <c r="F9" s="5" t="s">
        <v>18</v>
      </c>
      <c r="G9" s="5" t="s">
        <v>10</v>
      </c>
      <c r="H9" s="5" t="s">
        <v>4</v>
      </c>
      <c r="I9">
        <v>2021</v>
      </c>
      <c r="J9" s="5" t="s">
        <v>68</v>
      </c>
      <c r="K9" s="5" t="s">
        <v>79</v>
      </c>
      <c r="L9" s="129">
        <v>44867</v>
      </c>
      <c r="M9" s="20">
        <v>108.66</v>
      </c>
      <c r="N9" s="128">
        <v>0.5</v>
      </c>
      <c r="O9" s="20">
        <v>434</v>
      </c>
      <c r="P9" s="128">
        <v>14.268493150684931</v>
      </c>
      <c r="Q9" s="122">
        <v>217.32</v>
      </c>
      <c r="R9" s="121">
        <v>15.230760368663594</v>
      </c>
      <c r="S9" s="121">
        <v>182.76912442396312</v>
      </c>
      <c r="T9" s="121">
        <v>14.543499999999909</v>
      </c>
      <c r="U9" s="20">
        <v>26581.027610598911</v>
      </c>
    </row>
    <row r="10" spans="2:21" x14ac:dyDescent="0.25">
      <c r="B10" s="5">
        <v>2024</v>
      </c>
      <c r="C10" s="5">
        <v>1</v>
      </c>
      <c r="D10" s="5" t="s">
        <v>0</v>
      </c>
      <c r="E10" s="127">
        <v>45298</v>
      </c>
      <c r="F10" s="5" t="s">
        <v>1</v>
      </c>
      <c r="G10" s="5" t="s">
        <v>10</v>
      </c>
      <c r="H10" s="5" t="s">
        <v>6</v>
      </c>
      <c r="I10">
        <v>2022</v>
      </c>
      <c r="J10" s="5" t="s">
        <v>283</v>
      </c>
      <c r="K10" s="5" t="s">
        <v>50</v>
      </c>
      <c r="L10" s="129">
        <v>44922</v>
      </c>
      <c r="M10" s="20">
        <v>3387.12</v>
      </c>
      <c r="N10" s="128">
        <v>36.93</v>
      </c>
      <c r="O10" s="20">
        <v>371.09017059301112</v>
      </c>
      <c r="P10" s="128">
        <v>12.200224786619543</v>
      </c>
      <c r="Q10" s="122">
        <v>91.717303005686432</v>
      </c>
      <c r="R10" s="121">
        <v>7.5176732076507582</v>
      </c>
      <c r="S10" s="121">
        <v>90.212078491809095</v>
      </c>
      <c r="T10" s="121">
        <v>15.438099485568861</v>
      </c>
      <c r="U10" s="20">
        <v>13927.030425564955</v>
      </c>
    </row>
    <row r="11" spans="2:21" x14ac:dyDescent="0.25">
      <c r="B11" s="5">
        <v>2024</v>
      </c>
      <c r="C11" s="5">
        <v>1</v>
      </c>
      <c r="D11" s="5" t="s">
        <v>0</v>
      </c>
      <c r="E11" s="127">
        <v>45322</v>
      </c>
      <c r="F11" s="5" t="s">
        <v>1</v>
      </c>
      <c r="G11" s="5" t="s">
        <v>12</v>
      </c>
      <c r="H11" s="5" t="s">
        <v>5</v>
      </c>
      <c r="I11">
        <v>2023</v>
      </c>
      <c r="J11" s="5" t="s">
        <v>283</v>
      </c>
      <c r="K11" s="5" t="s">
        <v>403</v>
      </c>
      <c r="L11" s="129">
        <v>44942</v>
      </c>
      <c r="M11" s="20">
        <v>937.2</v>
      </c>
      <c r="N11" s="128">
        <v>11.36</v>
      </c>
      <c r="O11" s="20">
        <v>379.6901408450704</v>
      </c>
      <c r="P11" s="128">
        <v>12.482963534632452</v>
      </c>
      <c r="Q11" s="122">
        <v>82.500000000000014</v>
      </c>
      <c r="R11" s="121">
        <v>6.6090075302322147</v>
      </c>
      <c r="S11" s="121">
        <v>79.308090362786572</v>
      </c>
      <c r="T11" s="121">
        <v>13.720169594195475</v>
      </c>
      <c r="U11" s="20">
        <v>10881.204499692114</v>
      </c>
    </row>
    <row r="12" spans="2:21" x14ac:dyDescent="0.25">
      <c r="B12" s="5">
        <v>2024</v>
      </c>
      <c r="C12" s="5">
        <v>1</v>
      </c>
      <c r="D12" s="5" t="s">
        <v>22</v>
      </c>
      <c r="E12" s="127">
        <v>45293</v>
      </c>
      <c r="F12" s="5" t="s">
        <v>23</v>
      </c>
      <c r="G12" s="5" t="s">
        <v>2</v>
      </c>
      <c r="H12" s="5" t="s">
        <v>5</v>
      </c>
      <c r="I12">
        <v>2022</v>
      </c>
      <c r="J12" s="5" t="s">
        <v>304</v>
      </c>
      <c r="K12" s="5" t="s">
        <v>50</v>
      </c>
      <c r="L12" s="129">
        <v>44902</v>
      </c>
      <c r="M12" s="20">
        <v>138.221</v>
      </c>
      <c r="N12" s="128">
        <v>1.23</v>
      </c>
      <c r="O12" s="20">
        <v>390.77235772357722</v>
      </c>
      <c r="P12" s="128">
        <v>12.847310390912128</v>
      </c>
      <c r="Q12" s="122">
        <v>112.37479674796748</v>
      </c>
      <c r="R12" s="121">
        <v>8.7469511772252861</v>
      </c>
      <c r="S12" s="121">
        <v>104.96341412670344</v>
      </c>
      <c r="T12" s="121">
        <v>14.719214686523683</v>
      </c>
      <c r="U12" s="20">
        <v>15449.790267614408</v>
      </c>
    </row>
    <row r="13" spans="2:21" x14ac:dyDescent="0.25">
      <c r="B13" s="5">
        <v>2024</v>
      </c>
      <c r="C13" s="5">
        <v>1</v>
      </c>
      <c r="D13" s="5" t="s">
        <v>22</v>
      </c>
      <c r="E13" s="127">
        <v>45294</v>
      </c>
      <c r="F13" s="5" t="s">
        <v>23</v>
      </c>
      <c r="G13" s="5" t="s">
        <v>2</v>
      </c>
      <c r="H13" s="5" t="s">
        <v>3</v>
      </c>
      <c r="I13">
        <v>2022</v>
      </c>
      <c r="J13" s="5" t="s">
        <v>304</v>
      </c>
      <c r="K13" s="5" t="s">
        <v>50</v>
      </c>
      <c r="L13" s="129">
        <v>44913</v>
      </c>
      <c r="M13" s="20">
        <v>728.53</v>
      </c>
      <c r="N13" s="128">
        <v>6.64</v>
      </c>
      <c r="O13" s="20">
        <v>379.85542168674698</v>
      </c>
      <c r="P13" s="128">
        <v>12.488397425317709</v>
      </c>
      <c r="Q13" s="122">
        <v>109.7183734939759</v>
      </c>
      <c r="R13" s="121">
        <v>8.7856247489004478</v>
      </c>
      <c r="S13" s="121">
        <v>105.42749698680538</v>
      </c>
      <c r="T13" s="121">
        <v>14.540239390608486</v>
      </c>
      <c r="U13" s="20">
        <v>15329.41044540805</v>
      </c>
    </row>
    <row r="14" spans="2:21" x14ac:dyDescent="0.25">
      <c r="B14" s="5">
        <v>2024</v>
      </c>
      <c r="C14" s="5">
        <v>1</v>
      </c>
      <c r="D14" s="5" t="s">
        <v>22</v>
      </c>
      <c r="E14" s="127">
        <v>45295</v>
      </c>
      <c r="F14" s="5" t="s">
        <v>29</v>
      </c>
      <c r="G14" s="5" t="s">
        <v>30</v>
      </c>
      <c r="H14" s="5" t="s">
        <v>3</v>
      </c>
      <c r="I14">
        <v>2022</v>
      </c>
      <c r="J14" s="5" t="s">
        <v>289</v>
      </c>
      <c r="K14" s="5" t="s">
        <v>50</v>
      </c>
      <c r="L14" s="129">
        <v>44888</v>
      </c>
      <c r="M14" s="20">
        <v>142.32999999999899</v>
      </c>
      <c r="N14" s="128">
        <v>1.27</v>
      </c>
      <c r="O14" s="20">
        <v>406.55118110236145</v>
      </c>
      <c r="P14" s="128">
        <v>13.366066228022843</v>
      </c>
      <c r="Q14" s="122">
        <v>112.07086614173149</v>
      </c>
      <c r="R14" s="121">
        <v>8.3847307225492802</v>
      </c>
      <c r="S14" s="121">
        <v>100.61676867059136</v>
      </c>
      <c r="T14" s="121">
        <v>14.340442596430933</v>
      </c>
      <c r="U14" s="20">
        <v>14428.889953589856</v>
      </c>
    </row>
    <row r="15" spans="2:21" x14ac:dyDescent="0.25">
      <c r="B15" s="5">
        <v>2024</v>
      </c>
      <c r="C15" s="5">
        <v>1</v>
      </c>
      <c r="D15" s="5" t="s">
        <v>22</v>
      </c>
      <c r="E15" s="127">
        <v>45296</v>
      </c>
      <c r="F15" s="5" t="s">
        <v>24</v>
      </c>
      <c r="G15" s="5" t="s">
        <v>14</v>
      </c>
      <c r="H15" s="5" t="s">
        <v>4</v>
      </c>
      <c r="I15">
        <v>2022</v>
      </c>
      <c r="J15" s="5" t="s">
        <v>304</v>
      </c>
      <c r="K15" s="5" t="s">
        <v>50</v>
      </c>
      <c r="L15" s="129">
        <v>44874</v>
      </c>
      <c r="M15" s="20">
        <v>34.25</v>
      </c>
      <c r="N15" s="128">
        <v>0.27</v>
      </c>
      <c r="O15" s="20">
        <v>421.44444444444071</v>
      </c>
      <c r="P15" s="128">
        <v>13.855707762556955</v>
      </c>
      <c r="Q15" s="122">
        <v>126.85185185185185</v>
      </c>
      <c r="R15" s="121">
        <v>9.1552054955034929</v>
      </c>
      <c r="S15" s="121">
        <v>109.86246594604192</v>
      </c>
      <c r="T15" s="121">
        <v>15.174426145109488</v>
      </c>
      <c r="U15" s="20">
        <v>16670.998756178193</v>
      </c>
    </row>
    <row r="16" spans="2:21" x14ac:dyDescent="0.25">
      <c r="B16" s="5">
        <v>2024</v>
      </c>
      <c r="C16" s="5">
        <v>1</v>
      </c>
      <c r="D16" s="5" t="s">
        <v>22</v>
      </c>
      <c r="E16" s="127">
        <v>45296</v>
      </c>
      <c r="F16" s="5" t="s">
        <v>29</v>
      </c>
      <c r="G16" s="5" t="s">
        <v>30</v>
      </c>
      <c r="H16" s="5" t="s">
        <v>4</v>
      </c>
      <c r="I16">
        <v>2023</v>
      </c>
      <c r="J16" s="5" t="s">
        <v>351</v>
      </c>
      <c r="K16" s="5" t="s">
        <v>50</v>
      </c>
      <c r="L16" s="129">
        <v>44886</v>
      </c>
      <c r="M16" s="20">
        <v>231.096</v>
      </c>
      <c r="N16" s="128">
        <v>2.64</v>
      </c>
      <c r="O16" s="20">
        <v>409.84848484848482</v>
      </c>
      <c r="P16" s="128">
        <v>13.474470734744706</v>
      </c>
      <c r="Q16" s="122">
        <v>87.536363636363632</v>
      </c>
      <c r="R16" s="121">
        <v>6.4964602587800364</v>
      </c>
      <c r="S16" s="121">
        <v>77.957523105360437</v>
      </c>
      <c r="T16" s="121">
        <v>15.795895368158686</v>
      </c>
      <c r="U16" s="20">
        <v>12314.088781330865</v>
      </c>
    </row>
    <row r="17" spans="2:21" x14ac:dyDescent="0.25">
      <c r="B17" s="5">
        <v>2024</v>
      </c>
      <c r="C17" s="5">
        <v>1</v>
      </c>
      <c r="D17" s="5" t="s">
        <v>22</v>
      </c>
      <c r="E17" s="127">
        <v>45297</v>
      </c>
      <c r="F17" s="5" t="s">
        <v>25</v>
      </c>
      <c r="G17" s="5" t="s">
        <v>21</v>
      </c>
      <c r="H17" s="5" t="s">
        <v>3</v>
      </c>
      <c r="I17">
        <v>2022</v>
      </c>
      <c r="J17" s="5" t="s">
        <v>304</v>
      </c>
      <c r="K17" s="5" t="s">
        <v>50</v>
      </c>
      <c r="L17" s="129">
        <v>44887</v>
      </c>
      <c r="M17" s="20">
        <v>2597.37</v>
      </c>
      <c r="N17" s="128">
        <v>19.170000000000002</v>
      </c>
      <c r="O17" s="20">
        <v>408.2649973917579</v>
      </c>
      <c r="P17" s="128">
        <v>13.422410873153686</v>
      </c>
      <c r="Q17" s="122">
        <v>135.49139280125195</v>
      </c>
      <c r="R17" s="121">
        <v>10.094415532477091</v>
      </c>
      <c r="S17" s="121">
        <v>121.13298638972509</v>
      </c>
      <c r="T17" s="121">
        <v>15.123976719928235</v>
      </c>
      <c r="U17" s="20">
        <v>18320.124661735859</v>
      </c>
    </row>
    <row r="18" spans="2:21" x14ac:dyDescent="0.25">
      <c r="B18" s="5">
        <v>2024</v>
      </c>
      <c r="C18" s="5">
        <v>1</v>
      </c>
      <c r="D18" s="5" t="s">
        <v>22</v>
      </c>
      <c r="E18" s="127">
        <v>45297</v>
      </c>
      <c r="F18" s="5" t="s">
        <v>41</v>
      </c>
      <c r="G18" s="5" t="s">
        <v>43</v>
      </c>
      <c r="H18" s="5" t="s">
        <v>3</v>
      </c>
      <c r="I18">
        <v>2022</v>
      </c>
      <c r="J18" s="5" t="s">
        <v>62</v>
      </c>
      <c r="K18" s="5" t="s">
        <v>50</v>
      </c>
      <c r="L18" s="129">
        <v>44912</v>
      </c>
      <c r="M18" s="20">
        <v>60.11</v>
      </c>
      <c r="N18" s="128">
        <v>0.72</v>
      </c>
      <c r="O18" s="20">
        <v>385</v>
      </c>
      <c r="P18" s="128">
        <v>12.657534246575343</v>
      </c>
      <c r="Q18" s="122">
        <v>83.486111111111114</v>
      </c>
      <c r="R18" s="121">
        <v>6.5957641895141892</v>
      </c>
      <c r="S18" s="121">
        <v>79.149170274170274</v>
      </c>
      <c r="T18" s="121">
        <v>13.842000000000001</v>
      </c>
      <c r="U18" s="20">
        <v>10955.828149350651</v>
      </c>
    </row>
    <row r="19" spans="2:21" x14ac:dyDescent="0.25">
      <c r="B19" s="5">
        <v>2024</v>
      </c>
      <c r="C19" s="5">
        <v>1</v>
      </c>
      <c r="D19" s="5" t="s">
        <v>22</v>
      </c>
      <c r="E19" s="127">
        <v>45303</v>
      </c>
      <c r="F19" s="5" t="s">
        <v>25</v>
      </c>
      <c r="G19" s="5" t="s">
        <v>21</v>
      </c>
      <c r="H19" s="5" t="s">
        <v>4</v>
      </c>
      <c r="I19">
        <v>2022</v>
      </c>
      <c r="J19" s="5" t="s">
        <v>304</v>
      </c>
      <c r="K19" s="5" t="s">
        <v>50</v>
      </c>
      <c r="L19" s="129">
        <v>44891</v>
      </c>
      <c r="M19" s="20">
        <v>2222.85</v>
      </c>
      <c r="N19" s="128">
        <v>18.619999999999902</v>
      </c>
      <c r="O19" s="20">
        <v>406.05907626208591</v>
      </c>
      <c r="P19" s="128">
        <v>13.349887438753509</v>
      </c>
      <c r="Q19" s="122">
        <v>119.37969924812093</v>
      </c>
      <c r="R19" s="121">
        <v>8.9423749672654544</v>
      </c>
      <c r="S19" s="121">
        <v>107.30849960718545</v>
      </c>
      <c r="T19" s="121">
        <v>15.482914473063861</v>
      </c>
      <c r="U19" s="20">
        <v>16614.483216508594</v>
      </c>
    </row>
    <row r="20" spans="2:21" x14ac:dyDescent="0.25">
      <c r="B20" s="5">
        <v>2024</v>
      </c>
      <c r="C20" s="5">
        <v>1</v>
      </c>
      <c r="D20" s="5" t="s">
        <v>22</v>
      </c>
      <c r="E20" s="127">
        <v>45304</v>
      </c>
      <c r="F20" s="5" t="s">
        <v>29</v>
      </c>
      <c r="G20" s="5" t="s">
        <v>30</v>
      </c>
      <c r="H20" s="5" t="s">
        <v>6</v>
      </c>
      <c r="I20">
        <v>2022</v>
      </c>
      <c r="J20" s="5" t="s">
        <v>351</v>
      </c>
      <c r="K20" s="5" t="s">
        <v>50</v>
      </c>
      <c r="L20" s="129">
        <v>44891</v>
      </c>
      <c r="M20" s="20">
        <v>314.70400000000001</v>
      </c>
      <c r="N20" s="128">
        <v>2.4300000000000002</v>
      </c>
      <c r="O20" s="20">
        <v>404.71193415637816</v>
      </c>
      <c r="P20" s="128">
        <v>13.305597835278185</v>
      </c>
      <c r="Q20" s="122">
        <v>129.50781893004114</v>
      </c>
      <c r="R20" s="121">
        <v>9.7333333333333432</v>
      </c>
      <c r="S20" s="121">
        <v>116.80000000000013</v>
      </c>
      <c r="T20" s="121">
        <v>13.91441550790584</v>
      </c>
      <c r="U20" s="20">
        <v>16252.037313234039</v>
      </c>
    </row>
    <row r="21" spans="2:21" x14ac:dyDescent="0.25">
      <c r="B21" s="5">
        <v>2024</v>
      </c>
      <c r="C21" s="5">
        <v>1</v>
      </c>
      <c r="D21" s="5" t="s">
        <v>22</v>
      </c>
      <c r="E21" s="127">
        <v>45308</v>
      </c>
      <c r="F21" s="5" t="s">
        <v>23</v>
      </c>
      <c r="G21" s="5" t="s">
        <v>9</v>
      </c>
      <c r="H21" s="5" t="s">
        <v>3</v>
      </c>
      <c r="I21">
        <v>2023</v>
      </c>
      <c r="J21" s="5" t="s">
        <v>381</v>
      </c>
      <c r="K21" s="5" t="s">
        <v>50</v>
      </c>
      <c r="L21" s="129">
        <v>44915</v>
      </c>
      <c r="M21" s="20">
        <v>2811.37</v>
      </c>
      <c r="N21" s="128">
        <v>20.010000000000002</v>
      </c>
      <c r="O21" s="20">
        <v>392.31934032983509</v>
      </c>
      <c r="P21" s="128">
        <v>12.898170093035674</v>
      </c>
      <c r="Q21" s="122">
        <v>140.4982508745627</v>
      </c>
      <c r="R21" s="121">
        <v>10.892882467911031</v>
      </c>
      <c r="S21" s="121">
        <v>130.71458961493238</v>
      </c>
      <c r="T21" s="121">
        <v>14.458323193912577</v>
      </c>
      <c r="U21" s="20">
        <v>18899.137828123407</v>
      </c>
    </row>
    <row r="22" spans="2:21" x14ac:dyDescent="0.25">
      <c r="B22" s="5">
        <v>2024</v>
      </c>
      <c r="C22" s="5">
        <v>1</v>
      </c>
      <c r="D22" s="5" t="s">
        <v>22</v>
      </c>
      <c r="E22" s="127">
        <v>45309</v>
      </c>
      <c r="F22" s="5" t="s">
        <v>25</v>
      </c>
      <c r="G22" s="5" t="s">
        <v>27</v>
      </c>
      <c r="H22" s="5" t="s">
        <v>6</v>
      </c>
      <c r="I22">
        <v>2022</v>
      </c>
      <c r="J22" s="5" t="s">
        <v>304</v>
      </c>
      <c r="K22" s="5" t="s">
        <v>50</v>
      </c>
      <c r="L22" s="129">
        <v>44854</v>
      </c>
      <c r="M22" s="20">
        <v>1770.96</v>
      </c>
      <c r="N22" s="128">
        <v>17.95</v>
      </c>
      <c r="O22" s="20">
        <v>454.02562674094713</v>
      </c>
      <c r="P22" s="128">
        <v>14.926869920250315</v>
      </c>
      <c r="Q22" s="122">
        <v>98.660724233983288</v>
      </c>
      <c r="R22" s="121">
        <v>6.609605681639704</v>
      </c>
      <c r="S22" s="121">
        <v>79.315268179676451</v>
      </c>
      <c r="T22" s="121">
        <v>15.704730725098253</v>
      </c>
      <c r="U22" s="20">
        <v>12456.249291507724</v>
      </c>
    </row>
    <row r="23" spans="2:21" x14ac:dyDescent="0.25">
      <c r="B23" s="5">
        <v>2024</v>
      </c>
      <c r="C23" s="5">
        <v>1</v>
      </c>
      <c r="D23" s="5" t="s">
        <v>22</v>
      </c>
      <c r="E23" s="127">
        <v>45309</v>
      </c>
      <c r="F23" s="5" t="s">
        <v>29</v>
      </c>
      <c r="G23" s="5" t="s">
        <v>30</v>
      </c>
      <c r="H23" s="5" t="s">
        <v>8</v>
      </c>
      <c r="I23">
        <v>2022</v>
      </c>
      <c r="J23" s="5" t="s">
        <v>351</v>
      </c>
      <c r="K23" s="5" t="s">
        <v>50</v>
      </c>
      <c r="L23" s="129">
        <v>44883</v>
      </c>
      <c r="M23" s="20">
        <v>305.02</v>
      </c>
      <c r="N23" s="128">
        <v>1.52</v>
      </c>
      <c r="O23" s="20">
        <v>416.85526315789474</v>
      </c>
      <c r="P23" s="128">
        <v>13.704830569574622</v>
      </c>
      <c r="Q23" s="122">
        <v>200.67105263157893</v>
      </c>
      <c r="R23" s="121">
        <v>14.64235924791936</v>
      </c>
      <c r="S23" s="121">
        <v>175.70831097503233</v>
      </c>
      <c r="T23" s="121">
        <v>14.851735322339488</v>
      </c>
      <c r="U23" s="20">
        <v>26095.73328536499</v>
      </c>
    </row>
    <row r="24" spans="2:21" x14ac:dyDescent="0.25">
      <c r="B24" s="5">
        <v>2024</v>
      </c>
      <c r="C24" s="5">
        <v>1</v>
      </c>
      <c r="D24" s="5" t="s">
        <v>22</v>
      </c>
      <c r="E24" s="127">
        <v>45310</v>
      </c>
      <c r="F24" s="5" t="s">
        <v>25</v>
      </c>
      <c r="G24" s="5" t="s">
        <v>26</v>
      </c>
      <c r="H24" s="5" t="s">
        <v>3</v>
      </c>
      <c r="I24">
        <v>2022</v>
      </c>
      <c r="J24" s="5" t="s">
        <v>283</v>
      </c>
      <c r="K24" s="5" t="s">
        <v>50</v>
      </c>
      <c r="L24" s="129">
        <v>44932</v>
      </c>
      <c r="M24" s="20">
        <v>2707.02</v>
      </c>
      <c r="N24" s="128">
        <v>20.23</v>
      </c>
      <c r="O24" s="20">
        <v>369.91695501730055</v>
      </c>
      <c r="P24" s="128">
        <v>12.161653315637279</v>
      </c>
      <c r="Q24" s="122">
        <v>133.81216015818092</v>
      </c>
      <c r="R24" s="121">
        <v>11.002793508850246</v>
      </c>
      <c r="S24" s="121">
        <v>132.03352210620295</v>
      </c>
      <c r="T24" s="121">
        <v>13.845245149393058</v>
      </c>
      <c r="U24" s="20">
        <v>18280.364814981876</v>
      </c>
    </row>
    <row r="25" spans="2:21" x14ac:dyDescent="0.25">
      <c r="B25" s="5">
        <v>2024</v>
      </c>
      <c r="C25" s="5">
        <v>1</v>
      </c>
      <c r="D25" s="5" t="s">
        <v>22</v>
      </c>
      <c r="E25" s="127">
        <v>45310</v>
      </c>
      <c r="F25" s="5" t="s">
        <v>25</v>
      </c>
      <c r="G25" s="5" t="s">
        <v>26</v>
      </c>
      <c r="H25" s="5" t="s">
        <v>4</v>
      </c>
      <c r="I25">
        <v>2022</v>
      </c>
      <c r="J25" s="5" t="s">
        <v>283</v>
      </c>
      <c r="K25" s="5" t="s">
        <v>50</v>
      </c>
      <c r="L25" s="129">
        <v>44929</v>
      </c>
      <c r="M25" s="20">
        <v>2228.0999999999899</v>
      </c>
      <c r="N25" s="128">
        <v>16.97</v>
      </c>
      <c r="O25" s="20">
        <v>374.63818503241015</v>
      </c>
      <c r="P25" s="128">
        <v>12.316871836681978</v>
      </c>
      <c r="Q25" s="122">
        <v>131.29640542133117</v>
      </c>
      <c r="R25" s="121">
        <v>10.659882408640936</v>
      </c>
      <c r="S25" s="121">
        <v>127.91858890369123</v>
      </c>
      <c r="T25" s="121">
        <v>14.175179111835259</v>
      </c>
      <c r="U25" s="20">
        <v>18132.689094430454</v>
      </c>
    </row>
    <row r="26" spans="2:21" x14ac:dyDescent="0.25">
      <c r="B26" s="5">
        <v>2024</v>
      </c>
      <c r="C26" s="5">
        <v>1</v>
      </c>
      <c r="D26" s="5" t="s">
        <v>22</v>
      </c>
      <c r="E26" s="127">
        <v>45312</v>
      </c>
      <c r="F26" s="5" t="s">
        <v>23</v>
      </c>
      <c r="G26" s="5" t="s">
        <v>11</v>
      </c>
      <c r="H26" s="5" t="s">
        <v>8</v>
      </c>
      <c r="I26">
        <v>2022</v>
      </c>
      <c r="J26" s="5" t="s">
        <v>289</v>
      </c>
      <c r="K26" s="5" t="s">
        <v>50</v>
      </c>
      <c r="L26" s="129">
        <v>44910</v>
      </c>
      <c r="M26" s="20">
        <v>2761.27</v>
      </c>
      <c r="N26" s="128">
        <v>19.100000000000001</v>
      </c>
      <c r="O26" s="20">
        <v>399.80942408376961</v>
      </c>
      <c r="P26" s="128">
        <v>13.144419421932152</v>
      </c>
      <c r="Q26" s="122">
        <v>144.56910994764397</v>
      </c>
      <c r="R26" s="121">
        <v>10.998516199690252</v>
      </c>
      <c r="S26" s="121">
        <v>131.98219439628303</v>
      </c>
      <c r="T26" s="121">
        <v>13.82012684618306</v>
      </c>
      <c r="U26" s="20">
        <v>18240.106679942226</v>
      </c>
    </row>
    <row r="27" spans="2:21" x14ac:dyDescent="0.25">
      <c r="B27" s="5">
        <v>2024</v>
      </c>
      <c r="C27" s="5">
        <v>1</v>
      </c>
      <c r="D27" s="5" t="s">
        <v>22</v>
      </c>
      <c r="E27" s="127">
        <v>45313</v>
      </c>
      <c r="F27" s="5" t="s">
        <v>23</v>
      </c>
      <c r="G27" s="5" t="s">
        <v>11</v>
      </c>
      <c r="H27" s="5" t="s">
        <v>7</v>
      </c>
      <c r="I27">
        <v>2022</v>
      </c>
      <c r="J27" s="5" t="s">
        <v>289</v>
      </c>
      <c r="K27" s="5" t="s">
        <v>50</v>
      </c>
      <c r="L27" s="129">
        <v>44909</v>
      </c>
      <c r="M27" s="20">
        <v>2701.52</v>
      </c>
      <c r="N27" s="128">
        <v>17.59</v>
      </c>
      <c r="O27" s="20">
        <v>402.30244457077885</v>
      </c>
      <c r="P27" s="128">
        <v>13.226381739313277</v>
      </c>
      <c r="Q27" s="122">
        <v>153.58271745309835</v>
      </c>
      <c r="R27" s="121">
        <v>11.611846722720744</v>
      </c>
      <c r="S27" s="121">
        <v>139.34216067264893</v>
      </c>
      <c r="T27" s="121">
        <v>13.381947361341023</v>
      </c>
      <c r="U27" s="20">
        <v>18646.694593369109</v>
      </c>
    </row>
    <row r="28" spans="2:21" x14ac:dyDescent="0.25">
      <c r="B28" s="5">
        <v>2024</v>
      </c>
      <c r="C28" s="5">
        <v>1</v>
      </c>
      <c r="D28" s="5" t="s">
        <v>22</v>
      </c>
      <c r="E28" s="127">
        <v>45314</v>
      </c>
      <c r="F28" s="5" t="s">
        <v>32</v>
      </c>
      <c r="G28" s="5" t="s">
        <v>33</v>
      </c>
      <c r="H28" s="5" t="s">
        <v>6</v>
      </c>
      <c r="I28">
        <v>2022</v>
      </c>
      <c r="J28" s="5" t="s">
        <v>315</v>
      </c>
      <c r="K28" s="5" t="s">
        <v>50</v>
      </c>
      <c r="L28" s="129">
        <v>44946</v>
      </c>
      <c r="M28" s="20">
        <v>2057.5500000000002</v>
      </c>
      <c r="N28" s="128">
        <v>16.27</v>
      </c>
      <c r="O28" s="20">
        <v>366.51813153042411</v>
      </c>
      <c r="P28" s="128">
        <v>12.049911173602984</v>
      </c>
      <c r="Q28" s="122">
        <v>126.46281499692688</v>
      </c>
      <c r="R28" s="121">
        <v>10.49491678195615</v>
      </c>
      <c r="S28" s="121">
        <v>125.93900138347379</v>
      </c>
      <c r="T28" s="121">
        <v>14.226507888352602</v>
      </c>
      <c r="U28" s="20">
        <v>17916.721966332392</v>
      </c>
    </row>
    <row r="29" spans="2:21" x14ac:dyDescent="0.25">
      <c r="B29" s="5">
        <v>2024</v>
      </c>
      <c r="C29" s="5">
        <v>1</v>
      </c>
      <c r="D29" s="5" t="s">
        <v>22</v>
      </c>
      <c r="E29" s="127">
        <v>45314</v>
      </c>
      <c r="F29" s="5" t="s">
        <v>32</v>
      </c>
      <c r="G29" s="5" t="s">
        <v>33</v>
      </c>
      <c r="H29" s="5" t="s">
        <v>8</v>
      </c>
      <c r="I29">
        <v>2022</v>
      </c>
      <c r="J29" s="5" t="s">
        <v>315</v>
      </c>
      <c r="K29" s="5" t="s">
        <v>50</v>
      </c>
      <c r="L29" s="129">
        <v>44948</v>
      </c>
      <c r="M29" s="20">
        <v>1923.54</v>
      </c>
      <c r="N29" s="128">
        <v>15.61</v>
      </c>
      <c r="O29" s="20">
        <v>365.01921844971173</v>
      </c>
      <c r="P29" s="128">
        <v>12.000631839442576</v>
      </c>
      <c r="Q29" s="122">
        <v>123.22485586162716</v>
      </c>
      <c r="R29" s="121">
        <v>10.268197334128942</v>
      </c>
      <c r="S29" s="121">
        <v>123.21836800954731</v>
      </c>
      <c r="T29" s="121">
        <v>14.457641536437974</v>
      </c>
      <c r="U29" s="20">
        <v>17814.469953869309</v>
      </c>
    </row>
    <row r="30" spans="2:21" x14ac:dyDescent="0.25">
      <c r="B30" s="5">
        <v>2024</v>
      </c>
      <c r="C30" s="5">
        <v>1</v>
      </c>
      <c r="D30" s="5" t="s">
        <v>22</v>
      </c>
      <c r="E30" s="127">
        <v>45315</v>
      </c>
      <c r="F30" s="5" t="s">
        <v>32</v>
      </c>
      <c r="G30" s="5" t="s">
        <v>33</v>
      </c>
      <c r="H30" s="5" t="s">
        <v>7</v>
      </c>
      <c r="I30">
        <v>2022</v>
      </c>
      <c r="J30" s="5" t="s">
        <v>315</v>
      </c>
      <c r="K30" s="5" t="s">
        <v>50</v>
      </c>
      <c r="L30" s="129">
        <v>44944</v>
      </c>
      <c r="M30" s="20">
        <v>1868.28</v>
      </c>
      <c r="N30" s="128">
        <v>16.63</v>
      </c>
      <c r="O30" s="20">
        <v>369.96151533373364</v>
      </c>
      <c r="P30" s="128">
        <v>12.163118312341929</v>
      </c>
      <c r="Q30" s="122">
        <v>112.34395670475045</v>
      </c>
      <c r="R30" s="121">
        <v>9.2364436339285572</v>
      </c>
      <c r="S30" s="121">
        <v>110.83732360714269</v>
      </c>
      <c r="T30" s="121">
        <v>14.197419233369731</v>
      </c>
      <c r="U30" s="20">
        <v>15736.039499552726</v>
      </c>
    </row>
    <row r="31" spans="2:21" x14ac:dyDescent="0.25">
      <c r="B31" s="5">
        <v>2024</v>
      </c>
      <c r="C31" s="5">
        <v>1</v>
      </c>
      <c r="D31" s="5" t="s">
        <v>22</v>
      </c>
      <c r="E31" s="127">
        <v>45315</v>
      </c>
      <c r="F31" s="5" t="s">
        <v>32</v>
      </c>
      <c r="G31" s="5" t="s">
        <v>36</v>
      </c>
      <c r="H31" s="5" t="s">
        <v>3</v>
      </c>
      <c r="I31">
        <v>2022</v>
      </c>
      <c r="J31" s="5" t="s">
        <v>315</v>
      </c>
      <c r="K31" s="5" t="s">
        <v>50</v>
      </c>
      <c r="L31" s="129">
        <v>44931</v>
      </c>
      <c r="M31" s="20">
        <v>2621.17</v>
      </c>
      <c r="N31" s="128">
        <v>20.7</v>
      </c>
      <c r="O31" s="20">
        <v>382.1816425120773</v>
      </c>
      <c r="P31" s="128">
        <v>12.564875918205281</v>
      </c>
      <c r="Q31" s="122">
        <v>126.62657004830919</v>
      </c>
      <c r="R31" s="121">
        <v>10.077820972735562</v>
      </c>
      <c r="S31" s="121">
        <v>120.93385167282675</v>
      </c>
      <c r="T31" s="121">
        <v>14.421444254924289</v>
      </c>
      <c r="U31" s="20">
        <v>17440.408004329533</v>
      </c>
    </row>
    <row r="32" spans="2:21" x14ac:dyDescent="0.25">
      <c r="B32" s="5">
        <v>2024</v>
      </c>
      <c r="C32" s="5">
        <v>1</v>
      </c>
      <c r="D32" s="5" t="s">
        <v>22</v>
      </c>
      <c r="E32" s="127">
        <v>45317</v>
      </c>
      <c r="F32" s="5" t="s">
        <v>25</v>
      </c>
      <c r="G32" s="5" t="s">
        <v>28</v>
      </c>
      <c r="H32" s="5" t="s">
        <v>3</v>
      </c>
      <c r="I32">
        <v>2023</v>
      </c>
      <c r="J32" s="5" t="s">
        <v>315</v>
      </c>
      <c r="K32" s="5" t="s">
        <v>50</v>
      </c>
      <c r="L32" s="129">
        <v>44925</v>
      </c>
      <c r="M32" s="20">
        <v>2460.8689999999901</v>
      </c>
      <c r="N32" s="128">
        <v>17.97</v>
      </c>
      <c r="O32" s="20">
        <v>391.62826933778467</v>
      </c>
      <c r="P32" s="128">
        <v>12.875449950831277</v>
      </c>
      <c r="Q32" s="122">
        <v>136.94318308291543</v>
      </c>
      <c r="R32" s="121">
        <v>10.635992031802662</v>
      </c>
      <c r="S32" s="121">
        <v>127.63190438163194</v>
      </c>
      <c r="T32" s="121">
        <v>13.676859624994316</v>
      </c>
      <c r="U32" s="20">
        <v>17456.036398982771</v>
      </c>
    </row>
    <row r="33" spans="2:21" x14ac:dyDescent="0.25">
      <c r="B33" s="5">
        <v>2024</v>
      </c>
      <c r="C33" s="5">
        <v>1</v>
      </c>
      <c r="D33" s="5" t="s">
        <v>22</v>
      </c>
      <c r="E33" s="127">
        <v>45318</v>
      </c>
      <c r="F33" s="5" t="s">
        <v>32</v>
      </c>
      <c r="G33" s="5" t="s">
        <v>36</v>
      </c>
      <c r="H33" s="5" t="s">
        <v>7</v>
      </c>
      <c r="I33">
        <v>2022</v>
      </c>
      <c r="J33" s="5" t="s">
        <v>315</v>
      </c>
      <c r="K33" s="5" t="s">
        <v>50</v>
      </c>
      <c r="L33" s="129">
        <v>44939</v>
      </c>
      <c r="M33" s="20">
        <v>2432.8599999999901</v>
      </c>
      <c r="N33" s="128">
        <v>19.600000000000001</v>
      </c>
      <c r="O33" s="20">
        <v>378.47448979591837</v>
      </c>
      <c r="P33" s="128">
        <v>12.442996924797317</v>
      </c>
      <c r="Q33" s="122">
        <v>124.12551020408112</v>
      </c>
      <c r="R33" s="121">
        <v>9.9755316949982298</v>
      </c>
      <c r="S33" s="121">
        <v>119.70638033997875</v>
      </c>
      <c r="T33" s="121">
        <v>14.393514950831589</v>
      </c>
      <c r="U33" s="20">
        <v>17229.955751334168</v>
      </c>
    </row>
    <row r="34" spans="2:21" x14ac:dyDescent="0.25">
      <c r="B34" s="5">
        <v>2024</v>
      </c>
      <c r="C34" s="5">
        <v>1</v>
      </c>
      <c r="D34" s="5" t="s">
        <v>22</v>
      </c>
      <c r="E34" s="127">
        <v>45319</v>
      </c>
      <c r="F34" s="5" t="s">
        <v>23</v>
      </c>
      <c r="G34" s="5" t="s">
        <v>9</v>
      </c>
      <c r="H34" s="5" t="s">
        <v>5</v>
      </c>
      <c r="I34">
        <v>2023</v>
      </c>
      <c r="J34" s="5" t="s">
        <v>381</v>
      </c>
      <c r="K34" s="5" t="s">
        <v>50</v>
      </c>
      <c r="L34" s="129">
        <v>44921</v>
      </c>
      <c r="M34" s="20">
        <v>2654.96</v>
      </c>
      <c r="N34" s="128">
        <v>20.6</v>
      </c>
      <c r="O34" s="20">
        <v>392.22572815533931</v>
      </c>
      <c r="P34" s="128">
        <v>12.895092432504306</v>
      </c>
      <c r="Q34" s="122">
        <v>128.88155339805826</v>
      </c>
      <c r="R34" s="121">
        <v>9.994620362176704</v>
      </c>
      <c r="S34" s="121">
        <v>119.93544434612045</v>
      </c>
      <c r="T34" s="121">
        <v>14.562796690488744</v>
      </c>
      <c r="U34" s="20">
        <v>17465.954919959797</v>
      </c>
    </row>
    <row r="35" spans="2:21" x14ac:dyDescent="0.25">
      <c r="B35" s="5">
        <v>2024</v>
      </c>
      <c r="C35" s="5">
        <v>1</v>
      </c>
      <c r="D35" s="5" t="s">
        <v>22</v>
      </c>
      <c r="E35" s="127">
        <v>45319</v>
      </c>
      <c r="F35" s="5" t="s">
        <v>32</v>
      </c>
      <c r="G35" s="5" t="s">
        <v>36</v>
      </c>
      <c r="H35" s="5" t="s">
        <v>5</v>
      </c>
      <c r="I35">
        <v>2022</v>
      </c>
      <c r="J35" s="5" t="s">
        <v>315</v>
      </c>
      <c r="K35" s="5" t="s">
        <v>50</v>
      </c>
      <c r="L35" s="129">
        <v>44933</v>
      </c>
      <c r="M35" s="20">
        <v>3049.74</v>
      </c>
      <c r="N35" s="128">
        <v>23.46</v>
      </c>
      <c r="O35" s="20">
        <v>383.08397271952254</v>
      </c>
      <c r="P35" s="128">
        <v>12.594541568861015</v>
      </c>
      <c r="Q35" s="122">
        <v>129.99744245524295</v>
      </c>
      <c r="R35" s="121">
        <v>10.321728801677951</v>
      </c>
      <c r="S35" s="121">
        <v>123.86074562013542</v>
      </c>
      <c r="T35" s="121">
        <v>14.271627028956567</v>
      </c>
      <c r="U35" s="20">
        <v>17676.943650190384</v>
      </c>
    </row>
    <row r="36" spans="2:21" x14ac:dyDescent="0.25">
      <c r="B36" s="5">
        <v>2024</v>
      </c>
      <c r="C36" s="5">
        <v>1</v>
      </c>
      <c r="D36" s="5" t="s">
        <v>22</v>
      </c>
      <c r="E36" s="127">
        <v>45321</v>
      </c>
      <c r="F36" s="5" t="s">
        <v>24</v>
      </c>
      <c r="G36" s="5" t="s">
        <v>13</v>
      </c>
      <c r="H36" s="5" t="s">
        <v>8</v>
      </c>
      <c r="I36">
        <v>2022</v>
      </c>
      <c r="J36" s="5" t="s">
        <v>289</v>
      </c>
      <c r="K36" s="5" t="s">
        <v>50</v>
      </c>
      <c r="L36" s="129">
        <v>44895</v>
      </c>
      <c r="M36" s="20">
        <v>2374.4699999999998</v>
      </c>
      <c r="N36" s="128">
        <v>18</v>
      </c>
      <c r="O36" s="20">
        <v>425.59222222222223</v>
      </c>
      <c r="P36" s="128">
        <v>13.992073059360731</v>
      </c>
      <c r="Q36" s="122">
        <v>131.91499999999999</v>
      </c>
      <c r="R36" s="121">
        <v>9.4278381366618529</v>
      </c>
      <c r="S36" s="121">
        <v>113.13405763994224</v>
      </c>
      <c r="T36" s="121">
        <v>13.774458961688294</v>
      </c>
      <c r="U36" s="20">
        <v>15583.604341306625</v>
      </c>
    </row>
    <row r="37" spans="2:21" x14ac:dyDescent="0.25">
      <c r="B37" s="5">
        <v>2024</v>
      </c>
      <c r="C37" s="5">
        <v>1</v>
      </c>
      <c r="D37" s="5" t="s">
        <v>22</v>
      </c>
      <c r="E37" s="127">
        <v>45321</v>
      </c>
      <c r="F37" s="5" t="s">
        <v>24</v>
      </c>
      <c r="G37" s="5" t="s">
        <v>15</v>
      </c>
      <c r="H37" s="5" t="s">
        <v>7</v>
      </c>
      <c r="I37">
        <v>2022</v>
      </c>
      <c r="J37" s="5" t="s">
        <v>283</v>
      </c>
      <c r="K37" s="5" t="s">
        <v>50</v>
      </c>
      <c r="L37" s="129">
        <v>44894</v>
      </c>
      <c r="M37" s="20">
        <v>2762.9180000000001</v>
      </c>
      <c r="N37" s="128">
        <v>19.68</v>
      </c>
      <c r="O37" s="20">
        <v>417.28302845528452</v>
      </c>
      <c r="P37" s="128">
        <v>13.718894086201136</v>
      </c>
      <c r="Q37" s="122">
        <v>140.39217479674798</v>
      </c>
      <c r="R37" s="121">
        <v>10.233490681873441</v>
      </c>
      <c r="S37" s="121">
        <v>122.80188818248129</v>
      </c>
      <c r="T37" s="121">
        <v>13.868326032907961</v>
      </c>
      <c r="U37" s="20">
        <v>17030.566227713578</v>
      </c>
    </row>
    <row r="38" spans="2:21" x14ac:dyDescent="0.25">
      <c r="B38" s="5">
        <v>2024</v>
      </c>
      <c r="C38" s="5">
        <v>1</v>
      </c>
      <c r="D38" s="5" t="s">
        <v>22</v>
      </c>
      <c r="E38" s="127">
        <v>45321</v>
      </c>
      <c r="F38" s="5" t="s">
        <v>25</v>
      </c>
      <c r="G38" s="5" t="s">
        <v>21</v>
      </c>
      <c r="H38" s="5" t="s">
        <v>5</v>
      </c>
      <c r="I38">
        <v>2022</v>
      </c>
      <c r="J38" s="5" t="s">
        <v>304</v>
      </c>
      <c r="K38" s="5" t="s">
        <v>50</v>
      </c>
      <c r="L38" s="129">
        <v>44902</v>
      </c>
      <c r="M38" s="20">
        <v>1667.741</v>
      </c>
      <c r="N38" s="128">
        <v>18.72</v>
      </c>
      <c r="O38" s="20">
        <v>413.47382478632477</v>
      </c>
      <c r="P38" s="128">
        <v>13.593659992975061</v>
      </c>
      <c r="Q38" s="122">
        <v>89.088728632478634</v>
      </c>
      <c r="R38" s="121">
        <v>6.5536969939308447</v>
      </c>
      <c r="S38" s="121">
        <v>78.644363927170133</v>
      </c>
      <c r="T38" s="121">
        <v>15.40976980967902</v>
      </c>
      <c r="U38" s="20">
        <v>12118.915449463162</v>
      </c>
    </row>
    <row r="39" spans="2:21" x14ac:dyDescent="0.25">
      <c r="B39" s="5">
        <v>2024</v>
      </c>
      <c r="C39" s="5">
        <v>1</v>
      </c>
      <c r="D39" s="5" t="s">
        <v>22</v>
      </c>
      <c r="E39" s="127">
        <v>45321</v>
      </c>
      <c r="F39" s="5" t="s">
        <v>25</v>
      </c>
      <c r="G39" s="5" t="s">
        <v>27</v>
      </c>
      <c r="H39" s="5" t="s">
        <v>8</v>
      </c>
      <c r="I39">
        <v>2022</v>
      </c>
      <c r="J39" s="5" t="s">
        <v>304</v>
      </c>
      <c r="K39" s="5" t="s">
        <v>50</v>
      </c>
      <c r="L39" s="129">
        <v>44861</v>
      </c>
      <c r="M39" s="20">
        <v>2493.6099999999901</v>
      </c>
      <c r="N39" s="128">
        <v>20.45</v>
      </c>
      <c r="O39" s="20">
        <v>454.85574572127138</v>
      </c>
      <c r="P39" s="128">
        <v>14.954161503165086</v>
      </c>
      <c r="Q39" s="122">
        <v>121.93691931540295</v>
      </c>
      <c r="R39" s="121">
        <v>8.1540459015100701</v>
      </c>
      <c r="S39" s="121">
        <v>97.848550818120842</v>
      </c>
      <c r="T39" s="121">
        <v>14.562912811526321</v>
      </c>
      <c r="U39" s="20">
        <v>14249.599142984962</v>
      </c>
    </row>
    <row r="40" spans="2:21" x14ac:dyDescent="0.25">
      <c r="B40" s="5">
        <v>2024</v>
      </c>
      <c r="C40" s="5">
        <v>1</v>
      </c>
      <c r="D40" s="5" t="s">
        <v>22</v>
      </c>
      <c r="E40" s="127">
        <v>45321</v>
      </c>
      <c r="F40" s="5" t="s">
        <v>32</v>
      </c>
      <c r="G40" s="5" t="s">
        <v>36</v>
      </c>
      <c r="H40" s="5" t="s">
        <v>4</v>
      </c>
      <c r="I40">
        <v>2022</v>
      </c>
      <c r="J40" s="5" t="s">
        <v>315</v>
      </c>
      <c r="K40" s="5" t="s">
        <v>50</v>
      </c>
      <c r="L40" s="129">
        <v>44932</v>
      </c>
      <c r="M40" s="20">
        <v>2741.31</v>
      </c>
      <c r="N40" s="128">
        <v>18.8</v>
      </c>
      <c r="O40" s="20">
        <v>383.72978723404253</v>
      </c>
      <c r="P40" s="128">
        <v>12.615773826872632</v>
      </c>
      <c r="Q40" s="122">
        <v>145.81436170212766</v>
      </c>
      <c r="R40" s="121">
        <v>11.558098908806619</v>
      </c>
      <c r="S40" s="121">
        <v>138.69718690567942</v>
      </c>
      <c r="T40" s="121">
        <v>14.049299656397853</v>
      </c>
      <c r="U40" s="20">
        <v>19485.983403373106</v>
      </c>
    </row>
    <row r="41" spans="2:21" x14ac:dyDescent="0.25">
      <c r="B41" s="5">
        <v>2024</v>
      </c>
      <c r="C41" s="5">
        <v>1</v>
      </c>
      <c r="D41" s="5" t="s">
        <v>22</v>
      </c>
      <c r="E41" s="127">
        <v>45321</v>
      </c>
      <c r="F41" s="5" t="s">
        <v>32</v>
      </c>
      <c r="G41" s="5" t="s">
        <v>36</v>
      </c>
      <c r="H41" s="5" t="s">
        <v>6</v>
      </c>
      <c r="I41">
        <v>2022</v>
      </c>
      <c r="J41" s="5" t="s">
        <v>315</v>
      </c>
      <c r="K41" s="5" t="s">
        <v>50</v>
      </c>
      <c r="L41" s="129">
        <v>44938</v>
      </c>
      <c r="M41" s="20">
        <v>2683.7599999999902</v>
      </c>
      <c r="N41" s="128">
        <v>19.07</v>
      </c>
      <c r="O41" s="20">
        <v>380.90980597797585</v>
      </c>
      <c r="P41" s="128">
        <v>12.523062114344413</v>
      </c>
      <c r="Q41" s="122">
        <v>140.73203985317201</v>
      </c>
      <c r="R41" s="121">
        <v>11.237829739099668</v>
      </c>
      <c r="S41" s="121">
        <v>134.85395686919603</v>
      </c>
      <c r="T41" s="121">
        <v>13.720327015068461</v>
      </c>
      <c r="U41" s="20">
        <v>18502.403875213073</v>
      </c>
    </row>
    <row r="42" spans="2:21" x14ac:dyDescent="0.25">
      <c r="B42" s="5">
        <v>2024</v>
      </c>
      <c r="C42" s="5">
        <v>1</v>
      </c>
      <c r="D42" s="5" t="s">
        <v>22</v>
      </c>
      <c r="E42" s="127">
        <v>45322</v>
      </c>
      <c r="F42" s="5" t="s">
        <v>23</v>
      </c>
      <c r="G42" s="5" t="s">
        <v>2</v>
      </c>
      <c r="H42" s="5" t="s">
        <v>6</v>
      </c>
      <c r="I42">
        <v>2023</v>
      </c>
      <c r="J42" s="5" t="s">
        <v>545</v>
      </c>
      <c r="K42" s="5" t="s">
        <v>79</v>
      </c>
      <c r="L42" s="129">
        <v>44905</v>
      </c>
      <c r="M42" s="20">
        <v>502.65</v>
      </c>
      <c r="N42" s="128">
        <v>5.2799999999999896</v>
      </c>
      <c r="O42" s="20">
        <v>416.68750000000085</v>
      </c>
      <c r="P42" s="128">
        <v>13.699315068493178</v>
      </c>
      <c r="Q42" s="122">
        <v>95.198863636363825</v>
      </c>
      <c r="R42" s="121">
        <v>6.9491695869751959</v>
      </c>
      <c r="S42" s="121">
        <v>83.390035043702355</v>
      </c>
      <c r="T42" s="121">
        <v>14.484197711608475</v>
      </c>
      <c r="U42" s="20">
        <v>12078.377547509443</v>
      </c>
    </row>
    <row r="43" spans="2:21" x14ac:dyDescent="0.25">
      <c r="B43" s="5">
        <v>2024</v>
      </c>
      <c r="C43" s="5">
        <v>1</v>
      </c>
      <c r="D43" s="5" t="s">
        <v>22</v>
      </c>
      <c r="E43" s="127">
        <v>45322</v>
      </c>
      <c r="F43" s="5" t="s">
        <v>23</v>
      </c>
      <c r="G43" s="5" t="s">
        <v>11</v>
      </c>
      <c r="H43" s="5" t="s">
        <v>6</v>
      </c>
      <c r="I43">
        <v>2023</v>
      </c>
      <c r="J43" s="5" t="s">
        <v>289</v>
      </c>
      <c r="K43" s="5" t="s">
        <v>50</v>
      </c>
      <c r="L43" s="129">
        <v>44907</v>
      </c>
      <c r="M43" s="20">
        <v>1867.89</v>
      </c>
      <c r="N43" s="128">
        <v>13.17</v>
      </c>
      <c r="O43" s="20">
        <v>406.69703872437356</v>
      </c>
      <c r="P43" s="128">
        <v>13.370861547102692</v>
      </c>
      <c r="Q43" s="122">
        <v>141.82915717539865</v>
      </c>
      <c r="R43" s="121">
        <v>10.607331223628695</v>
      </c>
      <c r="S43" s="121">
        <v>127.28797468354433</v>
      </c>
      <c r="T43" s="121">
        <v>13.505762661404043</v>
      </c>
      <c r="U43" s="20">
        <v>17191.211757267563</v>
      </c>
    </row>
    <row r="44" spans="2:21" x14ac:dyDescent="0.25">
      <c r="B44" s="5">
        <v>2024</v>
      </c>
      <c r="C44" s="5">
        <v>1</v>
      </c>
      <c r="D44" s="5" t="s">
        <v>22</v>
      </c>
      <c r="E44" s="127">
        <v>45322</v>
      </c>
      <c r="F44" s="5" t="s">
        <v>24</v>
      </c>
      <c r="G44" s="5" t="s">
        <v>13</v>
      </c>
      <c r="H44" s="5" t="s">
        <v>5</v>
      </c>
      <c r="I44">
        <v>2022</v>
      </c>
      <c r="J44" s="5" t="s">
        <v>68</v>
      </c>
      <c r="K44" s="5" t="s">
        <v>50</v>
      </c>
      <c r="L44" s="129">
        <v>44898</v>
      </c>
      <c r="M44" s="20">
        <v>1748.98</v>
      </c>
      <c r="N44" s="128">
        <v>11.87</v>
      </c>
      <c r="O44" s="20">
        <v>423.69165964616684</v>
      </c>
      <c r="P44" s="128">
        <v>13.929588810284937</v>
      </c>
      <c r="Q44" s="122">
        <v>147.34456613310869</v>
      </c>
      <c r="R44" s="121">
        <v>10.577811602329321</v>
      </c>
      <c r="S44" s="121">
        <v>126.93373922795185</v>
      </c>
      <c r="T44" s="121">
        <v>13.520089498907936</v>
      </c>
      <c r="U44" s="20">
        <v>17161.555147929499</v>
      </c>
    </row>
    <row r="45" spans="2:21" x14ac:dyDescent="0.25">
      <c r="B45" s="5">
        <v>2024</v>
      </c>
      <c r="C45" s="5">
        <v>1</v>
      </c>
      <c r="D45" s="5" t="s">
        <v>22</v>
      </c>
      <c r="E45" s="127">
        <v>45322</v>
      </c>
      <c r="F45" s="5" t="s">
        <v>24</v>
      </c>
      <c r="G45" s="5" t="s">
        <v>15</v>
      </c>
      <c r="H45" s="5" t="s">
        <v>8</v>
      </c>
      <c r="I45">
        <v>2022</v>
      </c>
      <c r="J45" s="5" t="s">
        <v>283</v>
      </c>
      <c r="K45" s="5" t="s">
        <v>50</v>
      </c>
      <c r="L45" s="129">
        <v>44898</v>
      </c>
      <c r="M45" s="20">
        <v>2447.83</v>
      </c>
      <c r="N45" s="128">
        <v>16.149999999999999</v>
      </c>
      <c r="O45" s="20">
        <v>413.76099071207432</v>
      </c>
      <c r="P45" s="128">
        <v>13.603101064506554</v>
      </c>
      <c r="Q45" s="122">
        <v>151.56842105263158</v>
      </c>
      <c r="R45" s="121">
        <v>11.1421962046659</v>
      </c>
      <c r="S45" s="121">
        <v>133.70635445599081</v>
      </c>
      <c r="T45" s="121">
        <v>13.998881002312253</v>
      </c>
      <c r="U45" s="20">
        <v>18717.393452823977</v>
      </c>
    </row>
    <row r="46" spans="2:21" x14ac:dyDescent="0.25">
      <c r="B46" s="5">
        <v>2024</v>
      </c>
      <c r="C46" s="5">
        <v>1</v>
      </c>
      <c r="D46" s="5" t="s">
        <v>22</v>
      </c>
      <c r="E46" s="127">
        <v>45322</v>
      </c>
      <c r="F46" s="5" t="s">
        <v>25</v>
      </c>
      <c r="G46" s="5" t="s">
        <v>27</v>
      </c>
      <c r="H46" s="5" t="s">
        <v>7</v>
      </c>
      <c r="I46">
        <v>2022</v>
      </c>
      <c r="J46" s="5" t="s">
        <v>304</v>
      </c>
      <c r="K46" s="5" t="s">
        <v>50</v>
      </c>
      <c r="L46" s="129">
        <v>44872</v>
      </c>
      <c r="M46" s="20">
        <v>2521.54</v>
      </c>
      <c r="N46" s="128">
        <v>21.96</v>
      </c>
      <c r="O46" s="20">
        <v>446.0295992714025</v>
      </c>
      <c r="P46" s="128">
        <v>14.663986825361178</v>
      </c>
      <c r="Q46" s="122">
        <v>114.82422586520947</v>
      </c>
      <c r="R46" s="121">
        <v>7.8303552255395132</v>
      </c>
      <c r="S46" s="121">
        <v>93.964262706474159</v>
      </c>
      <c r="T46" s="121">
        <v>14.532078906001887</v>
      </c>
      <c r="U46" s="20">
        <v>13654.96079994773</v>
      </c>
    </row>
    <row r="47" spans="2:21" x14ac:dyDescent="0.25">
      <c r="B47" s="5">
        <v>2024</v>
      </c>
      <c r="C47" s="5">
        <v>1</v>
      </c>
      <c r="D47" s="5" t="s">
        <v>19</v>
      </c>
      <c r="E47" s="127">
        <v>45294</v>
      </c>
      <c r="F47" s="5" t="s">
        <v>20</v>
      </c>
      <c r="G47" s="5" t="s">
        <v>15</v>
      </c>
      <c r="H47" s="5" t="s">
        <v>5</v>
      </c>
      <c r="I47">
        <v>2022</v>
      </c>
      <c r="J47" s="5" t="s">
        <v>64</v>
      </c>
      <c r="K47" s="5" t="s">
        <v>50</v>
      </c>
      <c r="L47" s="129">
        <v>44889</v>
      </c>
      <c r="M47" s="20">
        <v>2911.06</v>
      </c>
      <c r="N47" s="128">
        <v>30.819999999999901</v>
      </c>
      <c r="O47" s="20">
        <v>403.92699545749321</v>
      </c>
      <c r="P47" s="128">
        <v>13.279791631479229</v>
      </c>
      <c r="Q47" s="122">
        <v>94.453601557430545</v>
      </c>
      <c r="R47" s="121">
        <v>7.1125815960494414</v>
      </c>
      <c r="S47" s="121">
        <v>85.350979152593297</v>
      </c>
      <c r="T47" s="121">
        <v>15.048600742684794</v>
      </c>
      <c r="U47" s="20">
        <v>12844.128082645897</v>
      </c>
    </row>
    <row r="48" spans="2:21" x14ac:dyDescent="0.25">
      <c r="B48" s="5">
        <v>2024</v>
      </c>
      <c r="C48" s="5">
        <v>1</v>
      </c>
      <c r="D48" s="5" t="s">
        <v>19</v>
      </c>
      <c r="E48" s="127">
        <v>45299</v>
      </c>
      <c r="F48" s="5" t="s">
        <v>20</v>
      </c>
      <c r="G48" s="5" t="s">
        <v>11</v>
      </c>
      <c r="H48" s="5" t="s">
        <v>6</v>
      </c>
      <c r="I48">
        <v>2022</v>
      </c>
      <c r="J48" s="5" t="s">
        <v>304</v>
      </c>
      <c r="K48" s="5" t="s">
        <v>50</v>
      </c>
      <c r="L48" s="129">
        <v>44915</v>
      </c>
      <c r="M48" s="20">
        <v>4022.6299999999901</v>
      </c>
      <c r="N48" s="128">
        <v>35.659999999999997</v>
      </c>
      <c r="O48" s="20">
        <v>382.84604598990194</v>
      </c>
      <c r="P48" s="128">
        <v>12.586719320215954</v>
      </c>
      <c r="Q48" s="122">
        <v>112.80510375771145</v>
      </c>
      <c r="R48" s="121">
        <v>8.9622324044782165</v>
      </c>
      <c r="S48" s="121">
        <v>107.5467888537386</v>
      </c>
      <c r="T48" s="121">
        <v>13.785105623488647</v>
      </c>
      <c r="U48" s="20">
        <v>14825.438438158182</v>
      </c>
    </row>
    <row r="49" spans="2:21" x14ac:dyDescent="0.25">
      <c r="B49" s="5">
        <v>2024</v>
      </c>
      <c r="C49" s="5">
        <v>1</v>
      </c>
      <c r="D49" s="5" t="s">
        <v>19</v>
      </c>
      <c r="E49" s="127">
        <v>45302</v>
      </c>
      <c r="F49" s="5" t="s">
        <v>20</v>
      </c>
      <c r="G49" s="5" t="s">
        <v>21</v>
      </c>
      <c r="H49" s="5" t="s">
        <v>3</v>
      </c>
      <c r="I49">
        <v>2022</v>
      </c>
      <c r="J49" s="5" t="s">
        <v>283</v>
      </c>
      <c r="K49" s="5" t="s">
        <v>50</v>
      </c>
      <c r="L49" s="129">
        <v>44895</v>
      </c>
      <c r="M49" s="20">
        <v>3605.62</v>
      </c>
      <c r="N49" s="128">
        <v>27.5</v>
      </c>
      <c r="O49" s="20">
        <v>404.83418181818183</v>
      </c>
      <c r="P49" s="128">
        <v>13.309616936488171</v>
      </c>
      <c r="Q49" s="122">
        <v>131.11345454545454</v>
      </c>
      <c r="R49" s="121">
        <v>9.8510314136846748</v>
      </c>
      <c r="S49" s="121">
        <v>118.21237696421611</v>
      </c>
      <c r="T49" s="121">
        <v>14.471264338726739</v>
      </c>
      <c r="U49" s="20">
        <v>17106.825551583828</v>
      </c>
    </row>
    <row r="50" spans="2:21" x14ac:dyDescent="0.25">
      <c r="B50" s="5">
        <v>2024</v>
      </c>
      <c r="C50" s="5">
        <v>1</v>
      </c>
      <c r="D50" s="5" t="s">
        <v>19</v>
      </c>
      <c r="E50" s="127">
        <v>45303</v>
      </c>
      <c r="F50" s="5" t="s">
        <v>20</v>
      </c>
      <c r="G50" s="5" t="s">
        <v>11</v>
      </c>
      <c r="H50" s="5" t="s">
        <v>7</v>
      </c>
      <c r="I50">
        <v>2022</v>
      </c>
      <c r="J50" s="5" t="s">
        <v>304</v>
      </c>
      <c r="K50" s="5" t="s">
        <v>50</v>
      </c>
      <c r="L50" s="129">
        <v>44916</v>
      </c>
      <c r="M50" s="20">
        <v>1240.8899999999901</v>
      </c>
      <c r="N50" s="128">
        <v>10.719999999999899</v>
      </c>
      <c r="O50" s="20">
        <v>385.63526119403349</v>
      </c>
      <c r="P50" s="128">
        <v>12.678419546105211</v>
      </c>
      <c r="Q50" s="122">
        <v>115.75466417910464</v>
      </c>
      <c r="R50" s="121">
        <v>9.1300547168487007</v>
      </c>
      <c r="S50" s="121">
        <v>109.56065660218441</v>
      </c>
      <c r="T50" s="121">
        <v>14.808943208100755</v>
      </c>
      <c r="U50" s="20">
        <v>16224.77541463978</v>
      </c>
    </row>
    <row r="51" spans="2:21" x14ac:dyDescent="0.25">
      <c r="B51" s="5">
        <v>2024</v>
      </c>
      <c r="C51" s="5">
        <v>1</v>
      </c>
      <c r="D51" s="5" t="s">
        <v>19</v>
      </c>
      <c r="E51" s="127">
        <v>45307</v>
      </c>
      <c r="F51" s="5" t="s">
        <v>20</v>
      </c>
      <c r="G51" s="5" t="s">
        <v>14</v>
      </c>
      <c r="H51" s="5" t="s">
        <v>5</v>
      </c>
      <c r="I51">
        <v>2022</v>
      </c>
      <c r="J51" s="5" t="s">
        <v>63</v>
      </c>
      <c r="K51" s="5" t="s">
        <v>50</v>
      </c>
      <c r="L51" s="129">
        <v>44814</v>
      </c>
      <c r="M51" s="20">
        <v>2826.6550000000002</v>
      </c>
      <c r="N51" s="128">
        <v>15.219999999999899</v>
      </c>
      <c r="O51" s="20">
        <v>483.43101182654721</v>
      </c>
      <c r="P51" s="128">
        <v>15.893622306626211</v>
      </c>
      <c r="Q51" s="122">
        <v>185.7197766097253</v>
      </c>
      <c r="R51" s="121">
        <v>11.685176168575296</v>
      </c>
      <c r="S51" s="121">
        <v>140.22211402290355</v>
      </c>
      <c r="T51" s="121">
        <v>13.71293586969616</v>
      </c>
      <c r="U51" s="20">
        <v>19228.56857109299</v>
      </c>
    </row>
    <row r="52" spans="2:21" x14ac:dyDescent="0.25">
      <c r="B52" s="5">
        <v>2024</v>
      </c>
      <c r="C52" s="5">
        <v>1</v>
      </c>
      <c r="D52" s="5" t="s">
        <v>19</v>
      </c>
      <c r="E52" s="127">
        <v>45309</v>
      </c>
      <c r="F52" s="5" t="s">
        <v>20</v>
      </c>
      <c r="G52" s="5" t="s">
        <v>15</v>
      </c>
      <c r="H52" s="5" t="s">
        <v>3</v>
      </c>
      <c r="I52">
        <v>2022</v>
      </c>
      <c r="J52" s="5" t="s">
        <v>64</v>
      </c>
      <c r="K52" s="5" t="s">
        <v>50</v>
      </c>
      <c r="L52" s="129">
        <v>44881</v>
      </c>
      <c r="M52" s="20">
        <v>2824.05599999999</v>
      </c>
      <c r="N52" s="128">
        <v>27.259999999999899</v>
      </c>
      <c r="O52" s="20">
        <v>415.54842259720994</v>
      </c>
      <c r="P52" s="128">
        <v>13.661865948401422</v>
      </c>
      <c r="Q52" s="122">
        <v>103.59706529713868</v>
      </c>
      <c r="R52" s="121">
        <v>7.5829367443954894</v>
      </c>
      <c r="S52" s="121">
        <v>90.995240932745872</v>
      </c>
      <c r="T52" s="121">
        <v>14.552393633954193</v>
      </c>
      <c r="U52" s="20">
        <v>13241.98564869819</v>
      </c>
    </row>
    <row r="53" spans="2:21" x14ac:dyDescent="0.25">
      <c r="B53" s="5">
        <v>2024</v>
      </c>
      <c r="C53" s="5">
        <v>1</v>
      </c>
      <c r="D53" s="5" t="s">
        <v>84</v>
      </c>
      <c r="E53" s="127">
        <v>45302</v>
      </c>
      <c r="F53" s="5" t="s">
        <v>459</v>
      </c>
      <c r="G53" s="5" t="s">
        <v>2</v>
      </c>
      <c r="H53" s="5" t="s">
        <v>3</v>
      </c>
      <c r="I53">
        <v>2022</v>
      </c>
      <c r="J53" s="5" t="s">
        <v>63</v>
      </c>
      <c r="K53" s="5" t="s">
        <v>50</v>
      </c>
      <c r="L53" s="129">
        <v>44789</v>
      </c>
      <c r="M53" s="20">
        <v>1357.67</v>
      </c>
      <c r="N53" s="128">
        <v>8.2799999999999994</v>
      </c>
      <c r="O53" s="20">
        <v>511.67753623188406</v>
      </c>
      <c r="P53" s="128">
        <v>16.822275163787971</v>
      </c>
      <c r="Q53" s="122">
        <v>163.96980676328505</v>
      </c>
      <c r="R53" s="121">
        <v>9.7471837291218701</v>
      </c>
      <c r="S53" s="121">
        <v>116.96620474946245</v>
      </c>
      <c r="T53" s="121">
        <v>14.813760776256306</v>
      </c>
      <c r="U53" s="20">
        <v>17327.093760651507</v>
      </c>
    </row>
    <row r="54" spans="2:21" x14ac:dyDescent="0.25">
      <c r="B54" s="5">
        <v>2024</v>
      </c>
      <c r="C54" s="5">
        <v>1</v>
      </c>
      <c r="D54" s="5" t="s">
        <v>84</v>
      </c>
      <c r="E54" s="127">
        <v>45303</v>
      </c>
      <c r="F54" s="5" t="s">
        <v>459</v>
      </c>
      <c r="G54" s="5" t="s">
        <v>2</v>
      </c>
      <c r="H54" s="5" t="s">
        <v>4</v>
      </c>
      <c r="I54">
        <v>2022</v>
      </c>
      <c r="J54" s="5" t="s">
        <v>63</v>
      </c>
      <c r="K54" s="5" t="s">
        <v>50</v>
      </c>
      <c r="L54" s="129">
        <v>44795</v>
      </c>
      <c r="M54" s="20">
        <v>2491.71</v>
      </c>
      <c r="N54" s="128">
        <v>15.12</v>
      </c>
      <c r="O54" s="20">
        <v>506.86640211640213</v>
      </c>
      <c r="P54" s="128">
        <v>16.664100891498151</v>
      </c>
      <c r="Q54" s="122">
        <v>164.79563492063494</v>
      </c>
      <c r="R54" s="121">
        <v>9.8892605123815542</v>
      </c>
      <c r="S54" s="121">
        <v>118.67112614857865</v>
      </c>
      <c r="T54" s="121">
        <v>13.435621968688169</v>
      </c>
      <c r="U54" s="20">
        <v>15944.203895308083</v>
      </c>
    </row>
    <row r="55" spans="2:21" x14ac:dyDescent="0.25">
      <c r="B55" s="5">
        <v>2024</v>
      </c>
      <c r="C55" s="5">
        <v>1</v>
      </c>
      <c r="D55" s="5" t="s">
        <v>84</v>
      </c>
      <c r="E55" s="127">
        <v>45304</v>
      </c>
      <c r="F55" s="5" t="s">
        <v>459</v>
      </c>
      <c r="G55" s="5" t="s">
        <v>2</v>
      </c>
      <c r="H55" s="5" t="s">
        <v>6</v>
      </c>
      <c r="I55">
        <v>2022</v>
      </c>
      <c r="J55" s="5" t="s">
        <v>63</v>
      </c>
      <c r="K55" s="5" t="s">
        <v>50</v>
      </c>
      <c r="L55" s="129">
        <v>44783</v>
      </c>
      <c r="M55" s="20">
        <v>2331.81</v>
      </c>
      <c r="N55" s="128">
        <v>11.83</v>
      </c>
      <c r="O55" s="20">
        <v>520.31191885038038</v>
      </c>
      <c r="P55" s="128">
        <v>17.10614527727278</v>
      </c>
      <c r="Q55" s="122">
        <v>197.1098901098901</v>
      </c>
      <c r="R55" s="121">
        <v>11.522753192782142</v>
      </c>
      <c r="S55" s="121">
        <v>138.27303831338571</v>
      </c>
      <c r="T55" s="121">
        <v>13.442895792967695</v>
      </c>
      <c r="U55" s="20">
        <v>18587.900450238736</v>
      </c>
    </row>
    <row r="56" spans="2:21" x14ac:dyDescent="0.25">
      <c r="B56" s="5">
        <v>2024</v>
      </c>
      <c r="C56" s="5">
        <v>1</v>
      </c>
      <c r="D56" s="5" t="s">
        <v>84</v>
      </c>
      <c r="E56" s="127">
        <v>45307</v>
      </c>
      <c r="F56" s="5" t="s">
        <v>459</v>
      </c>
      <c r="G56" s="5" t="s">
        <v>2</v>
      </c>
      <c r="H56" s="5" t="s">
        <v>5</v>
      </c>
      <c r="I56">
        <v>2022</v>
      </c>
      <c r="J56" s="5" t="s">
        <v>63</v>
      </c>
      <c r="K56" s="5" t="s">
        <v>50</v>
      </c>
      <c r="L56" s="129">
        <v>44788</v>
      </c>
      <c r="M56" s="20">
        <v>715.34</v>
      </c>
      <c r="N56" s="128">
        <v>3.4299999999999899</v>
      </c>
      <c r="O56" s="20">
        <v>517.40524781341264</v>
      </c>
      <c r="P56" s="128">
        <v>17.010583489756034</v>
      </c>
      <c r="Q56" s="122">
        <v>208.55393586005894</v>
      </c>
      <c r="R56" s="121">
        <v>12.26024586315058</v>
      </c>
      <c r="S56" s="121">
        <v>147.12295035780696</v>
      </c>
      <c r="T56" s="121">
        <v>13.215003877219223</v>
      </c>
      <c r="U56" s="20">
        <v>19442.303594063502</v>
      </c>
    </row>
    <row r="57" spans="2:21" x14ac:dyDescent="0.25">
      <c r="B57" s="5">
        <v>2024</v>
      </c>
      <c r="C57" s="134" t="s">
        <v>294</v>
      </c>
      <c r="D57" s="134"/>
      <c r="E57" s="134"/>
      <c r="F57" s="134"/>
      <c r="G57" s="134"/>
      <c r="H57" s="134"/>
      <c r="I57" s="134"/>
      <c r="J57" s="134"/>
      <c r="K57" s="134"/>
      <c r="L57" s="134"/>
      <c r="M57" s="130">
        <v>94593.589999999909</v>
      </c>
      <c r="N57" s="131">
        <v>742.39999999999952</v>
      </c>
      <c r="O57" s="130">
        <v>406.13712284482722</v>
      </c>
      <c r="P57" s="131">
        <v>13.352453353802538</v>
      </c>
      <c r="Q57" s="132">
        <v>127.41593480603444</v>
      </c>
      <c r="R57" s="133">
        <v>9.5425111348356584</v>
      </c>
      <c r="S57" s="133">
        <v>114.51013361802789</v>
      </c>
      <c r="T57" s="133">
        <v>14.264477009146605</v>
      </c>
      <c r="U57" s="130">
        <v>16334.271683086647</v>
      </c>
    </row>
    <row r="58" spans="2:21" x14ac:dyDescent="0.25">
      <c r="B58" s="5">
        <v>2024</v>
      </c>
      <c r="C58" s="5">
        <v>2</v>
      </c>
      <c r="D58" s="5" t="s">
        <v>17</v>
      </c>
      <c r="E58" s="127">
        <v>45337</v>
      </c>
      <c r="F58" s="5" t="s">
        <v>18</v>
      </c>
      <c r="G58" s="5" t="s">
        <v>12</v>
      </c>
      <c r="H58" s="5" t="s">
        <v>3</v>
      </c>
      <c r="I58">
        <v>2021</v>
      </c>
      <c r="J58" s="5" t="s">
        <v>63</v>
      </c>
      <c r="K58" s="5" t="s">
        <v>50</v>
      </c>
      <c r="L58" s="129">
        <v>44865</v>
      </c>
      <c r="M58" s="20">
        <v>3291.69</v>
      </c>
      <c r="N58" s="128">
        <v>25.29</v>
      </c>
      <c r="O58" s="20">
        <v>470.50336101225787</v>
      </c>
      <c r="P58" s="128">
        <v>15.468603649718068</v>
      </c>
      <c r="Q58" s="122">
        <v>130.15776986951366</v>
      </c>
      <c r="R58" s="121">
        <v>8.414319276445223</v>
      </c>
      <c r="S58" s="121">
        <v>100.97183131734268</v>
      </c>
      <c r="T58" s="121">
        <v>13.307687327910587</v>
      </c>
      <c r="U58" s="20">
        <v>13437.015600977265</v>
      </c>
    </row>
    <row r="59" spans="2:21" x14ac:dyDescent="0.25">
      <c r="B59" s="5">
        <v>2024</v>
      </c>
      <c r="C59" s="5">
        <v>2</v>
      </c>
      <c r="D59" s="5" t="s">
        <v>17</v>
      </c>
      <c r="E59" s="127">
        <v>45341</v>
      </c>
      <c r="F59" s="5" t="s">
        <v>18</v>
      </c>
      <c r="G59" s="5" t="s">
        <v>10</v>
      </c>
      <c r="H59" s="5" t="s">
        <v>3</v>
      </c>
      <c r="I59">
        <v>2023</v>
      </c>
      <c r="J59" s="5" t="s">
        <v>68</v>
      </c>
      <c r="K59" s="5" t="s">
        <v>50</v>
      </c>
      <c r="L59" s="129">
        <v>44943</v>
      </c>
      <c r="M59" s="20">
        <v>3527.57</v>
      </c>
      <c r="N59" s="128">
        <v>22.45</v>
      </c>
      <c r="O59" s="20">
        <v>395.84097995545653</v>
      </c>
      <c r="P59" s="128">
        <v>13.013950025932818</v>
      </c>
      <c r="Q59" s="122">
        <v>157.13006681514477</v>
      </c>
      <c r="R59" s="121">
        <v>12.07397189185702</v>
      </c>
      <c r="S59" s="121">
        <v>144.88766270228425</v>
      </c>
      <c r="T59" s="121">
        <v>14.384488013488038</v>
      </c>
      <c r="U59" s="20">
        <v>20841.348474433056</v>
      </c>
    </row>
    <row r="60" spans="2:21" x14ac:dyDescent="0.25">
      <c r="B60" s="5">
        <v>2024</v>
      </c>
      <c r="C60" s="5">
        <v>2</v>
      </c>
      <c r="D60" s="5" t="s">
        <v>17</v>
      </c>
      <c r="E60" s="127">
        <v>45343</v>
      </c>
      <c r="F60" s="5" t="s">
        <v>18</v>
      </c>
      <c r="G60" s="5" t="s">
        <v>9</v>
      </c>
      <c r="H60" s="5" t="s">
        <v>6</v>
      </c>
      <c r="I60">
        <v>2022</v>
      </c>
      <c r="J60" s="5" t="s">
        <v>68</v>
      </c>
      <c r="K60" s="5" t="s">
        <v>50</v>
      </c>
      <c r="L60" s="129">
        <v>44953</v>
      </c>
      <c r="M60" s="20">
        <v>2039.58</v>
      </c>
      <c r="N60" s="128">
        <v>12.19</v>
      </c>
      <c r="O60" s="20">
        <v>388.76866283839217</v>
      </c>
      <c r="P60" s="128">
        <v>12.781435490577277</v>
      </c>
      <c r="Q60" s="122">
        <v>167.31583264971289</v>
      </c>
      <c r="R60" s="121">
        <v>13.090535313741668</v>
      </c>
      <c r="S60" s="121">
        <v>157.08642376490002</v>
      </c>
      <c r="T60" s="121">
        <v>12.343573585733338</v>
      </c>
      <c r="U60" s="20">
        <v>19390.078310617337</v>
      </c>
    </row>
    <row r="61" spans="2:21" x14ac:dyDescent="0.25">
      <c r="B61" s="5">
        <v>2024</v>
      </c>
      <c r="C61" s="5">
        <v>2</v>
      </c>
      <c r="D61" s="5" t="s">
        <v>17</v>
      </c>
      <c r="E61" s="127">
        <v>45351</v>
      </c>
      <c r="F61" s="5" t="s">
        <v>18</v>
      </c>
      <c r="G61" s="5" t="s">
        <v>2</v>
      </c>
      <c r="H61" s="5" t="s">
        <v>3</v>
      </c>
      <c r="I61">
        <v>2022</v>
      </c>
      <c r="J61" s="5" t="s">
        <v>63</v>
      </c>
      <c r="K61" s="5" t="s">
        <v>50</v>
      </c>
      <c r="L61" s="129">
        <v>44863</v>
      </c>
      <c r="M61" s="20">
        <v>2287.96</v>
      </c>
      <c r="N61" s="128">
        <v>14.65</v>
      </c>
      <c r="O61" s="20">
        <v>484.08259385665463</v>
      </c>
      <c r="P61" s="128">
        <v>15.915044181588646</v>
      </c>
      <c r="Q61" s="122">
        <v>156.17474402730375</v>
      </c>
      <c r="R61" s="121">
        <v>9.8130261057003434</v>
      </c>
      <c r="S61" s="121">
        <v>117.75631326840413</v>
      </c>
      <c r="T61" s="121">
        <v>12.258784112541303</v>
      </c>
      <c r="U61" s="20">
        <v>14435.492222461491</v>
      </c>
    </row>
    <row r="62" spans="2:21" x14ac:dyDescent="0.25">
      <c r="B62" s="5">
        <v>2024</v>
      </c>
      <c r="C62" s="5">
        <v>2</v>
      </c>
      <c r="D62" s="5" t="s">
        <v>0</v>
      </c>
      <c r="E62" s="127">
        <v>45324</v>
      </c>
      <c r="F62" s="5" t="s">
        <v>1</v>
      </c>
      <c r="G62" s="5" t="s">
        <v>12</v>
      </c>
      <c r="H62" s="5" t="s">
        <v>5</v>
      </c>
      <c r="I62">
        <v>2023</v>
      </c>
      <c r="J62" s="5" t="s">
        <v>283</v>
      </c>
      <c r="K62" s="5" t="s">
        <v>403</v>
      </c>
      <c r="L62" s="129">
        <v>44942</v>
      </c>
      <c r="M62" s="20">
        <v>3471.21</v>
      </c>
      <c r="N62" s="128">
        <v>30.52</v>
      </c>
      <c r="O62" s="20">
        <v>381.34043250327653</v>
      </c>
      <c r="P62" s="128">
        <v>12.537219698737857</v>
      </c>
      <c r="Q62" s="122">
        <v>113.73558322411533</v>
      </c>
      <c r="R62" s="121">
        <v>9.0718345819181323</v>
      </c>
      <c r="S62" s="121">
        <v>108.86201498301759</v>
      </c>
      <c r="T62" s="121">
        <v>13.884296990458658</v>
      </c>
      <c r="U62" s="20">
        <v>15114.725470039764</v>
      </c>
    </row>
    <row r="63" spans="2:21" x14ac:dyDescent="0.25">
      <c r="B63" s="5">
        <v>2024</v>
      </c>
      <c r="C63" s="5">
        <v>2</v>
      </c>
      <c r="D63" s="5" t="s">
        <v>0</v>
      </c>
      <c r="E63" s="127">
        <v>45347</v>
      </c>
      <c r="F63" s="5" t="s">
        <v>1</v>
      </c>
      <c r="G63" s="5" t="s">
        <v>9</v>
      </c>
      <c r="H63" s="5" t="s">
        <v>5</v>
      </c>
      <c r="I63">
        <v>2022</v>
      </c>
      <c r="J63" s="5" t="s">
        <v>64</v>
      </c>
      <c r="K63" s="5" t="s">
        <v>50</v>
      </c>
      <c r="L63" s="129">
        <v>44973</v>
      </c>
      <c r="M63" s="20">
        <v>5583.0529999999899</v>
      </c>
      <c r="N63" s="128">
        <v>41.88</v>
      </c>
      <c r="O63" s="20">
        <v>358.75429799426928</v>
      </c>
      <c r="P63" s="128">
        <v>11.794661851866387</v>
      </c>
      <c r="Q63" s="122">
        <v>133.31072110792715</v>
      </c>
      <c r="R63" s="121">
        <v>11.302631884002004</v>
      </c>
      <c r="S63" s="121">
        <v>135.63158260802405</v>
      </c>
      <c r="T63" s="121">
        <v>14.209455688782668</v>
      </c>
      <c r="U63" s="20">
        <v>19272.509630681838</v>
      </c>
    </row>
    <row r="64" spans="2:21" x14ac:dyDescent="0.25">
      <c r="B64" s="5">
        <v>2024</v>
      </c>
      <c r="C64" s="5">
        <v>2</v>
      </c>
      <c r="D64" s="5" t="s">
        <v>75</v>
      </c>
      <c r="E64" s="127">
        <v>45328</v>
      </c>
      <c r="F64" s="5" t="s">
        <v>52</v>
      </c>
      <c r="G64" s="5" t="s">
        <v>31</v>
      </c>
      <c r="H64" s="5" t="s">
        <v>3</v>
      </c>
      <c r="I64">
        <v>2022</v>
      </c>
      <c r="J64" s="5" t="s">
        <v>63</v>
      </c>
      <c r="K64" s="5" t="s">
        <v>50</v>
      </c>
      <c r="L64" s="129">
        <v>44879</v>
      </c>
      <c r="M64" s="20">
        <v>5648.6309999999903</v>
      </c>
      <c r="N64" s="128">
        <v>34.879999999999903</v>
      </c>
      <c r="O64" s="20">
        <v>446.63130733945076</v>
      </c>
      <c r="P64" s="128">
        <v>14.683769008420299</v>
      </c>
      <c r="Q64" s="122">
        <v>161.94469610091761</v>
      </c>
      <c r="R64" s="121">
        <v>11.028823458612814</v>
      </c>
      <c r="S64" s="121">
        <v>132.34588150335378</v>
      </c>
      <c r="T64" s="121">
        <v>14.177306417175425</v>
      </c>
      <c r="U64" s="20">
        <v>18763.081151242361</v>
      </c>
    </row>
    <row r="65" spans="2:21" x14ac:dyDescent="0.25">
      <c r="B65" s="5">
        <v>2024</v>
      </c>
      <c r="C65" s="5">
        <v>2</v>
      </c>
      <c r="D65" s="5" t="s">
        <v>75</v>
      </c>
      <c r="E65" s="127">
        <v>45346</v>
      </c>
      <c r="F65" s="5" t="s">
        <v>52</v>
      </c>
      <c r="G65" s="5" t="s">
        <v>43</v>
      </c>
      <c r="H65" s="5" t="s">
        <v>5</v>
      </c>
      <c r="I65">
        <v>2022</v>
      </c>
      <c r="J65" s="5" t="s">
        <v>63</v>
      </c>
      <c r="K65" s="5" t="s">
        <v>50</v>
      </c>
      <c r="L65" s="129">
        <v>44909</v>
      </c>
      <c r="M65" s="20">
        <v>5647.0499999999902</v>
      </c>
      <c r="N65" s="128">
        <v>34.700000000000003</v>
      </c>
      <c r="O65" s="20">
        <v>435.17377521613543</v>
      </c>
      <c r="P65" s="128">
        <v>14.307083020804452</v>
      </c>
      <c r="Q65" s="122">
        <v>162.73919308357318</v>
      </c>
      <c r="R65" s="121">
        <v>11.374729065801057</v>
      </c>
      <c r="S65" s="121">
        <v>136.4967487896127</v>
      </c>
      <c r="T65" s="121">
        <v>12.897315283160255</v>
      </c>
      <c r="U65" s="20">
        <v>17604.416042659581</v>
      </c>
    </row>
    <row r="66" spans="2:21" x14ac:dyDescent="0.25">
      <c r="B66" s="5">
        <v>2024</v>
      </c>
      <c r="C66" s="5">
        <v>2</v>
      </c>
      <c r="D66" s="5" t="s">
        <v>75</v>
      </c>
      <c r="E66" s="127">
        <v>45351</v>
      </c>
      <c r="F66" s="5" t="s">
        <v>52</v>
      </c>
      <c r="G66" s="5" t="s">
        <v>43</v>
      </c>
      <c r="H66" s="5" t="s">
        <v>6</v>
      </c>
      <c r="I66">
        <v>2022</v>
      </c>
      <c r="J66" s="5" t="s">
        <v>63</v>
      </c>
      <c r="K66" s="5" t="s">
        <v>50</v>
      </c>
      <c r="L66" s="129">
        <v>44926</v>
      </c>
      <c r="M66" s="20">
        <v>5943.0159999999996</v>
      </c>
      <c r="N66" s="128">
        <v>33.79</v>
      </c>
      <c r="O66" s="20">
        <v>423.54128440366969</v>
      </c>
      <c r="P66" s="128">
        <v>13.924644966695991</v>
      </c>
      <c r="Q66" s="122">
        <v>175.88091151228173</v>
      </c>
      <c r="R66" s="121">
        <v>12.630908144009531</v>
      </c>
      <c r="S66" s="121">
        <v>151.57089772811437</v>
      </c>
      <c r="T66" s="121">
        <v>11.732645733274149</v>
      </c>
      <c r="U66" s="20">
        <v>17783.276465182935</v>
      </c>
    </row>
    <row r="67" spans="2:21" x14ac:dyDescent="0.25">
      <c r="B67" s="5">
        <v>2024</v>
      </c>
      <c r="C67" s="5">
        <v>2</v>
      </c>
      <c r="D67" s="5" t="s">
        <v>22</v>
      </c>
      <c r="E67" s="127">
        <v>45324</v>
      </c>
      <c r="F67" s="5" t="s">
        <v>23</v>
      </c>
      <c r="G67" s="5" t="s">
        <v>2</v>
      </c>
      <c r="H67" s="5" t="s">
        <v>6</v>
      </c>
      <c r="I67">
        <v>2023</v>
      </c>
      <c r="J67" s="5" t="s">
        <v>545</v>
      </c>
      <c r="K67" s="5" t="s">
        <v>79</v>
      </c>
      <c r="L67" s="129">
        <v>44905</v>
      </c>
      <c r="M67" s="20">
        <v>136.52000000000001</v>
      </c>
      <c r="N67" s="128">
        <v>1.27</v>
      </c>
      <c r="O67" s="20">
        <v>418.31496062992125</v>
      </c>
      <c r="P67" s="128">
        <v>13.752820623449466</v>
      </c>
      <c r="Q67" s="122">
        <v>107.49606299212599</v>
      </c>
      <c r="R67" s="121">
        <v>7.8162920854823126</v>
      </c>
      <c r="S67" s="121">
        <v>93.795505025787747</v>
      </c>
      <c r="T67" s="121">
        <v>14.684031918546731</v>
      </c>
      <c r="U67" s="20">
        <v>13772.961896148776</v>
      </c>
    </row>
    <row r="68" spans="2:21" x14ac:dyDescent="0.25">
      <c r="B68" s="5">
        <v>2024</v>
      </c>
      <c r="C68" s="5">
        <v>2</v>
      </c>
      <c r="D68" s="5" t="s">
        <v>22</v>
      </c>
      <c r="E68" s="127">
        <v>45326</v>
      </c>
      <c r="F68" s="5" t="s">
        <v>23</v>
      </c>
      <c r="G68" s="5" t="s">
        <v>11</v>
      </c>
      <c r="H68" s="5" t="s">
        <v>6</v>
      </c>
      <c r="I68">
        <v>2023</v>
      </c>
      <c r="J68" s="5" t="s">
        <v>289</v>
      </c>
      <c r="K68" s="5" t="s">
        <v>50</v>
      </c>
      <c r="L68" s="129">
        <v>44907</v>
      </c>
      <c r="M68" s="20">
        <v>1123.5</v>
      </c>
      <c r="N68" s="128">
        <v>6.68</v>
      </c>
      <c r="O68" s="20">
        <v>417.43413173652698</v>
      </c>
      <c r="P68" s="128">
        <v>13.723861865310475</v>
      </c>
      <c r="Q68" s="122">
        <v>168.18862275449104</v>
      </c>
      <c r="R68" s="121">
        <v>12.255196416660093</v>
      </c>
      <c r="S68" s="121">
        <v>147.06235699992112</v>
      </c>
      <c r="T68" s="121">
        <v>13.25039951988429</v>
      </c>
      <c r="U68" s="20">
        <v>19486.349845848068</v>
      </c>
    </row>
    <row r="69" spans="2:21" x14ac:dyDescent="0.25">
      <c r="B69" s="5">
        <v>2024</v>
      </c>
      <c r="C69" s="5">
        <v>2</v>
      </c>
      <c r="D69" s="5" t="s">
        <v>22</v>
      </c>
      <c r="E69" s="127">
        <v>45327</v>
      </c>
      <c r="F69" s="5" t="s">
        <v>23</v>
      </c>
      <c r="G69" s="5" t="s">
        <v>9</v>
      </c>
      <c r="H69" s="5" t="s">
        <v>5</v>
      </c>
      <c r="I69">
        <v>2023</v>
      </c>
      <c r="J69" s="5" t="s">
        <v>381</v>
      </c>
      <c r="K69" s="5" t="s">
        <v>50</v>
      </c>
      <c r="L69" s="129">
        <v>44921</v>
      </c>
      <c r="M69" s="20">
        <v>33</v>
      </c>
      <c r="N69" s="128">
        <v>0.32</v>
      </c>
      <c r="O69" s="20">
        <v>405</v>
      </c>
      <c r="P69" s="128">
        <v>13.315068493150685</v>
      </c>
      <c r="Q69" s="122">
        <v>103.125</v>
      </c>
      <c r="R69" s="121">
        <v>7.744984567901235</v>
      </c>
      <c r="S69" s="121">
        <v>92.939814814814824</v>
      </c>
      <c r="T69" s="121">
        <v>14.562796000000001</v>
      </c>
      <c r="U69" s="20">
        <v>13534.635634259263</v>
      </c>
    </row>
    <row r="70" spans="2:21" x14ac:dyDescent="0.25">
      <c r="B70" s="5">
        <v>2024</v>
      </c>
      <c r="C70" s="5">
        <v>2</v>
      </c>
      <c r="D70" s="5" t="s">
        <v>22</v>
      </c>
      <c r="E70" s="127">
        <v>45327</v>
      </c>
      <c r="F70" s="5" t="s">
        <v>32</v>
      </c>
      <c r="G70" s="5" t="s">
        <v>36</v>
      </c>
      <c r="H70" s="5" t="s">
        <v>3</v>
      </c>
      <c r="I70">
        <v>2022</v>
      </c>
      <c r="J70" s="5" t="s">
        <v>315</v>
      </c>
      <c r="K70" s="5" t="s">
        <v>50</v>
      </c>
      <c r="L70" s="129">
        <v>44931</v>
      </c>
      <c r="M70" s="20">
        <v>101.92</v>
      </c>
      <c r="N70" s="128">
        <v>0.82</v>
      </c>
      <c r="O70" s="20">
        <v>395.99999999999881</v>
      </c>
      <c r="P70" s="128">
        <v>13.019178082191742</v>
      </c>
      <c r="Q70" s="122">
        <v>124.29268292682927</v>
      </c>
      <c r="R70" s="121">
        <v>9.5468916810380513</v>
      </c>
      <c r="S70" s="121">
        <v>114.56270017245662</v>
      </c>
      <c r="T70" s="121">
        <v>14.78425</v>
      </c>
      <c r="U70" s="20">
        <v>16937.236000246416</v>
      </c>
    </row>
    <row r="71" spans="2:21" x14ac:dyDescent="0.25">
      <c r="B71" s="5">
        <v>2024</v>
      </c>
      <c r="C71" s="5">
        <v>2</v>
      </c>
      <c r="D71" s="5" t="s">
        <v>22</v>
      </c>
      <c r="E71" s="127">
        <v>45327</v>
      </c>
      <c r="F71" s="5" t="s">
        <v>32</v>
      </c>
      <c r="G71" s="5" t="s">
        <v>36</v>
      </c>
      <c r="H71" s="5" t="s">
        <v>5</v>
      </c>
      <c r="I71">
        <v>2022</v>
      </c>
      <c r="J71" s="5" t="s">
        <v>315</v>
      </c>
      <c r="K71" s="5" t="s">
        <v>50</v>
      </c>
      <c r="L71" s="129">
        <v>44933</v>
      </c>
      <c r="M71" s="20">
        <v>49.31</v>
      </c>
      <c r="N71" s="128">
        <v>0.37</v>
      </c>
      <c r="O71" s="20">
        <v>394</v>
      </c>
      <c r="P71" s="128">
        <v>12.953424657534246</v>
      </c>
      <c r="Q71" s="122">
        <v>133.27027027027029</v>
      </c>
      <c r="R71" s="121">
        <v>10.288419764942608</v>
      </c>
      <c r="S71" s="121">
        <v>123.4610371793113</v>
      </c>
      <c r="T71" s="121">
        <v>14.677499999999998</v>
      </c>
      <c r="U71" s="20">
        <v>18120.993731993414</v>
      </c>
    </row>
    <row r="72" spans="2:21" x14ac:dyDescent="0.25">
      <c r="B72" s="5">
        <v>2024</v>
      </c>
      <c r="C72" s="5">
        <v>2</v>
      </c>
      <c r="D72" s="5" t="s">
        <v>22</v>
      </c>
      <c r="E72" s="127">
        <v>45330</v>
      </c>
      <c r="F72" s="5" t="s">
        <v>24</v>
      </c>
      <c r="G72" s="5" t="s">
        <v>13</v>
      </c>
      <c r="H72" s="5" t="s">
        <v>8</v>
      </c>
      <c r="I72">
        <v>2022</v>
      </c>
      <c r="J72" s="5" t="s">
        <v>289</v>
      </c>
      <c r="K72" s="5" t="s">
        <v>50</v>
      </c>
      <c r="L72" s="129">
        <v>44895</v>
      </c>
      <c r="M72" s="20">
        <v>158.422</v>
      </c>
      <c r="N72" s="128">
        <v>0.59</v>
      </c>
      <c r="O72" s="20">
        <v>432.0169491525424</v>
      </c>
      <c r="P72" s="128">
        <v>14.203296958439751</v>
      </c>
      <c r="Q72" s="122">
        <v>268.51186440677969</v>
      </c>
      <c r="R72" s="121">
        <v>18.904896883623003</v>
      </c>
      <c r="S72" s="121">
        <v>226.85876260347604</v>
      </c>
      <c r="T72" s="121">
        <v>14.485469821666184</v>
      </c>
      <c r="U72" s="20">
        <v>32861.55759473185</v>
      </c>
    </row>
    <row r="73" spans="2:21" x14ac:dyDescent="0.25">
      <c r="B73" s="5">
        <v>2024</v>
      </c>
      <c r="C73" s="5">
        <v>2</v>
      </c>
      <c r="D73" s="5" t="s">
        <v>22</v>
      </c>
      <c r="E73" s="127">
        <v>45336</v>
      </c>
      <c r="F73" s="5" t="s">
        <v>25</v>
      </c>
      <c r="G73" s="5" t="s">
        <v>28</v>
      </c>
      <c r="H73" s="5" t="s">
        <v>4</v>
      </c>
      <c r="I73">
        <v>2023</v>
      </c>
      <c r="J73" s="5" t="s">
        <v>315</v>
      </c>
      <c r="K73" s="5" t="s">
        <v>50</v>
      </c>
      <c r="L73" s="129">
        <v>44929</v>
      </c>
      <c r="M73" s="20">
        <v>2986.8560000000002</v>
      </c>
      <c r="N73" s="128">
        <v>20.329999999999998</v>
      </c>
      <c r="O73" s="20">
        <v>402.33792424987706</v>
      </c>
      <c r="P73" s="128">
        <v>13.227548194516507</v>
      </c>
      <c r="Q73" s="122">
        <v>146.91864240039354</v>
      </c>
      <c r="R73" s="121">
        <v>11.107020004001861</v>
      </c>
      <c r="S73" s="121">
        <v>133.28424004802233</v>
      </c>
      <c r="T73" s="121">
        <v>12.672609915881447</v>
      </c>
      <c r="U73" s="20">
        <v>16890.591820632908</v>
      </c>
    </row>
    <row r="74" spans="2:21" x14ac:dyDescent="0.25">
      <c r="B74" s="5">
        <v>2024</v>
      </c>
      <c r="C74" s="5">
        <v>2</v>
      </c>
      <c r="D74" s="5" t="s">
        <v>22</v>
      </c>
      <c r="E74" s="127">
        <v>45336</v>
      </c>
      <c r="F74" s="5" t="s">
        <v>25</v>
      </c>
      <c r="G74" s="5" t="s">
        <v>28</v>
      </c>
      <c r="H74" s="5" t="s">
        <v>5</v>
      </c>
      <c r="I74">
        <v>2023</v>
      </c>
      <c r="J74" s="5" t="s">
        <v>315</v>
      </c>
      <c r="K74" s="5" t="s">
        <v>50</v>
      </c>
      <c r="L74" s="129">
        <v>44926</v>
      </c>
      <c r="M74" s="20">
        <v>2816.0339999999901</v>
      </c>
      <c r="N74" s="128">
        <v>19.79</v>
      </c>
      <c r="O74" s="20">
        <v>405.91965639211725</v>
      </c>
      <c r="P74" s="128">
        <v>13.345303771795635</v>
      </c>
      <c r="Q74" s="122">
        <v>142.29580596260689</v>
      </c>
      <c r="R74" s="121">
        <v>10.662612735975266</v>
      </c>
      <c r="S74" s="121">
        <v>127.95135283170319</v>
      </c>
      <c r="T74" s="121">
        <v>12.803974950231433</v>
      </c>
      <c r="U74" s="20">
        <v>16382.859165053515</v>
      </c>
    </row>
    <row r="75" spans="2:21" x14ac:dyDescent="0.25">
      <c r="B75" s="5">
        <v>2024</v>
      </c>
      <c r="C75" s="5">
        <v>2</v>
      </c>
      <c r="D75" s="5" t="s">
        <v>22</v>
      </c>
      <c r="E75" s="127">
        <v>45341</v>
      </c>
      <c r="F75" s="5" t="s">
        <v>24</v>
      </c>
      <c r="G75" s="5" t="s">
        <v>15</v>
      </c>
      <c r="H75" s="5" t="s">
        <v>8</v>
      </c>
      <c r="I75">
        <v>2022</v>
      </c>
      <c r="J75" s="5" t="s">
        <v>283</v>
      </c>
      <c r="K75" s="5" t="s">
        <v>50</v>
      </c>
      <c r="L75" s="129">
        <v>44898</v>
      </c>
      <c r="M75" s="20">
        <v>111.607999999999</v>
      </c>
      <c r="N75" s="128">
        <v>1.72</v>
      </c>
      <c r="O75" s="20">
        <v>434.20930232558084</v>
      </c>
      <c r="P75" s="128">
        <v>14.275374323032795</v>
      </c>
      <c r="Q75" s="122">
        <v>64.888372093022667</v>
      </c>
      <c r="R75" s="121">
        <v>4.5454760502025957</v>
      </c>
      <c r="S75" s="121">
        <v>54.545712602431152</v>
      </c>
      <c r="T75" s="121">
        <v>14.503474087879136</v>
      </c>
      <c r="U75" s="20">
        <v>7911.0232933426269</v>
      </c>
    </row>
    <row r="76" spans="2:21" x14ac:dyDescent="0.25">
      <c r="B76" s="5">
        <v>2024</v>
      </c>
      <c r="C76" s="5">
        <v>2</v>
      </c>
      <c r="D76" s="5" t="s">
        <v>22</v>
      </c>
      <c r="E76" s="127">
        <v>45347</v>
      </c>
      <c r="F76" s="5" t="s">
        <v>24</v>
      </c>
      <c r="G76" s="5" t="s">
        <v>13</v>
      </c>
      <c r="H76" s="5" t="s">
        <v>5</v>
      </c>
      <c r="I76">
        <v>2022</v>
      </c>
      <c r="J76" s="5" t="s">
        <v>68</v>
      </c>
      <c r="K76" s="5" t="s">
        <v>50</v>
      </c>
      <c r="L76" s="129">
        <v>44898</v>
      </c>
      <c r="M76" s="20">
        <v>607.61</v>
      </c>
      <c r="N76" s="128">
        <v>6.05</v>
      </c>
      <c r="O76" s="20">
        <v>438.98016528925621</v>
      </c>
      <c r="P76" s="128">
        <v>14.43222461224952</v>
      </c>
      <c r="Q76" s="122">
        <v>100.43140495867769</v>
      </c>
      <c r="R76" s="121">
        <v>6.9588305099849519</v>
      </c>
      <c r="S76" s="121">
        <v>83.505966119819419</v>
      </c>
      <c r="T76" s="121">
        <v>13.57777746512072</v>
      </c>
      <c r="U76" s="20">
        <v>11338.254249848185</v>
      </c>
    </row>
    <row r="77" spans="2:21" x14ac:dyDescent="0.25">
      <c r="B77" s="5">
        <v>2024</v>
      </c>
      <c r="C77" s="5">
        <v>2</v>
      </c>
      <c r="D77" s="5" t="s">
        <v>19</v>
      </c>
      <c r="E77" s="127">
        <v>45327</v>
      </c>
      <c r="F77" s="5" t="s">
        <v>20</v>
      </c>
      <c r="G77" s="5" t="s">
        <v>11</v>
      </c>
      <c r="H77" s="5" t="s">
        <v>8</v>
      </c>
      <c r="I77">
        <v>2022</v>
      </c>
      <c r="J77" s="5" t="s">
        <v>304</v>
      </c>
      <c r="K77" s="5" t="s">
        <v>50</v>
      </c>
      <c r="L77" s="129">
        <v>44917</v>
      </c>
      <c r="M77" s="20">
        <v>2807.49</v>
      </c>
      <c r="N77" s="128">
        <v>22.85</v>
      </c>
      <c r="O77" s="20">
        <v>408.50590809628011</v>
      </c>
      <c r="P77" s="128">
        <v>13.430331225083181</v>
      </c>
      <c r="Q77" s="122">
        <v>122.86608315098466</v>
      </c>
      <c r="R77" s="121">
        <v>9.1484030506644256</v>
      </c>
      <c r="S77" s="121">
        <v>109.7808366079731</v>
      </c>
      <c r="T77" s="121">
        <v>13.772761292115023</v>
      </c>
      <c r="U77" s="20">
        <v>15119.852570502957</v>
      </c>
    </row>
    <row r="78" spans="2:21" x14ac:dyDescent="0.25">
      <c r="B78" s="5">
        <v>2024</v>
      </c>
      <c r="C78" s="5">
        <v>2</v>
      </c>
      <c r="D78" s="5" t="s">
        <v>19</v>
      </c>
      <c r="E78" s="127">
        <v>45331</v>
      </c>
      <c r="F78" s="5" t="s">
        <v>20</v>
      </c>
      <c r="G78" s="5" t="s">
        <v>15</v>
      </c>
      <c r="H78" s="5" t="s">
        <v>3</v>
      </c>
      <c r="I78">
        <v>2022</v>
      </c>
      <c r="J78" s="5" t="s">
        <v>64</v>
      </c>
      <c r="K78" s="5" t="s">
        <v>50</v>
      </c>
      <c r="L78" s="129">
        <v>44881</v>
      </c>
      <c r="M78" s="20">
        <v>57.23</v>
      </c>
      <c r="N78" s="128">
        <v>0.5</v>
      </c>
      <c r="O78" s="20">
        <v>450</v>
      </c>
      <c r="P78" s="128">
        <v>14.794520547945206</v>
      </c>
      <c r="Q78" s="122">
        <v>114.46</v>
      </c>
      <c r="R78" s="121">
        <v>7.7366481481481486</v>
      </c>
      <c r="S78" s="121">
        <v>92.839777777777783</v>
      </c>
      <c r="T78" s="121">
        <v>14.002500000000001</v>
      </c>
      <c r="U78" s="20">
        <v>12999.889883333335</v>
      </c>
    </row>
    <row r="79" spans="2:21" x14ac:dyDescent="0.25">
      <c r="B79" s="5">
        <v>2024</v>
      </c>
      <c r="C79" s="5">
        <v>2</v>
      </c>
      <c r="D79" s="5" t="s">
        <v>19</v>
      </c>
      <c r="E79" s="127">
        <v>45331</v>
      </c>
      <c r="F79" s="5" t="s">
        <v>20</v>
      </c>
      <c r="G79" s="5" t="s">
        <v>15</v>
      </c>
      <c r="H79" s="5" t="s">
        <v>4</v>
      </c>
      <c r="I79">
        <v>2022</v>
      </c>
      <c r="J79" s="5" t="s">
        <v>64</v>
      </c>
      <c r="K79" s="5" t="s">
        <v>354</v>
      </c>
      <c r="L79" s="129">
        <v>44944</v>
      </c>
      <c r="M79" s="20">
        <v>4085.58</v>
      </c>
      <c r="N79" s="128">
        <v>36.89</v>
      </c>
      <c r="O79" s="20">
        <v>385.71320140959608</v>
      </c>
      <c r="P79" s="128">
        <v>12.680981964151105</v>
      </c>
      <c r="Q79" s="122">
        <v>110.7503388452155</v>
      </c>
      <c r="R79" s="121">
        <v>8.7335775067186905</v>
      </c>
      <c r="S79" s="121">
        <v>104.80293008062429</v>
      </c>
      <c r="T79" s="121">
        <v>13.775998540640497</v>
      </c>
      <c r="U79" s="20">
        <v>14437.650118455284</v>
      </c>
    </row>
    <row r="80" spans="2:21" x14ac:dyDescent="0.25">
      <c r="B80" s="5">
        <v>2024</v>
      </c>
      <c r="C80" s="5">
        <v>2</v>
      </c>
      <c r="D80" s="5" t="s">
        <v>19</v>
      </c>
      <c r="E80" s="127">
        <v>45336</v>
      </c>
      <c r="F80" s="5" t="s">
        <v>20</v>
      </c>
      <c r="G80" s="5" t="s">
        <v>11</v>
      </c>
      <c r="H80" s="5" t="s">
        <v>7</v>
      </c>
      <c r="I80">
        <v>2022</v>
      </c>
      <c r="J80" s="5" t="s">
        <v>304</v>
      </c>
      <c r="K80" s="5" t="s">
        <v>50</v>
      </c>
      <c r="L80" s="129">
        <v>44916</v>
      </c>
      <c r="M80" s="20">
        <v>3338.44</v>
      </c>
      <c r="N80" s="128">
        <v>28.09</v>
      </c>
      <c r="O80" s="20">
        <v>408.36739053043436</v>
      </c>
      <c r="P80" s="128">
        <v>13.42577722291839</v>
      </c>
      <c r="Q80" s="122">
        <v>118.84798860804557</v>
      </c>
      <c r="R80" s="121">
        <v>8.8522240936015866</v>
      </c>
      <c r="S80" s="121">
        <v>106.22668912321903</v>
      </c>
      <c r="T80" s="121">
        <v>13.877307746935665</v>
      </c>
      <c r="U80" s="20">
        <v>14741.404559009741</v>
      </c>
    </row>
    <row r="81" spans="2:21" x14ac:dyDescent="0.25">
      <c r="B81" s="5">
        <v>2024</v>
      </c>
      <c r="C81" s="5">
        <v>2</v>
      </c>
      <c r="D81" s="5" t="s">
        <v>19</v>
      </c>
      <c r="E81" s="127">
        <v>45336</v>
      </c>
      <c r="F81" s="5" t="s">
        <v>20</v>
      </c>
      <c r="G81" s="5" t="s">
        <v>15</v>
      </c>
      <c r="H81" s="5" t="s">
        <v>6</v>
      </c>
      <c r="I81">
        <v>2023</v>
      </c>
      <c r="J81" s="5" t="s">
        <v>304</v>
      </c>
      <c r="K81" s="5" t="s">
        <v>50</v>
      </c>
      <c r="L81" s="129">
        <v>44938</v>
      </c>
      <c r="M81" s="20">
        <v>3956.88</v>
      </c>
      <c r="N81" s="128">
        <v>37.44</v>
      </c>
      <c r="O81" s="20">
        <v>390.13648504273505</v>
      </c>
      <c r="P81" s="128">
        <v>12.826404987706358</v>
      </c>
      <c r="Q81" s="122">
        <v>105.68589743589745</v>
      </c>
      <c r="R81" s="121">
        <v>8.2397131181491243</v>
      </c>
      <c r="S81" s="121">
        <v>98.876557417789499</v>
      </c>
      <c r="T81" s="121">
        <v>13.594968045644547</v>
      </c>
      <c r="U81" s="20">
        <v>13442.236385581866</v>
      </c>
    </row>
    <row r="82" spans="2:21" x14ac:dyDescent="0.25">
      <c r="B82" s="5">
        <v>2024</v>
      </c>
      <c r="C82" s="5">
        <v>2</v>
      </c>
      <c r="D82" s="5" t="s">
        <v>19</v>
      </c>
      <c r="E82" s="127">
        <v>45336</v>
      </c>
      <c r="F82" s="5" t="s">
        <v>20</v>
      </c>
      <c r="G82" s="5" t="s">
        <v>26</v>
      </c>
      <c r="H82" s="5" t="s">
        <v>5</v>
      </c>
      <c r="I82">
        <v>2021</v>
      </c>
      <c r="J82" s="5" t="s">
        <v>60</v>
      </c>
      <c r="K82" s="5" t="s">
        <v>50</v>
      </c>
      <c r="L82" s="129">
        <v>44951</v>
      </c>
      <c r="M82" s="20">
        <v>2901.72</v>
      </c>
      <c r="N82" s="128">
        <v>23.32</v>
      </c>
      <c r="O82" s="20">
        <v>382.50128644939969</v>
      </c>
      <c r="P82" s="128">
        <v>12.575384759980263</v>
      </c>
      <c r="Q82" s="122">
        <v>124.43053173241852</v>
      </c>
      <c r="R82" s="121">
        <v>9.8947693535711583</v>
      </c>
      <c r="S82" s="121">
        <v>118.73723224285391</v>
      </c>
      <c r="T82" s="121">
        <v>14.237346251164826</v>
      </c>
      <c r="U82" s="20">
        <v>16905.030883464831</v>
      </c>
    </row>
    <row r="83" spans="2:21" x14ac:dyDescent="0.25">
      <c r="B83" s="5">
        <v>2024</v>
      </c>
      <c r="C83" s="5">
        <v>2</v>
      </c>
      <c r="D83" s="5" t="s">
        <v>19</v>
      </c>
      <c r="E83" s="127">
        <v>45338</v>
      </c>
      <c r="F83" s="5" t="s">
        <v>20</v>
      </c>
      <c r="G83" s="5" t="s">
        <v>12</v>
      </c>
      <c r="H83" s="5" t="s">
        <v>7</v>
      </c>
      <c r="I83">
        <v>2022</v>
      </c>
      <c r="J83" s="5" t="s">
        <v>60</v>
      </c>
      <c r="K83" s="5" t="s">
        <v>50</v>
      </c>
      <c r="L83" s="129">
        <v>44919</v>
      </c>
      <c r="M83" s="20">
        <v>5300.65</v>
      </c>
      <c r="N83" s="128">
        <v>43.96</v>
      </c>
      <c r="O83" s="20">
        <v>416.52388535031844</v>
      </c>
      <c r="P83" s="128">
        <v>13.693935956722799</v>
      </c>
      <c r="Q83" s="122">
        <v>120.57893539581437</v>
      </c>
      <c r="R83" s="121">
        <v>8.8052796344953155</v>
      </c>
      <c r="S83" s="121">
        <v>105.66335561394378</v>
      </c>
      <c r="T83" s="121">
        <v>14.285673535660722</v>
      </c>
      <c r="U83" s="20">
        <v>15094.722029832245</v>
      </c>
    </row>
    <row r="84" spans="2:21" x14ac:dyDescent="0.25">
      <c r="B84" s="5">
        <v>2024</v>
      </c>
      <c r="C84" s="5">
        <v>2</v>
      </c>
      <c r="D84" s="5" t="s">
        <v>19</v>
      </c>
      <c r="E84" s="127">
        <v>45341</v>
      </c>
      <c r="F84" s="5" t="s">
        <v>20</v>
      </c>
      <c r="G84" s="5" t="s">
        <v>26</v>
      </c>
      <c r="H84" s="5" t="s">
        <v>4</v>
      </c>
      <c r="I84">
        <v>2021</v>
      </c>
      <c r="J84" s="5" t="s">
        <v>63</v>
      </c>
      <c r="K84" s="5" t="s">
        <v>79</v>
      </c>
      <c r="L84" s="129">
        <v>44866</v>
      </c>
      <c r="M84" s="20">
        <v>4077.59</v>
      </c>
      <c r="N84" s="128">
        <v>22.669999999999899</v>
      </c>
      <c r="O84" s="20">
        <v>468.82884869872288</v>
      </c>
      <c r="P84" s="128">
        <v>15.413551190094999</v>
      </c>
      <c r="Q84" s="122">
        <v>179.86722540802904</v>
      </c>
      <c r="R84" s="121">
        <v>11.669421484363362</v>
      </c>
      <c r="S84" s="121">
        <v>140.03305781236034</v>
      </c>
      <c r="T84" s="121">
        <v>13.706938821465595</v>
      </c>
      <c r="U84" s="20">
        <v>19194.245564167781</v>
      </c>
    </row>
    <row r="85" spans="2:21" x14ac:dyDescent="0.25">
      <c r="B85" s="5">
        <v>2024</v>
      </c>
      <c r="C85" s="5">
        <v>2</v>
      </c>
      <c r="D85" s="5" t="s">
        <v>19</v>
      </c>
      <c r="E85" s="127">
        <v>45343</v>
      </c>
      <c r="F85" s="5" t="s">
        <v>20</v>
      </c>
      <c r="G85" s="5" t="s">
        <v>10</v>
      </c>
      <c r="H85" s="5" t="s">
        <v>4</v>
      </c>
      <c r="I85">
        <v>2022</v>
      </c>
      <c r="J85" s="5" t="s">
        <v>304</v>
      </c>
      <c r="K85" s="5" t="s">
        <v>50</v>
      </c>
      <c r="L85" s="129">
        <v>44936</v>
      </c>
      <c r="M85" s="20">
        <v>6677.9549999999999</v>
      </c>
      <c r="N85" s="128">
        <v>45.05</v>
      </c>
      <c r="O85" s="20">
        <v>404.09034406215318</v>
      </c>
      <c r="P85" s="128">
        <v>13.285161996563939</v>
      </c>
      <c r="Q85" s="122">
        <v>148.23429522752497</v>
      </c>
      <c r="R85" s="121">
        <v>11.157883905808911</v>
      </c>
      <c r="S85" s="121">
        <v>133.89460686970693</v>
      </c>
      <c r="T85" s="121">
        <v>13.817564627410636</v>
      </c>
      <c r="U85" s="20">
        <v>18500.973836839155</v>
      </c>
    </row>
    <row r="86" spans="2:21" x14ac:dyDescent="0.25">
      <c r="B86" s="5">
        <v>2024</v>
      </c>
      <c r="C86" s="5">
        <v>2</v>
      </c>
      <c r="D86" s="5" t="s">
        <v>19</v>
      </c>
      <c r="E86" s="127">
        <v>45348</v>
      </c>
      <c r="F86" s="5" t="s">
        <v>20</v>
      </c>
      <c r="G86" s="5" t="s">
        <v>10</v>
      </c>
      <c r="H86" s="5" t="s">
        <v>5</v>
      </c>
      <c r="I86">
        <v>2022</v>
      </c>
      <c r="J86" s="5" t="s">
        <v>304</v>
      </c>
      <c r="K86" s="5" t="s">
        <v>50</v>
      </c>
      <c r="L86" s="129">
        <v>44922</v>
      </c>
      <c r="M86" s="20">
        <v>5037.1499999999996</v>
      </c>
      <c r="N86" s="128">
        <v>36.92</v>
      </c>
      <c r="O86" s="20">
        <v>421.82367280606712</v>
      </c>
      <c r="P86" s="128">
        <v>13.868175544309056</v>
      </c>
      <c r="Q86" s="122">
        <v>136.43418201516792</v>
      </c>
      <c r="R86" s="121">
        <v>9.8379330128363591</v>
      </c>
      <c r="S86" s="121">
        <v>118.05519615403631</v>
      </c>
      <c r="T86" s="121">
        <v>13.50685336781712</v>
      </c>
      <c r="U86" s="20">
        <v>15945.542237614562</v>
      </c>
    </row>
    <row r="87" spans="2:21" x14ac:dyDescent="0.25">
      <c r="B87" s="5">
        <v>2024</v>
      </c>
      <c r="C87" s="5">
        <v>2</v>
      </c>
      <c r="D87" s="5" t="s">
        <v>19</v>
      </c>
      <c r="E87" s="127">
        <v>45349</v>
      </c>
      <c r="F87" s="5" t="s">
        <v>20</v>
      </c>
      <c r="G87" s="5" t="s">
        <v>15</v>
      </c>
      <c r="H87" s="5" t="s">
        <v>8</v>
      </c>
      <c r="I87">
        <v>2022</v>
      </c>
      <c r="J87" s="5" t="s">
        <v>304</v>
      </c>
      <c r="K87" s="5" t="s">
        <v>50</v>
      </c>
      <c r="L87" s="129">
        <v>44947</v>
      </c>
      <c r="M87" s="20">
        <v>5224.7290000000003</v>
      </c>
      <c r="N87" s="128">
        <v>40.26</v>
      </c>
      <c r="O87" s="20">
        <v>397.6882762046672</v>
      </c>
      <c r="P87" s="128">
        <v>13.074683053304129</v>
      </c>
      <c r="Q87" s="122">
        <v>129.77468951813216</v>
      </c>
      <c r="R87" s="121">
        <v>9.9256470683881375</v>
      </c>
      <c r="S87" s="121">
        <v>119.10776482065765</v>
      </c>
      <c r="T87" s="121">
        <v>13.674264537513793</v>
      </c>
      <c r="U87" s="20">
        <v>16287.110846296519</v>
      </c>
    </row>
    <row r="88" spans="2:21" x14ac:dyDescent="0.25">
      <c r="B88" s="5">
        <v>2024</v>
      </c>
      <c r="C88" s="5">
        <v>2</v>
      </c>
      <c r="D88" s="5" t="s">
        <v>19</v>
      </c>
      <c r="E88" s="127">
        <v>45350</v>
      </c>
      <c r="F88" s="5" t="s">
        <v>20</v>
      </c>
      <c r="G88" s="5" t="s">
        <v>14</v>
      </c>
      <c r="H88" s="5" t="s">
        <v>7</v>
      </c>
      <c r="I88">
        <v>2022</v>
      </c>
      <c r="J88" s="5" t="s">
        <v>60</v>
      </c>
      <c r="K88" s="5" t="s">
        <v>50</v>
      </c>
      <c r="L88" s="129">
        <v>44928</v>
      </c>
      <c r="M88" s="20">
        <v>4819.3509999999997</v>
      </c>
      <c r="N88" s="128">
        <v>27.33</v>
      </c>
      <c r="O88" s="20">
        <v>419.64581046469084</v>
      </c>
      <c r="P88" s="128">
        <v>13.796574590619972</v>
      </c>
      <c r="Q88" s="122">
        <v>176.33922429564581</v>
      </c>
      <c r="R88" s="121">
        <v>12.781377227905212</v>
      </c>
      <c r="S88" s="121">
        <v>153.37652673486255</v>
      </c>
      <c r="T88" s="121">
        <v>13.029906063046456</v>
      </c>
      <c r="U88" s="20">
        <v>19984.817356315922</v>
      </c>
    </row>
    <row r="89" spans="2:21" x14ac:dyDescent="0.25">
      <c r="B89" s="5">
        <v>2024</v>
      </c>
      <c r="C89" s="5">
        <v>2</v>
      </c>
      <c r="D89" s="5" t="s">
        <v>19</v>
      </c>
      <c r="E89" s="127">
        <v>45351</v>
      </c>
      <c r="F89" s="5" t="s">
        <v>20</v>
      </c>
      <c r="G89" s="5" t="s">
        <v>21</v>
      </c>
      <c r="H89" s="5" t="s">
        <v>3</v>
      </c>
      <c r="I89">
        <v>2022</v>
      </c>
      <c r="J89" s="5" t="s">
        <v>283</v>
      </c>
      <c r="K89" s="5" t="s">
        <v>50</v>
      </c>
      <c r="L89" s="129">
        <v>44895</v>
      </c>
      <c r="M89" s="20">
        <v>1935</v>
      </c>
      <c r="N89" s="128">
        <v>16.79</v>
      </c>
      <c r="O89" s="20">
        <v>455.09291244788568</v>
      </c>
      <c r="P89" s="128">
        <v>14.961958765409939</v>
      </c>
      <c r="Q89" s="122">
        <v>115.2471709350804</v>
      </c>
      <c r="R89" s="121">
        <v>7.7026793578335839</v>
      </c>
      <c r="S89" s="121">
        <v>92.432152294003004</v>
      </c>
      <c r="T89" s="121">
        <v>12.886985076103359</v>
      </c>
      <c r="U89" s="20">
        <v>11911.717671649296</v>
      </c>
    </row>
    <row r="90" spans="2:21" x14ac:dyDescent="0.25">
      <c r="B90" s="5">
        <v>2024</v>
      </c>
      <c r="C90" s="134" t="s">
        <v>295</v>
      </c>
      <c r="D90" s="134"/>
      <c r="E90" s="134"/>
      <c r="F90" s="134"/>
      <c r="G90" s="134"/>
      <c r="H90" s="134"/>
      <c r="I90" s="134"/>
      <c r="J90" s="134"/>
      <c r="K90" s="134"/>
      <c r="L90" s="134"/>
      <c r="M90" s="130">
        <v>95784.304999999949</v>
      </c>
      <c r="N90" s="131">
        <v>690.35999999999967</v>
      </c>
      <c r="O90" s="130">
        <v>412.37014021669819</v>
      </c>
      <c r="P90" s="131">
        <v>13.557374472877749</v>
      </c>
      <c r="Q90" s="132">
        <v>138.74544440581724</v>
      </c>
      <c r="R90" s="133">
        <v>10.233946453524974</v>
      </c>
      <c r="S90" s="133">
        <v>122.80735744229968</v>
      </c>
      <c r="T90" s="133">
        <v>13.487589755158321</v>
      </c>
      <c r="U90" s="130">
        <v>16563.752560968271</v>
      </c>
    </row>
    <row r="91" spans="2:21" x14ac:dyDescent="0.25">
      <c r="B91" s="5">
        <v>2024</v>
      </c>
      <c r="C91" s="5">
        <v>3</v>
      </c>
      <c r="D91" s="5" t="s">
        <v>17</v>
      </c>
      <c r="E91" s="127">
        <v>45352</v>
      </c>
      <c r="F91" s="5" t="s">
        <v>18</v>
      </c>
      <c r="G91" s="5" t="s">
        <v>2</v>
      </c>
      <c r="H91" s="5" t="s">
        <v>3</v>
      </c>
      <c r="I91">
        <v>2022</v>
      </c>
      <c r="J91" s="5" t="s">
        <v>63</v>
      </c>
      <c r="K91" s="5" t="s">
        <v>50</v>
      </c>
      <c r="L91" s="129">
        <v>44863</v>
      </c>
      <c r="M91" s="20">
        <v>368.21</v>
      </c>
      <c r="N91" s="128">
        <v>2.2999999999999998</v>
      </c>
      <c r="O91" s="20">
        <v>488.99999999999568</v>
      </c>
      <c r="P91" s="128">
        <v>16.07671232876698</v>
      </c>
      <c r="Q91" s="122">
        <v>160.09130434782608</v>
      </c>
      <c r="R91" s="121">
        <v>9.9579628641712752</v>
      </c>
      <c r="S91" s="121">
        <v>119.4955543700553</v>
      </c>
      <c r="T91" s="121">
        <v>12.351749999999974</v>
      </c>
      <c r="U91" s="20">
        <v>14759.792136903274</v>
      </c>
    </row>
    <row r="92" spans="2:21" x14ac:dyDescent="0.25">
      <c r="B92" s="5">
        <v>2024</v>
      </c>
      <c r="C92" s="5">
        <v>3</v>
      </c>
      <c r="D92" s="5" t="s">
        <v>0</v>
      </c>
      <c r="E92" s="127">
        <v>45381</v>
      </c>
      <c r="F92" s="5" t="s">
        <v>1</v>
      </c>
      <c r="G92" s="5" t="s">
        <v>12</v>
      </c>
      <c r="H92" s="5" t="s">
        <v>7</v>
      </c>
      <c r="I92">
        <v>2023</v>
      </c>
      <c r="J92" s="5" t="s">
        <v>63</v>
      </c>
      <c r="K92" s="5" t="s">
        <v>50</v>
      </c>
      <c r="L92" s="129">
        <v>44895</v>
      </c>
      <c r="M92" s="20">
        <v>4091.27</v>
      </c>
      <c r="N92" s="128">
        <v>22.58</v>
      </c>
      <c r="O92" s="20">
        <v>479.48361381753324</v>
      </c>
      <c r="P92" s="128">
        <v>15.763844837836709</v>
      </c>
      <c r="Q92" s="122">
        <v>181.1899911426041</v>
      </c>
      <c r="R92" s="121">
        <v>11.494022746767216</v>
      </c>
      <c r="S92" s="121">
        <v>137.9282729612066</v>
      </c>
      <c r="T92" s="121">
        <v>13.311488769462782</v>
      </c>
      <c r="U92" s="20">
        <v>18360.306565144987</v>
      </c>
    </row>
    <row r="93" spans="2:21" x14ac:dyDescent="0.25">
      <c r="B93" s="5">
        <v>2024</v>
      </c>
      <c r="C93" s="5">
        <v>3</v>
      </c>
      <c r="D93" s="5" t="s">
        <v>0</v>
      </c>
      <c r="E93" s="127">
        <v>45382</v>
      </c>
      <c r="F93" s="5" t="s">
        <v>1</v>
      </c>
      <c r="G93" s="5" t="s">
        <v>2</v>
      </c>
      <c r="H93" s="5" t="s">
        <v>6</v>
      </c>
      <c r="I93">
        <v>2022</v>
      </c>
      <c r="J93" s="5" t="s">
        <v>63</v>
      </c>
      <c r="K93" s="5" t="s">
        <v>50</v>
      </c>
      <c r="L93" s="129">
        <v>44902</v>
      </c>
      <c r="M93" s="20">
        <v>4695.16</v>
      </c>
      <c r="N93" s="128">
        <v>30.81</v>
      </c>
      <c r="O93" s="20">
        <v>478.0701071080818</v>
      </c>
      <c r="P93" s="128">
        <v>15.717373384375291</v>
      </c>
      <c r="Q93" s="122">
        <v>152.39078221356704</v>
      </c>
      <c r="R93" s="121">
        <v>9.6956901440707242</v>
      </c>
      <c r="S93" s="121">
        <v>116.34828172884869</v>
      </c>
      <c r="T93" s="121">
        <v>13.865190967832833</v>
      </c>
      <c r="U93" s="20">
        <v>16131.911449497027</v>
      </c>
    </row>
    <row r="94" spans="2:21" x14ac:dyDescent="0.25">
      <c r="B94" s="5">
        <v>2024</v>
      </c>
      <c r="C94" s="5">
        <v>3</v>
      </c>
      <c r="D94" s="5" t="s">
        <v>75</v>
      </c>
      <c r="E94" s="127">
        <v>45352</v>
      </c>
      <c r="F94" s="5" t="s">
        <v>52</v>
      </c>
      <c r="G94" s="5" t="s">
        <v>43</v>
      </c>
      <c r="H94" s="5" t="s">
        <v>6</v>
      </c>
      <c r="I94">
        <v>2022</v>
      </c>
      <c r="J94" s="5" t="s">
        <v>63</v>
      </c>
      <c r="K94" s="5" t="s">
        <v>50</v>
      </c>
      <c r="L94" s="129">
        <v>44926</v>
      </c>
      <c r="M94" s="20">
        <v>116.27</v>
      </c>
      <c r="N94" s="128">
        <v>0.91</v>
      </c>
      <c r="O94" s="20">
        <v>426</v>
      </c>
      <c r="P94" s="128">
        <v>14.005479452054795</v>
      </c>
      <c r="Q94" s="122">
        <v>127.76923076923076</v>
      </c>
      <c r="R94" s="121">
        <v>9.1228030576622121</v>
      </c>
      <c r="S94" s="121">
        <v>109.47363669194655</v>
      </c>
      <c r="T94" s="121">
        <v>11.033625000000001</v>
      </c>
      <c r="U94" s="20">
        <v>12078.910546451789</v>
      </c>
    </row>
    <row r="95" spans="2:21" x14ac:dyDescent="0.25">
      <c r="B95" s="5">
        <v>2024</v>
      </c>
      <c r="C95" s="5">
        <v>3</v>
      </c>
      <c r="D95" s="5" t="s">
        <v>75</v>
      </c>
      <c r="E95" s="127">
        <v>45377</v>
      </c>
      <c r="F95" s="5" t="s">
        <v>52</v>
      </c>
      <c r="G95" s="5" t="s">
        <v>26</v>
      </c>
      <c r="H95" s="5" t="s">
        <v>3</v>
      </c>
      <c r="I95">
        <v>2022</v>
      </c>
      <c r="J95" s="5" t="s">
        <v>62</v>
      </c>
      <c r="K95" s="5" t="s">
        <v>50</v>
      </c>
      <c r="L95" s="129">
        <v>45000</v>
      </c>
      <c r="M95" s="20">
        <v>5216.9499999999898</v>
      </c>
      <c r="N95" s="128">
        <v>39.299999999999997</v>
      </c>
      <c r="O95" s="20">
        <v>376.06692111959291</v>
      </c>
      <c r="P95" s="128">
        <v>12.363843982014012</v>
      </c>
      <c r="Q95" s="122">
        <v>132.74681933842214</v>
      </c>
      <c r="R95" s="121">
        <v>10.736694795852502</v>
      </c>
      <c r="S95" s="121">
        <v>128.84033755023003</v>
      </c>
      <c r="T95" s="121">
        <v>14.700652204462408</v>
      </c>
      <c r="U95" s="20">
        <v>18940.369922314698</v>
      </c>
    </row>
    <row r="96" spans="2:21" x14ac:dyDescent="0.25">
      <c r="B96" s="5">
        <v>2024</v>
      </c>
      <c r="C96" s="5">
        <v>3</v>
      </c>
      <c r="D96" s="5" t="s">
        <v>75</v>
      </c>
      <c r="E96" s="127">
        <v>45381</v>
      </c>
      <c r="F96" s="5" t="s">
        <v>52</v>
      </c>
      <c r="G96" s="5" t="s">
        <v>30</v>
      </c>
      <c r="H96" s="5" t="s">
        <v>4</v>
      </c>
      <c r="I96">
        <v>2022</v>
      </c>
      <c r="J96" s="5" t="s">
        <v>64</v>
      </c>
      <c r="K96" s="5" t="s">
        <v>50</v>
      </c>
      <c r="L96" s="129">
        <v>44989</v>
      </c>
      <c r="M96" s="20">
        <v>4594.8599999999997</v>
      </c>
      <c r="N96" s="128">
        <v>28.82</v>
      </c>
      <c r="O96" s="20">
        <v>390.30569049271338</v>
      </c>
      <c r="P96" s="128">
        <v>12.831967906609755</v>
      </c>
      <c r="Q96" s="122">
        <v>159.43303261623871</v>
      </c>
      <c r="R96" s="121">
        <v>12.424675137639227</v>
      </c>
      <c r="S96" s="121">
        <v>149.09610165167072</v>
      </c>
      <c r="T96" s="121">
        <v>14.132983030286017</v>
      </c>
      <c r="U96" s="20">
        <v>21071.726745248612</v>
      </c>
    </row>
    <row r="97" spans="2:21" x14ac:dyDescent="0.25">
      <c r="B97" s="5">
        <v>2024</v>
      </c>
      <c r="C97" s="5">
        <v>3</v>
      </c>
      <c r="D97" s="5" t="s">
        <v>22</v>
      </c>
      <c r="E97" s="127">
        <v>45381</v>
      </c>
      <c r="F97" s="5" t="s">
        <v>29</v>
      </c>
      <c r="G97" s="5" t="s">
        <v>31</v>
      </c>
      <c r="H97" s="5" t="s">
        <v>6</v>
      </c>
      <c r="I97">
        <v>2023</v>
      </c>
      <c r="J97" s="5" t="s">
        <v>351</v>
      </c>
      <c r="K97" s="5" t="s">
        <v>50</v>
      </c>
      <c r="L97" s="129">
        <v>44980</v>
      </c>
      <c r="M97" s="20">
        <v>1884.81</v>
      </c>
      <c r="N97" s="128">
        <v>14.7099999999999</v>
      </c>
      <c r="O97" s="20">
        <v>399.35010197145067</v>
      </c>
      <c r="P97" s="128">
        <v>13.129318420979201</v>
      </c>
      <c r="Q97" s="122">
        <v>128.1312032630872</v>
      </c>
      <c r="R97" s="121">
        <v>9.7591664056488785</v>
      </c>
      <c r="S97" s="121">
        <v>117.10999686778655</v>
      </c>
      <c r="T97" s="121">
        <v>14.113132946424308</v>
      </c>
      <c r="U97" s="20">
        <v>16527.889551504057</v>
      </c>
    </row>
    <row r="98" spans="2:21" x14ac:dyDescent="0.25">
      <c r="B98" s="5">
        <v>2024</v>
      </c>
      <c r="C98" s="5">
        <v>3</v>
      </c>
      <c r="D98" s="5" t="s">
        <v>22</v>
      </c>
      <c r="E98" s="127">
        <v>45382</v>
      </c>
      <c r="F98" s="5" t="s">
        <v>23</v>
      </c>
      <c r="G98" s="5" t="s">
        <v>11</v>
      </c>
      <c r="H98" s="5" t="s">
        <v>3</v>
      </c>
      <c r="I98">
        <v>2023</v>
      </c>
      <c r="J98" s="5" t="s">
        <v>80</v>
      </c>
      <c r="K98" s="5" t="s">
        <v>474</v>
      </c>
      <c r="L98" s="129">
        <v>44951</v>
      </c>
      <c r="M98" s="20">
        <v>560.13800000000003</v>
      </c>
      <c r="N98" s="128">
        <v>3.58</v>
      </c>
      <c r="O98" s="20">
        <v>431</v>
      </c>
      <c r="P98" s="128">
        <v>14.169863013698631</v>
      </c>
      <c r="Q98" s="122">
        <v>156.46312849162013</v>
      </c>
      <c r="R98" s="121">
        <v>11.04196479107528</v>
      </c>
      <c r="S98" s="121">
        <v>132.50357749290336</v>
      </c>
      <c r="T98" s="121">
        <v>12.268832999999999</v>
      </c>
      <c r="U98" s="20">
        <v>16256.642641629898</v>
      </c>
    </row>
    <row r="99" spans="2:21" x14ac:dyDescent="0.25">
      <c r="B99" s="5">
        <v>2024</v>
      </c>
      <c r="C99" s="5">
        <v>3</v>
      </c>
      <c r="D99" s="5" t="s">
        <v>22</v>
      </c>
      <c r="E99" s="127">
        <v>45382</v>
      </c>
      <c r="F99" s="5" t="s">
        <v>29</v>
      </c>
      <c r="G99" s="5" t="s">
        <v>31</v>
      </c>
      <c r="H99" s="5" t="s">
        <v>7</v>
      </c>
      <c r="I99">
        <v>2023</v>
      </c>
      <c r="J99" s="5" t="s">
        <v>351</v>
      </c>
      <c r="K99" s="5" t="s">
        <v>50</v>
      </c>
      <c r="L99" s="129">
        <v>44980</v>
      </c>
      <c r="M99" s="20">
        <v>2015.76</v>
      </c>
      <c r="N99" s="128">
        <v>14.85</v>
      </c>
      <c r="O99" s="20">
        <v>400.50639730639665</v>
      </c>
      <c r="P99" s="128">
        <v>13.167333610073316</v>
      </c>
      <c r="Q99" s="122">
        <v>135.74141414141414</v>
      </c>
      <c r="R99" s="121">
        <v>10.308952302808583</v>
      </c>
      <c r="S99" s="121">
        <v>123.70742763370299</v>
      </c>
      <c r="T99" s="121">
        <v>14.169367629638399</v>
      </c>
      <c r="U99" s="20">
        <v>17528.560206588259</v>
      </c>
    </row>
    <row r="100" spans="2:21" x14ac:dyDescent="0.25">
      <c r="B100" s="5">
        <v>2024</v>
      </c>
      <c r="C100" s="5">
        <v>3</v>
      </c>
      <c r="D100" s="5" t="s">
        <v>22</v>
      </c>
      <c r="E100" s="127">
        <v>45382</v>
      </c>
      <c r="F100" s="5" t="s">
        <v>29</v>
      </c>
      <c r="G100" s="5" t="s">
        <v>31</v>
      </c>
      <c r="H100" s="5" t="s">
        <v>8</v>
      </c>
      <c r="I100">
        <v>2022</v>
      </c>
      <c r="J100" s="5" t="s">
        <v>351</v>
      </c>
      <c r="K100" s="5" t="s">
        <v>50</v>
      </c>
      <c r="L100" s="129">
        <v>44980</v>
      </c>
      <c r="M100" s="20">
        <v>1736.7919999999999</v>
      </c>
      <c r="N100" s="128">
        <v>12.75</v>
      </c>
      <c r="O100" s="20">
        <v>401.50823529411764</v>
      </c>
      <c r="P100" s="128">
        <v>13.200270749395649</v>
      </c>
      <c r="Q100" s="122">
        <v>136.21898039215685</v>
      </c>
      <c r="R100" s="121">
        <v>10.319408062019743</v>
      </c>
      <c r="S100" s="121">
        <v>123.83289674423692</v>
      </c>
      <c r="T100" s="121">
        <v>14.08027534916438</v>
      </c>
      <c r="U100" s="20">
        <v>17436.012834434972</v>
      </c>
    </row>
    <row r="101" spans="2:21" x14ac:dyDescent="0.25">
      <c r="B101" s="5">
        <v>2024</v>
      </c>
      <c r="C101" s="5">
        <v>3</v>
      </c>
      <c r="D101" s="5" t="s">
        <v>19</v>
      </c>
      <c r="E101" s="127">
        <v>45352</v>
      </c>
      <c r="F101" s="5" t="s">
        <v>20</v>
      </c>
      <c r="G101" s="5" t="s">
        <v>21</v>
      </c>
      <c r="H101" s="5" t="s">
        <v>3</v>
      </c>
      <c r="I101">
        <v>2022</v>
      </c>
      <c r="J101" s="5" t="s">
        <v>283</v>
      </c>
      <c r="K101" s="5" t="s">
        <v>50</v>
      </c>
      <c r="L101" s="129">
        <v>44895</v>
      </c>
      <c r="M101" s="20">
        <v>1150.8719999999901</v>
      </c>
      <c r="N101" s="128">
        <v>6.63</v>
      </c>
      <c r="O101" s="20">
        <v>457</v>
      </c>
      <c r="P101" s="128">
        <v>15.024657534246575</v>
      </c>
      <c r="Q101" s="122">
        <v>173.58552036198947</v>
      </c>
      <c r="R101" s="121">
        <v>11.553376172889527</v>
      </c>
      <c r="S101" s="121">
        <v>138.64051407467431</v>
      </c>
      <c r="T101" s="121">
        <v>13.015222222222306</v>
      </c>
      <c r="U101" s="20">
        <v>18044.370996850255</v>
      </c>
    </row>
    <row r="102" spans="2:21" x14ac:dyDescent="0.25">
      <c r="B102" s="5">
        <v>2024</v>
      </c>
      <c r="C102" s="5">
        <v>3</v>
      </c>
      <c r="D102" s="5" t="s">
        <v>19</v>
      </c>
      <c r="E102" s="127">
        <v>45374</v>
      </c>
      <c r="F102" s="5" t="s">
        <v>20</v>
      </c>
      <c r="G102" s="5" t="s">
        <v>14</v>
      </c>
      <c r="H102" s="5" t="s">
        <v>7</v>
      </c>
      <c r="I102">
        <v>2022</v>
      </c>
      <c r="J102" s="5" t="s">
        <v>60</v>
      </c>
      <c r="K102" s="5" t="s">
        <v>50</v>
      </c>
      <c r="L102" s="129">
        <v>44928</v>
      </c>
      <c r="M102" s="20">
        <v>296.25799999999998</v>
      </c>
      <c r="N102" s="128">
        <v>1.92</v>
      </c>
      <c r="O102" s="20">
        <v>440.53645833333337</v>
      </c>
      <c r="P102" s="128">
        <v>14.483390410958904</v>
      </c>
      <c r="Q102" s="122">
        <v>154.30104166666666</v>
      </c>
      <c r="R102" s="121">
        <v>10.653654792728245</v>
      </c>
      <c r="S102" s="121">
        <v>127.84385751273894</v>
      </c>
      <c r="T102" s="121">
        <v>13.274349182489587</v>
      </c>
      <c r="U102" s="20">
        <v>16970.440054605413</v>
      </c>
    </row>
    <row r="103" spans="2:21" x14ac:dyDescent="0.25">
      <c r="B103" s="5">
        <v>2024</v>
      </c>
      <c r="C103" s="5">
        <v>3</v>
      </c>
      <c r="D103" s="5" t="s">
        <v>19</v>
      </c>
      <c r="E103" s="127">
        <v>45377</v>
      </c>
      <c r="F103" s="5" t="s">
        <v>20</v>
      </c>
      <c r="G103" s="5" t="s">
        <v>11</v>
      </c>
      <c r="H103" s="5" t="s">
        <v>8</v>
      </c>
      <c r="I103">
        <v>2022</v>
      </c>
      <c r="J103" s="5" t="s">
        <v>304</v>
      </c>
      <c r="K103" s="5" t="s">
        <v>50</v>
      </c>
      <c r="L103" s="129">
        <v>44917</v>
      </c>
      <c r="M103" s="20">
        <v>857.81999999999903</v>
      </c>
      <c r="N103" s="128">
        <v>6.0799999999999903</v>
      </c>
      <c r="O103" s="20">
        <v>456.40296052631646</v>
      </c>
      <c r="P103" s="128">
        <v>15.005028839221362</v>
      </c>
      <c r="Q103" s="122">
        <v>141.08881578947376</v>
      </c>
      <c r="R103" s="121">
        <v>9.4027687184901882</v>
      </c>
      <c r="S103" s="121">
        <v>112.83322462188225</v>
      </c>
      <c r="T103" s="121">
        <v>13.694552412685661</v>
      </c>
      <c r="U103" s="20">
        <v>15452.005084767008</v>
      </c>
    </row>
    <row r="104" spans="2:21" x14ac:dyDescent="0.25">
      <c r="B104" s="5">
        <v>2024</v>
      </c>
      <c r="C104" s="134" t="s">
        <v>303</v>
      </c>
      <c r="D104" s="134"/>
      <c r="E104" s="134"/>
      <c r="F104" s="134"/>
      <c r="G104" s="134"/>
      <c r="H104" s="134"/>
      <c r="I104" s="134"/>
      <c r="J104" s="134"/>
      <c r="K104" s="134"/>
      <c r="L104" s="134"/>
      <c r="M104" s="130">
        <v>27585.16999999998</v>
      </c>
      <c r="N104" s="131">
        <v>185.23999999999987</v>
      </c>
      <c r="O104" s="130">
        <v>422.32412006046184</v>
      </c>
      <c r="P104" s="131">
        <v>13.884628604727512</v>
      </c>
      <c r="Q104" s="132">
        <v>148.91583891168213</v>
      </c>
      <c r="R104" s="133">
        <v>10.725230263701723</v>
      </c>
      <c r="S104" s="133">
        <v>128.70276316442067</v>
      </c>
      <c r="T104" s="133">
        <v>13.926724531274207</v>
      </c>
      <c r="U104" s="130">
        <v>17924.079290047117</v>
      </c>
    </row>
    <row r="105" spans="2:21" x14ac:dyDescent="0.25">
      <c r="B105" s="5">
        <v>2024</v>
      </c>
      <c r="C105" s="5">
        <v>4</v>
      </c>
      <c r="D105" s="5" t="s">
        <v>17</v>
      </c>
      <c r="E105" s="127">
        <v>45401</v>
      </c>
      <c r="F105" s="5" t="s">
        <v>18</v>
      </c>
      <c r="G105" s="5" t="s">
        <v>2</v>
      </c>
      <c r="H105" s="5" t="s">
        <v>3</v>
      </c>
      <c r="I105">
        <v>2022</v>
      </c>
      <c r="J105" s="5" t="s">
        <v>63</v>
      </c>
      <c r="K105" s="5" t="s">
        <v>50</v>
      </c>
      <c r="L105" s="129">
        <v>44863</v>
      </c>
      <c r="M105" s="20">
        <v>1180.1299999999901</v>
      </c>
      <c r="N105" s="128">
        <v>7.3199999999999896</v>
      </c>
      <c r="O105" s="20">
        <v>536.33743169398986</v>
      </c>
      <c r="P105" s="128">
        <v>17.633011452953092</v>
      </c>
      <c r="Q105" s="122">
        <v>161.21994535519013</v>
      </c>
      <c r="R105" s="121">
        <v>9.1430749526445627</v>
      </c>
      <c r="S105" s="121">
        <v>109.71689943173476</v>
      </c>
      <c r="T105" s="121">
        <v>13.765466849770819</v>
      </c>
      <c r="U105" s="20">
        <v>15103.043419871836</v>
      </c>
    </row>
    <row r="106" spans="2:21" x14ac:dyDescent="0.25">
      <c r="B106" s="5">
        <v>2024</v>
      </c>
      <c r="C106" s="5">
        <v>4</v>
      </c>
      <c r="D106" s="5" t="s">
        <v>0</v>
      </c>
      <c r="E106" s="127">
        <v>45384</v>
      </c>
      <c r="F106" s="5" t="s">
        <v>1</v>
      </c>
      <c r="G106" s="5" t="s">
        <v>2</v>
      </c>
      <c r="H106" s="5" t="s">
        <v>6</v>
      </c>
      <c r="I106">
        <v>2022</v>
      </c>
      <c r="J106" s="5" t="s">
        <v>63</v>
      </c>
      <c r="K106" s="5" t="s">
        <v>50</v>
      </c>
      <c r="L106" s="129">
        <v>44902</v>
      </c>
      <c r="M106" s="20">
        <v>1625.7339999999999</v>
      </c>
      <c r="N106" s="128">
        <v>11.07</v>
      </c>
      <c r="O106" s="20">
        <v>481.1273712737127</v>
      </c>
      <c r="P106" s="128">
        <v>15.817886178861787</v>
      </c>
      <c r="Q106" s="122">
        <v>146.85943992773261</v>
      </c>
      <c r="R106" s="121">
        <v>9.2843909904970765</v>
      </c>
      <c r="S106" s="121">
        <v>111.41269188596492</v>
      </c>
      <c r="T106" s="121">
        <v>13.326744790554914</v>
      </c>
      <c r="U106" s="20">
        <v>14847.685111929826</v>
      </c>
    </row>
    <row r="107" spans="2:21" x14ac:dyDescent="0.25">
      <c r="B107" s="5">
        <v>2024</v>
      </c>
      <c r="C107" s="5">
        <v>4</v>
      </c>
      <c r="D107" s="5" t="s">
        <v>0</v>
      </c>
      <c r="E107" s="127">
        <v>45390</v>
      </c>
      <c r="F107" s="5" t="s">
        <v>1</v>
      </c>
      <c r="G107" s="5" t="s">
        <v>12</v>
      </c>
      <c r="H107" s="5" t="s">
        <v>7</v>
      </c>
      <c r="I107">
        <v>2023</v>
      </c>
      <c r="J107" s="5" t="s">
        <v>63</v>
      </c>
      <c r="K107" s="5" t="s">
        <v>50</v>
      </c>
      <c r="L107" s="129">
        <v>44895</v>
      </c>
      <c r="M107" s="20">
        <v>2985.38</v>
      </c>
      <c r="N107" s="128">
        <v>16.78</v>
      </c>
      <c r="O107" s="20">
        <v>494.47139451728242</v>
      </c>
      <c r="P107" s="128">
        <v>16.256593792349008</v>
      </c>
      <c r="Q107" s="122">
        <v>177.91299165673419</v>
      </c>
      <c r="R107" s="121">
        <v>10.944051006580912</v>
      </c>
      <c r="S107" s="121">
        <v>131.32861207897093</v>
      </c>
      <c r="T107" s="121">
        <v>14.072051641914932</v>
      </c>
      <c r="U107" s="20">
        <v>18480.63011236292</v>
      </c>
    </row>
    <row r="108" spans="2:21" x14ac:dyDescent="0.25">
      <c r="B108" s="5">
        <v>2024</v>
      </c>
      <c r="C108" s="5">
        <v>4</v>
      </c>
      <c r="D108" s="5" t="s">
        <v>0</v>
      </c>
      <c r="E108" s="127">
        <v>45398</v>
      </c>
      <c r="F108" s="5" t="s">
        <v>1</v>
      </c>
      <c r="G108" s="5" t="s">
        <v>9</v>
      </c>
      <c r="H108" s="5" t="s">
        <v>4</v>
      </c>
      <c r="I108">
        <v>2022</v>
      </c>
      <c r="J108" s="5" t="s">
        <v>63</v>
      </c>
      <c r="K108" s="5" t="s">
        <v>50</v>
      </c>
      <c r="L108" s="129">
        <v>44890</v>
      </c>
      <c r="M108" s="20">
        <v>6878.21</v>
      </c>
      <c r="N108" s="128">
        <v>41.879999999999903</v>
      </c>
      <c r="O108" s="20">
        <v>502.33142311365924</v>
      </c>
      <c r="P108" s="128">
        <v>16.515005691407975</v>
      </c>
      <c r="Q108" s="122">
        <v>164.23615090735473</v>
      </c>
      <c r="R108" s="121">
        <v>9.9446620834529593</v>
      </c>
      <c r="S108" s="121">
        <v>119.33594500143552</v>
      </c>
      <c r="T108" s="121">
        <v>14.218879759553721</v>
      </c>
      <c r="U108" s="20">
        <v>16968.234529681275</v>
      </c>
    </row>
    <row r="109" spans="2:21" x14ac:dyDescent="0.25">
      <c r="B109" s="5">
        <v>2024</v>
      </c>
      <c r="C109" s="5">
        <v>4</v>
      </c>
      <c r="D109" s="5" t="s">
        <v>75</v>
      </c>
      <c r="E109" s="127">
        <v>45385</v>
      </c>
      <c r="F109" s="5" t="s">
        <v>52</v>
      </c>
      <c r="G109" s="5" t="s">
        <v>21</v>
      </c>
      <c r="H109" s="5" t="s">
        <v>7</v>
      </c>
      <c r="I109">
        <v>2022</v>
      </c>
      <c r="J109" s="5" t="s">
        <v>64</v>
      </c>
      <c r="K109" s="5" t="s">
        <v>50</v>
      </c>
      <c r="L109" s="129">
        <v>44993</v>
      </c>
      <c r="M109" s="20">
        <v>3474.826</v>
      </c>
      <c r="N109" s="128">
        <v>23.47</v>
      </c>
      <c r="O109" s="20">
        <v>391.48231785257781</v>
      </c>
      <c r="P109" s="128">
        <v>12.870651545838175</v>
      </c>
      <c r="Q109" s="122">
        <v>148.05394120153389</v>
      </c>
      <c r="R109" s="121">
        <v>11.503220382763628</v>
      </c>
      <c r="S109" s="121">
        <v>138.03864459316353</v>
      </c>
      <c r="T109" s="121">
        <v>14.97497535960707</v>
      </c>
      <c r="U109" s="20">
        <v>20671.253014561815</v>
      </c>
    </row>
    <row r="110" spans="2:21" x14ac:dyDescent="0.25">
      <c r="B110" s="5">
        <v>2024</v>
      </c>
      <c r="C110" s="5">
        <v>4</v>
      </c>
      <c r="D110" s="5" t="s">
        <v>75</v>
      </c>
      <c r="E110" s="127">
        <v>45386</v>
      </c>
      <c r="F110" s="5" t="s">
        <v>52</v>
      </c>
      <c r="G110" s="5" t="s">
        <v>30</v>
      </c>
      <c r="H110" s="5" t="s">
        <v>4</v>
      </c>
      <c r="I110">
        <v>2022</v>
      </c>
      <c r="J110" s="5" t="s">
        <v>64</v>
      </c>
      <c r="K110" s="5" t="s">
        <v>50</v>
      </c>
      <c r="L110" s="129">
        <v>44989</v>
      </c>
      <c r="M110" s="20">
        <v>582.51</v>
      </c>
      <c r="N110" s="128">
        <v>3.88</v>
      </c>
      <c r="O110" s="20">
        <v>396.74999999999744</v>
      </c>
      <c r="P110" s="128">
        <v>13.043835616438271</v>
      </c>
      <c r="Q110" s="122">
        <v>150.13144329896906</v>
      </c>
      <c r="R110" s="121">
        <v>11.509761983642944</v>
      </c>
      <c r="S110" s="121">
        <v>138.11714380371532</v>
      </c>
      <c r="T110" s="121">
        <v>14.49573935257764</v>
      </c>
      <c r="U110" s="20">
        <v>20021.101167011409</v>
      </c>
    </row>
    <row r="111" spans="2:21" x14ac:dyDescent="0.25">
      <c r="B111" s="5">
        <v>2024</v>
      </c>
      <c r="C111" s="5">
        <v>4</v>
      </c>
      <c r="D111" s="5" t="s">
        <v>75</v>
      </c>
      <c r="E111" s="127">
        <v>45389</v>
      </c>
      <c r="F111" s="5" t="s">
        <v>52</v>
      </c>
      <c r="G111" s="5" t="s">
        <v>42</v>
      </c>
      <c r="H111" s="5" t="s">
        <v>5</v>
      </c>
      <c r="I111">
        <v>2022</v>
      </c>
      <c r="J111" s="5" t="s">
        <v>64</v>
      </c>
      <c r="K111" s="5" t="s">
        <v>50</v>
      </c>
      <c r="L111" s="129">
        <v>44987</v>
      </c>
      <c r="M111" s="20">
        <v>5396.88</v>
      </c>
      <c r="N111" s="128">
        <v>38.82</v>
      </c>
      <c r="O111" s="20">
        <v>400.04276146316329</v>
      </c>
      <c r="P111" s="128">
        <v>13.152090787830026</v>
      </c>
      <c r="Q111" s="122">
        <v>139.02318392581145</v>
      </c>
      <c r="R111" s="121">
        <v>10.570424593970507</v>
      </c>
      <c r="S111" s="121">
        <v>126.84509512764609</v>
      </c>
      <c r="T111" s="121">
        <v>14.663908043452883</v>
      </c>
      <c r="U111" s="20">
        <v>18600.448107148357</v>
      </c>
    </row>
    <row r="112" spans="2:21" x14ac:dyDescent="0.25">
      <c r="B112" s="5">
        <v>2024</v>
      </c>
      <c r="C112" s="5">
        <v>4</v>
      </c>
      <c r="D112" s="5" t="s">
        <v>75</v>
      </c>
      <c r="E112" s="127">
        <v>45397</v>
      </c>
      <c r="F112" s="5" t="s">
        <v>52</v>
      </c>
      <c r="G112" s="5" t="s">
        <v>30</v>
      </c>
      <c r="H112" s="5" t="s">
        <v>3</v>
      </c>
      <c r="I112">
        <v>2022</v>
      </c>
      <c r="J112" s="5" t="s">
        <v>64</v>
      </c>
      <c r="K112" s="5" t="s">
        <v>473</v>
      </c>
      <c r="L112" s="129">
        <v>45050</v>
      </c>
      <c r="M112" s="20">
        <v>5122.1000000000004</v>
      </c>
      <c r="N112" s="128">
        <v>38.880000000000003</v>
      </c>
      <c r="O112" s="20">
        <v>345.89171810699588</v>
      </c>
      <c r="P112" s="128">
        <v>11.371782513106712</v>
      </c>
      <c r="Q112" s="122">
        <v>131.74125514403292</v>
      </c>
      <c r="R112" s="121">
        <v>11.584925669497515</v>
      </c>
      <c r="S112" s="121">
        <v>139.01910803397018</v>
      </c>
      <c r="T112" s="121">
        <v>13.384820074049705</v>
      </c>
      <c r="U112" s="20">
        <v>18607.457478895689</v>
      </c>
    </row>
    <row r="113" spans="2:21" x14ac:dyDescent="0.25">
      <c r="B113" s="5">
        <v>2024</v>
      </c>
      <c r="C113" s="5">
        <v>4</v>
      </c>
      <c r="D113" s="5" t="s">
        <v>75</v>
      </c>
      <c r="E113" s="127">
        <v>45402</v>
      </c>
      <c r="F113" s="5" t="s">
        <v>52</v>
      </c>
      <c r="G113" s="5" t="s">
        <v>27</v>
      </c>
      <c r="H113" s="5" t="s">
        <v>3</v>
      </c>
      <c r="I113">
        <v>2022</v>
      </c>
      <c r="J113" s="5" t="s">
        <v>60</v>
      </c>
      <c r="K113" s="5" t="s">
        <v>50</v>
      </c>
      <c r="L113" s="129">
        <v>45048</v>
      </c>
      <c r="M113" s="20">
        <v>5700.43</v>
      </c>
      <c r="N113" s="128">
        <v>35</v>
      </c>
      <c r="O113" s="20">
        <v>351.57628571428285</v>
      </c>
      <c r="P113" s="128">
        <v>11.558672407044915</v>
      </c>
      <c r="Q113" s="122">
        <v>162.86942857142859</v>
      </c>
      <c r="R113" s="121">
        <v>14.090669138798416</v>
      </c>
      <c r="S113" s="121">
        <v>169.08802966558099</v>
      </c>
      <c r="T113" s="121">
        <v>14.602470970149602</v>
      </c>
      <c r="U113" s="20">
        <v>24691.03044591441</v>
      </c>
    </row>
    <row r="114" spans="2:21" x14ac:dyDescent="0.25">
      <c r="B114" s="5">
        <v>2024</v>
      </c>
      <c r="C114" s="5">
        <v>4</v>
      </c>
      <c r="D114" s="5" t="s">
        <v>75</v>
      </c>
      <c r="E114" s="127">
        <v>45408</v>
      </c>
      <c r="F114" s="5" t="s">
        <v>52</v>
      </c>
      <c r="G114" s="5" t="s">
        <v>42</v>
      </c>
      <c r="H114" s="5" t="s">
        <v>7</v>
      </c>
      <c r="I114">
        <v>2021</v>
      </c>
      <c r="J114" s="5" t="s">
        <v>60</v>
      </c>
      <c r="K114" s="5" t="s">
        <v>50</v>
      </c>
      <c r="L114" s="129">
        <v>44970</v>
      </c>
      <c r="M114" s="20">
        <v>3755.05</v>
      </c>
      <c r="N114" s="128">
        <v>24.77</v>
      </c>
      <c r="O114" s="20">
        <v>434.58255954784016</v>
      </c>
      <c r="P114" s="128">
        <v>14.287645793353649</v>
      </c>
      <c r="Q114" s="122">
        <v>151.596689543803</v>
      </c>
      <c r="R114" s="121">
        <v>10.610333692225419</v>
      </c>
      <c r="S114" s="121">
        <v>127.32400430670502</v>
      </c>
      <c r="T114" s="121">
        <v>15.363279035102062</v>
      </c>
      <c r="U114" s="20">
        <v>19561.142060304461</v>
      </c>
    </row>
    <row r="115" spans="2:21" x14ac:dyDescent="0.25">
      <c r="B115" s="5">
        <v>2024</v>
      </c>
      <c r="C115" s="5">
        <v>4</v>
      </c>
      <c r="D115" s="5" t="s">
        <v>75</v>
      </c>
      <c r="E115" s="127">
        <v>45412</v>
      </c>
      <c r="F115" s="5" t="s">
        <v>52</v>
      </c>
      <c r="G115" s="5" t="s">
        <v>28</v>
      </c>
      <c r="H115" s="5" t="s">
        <v>3</v>
      </c>
      <c r="I115">
        <v>2022</v>
      </c>
      <c r="J115" s="5" t="s">
        <v>64</v>
      </c>
      <c r="K115" s="5" t="s">
        <v>50</v>
      </c>
      <c r="L115" s="129">
        <v>45054</v>
      </c>
      <c r="M115" s="20">
        <v>1533.12</v>
      </c>
      <c r="N115" s="128">
        <v>9.3699999999999992</v>
      </c>
      <c r="O115" s="20">
        <v>357.99999999999898</v>
      </c>
      <c r="P115" s="128">
        <v>11.769863013698595</v>
      </c>
      <c r="Q115" s="122">
        <v>163.62006403415154</v>
      </c>
      <c r="R115" s="121">
        <v>13.901611585769432</v>
      </c>
      <c r="S115" s="121">
        <v>166.81933902923319</v>
      </c>
      <c r="T115" s="121">
        <v>15.327599999999935</v>
      </c>
      <c r="U115" s="20">
        <v>25569.401009044635</v>
      </c>
    </row>
    <row r="116" spans="2:21" x14ac:dyDescent="0.25">
      <c r="B116" s="5">
        <v>2024</v>
      </c>
      <c r="C116" s="5">
        <v>4</v>
      </c>
      <c r="D116" s="5" t="s">
        <v>75</v>
      </c>
      <c r="E116" s="127">
        <v>45412</v>
      </c>
      <c r="F116" s="5" t="s">
        <v>52</v>
      </c>
      <c r="G116" s="5" t="s">
        <v>33</v>
      </c>
      <c r="H116" s="5" t="s">
        <v>4</v>
      </c>
      <c r="I116">
        <v>2022</v>
      </c>
      <c r="J116" s="5" t="s">
        <v>63</v>
      </c>
      <c r="K116" s="5" t="s">
        <v>50</v>
      </c>
      <c r="L116" s="129">
        <v>44913</v>
      </c>
      <c r="M116" s="20">
        <v>5649.78</v>
      </c>
      <c r="N116" s="128">
        <v>32.5399999999999</v>
      </c>
      <c r="O116" s="20">
        <v>496.97019053472803</v>
      </c>
      <c r="P116" s="128">
        <v>16.33874599018284</v>
      </c>
      <c r="Q116" s="122">
        <v>173.62569145666924</v>
      </c>
      <c r="R116" s="121">
        <v>10.626622848595142</v>
      </c>
      <c r="S116" s="121">
        <v>127.51947418314171</v>
      </c>
      <c r="T116" s="121">
        <v>15.085040525924887</v>
      </c>
      <c r="U116" s="20">
        <v>19236.364358973253</v>
      </c>
    </row>
    <row r="117" spans="2:21" x14ac:dyDescent="0.25">
      <c r="B117" s="5">
        <v>2024</v>
      </c>
      <c r="C117" s="5">
        <v>4</v>
      </c>
      <c r="D117" s="5" t="s">
        <v>22</v>
      </c>
      <c r="E117" s="127">
        <v>45388</v>
      </c>
      <c r="F117" s="5" t="s">
        <v>32</v>
      </c>
      <c r="G117" s="5" t="s">
        <v>35</v>
      </c>
      <c r="H117" s="5" t="s">
        <v>4</v>
      </c>
      <c r="I117">
        <v>2022</v>
      </c>
      <c r="J117" s="5" t="s">
        <v>315</v>
      </c>
      <c r="K117" s="5" t="s">
        <v>50</v>
      </c>
      <c r="L117" s="129">
        <v>44953</v>
      </c>
      <c r="M117" s="20">
        <v>2637.72</v>
      </c>
      <c r="N117" s="128">
        <v>17.440000000000001</v>
      </c>
      <c r="O117" s="20">
        <v>432.04300458715591</v>
      </c>
      <c r="P117" s="128">
        <v>14.204153575468141</v>
      </c>
      <c r="Q117" s="122">
        <v>151.24541284403668</v>
      </c>
      <c r="R117" s="121">
        <v>10.647970823495687</v>
      </c>
      <c r="S117" s="121">
        <v>127.77564988194824</v>
      </c>
      <c r="T117" s="121">
        <v>14.852266802276171</v>
      </c>
      <c r="U117" s="20">
        <v>18977.580428809229</v>
      </c>
    </row>
    <row r="118" spans="2:21" x14ac:dyDescent="0.25">
      <c r="B118" s="5">
        <v>2024</v>
      </c>
      <c r="C118" s="5">
        <v>4</v>
      </c>
      <c r="D118" s="5" t="s">
        <v>22</v>
      </c>
      <c r="E118" s="127">
        <v>45389</v>
      </c>
      <c r="F118" s="5" t="s">
        <v>32</v>
      </c>
      <c r="G118" s="5" t="s">
        <v>35</v>
      </c>
      <c r="H118" s="5" t="s">
        <v>6</v>
      </c>
      <c r="I118">
        <v>2022</v>
      </c>
      <c r="J118" s="5" t="s">
        <v>315</v>
      </c>
      <c r="K118" s="5" t="s">
        <v>50</v>
      </c>
      <c r="L118" s="129">
        <v>44960</v>
      </c>
      <c r="M118" s="20">
        <v>1854.327</v>
      </c>
      <c r="N118" s="128">
        <v>16.53</v>
      </c>
      <c r="O118" s="20">
        <v>427.60919540229884</v>
      </c>
      <c r="P118" s="128">
        <v>14.058384506376948</v>
      </c>
      <c r="Q118" s="122">
        <v>112.17949183303085</v>
      </c>
      <c r="R118" s="121">
        <v>7.9795435799999437</v>
      </c>
      <c r="S118" s="121">
        <v>95.754522959999321</v>
      </c>
      <c r="T118" s="121">
        <v>15.150278399924609</v>
      </c>
      <c r="U118" s="20">
        <v>14507.076808959628</v>
      </c>
    </row>
    <row r="119" spans="2:21" x14ac:dyDescent="0.25">
      <c r="B119" s="5">
        <v>2024</v>
      </c>
      <c r="C119" s="5">
        <v>4</v>
      </c>
      <c r="D119" s="5" t="s">
        <v>22</v>
      </c>
      <c r="E119" s="127">
        <v>45390</v>
      </c>
      <c r="F119" s="5" t="s">
        <v>32</v>
      </c>
      <c r="G119" s="5" t="s">
        <v>34</v>
      </c>
      <c r="H119" s="5" t="s">
        <v>8</v>
      </c>
      <c r="I119">
        <v>2022</v>
      </c>
      <c r="J119" s="5" t="s">
        <v>315</v>
      </c>
      <c r="K119" s="5" t="s">
        <v>50</v>
      </c>
      <c r="L119" s="129">
        <v>44959</v>
      </c>
      <c r="M119" s="20">
        <v>2259.3249999999998</v>
      </c>
      <c r="N119" s="128">
        <v>15.95</v>
      </c>
      <c r="O119" s="20">
        <v>430.06332288401256</v>
      </c>
      <c r="P119" s="128">
        <v>14.139068149611374</v>
      </c>
      <c r="Q119" s="122">
        <v>141.65047021943573</v>
      </c>
      <c r="R119" s="121">
        <v>10.018373822134038</v>
      </c>
      <c r="S119" s="121">
        <v>120.22048586560845</v>
      </c>
      <c r="T119" s="121">
        <v>14.748316620672103</v>
      </c>
      <c r="U119" s="20">
        <v>17730.497898370289</v>
      </c>
    </row>
    <row r="120" spans="2:21" x14ac:dyDescent="0.25">
      <c r="B120" s="5">
        <v>2024</v>
      </c>
      <c r="C120" s="5">
        <v>4</v>
      </c>
      <c r="D120" s="5" t="s">
        <v>22</v>
      </c>
      <c r="E120" s="127">
        <v>45390</v>
      </c>
      <c r="F120" s="5" t="s">
        <v>32</v>
      </c>
      <c r="G120" s="5" t="s">
        <v>35</v>
      </c>
      <c r="H120" s="5" t="s">
        <v>5</v>
      </c>
      <c r="I120">
        <v>2022</v>
      </c>
      <c r="J120" s="5" t="s">
        <v>315</v>
      </c>
      <c r="K120" s="5" t="s">
        <v>50</v>
      </c>
      <c r="L120" s="129">
        <v>44954</v>
      </c>
      <c r="M120" s="20">
        <v>2566.3180000000002</v>
      </c>
      <c r="N120" s="128">
        <v>17.309999999999999</v>
      </c>
      <c r="O120" s="20">
        <v>432.30098209127675</v>
      </c>
      <c r="P120" s="128">
        <v>14.212635027658415</v>
      </c>
      <c r="Q120" s="122">
        <v>148.25638359329869</v>
      </c>
      <c r="R120" s="121">
        <v>10.431308712619808</v>
      </c>
      <c r="S120" s="121">
        <v>125.1757045514377</v>
      </c>
      <c r="T120" s="121">
        <v>15.000807489516108</v>
      </c>
      <c r="U120" s="20">
        <v>18777.366463406623</v>
      </c>
    </row>
    <row r="121" spans="2:21" x14ac:dyDescent="0.25">
      <c r="B121" s="5">
        <v>2024</v>
      </c>
      <c r="C121" s="5">
        <v>4</v>
      </c>
      <c r="D121" s="5" t="s">
        <v>22</v>
      </c>
      <c r="E121" s="127">
        <v>45392</v>
      </c>
      <c r="F121" s="5" t="s">
        <v>32</v>
      </c>
      <c r="G121" s="5" t="s">
        <v>34</v>
      </c>
      <c r="H121" s="5" t="s">
        <v>7</v>
      </c>
      <c r="I121">
        <v>2022</v>
      </c>
      <c r="J121" s="5" t="s">
        <v>315</v>
      </c>
      <c r="K121" s="5" t="s">
        <v>50</v>
      </c>
      <c r="L121" s="129">
        <v>44954</v>
      </c>
      <c r="M121" s="20">
        <v>2401.8780000000002</v>
      </c>
      <c r="N121" s="128">
        <v>17.22</v>
      </c>
      <c r="O121" s="20">
        <v>436.31765389082409</v>
      </c>
      <c r="P121" s="128">
        <v>14.344689990931201</v>
      </c>
      <c r="Q121" s="122">
        <v>139.48188153310107</v>
      </c>
      <c r="R121" s="121">
        <v>9.7235898176455784</v>
      </c>
      <c r="S121" s="121">
        <v>116.68307781174694</v>
      </c>
      <c r="T121" s="121">
        <v>14.592034854896044</v>
      </c>
      <c r="U121" s="20">
        <v>17026.435384055585</v>
      </c>
    </row>
    <row r="122" spans="2:21" x14ac:dyDescent="0.25">
      <c r="B122" s="5">
        <v>2024</v>
      </c>
      <c r="C122" s="5">
        <v>4</v>
      </c>
      <c r="D122" s="5" t="s">
        <v>22</v>
      </c>
      <c r="E122" s="127">
        <v>45393</v>
      </c>
      <c r="F122" s="5" t="s">
        <v>23</v>
      </c>
      <c r="G122" s="5" t="s">
        <v>11</v>
      </c>
      <c r="H122" s="5" t="s">
        <v>3</v>
      </c>
      <c r="I122">
        <v>2023</v>
      </c>
      <c r="J122" s="5" t="s">
        <v>80</v>
      </c>
      <c r="K122" s="5" t="s">
        <v>474</v>
      </c>
      <c r="L122" s="129">
        <v>44951</v>
      </c>
      <c r="M122" s="20">
        <v>2068.0100000000002</v>
      </c>
      <c r="N122" s="128">
        <v>14.719999999999899</v>
      </c>
      <c r="O122" s="20">
        <v>435.93546195652408</v>
      </c>
      <c r="P122" s="128">
        <v>14.332124776652847</v>
      </c>
      <c r="Q122" s="122">
        <v>140.48980978260968</v>
      </c>
      <c r="R122" s="121">
        <v>9.8024411573271237</v>
      </c>
      <c r="S122" s="121">
        <v>117.62929388792548</v>
      </c>
      <c r="T122" s="121">
        <v>12.277797174912113</v>
      </c>
      <c r="U122" s="20">
        <v>14442.286121840782</v>
      </c>
    </row>
    <row r="123" spans="2:21" x14ac:dyDescent="0.25">
      <c r="B123" s="5">
        <v>2024</v>
      </c>
      <c r="C123" s="5">
        <v>4</v>
      </c>
      <c r="D123" s="5" t="s">
        <v>22</v>
      </c>
      <c r="E123" s="127">
        <v>45393</v>
      </c>
      <c r="F123" s="5" t="s">
        <v>32</v>
      </c>
      <c r="G123" s="5" t="s">
        <v>34</v>
      </c>
      <c r="H123" s="5" t="s">
        <v>6</v>
      </c>
      <c r="I123">
        <v>2022</v>
      </c>
      <c r="J123" s="5" t="s">
        <v>315</v>
      </c>
      <c r="K123" s="5" t="s">
        <v>50</v>
      </c>
      <c r="L123" s="129">
        <v>44952</v>
      </c>
      <c r="M123" s="20">
        <v>2294.4319999999998</v>
      </c>
      <c r="N123" s="128">
        <v>16.989999999999998</v>
      </c>
      <c r="O123" s="20">
        <v>439.95173631547971</v>
      </c>
      <c r="P123" s="128">
        <v>14.464166673385636</v>
      </c>
      <c r="Q123" s="122">
        <v>135.04602707474984</v>
      </c>
      <c r="R123" s="121">
        <v>9.336592292125431</v>
      </c>
      <c r="S123" s="121">
        <v>112.03910750550517</v>
      </c>
      <c r="T123" s="121">
        <v>14.991328541997323</v>
      </c>
      <c r="U123" s="20">
        <v>16796.150701671861</v>
      </c>
    </row>
    <row r="124" spans="2:21" x14ac:dyDescent="0.25">
      <c r="B124" s="5">
        <v>2024</v>
      </c>
      <c r="C124" s="5">
        <v>4</v>
      </c>
      <c r="D124" s="5" t="s">
        <v>22</v>
      </c>
      <c r="E124" s="127">
        <v>45397</v>
      </c>
      <c r="F124" s="5" t="s">
        <v>23</v>
      </c>
      <c r="G124" s="5" t="s">
        <v>11</v>
      </c>
      <c r="H124" s="5" t="s">
        <v>5</v>
      </c>
      <c r="I124">
        <v>2023</v>
      </c>
      <c r="J124" s="5" t="s">
        <v>61</v>
      </c>
      <c r="K124" s="5" t="s">
        <v>79</v>
      </c>
      <c r="L124" s="129">
        <v>44996</v>
      </c>
      <c r="M124" s="20">
        <v>3081.19</v>
      </c>
      <c r="N124" s="128">
        <v>22.939999999999898</v>
      </c>
      <c r="O124" s="20">
        <v>398.95292066259981</v>
      </c>
      <c r="P124" s="128">
        <v>13.116260405345747</v>
      </c>
      <c r="Q124" s="122">
        <v>134.31517000871901</v>
      </c>
      <c r="R124" s="121">
        <v>10.240355547834097</v>
      </c>
      <c r="S124" s="121">
        <v>122.88426657400916</v>
      </c>
      <c r="T124" s="121">
        <v>12.928129375290066</v>
      </c>
      <c r="U124" s="20">
        <v>15886.63696456423</v>
      </c>
    </row>
    <row r="125" spans="2:21" x14ac:dyDescent="0.25">
      <c r="B125" s="5">
        <v>2024</v>
      </c>
      <c r="C125" s="5">
        <v>4</v>
      </c>
      <c r="D125" s="5" t="s">
        <v>22</v>
      </c>
      <c r="E125" s="127">
        <v>45398</v>
      </c>
      <c r="F125" s="5" t="s">
        <v>23</v>
      </c>
      <c r="G125" s="5" t="s">
        <v>11</v>
      </c>
      <c r="H125" s="5" t="s">
        <v>4</v>
      </c>
      <c r="I125">
        <v>2023</v>
      </c>
      <c r="J125" s="5" t="s">
        <v>80</v>
      </c>
      <c r="K125" s="5" t="s">
        <v>79</v>
      </c>
      <c r="L125" s="129">
        <v>44949</v>
      </c>
      <c r="M125" s="20">
        <v>2102.8200000000002</v>
      </c>
      <c r="N125" s="128">
        <v>15.3799999999999</v>
      </c>
      <c r="O125" s="20">
        <v>447.59232769831243</v>
      </c>
      <c r="P125" s="128">
        <v>14.715364198300684</v>
      </c>
      <c r="Q125" s="122">
        <v>136.72431729518945</v>
      </c>
      <c r="R125" s="121">
        <v>9.291262890454199</v>
      </c>
      <c r="S125" s="121">
        <v>111.49515468545039</v>
      </c>
      <c r="T125" s="121">
        <v>12.83736205491673</v>
      </c>
      <c r="U125" s="20">
        <v>14313.03668066072</v>
      </c>
    </row>
    <row r="126" spans="2:21" x14ac:dyDescent="0.25">
      <c r="B126" s="5">
        <v>2024</v>
      </c>
      <c r="C126" s="5">
        <v>4</v>
      </c>
      <c r="D126" s="5" t="s">
        <v>22</v>
      </c>
      <c r="E126" s="127">
        <v>45401</v>
      </c>
      <c r="F126" s="5" t="s">
        <v>23</v>
      </c>
      <c r="G126" s="5" t="s">
        <v>10</v>
      </c>
      <c r="H126" s="5" t="s">
        <v>7</v>
      </c>
      <c r="I126">
        <v>2022</v>
      </c>
      <c r="J126" s="5" t="s">
        <v>289</v>
      </c>
      <c r="K126" s="5" t="s">
        <v>50</v>
      </c>
      <c r="L126" s="129">
        <v>44963</v>
      </c>
      <c r="M126" s="20">
        <v>1183.0129999999999</v>
      </c>
      <c r="N126" s="128">
        <v>8.67</v>
      </c>
      <c r="O126" s="20">
        <v>437.25144175317183</v>
      </c>
      <c r="P126" s="128">
        <v>14.375389865857704</v>
      </c>
      <c r="Q126" s="122">
        <v>136.44901960784313</v>
      </c>
      <c r="R126" s="121">
        <v>9.4918482824536543</v>
      </c>
      <c r="S126" s="121">
        <v>113.90217938944386</v>
      </c>
      <c r="T126" s="121">
        <v>13.906228283311343</v>
      </c>
      <c r="U126" s="20">
        <v>15839.497085562864</v>
      </c>
    </row>
    <row r="127" spans="2:21" x14ac:dyDescent="0.25">
      <c r="B127" s="5">
        <v>2024</v>
      </c>
      <c r="C127" s="5">
        <v>4</v>
      </c>
      <c r="D127" s="5" t="s">
        <v>22</v>
      </c>
      <c r="E127" s="127">
        <v>45404</v>
      </c>
      <c r="F127" s="5" t="s">
        <v>23</v>
      </c>
      <c r="G127" s="5" t="s">
        <v>10</v>
      </c>
      <c r="H127" s="5" t="s">
        <v>6</v>
      </c>
      <c r="I127">
        <v>2022</v>
      </c>
      <c r="J127" s="5" t="s">
        <v>289</v>
      </c>
      <c r="K127" s="5" t="s">
        <v>50</v>
      </c>
      <c r="L127" s="129">
        <v>44963</v>
      </c>
      <c r="M127" s="20">
        <v>2492.1610000000001</v>
      </c>
      <c r="N127" s="128">
        <v>19.5899999999999</v>
      </c>
      <c r="O127" s="20">
        <v>435.68147013782766</v>
      </c>
      <c r="P127" s="128">
        <v>14.323774360695705</v>
      </c>
      <c r="Q127" s="122">
        <v>127.21597753956165</v>
      </c>
      <c r="R127" s="121">
        <v>8.8814564049990228</v>
      </c>
      <c r="S127" s="121">
        <v>106.57747685998828</v>
      </c>
      <c r="T127" s="121">
        <v>14.165806018784499</v>
      </c>
      <c r="U127" s="20">
        <v>15097.558631700877</v>
      </c>
    </row>
    <row r="128" spans="2:21" x14ac:dyDescent="0.25">
      <c r="B128" s="5">
        <v>2024</v>
      </c>
      <c r="C128" s="5">
        <v>4</v>
      </c>
      <c r="D128" s="5" t="s">
        <v>19</v>
      </c>
      <c r="E128" s="127">
        <v>45408</v>
      </c>
      <c r="F128" s="5" t="s">
        <v>20</v>
      </c>
      <c r="G128" s="5" t="s">
        <v>21</v>
      </c>
      <c r="H128" s="5" t="s">
        <v>7</v>
      </c>
      <c r="I128">
        <v>2022</v>
      </c>
      <c r="J128" s="5" t="s">
        <v>283</v>
      </c>
      <c r="K128" s="5" t="s">
        <v>50</v>
      </c>
      <c r="L128" s="129">
        <v>44963</v>
      </c>
      <c r="M128" s="20">
        <v>5960.5499999999902</v>
      </c>
      <c r="N128" s="128">
        <v>40.57</v>
      </c>
      <c r="O128" s="20">
        <v>442.19299975351248</v>
      </c>
      <c r="P128" s="128">
        <v>14.537852046690819</v>
      </c>
      <c r="Q128" s="122">
        <v>146.92013803302908</v>
      </c>
      <c r="R128" s="121">
        <v>10.106041632640757</v>
      </c>
      <c r="S128" s="121">
        <v>121.27249959168908</v>
      </c>
      <c r="T128" s="121">
        <v>14.039264802571934</v>
      </c>
      <c r="U128" s="20">
        <v>17025.767350375198</v>
      </c>
    </row>
    <row r="129" spans="2:21" x14ac:dyDescent="0.25">
      <c r="B129" s="5">
        <v>2024</v>
      </c>
      <c r="C129" s="5">
        <v>4</v>
      </c>
      <c r="D129" s="5" t="s">
        <v>19</v>
      </c>
      <c r="E129" s="127">
        <v>45409</v>
      </c>
      <c r="F129" s="5" t="s">
        <v>20</v>
      </c>
      <c r="G129" s="5" t="s">
        <v>12</v>
      </c>
      <c r="H129" s="5" t="s">
        <v>6</v>
      </c>
      <c r="I129">
        <v>2022</v>
      </c>
      <c r="J129" s="5" t="s">
        <v>60</v>
      </c>
      <c r="K129" s="5" t="s">
        <v>50</v>
      </c>
      <c r="L129" s="129">
        <v>44980</v>
      </c>
      <c r="M129" s="20">
        <v>4764.2139999999999</v>
      </c>
      <c r="N129" s="128">
        <v>38.82</v>
      </c>
      <c r="O129" s="20">
        <v>421.87480680061566</v>
      </c>
      <c r="P129" s="128">
        <v>13.869856661938048</v>
      </c>
      <c r="Q129" s="122">
        <v>122.72575991756825</v>
      </c>
      <c r="R129" s="121">
        <v>8.8483798289246103</v>
      </c>
      <c r="S129" s="121">
        <v>106.18055794709532</v>
      </c>
      <c r="T129" s="121">
        <v>14.62125805798394</v>
      </c>
      <c r="U129" s="20">
        <v>15524.933384851982</v>
      </c>
    </row>
    <row r="130" spans="2:21" x14ac:dyDescent="0.25">
      <c r="B130" s="5">
        <v>2024</v>
      </c>
      <c r="C130" s="5">
        <v>4</v>
      </c>
      <c r="D130" s="5" t="s">
        <v>19</v>
      </c>
      <c r="E130" s="127">
        <v>45412</v>
      </c>
      <c r="F130" s="5" t="s">
        <v>20</v>
      </c>
      <c r="G130" s="5" t="s">
        <v>2</v>
      </c>
      <c r="H130" s="5" t="s">
        <v>5</v>
      </c>
      <c r="I130">
        <v>2023</v>
      </c>
      <c r="J130" s="5" t="s">
        <v>304</v>
      </c>
      <c r="K130" s="5" t="s">
        <v>50</v>
      </c>
      <c r="L130" s="129">
        <v>45094</v>
      </c>
      <c r="M130" s="20">
        <v>1247.6399999999901</v>
      </c>
      <c r="N130" s="128">
        <v>12.4</v>
      </c>
      <c r="O130" s="20">
        <v>317.96451612903229</v>
      </c>
      <c r="P130" s="128">
        <v>10.453627927529828</v>
      </c>
      <c r="Q130" s="122">
        <v>100.61612903225726</v>
      </c>
      <c r="R130" s="121">
        <v>9.6249961955583636</v>
      </c>
      <c r="S130" s="121">
        <v>115.49995434670036</v>
      </c>
      <c r="T130" s="121">
        <v>13.317483948150214</v>
      </c>
      <c r="U130" s="20">
        <v>15381.687880242645</v>
      </c>
    </row>
    <row r="131" spans="2:21" x14ac:dyDescent="0.25">
      <c r="B131" s="5">
        <v>2024</v>
      </c>
      <c r="C131" s="5">
        <v>4</v>
      </c>
      <c r="D131" s="5" t="s">
        <v>19</v>
      </c>
      <c r="E131" s="127">
        <v>45412</v>
      </c>
      <c r="F131" s="5" t="s">
        <v>20</v>
      </c>
      <c r="G131" s="5" t="s">
        <v>14</v>
      </c>
      <c r="H131" s="5" t="s">
        <v>6</v>
      </c>
      <c r="I131">
        <v>2023</v>
      </c>
      <c r="J131" s="5" t="s">
        <v>283</v>
      </c>
      <c r="K131" s="5" t="s">
        <v>50</v>
      </c>
      <c r="L131" s="129">
        <v>44991</v>
      </c>
      <c r="M131" s="20">
        <v>4834.1399999999903</v>
      </c>
      <c r="N131" s="128">
        <v>31.88</v>
      </c>
      <c r="O131" s="20">
        <v>416.46455457967375</v>
      </c>
      <c r="P131" s="128">
        <v>13.691985356044068</v>
      </c>
      <c r="Q131" s="122">
        <v>151.63550815558315</v>
      </c>
      <c r="R131" s="121">
        <v>11.074764120211867</v>
      </c>
      <c r="S131" s="121">
        <v>132.89716944254241</v>
      </c>
      <c r="T131" s="121">
        <v>14.111799175212166</v>
      </c>
      <c r="U131" s="20">
        <v>18754.181661273014</v>
      </c>
    </row>
    <row r="132" spans="2:21" x14ac:dyDescent="0.25">
      <c r="B132" s="5">
        <v>2024</v>
      </c>
      <c r="C132" s="5">
        <v>4</v>
      </c>
      <c r="D132" s="5" t="s">
        <v>19</v>
      </c>
      <c r="E132" s="127">
        <v>45412</v>
      </c>
      <c r="F132" s="5" t="s">
        <v>20</v>
      </c>
      <c r="G132" s="5" t="s">
        <v>21</v>
      </c>
      <c r="H132" s="5" t="s">
        <v>4</v>
      </c>
      <c r="I132">
        <v>2022</v>
      </c>
      <c r="J132" s="5" t="s">
        <v>63</v>
      </c>
      <c r="K132" s="5" t="s">
        <v>50</v>
      </c>
      <c r="L132" s="129">
        <v>44945</v>
      </c>
      <c r="M132" s="20">
        <v>3386.5259999999998</v>
      </c>
      <c r="N132" s="128">
        <v>22.4</v>
      </c>
      <c r="O132" s="20">
        <v>463.74687500000005</v>
      </c>
      <c r="P132" s="128">
        <v>15.246472602739727</v>
      </c>
      <c r="Q132" s="122">
        <v>151.18419642857143</v>
      </c>
      <c r="R132" s="121">
        <v>9.9160114190218831</v>
      </c>
      <c r="S132" s="121">
        <v>118.9921370282626</v>
      </c>
      <c r="T132" s="121">
        <v>14.502505467262912</v>
      </c>
      <c r="U132" s="20">
        <v>17256.841178136761</v>
      </c>
    </row>
    <row r="133" spans="2:21" x14ac:dyDescent="0.25">
      <c r="B133" s="5">
        <v>2024</v>
      </c>
      <c r="C133" s="134" t="s">
        <v>296</v>
      </c>
      <c r="D133" s="134"/>
      <c r="E133" s="134"/>
      <c r="F133" s="134"/>
      <c r="G133" s="134"/>
      <c r="H133" s="134"/>
      <c r="I133" s="134"/>
      <c r="J133" s="134"/>
      <c r="K133" s="134"/>
      <c r="L133" s="134"/>
      <c r="M133" s="130">
        <v>89018.413999999946</v>
      </c>
      <c r="N133" s="131">
        <v>612.58999999999935</v>
      </c>
      <c r="O133" s="130">
        <v>426.91757945771241</v>
      </c>
      <c r="P133" s="131">
        <v>14.03564644792479</v>
      </c>
      <c r="Q133" s="132">
        <v>145.314833738716</v>
      </c>
      <c r="R133" s="133">
        <v>10.353269746275291</v>
      </c>
      <c r="S133" s="133">
        <v>124.2392369553035</v>
      </c>
      <c r="T133" s="133">
        <v>14.326803597631834</v>
      </c>
      <c r="U133" s="130">
        <v>17799.511469782759</v>
      </c>
    </row>
    <row r="134" spans="2:21" x14ac:dyDescent="0.25">
      <c r="B134" s="5">
        <v>2024</v>
      </c>
      <c r="C134" s="5">
        <v>5</v>
      </c>
      <c r="D134" s="5" t="s">
        <v>78</v>
      </c>
      <c r="E134" s="127">
        <v>45434</v>
      </c>
      <c r="F134" s="5" t="s">
        <v>16</v>
      </c>
      <c r="G134" s="5" t="s">
        <v>2</v>
      </c>
      <c r="H134" s="5" t="s">
        <v>5</v>
      </c>
      <c r="I134">
        <v>2021</v>
      </c>
      <c r="J134" s="5" t="s">
        <v>315</v>
      </c>
      <c r="K134" s="5" t="s">
        <v>50</v>
      </c>
      <c r="L134" s="129">
        <v>44863</v>
      </c>
      <c r="M134" s="20">
        <v>245.19</v>
      </c>
      <c r="N134" s="128">
        <v>1</v>
      </c>
      <c r="O134" s="20">
        <v>570.23</v>
      </c>
      <c r="P134" s="128">
        <v>18.747287671232876</v>
      </c>
      <c r="Q134" s="122">
        <v>245.19</v>
      </c>
      <c r="R134" s="121">
        <v>13.078691931325956</v>
      </c>
      <c r="S134" s="121">
        <v>156.94430317591147</v>
      </c>
      <c r="T134" s="121">
        <v>13.85866599999996</v>
      </c>
      <c r="U134" s="20">
        <v>21750.386783176902</v>
      </c>
    </row>
    <row r="135" spans="2:21" x14ac:dyDescent="0.25">
      <c r="B135" s="5">
        <v>2024</v>
      </c>
      <c r="C135" s="5">
        <v>5</v>
      </c>
      <c r="D135" s="5" t="s">
        <v>17</v>
      </c>
      <c r="E135" s="127">
        <v>45417</v>
      </c>
      <c r="F135" s="5" t="s">
        <v>18</v>
      </c>
      <c r="G135" s="5" t="s">
        <v>13</v>
      </c>
      <c r="H135" s="5" t="s">
        <v>7</v>
      </c>
      <c r="I135">
        <v>2022</v>
      </c>
      <c r="J135" s="5" t="s">
        <v>68</v>
      </c>
      <c r="K135" s="5" t="s">
        <v>50</v>
      </c>
      <c r="L135" s="129">
        <v>45050</v>
      </c>
      <c r="M135" s="20">
        <v>2196.14</v>
      </c>
      <c r="N135" s="128">
        <v>15.7</v>
      </c>
      <c r="O135" s="20">
        <v>366.2171974522293</v>
      </c>
      <c r="P135" s="128">
        <v>12.04001745048425</v>
      </c>
      <c r="Q135" s="122">
        <v>139.88152866242038</v>
      </c>
      <c r="R135" s="121">
        <v>11.61805032573224</v>
      </c>
      <c r="S135" s="121">
        <v>139.41660390878687</v>
      </c>
      <c r="T135" s="121">
        <v>14.982628226843463</v>
      </c>
      <c r="U135" s="20">
        <v>20888.27145014445</v>
      </c>
    </row>
    <row r="136" spans="2:21" x14ac:dyDescent="0.25">
      <c r="B136" s="5">
        <v>2024</v>
      </c>
      <c r="C136" s="5">
        <v>5</v>
      </c>
      <c r="D136" s="5" t="s">
        <v>17</v>
      </c>
      <c r="E136" s="127">
        <v>45432</v>
      </c>
      <c r="F136" s="5" t="s">
        <v>18</v>
      </c>
      <c r="G136" s="5" t="s">
        <v>2</v>
      </c>
      <c r="H136" s="5" t="s">
        <v>3</v>
      </c>
      <c r="I136">
        <v>2022</v>
      </c>
      <c r="J136" s="5" t="s">
        <v>63</v>
      </c>
      <c r="K136" s="5" t="s">
        <v>50</v>
      </c>
      <c r="L136" s="129">
        <v>44863</v>
      </c>
      <c r="M136" s="20">
        <v>105.77</v>
      </c>
      <c r="N136" s="128">
        <v>0.48</v>
      </c>
      <c r="O136" s="20">
        <v>569</v>
      </c>
      <c r="P136" s="128">
        <v>18.706849315068492</v>
      </c>
      <c r="Q136" s="122">
        <v>220.35416666666666</v>
      </c>
      <c r="R136" s="121">
        <v>11.779330819175941</v>
      </c>
      <c r="S136" s="121">
        <v>141.3519698301113</v>
      </c>
      <c r="T136" s="121">
        <v>14.615999999999907</v>
      </c>
      <c r="U136" s="20">
        <v>20660.003910368938</v>
      </c>
    </row>
    <row r="137" spans="2:21" x14ac:dyDescent="0.25">
      <c r="B137" s="5">
        <v>2024</v>
      </c>
      <c r="C137" s="5">
        <v>5</v>
      </c>
      <c r="D137" s="5" t="s">
        <v>17</v>
      </c>
      <c r="E137" s="127">
        <v>45440</v>
      </c>
      <c r="F137" s="5" t="s">
        <v>18</v>
      </c>
      <c r="G137" s="5" t="s">
        <v>10</v>
      </c>
      <c r="H137" s="5" t="s">
        <v>5</v>
      </c>
      <c r="I137">
        <v>2021</v>
      </c>
      <c r="J137" s="5" t="s">
        <v>63</v>
      </c>
      <c r="K137" s="5" t="s">
        <v>50</v>
      </c>
      <c r="L137" s="129">
        <v>45012</v>
      </c>
      <c r="M137" s="20">
        <v>4132.0259999999998</v>
      </c>
      <c r="N137" s="128">
        <v>26.29</v>
      </c>
      <c r="O137" s="20">
        <v>423.28223659186006</v>
      </c>
      <c r="P137" s="128">
        <v>13.916128326307728</v>
      </c>
      <c r="Q137" s="122">
        <v>157.17101559528336</v>
      </c>
      <c r="R137" s="121">
        <v>11.29416256518414</v>
      </c>
      <c r="S137" s="121">
        <v>135.52995078220968</v>
      </c>
      <c r="T137" s="121">
        <v>14.891093683732848</v>
      </c>
      <c r="U137" s="20">
        <v>20181.891940495865</v>
      </c>
    </row>
    <row r="138" spans="2:21" x14ac:dyDescent="0.25">
      <c r="B138" s="5">
        <v>2024</v>
      </c>
      <c r="C138" s="5">
        <v>5</v>
      </c>
      <c r="D138" s="5" t="s">
        <v>17</v>
      </c>
      <c r="E138" s="127">
        <v>45440</v>
      </c>
      <c r="F138" s="5" t="s">
        <v>18</v>
      </c>
      <c r="G138" s="5" t="s">
        <v>10</v>
      </c>
      <c r="H138" s="5" t="s">
        <v>6</v>
      </c>
      <c r="I138">
        <v>2021</v>
      </c>
      <c r="J138" s="5" t="s">
        <v>63</v>
      </c>
      <c r="K138" s="5" t="s">
        <v>50</v>
      </c>
      <c r="L138" s="129">
        <v>45026</v>
      </c>
      <c r="M138" s="20">
        <v>3496.0070000000001</v>
      </c>
      <c r="N138" s="128">
        <v>21.3399999999999</v>
      </c>
      <c r="O138" s="20">
        <v>409.21227741331023</v>
      </c>
      <c r="P138" s="128">
        <v>13.45355432591705</v>
      </c>
      <c r="Q138" s="122">
        <v>163.82413308341219</v>
      </c>
      <c r="R138" s="121">
        <v>12.177015018835574</v>
      </c>
      <c r="S138" s="121">
        <v>146.12418022602688</v>
      </c>
      <c r="T138" s="121">
        <v>14.77854922068949</v>
      </c>
      <c r="U138" s="20">
        <v>21595.033898032401</v>
      </c>
    </row>
    <row r="139" spans="2:21" x14ac:dyDescent="0.25">
      <c r="B139" s="5">
        <v>2024</v>
      </c>
      <c r="C139" s="5">
        <v>5</v>
      </c>
      <c r="D139" s="5" t="s">
        <v>17</v>
      </c>
      <c r="E139" s="127">
        <v>45442</v>
      </c>
      <c r="F139" s="5" t="s">
        <v>18</v>
      </c>
      <c r="G139" s="5" t="s">
        <v>13</v>
      </c>
      <c r="H139" s="5" t="s">
        <v>6</v>
      </c>
      <c r="I139">
        <v>2022</v>
      </c>
      <c r="J139" s="5" t="s">
        <v>64</v>
      </c>
      <c r="K139" s="5" t="s">
        <v>50</v>
      </c>
      <c r="L139" s="129">
        <v>45061</v>
      </c>
      <c r="M139" s="20">
        <v>1714.0070000000001</v>
      </c>
      <c r="N139" s="128">
        <v>12.99</v>
      </c>
      <c r="O139" s="20">
        <v>380.20785219399534</v>
      </c>
      <c r="P139" s="128">
        <v>12.499984181720396</v>
      </c>
      <c r="Q139" s="122">
        <v>131.94819091608929</v>
      </c>
      <c r="R139" s="121">
        <v>10.555868631341662</v>
      </c>
      <c r="S139" s="121">
        <v>126.67042357609995</v>
      </c>
      <c r="T139" s="121">
        <v>14.844889127430635</v>
      </c>
      <c r="U139" s="20">
        <v>18804.083937118794</v>
      </c>
    </row>
    <row r="140" spans="2:21" x14ac:dyDescent="0.25">
      <c r="B140" s="5">
        <v>2024</v>
      </c>
      <c r="C140" s="5">
        <v>5</v>
      </c>
      <c r="D140" s="5" t="s">
        <v>17</v>
      </c>
      <c r="E140" s="127">
        <v>45443</v>
      </c>
      <c r="F140" s="5" t="s">
        <v>18</v>
      </c>
      <c r="G140" s="5" t="s">
        <v>13</v>
      </c>
      <c r="H140" s="5" t="s">
        <v>5</v>
      </c>
      <c r="I140">
        <v>2022</v>
      </c>
      <c r="J140" s="5" t="s">
        <v>68</v>
      </c>
      <c r="K140" s="5" t="s">
        <v>50</v>
      </c>
      <c r="L140" s="129">
        <v>45062</v>
      </c>
      <c r="M140" s="20">
        <v>1812.51</v>
      </c>
      <c r="N140" s="128">
        <v>16.64</v>
      </c>
      <c r="O140" s="20">
        <v>362.52163461538458</v>
      </c>
      <c r="P140" s="128">
        <v>11.918519494204425</v>
      </c>
      <c r="Q140" s="122">
        <v>108.92487980769231</v>
      </c>
      <c r="R140" s="121">
        <v>9.1391283842476252</v>
      </c>
      <c r="S140" s="121">
        <v>109.6695406109715</v>
      </c>
      <c r="T140" s="121">
        <v>15.301481794952799</v>
      </c>
      <c r="U140" s="20">
        <v>16781.064791196171</v>
      </c>
    </row>
    <row r="141" spans="2:21" x14ac:dyDescent="0.25">
      <c r="B141" s="5">
        <v>2024</v>
      </c>
      <c r="C141" s="5">
        <v>5</v>
      </c>
      <c r="D141" s="5" t="s">
        <v>0</v>
      </c>
      <c r="E141" s="127">
        <v>45421</v>
      </c>
      <c r="F141" s="5" t="s">
        <v>1</v>
      </c>
      <c r="G141" s="5" t="s">
        <v>10</v>
      </c>
      <c r="H141" s="5" t="s">
        <v>8</v>
      </c>
      <c r="I141">
        <v>2021</v>
      </c>
      <c r="J141" s="5" t="s">
        <v>63</v>
      </c>
      <c r="K141" s="5" t="s">
        <v>50</v>
      </c>
      <c r="L141" s="129">
        <v>44918</v>
      </c>
      <c r="M141" s="20">
        <v>6391.8099999999904</v>
      </c>
      <c r="N141" s="128">
        <v>39.67</v>
      </c>
      <c r="O141" s="20">
        <v>497.93420720947813</v>
      </c>
      <c r="P141" s="128">
        <v>16.370439689078733</v>
      </c>
      <c r="Q141" s="122">
        <v>161.12452735064255</v>
      </c>
      <c r="R141" s="121">
        <v>9.8424068266250728</v>
      </c>
      <c r="S141" s="121">
        <v>118.10888191950087</v>
      </c>
      <c r="T141" s="121">
        <v>15.350745670367242</v>
      </c>
      <c r="U141" s="20">
        <v>18130.594077576938</v>
      </c>
    </row>
    <row r="142" spans="2:21" x14ac:dyDescent="0.25">
      <c r="B142" s="5">
        <v>2024</v>
      </c>
      <c r="C142" s="5">
        <v>5</v>
      </c>
      <c r="D142" s="5" t="s">
        <v>0</v>
      </c>
      <c r="E142" s="127">
        <v>45432</v>
      </c>
      <c r="F142" s="5" t="s">
        <v>1</v>
      </c>
      <c r="G142" s="5" t="s">
        <v>11</v>
      </c>
      <c r="H142" s="5" t="s">
        <v>4</v>
      </c>
      <c r="I142">
        <v>2022</v>
      </c>
      <c r="J142" s="5" t="s">
        <v>63</v>
      </c>
      <c r="K142" s="5" t="s">
        <v>50</v>
      </c>
      <c r="L142" s="129">
        <v>44880</v>
      </c>
      <c r="M142" s="20">
        <v>6629.5</v>
      </c>
      <c r="N142" s="128">
        <v>40.950000000000003</v>
      </c>
      <c r="O142" s="20">
        <v>547.9750915750891</v>
      </c>
      <c r="P142" s="128">
        <v>18.015619449044024</v>
      </c>
      <c r="Q142" s="122">
        <v>161.89255189255189</v>
      </c>
      <c r="R142" s="121">
        <v>8.9862328825525069</v>
      </c>
      <c r="S142" s="121">
        <v>107.83479459063008</v>
      </c>
      <c r="T142" s="121">
        <v>15.004016386621164</v>
      </c>
      <c r="U142" s="20">
        <v>16179.55025085741</v>
      </c>
    </row>
    <row r="143" spans="2:21" x14ac:dyDescent="0.25">
      <c r="B143" s="5">
        <v>2024</v>
      </c>
      <c r="C143" s="5">
        <v>5</v>
      </c>
      <c r="D143" s="5" t="s">
        <v>0</v>
      </c>
      <c r="E143" s="127">
        <v>45443</v>
      </c>
      <c r="F143" s="5" t="s">
        <v>1</v>
      </c>
      <c r="G143" s="5" t="s">
        <v>2</v>
      </c>
      <c r="H143" s="5" t="s">
        <v>7</v>
      </c>
      <c r="I143">
        <v>2022</v>
      </c>
      <c r="J143" s="5" t="s">
        <v>60</v>
      </c>
      <c r="K143" s="5" t="s">
        <v>50</v>
      </c>
      <c r="L143" s="129">
        <v>45070</v>
      </c>
      <c r="M143" s="20">
        <v>1201.99</v>
      </c>
      <c r="N143" s="128">
        <v>6.71</v>
      </c>
      <c r="O143" s="20">
        <v>373</v>
      </c>
      <c r="P143" s="128">
        <v>12.263013698630138</v>
      </c>
      <c r="Q143" s="122">
        <v>179.13412816691505</v>
      </c>
      <c r="R143" s="121">
        <v>14.607675777686325</v>
      </c>
      <c r="S143" s="121">
        <v>175.2921093322359</v>
      </c>
      <c r="T143" s="121">
        <v>15.387665999999916</v>
      </c>
      <c r="U143" s="20">
        <v>26973.364308399141</v>
      </c>
    </row>
    <row r="144" spans="2:21" x14ac:dyDescent="0.25">
      <c r="B144" s="5">
        <v>2024</v>
      </c>
      <c r="C144" s="5">
        <v>5</v>
      </c>
      <c r="D144" s="5" t="s">
        <v>75</v>
      </c>
      <c r="E144" s="127">
        <v>45414</v>
      </c>
      <c r="F144" s="5" t="s">
        <v>52</v>
      </c>
      <c r="G144" s="5" t="s">
        <v>28</v>
      </c>
      <c r="H144" s="5" t="s">
        <v>3</v>
      </c>
      <c r="I144">
        <v>2022</v>
      </c>
      <c r="J144" s="5" t="s">
        <v>64</v>
      </c>
      <c r="K144" s="5" t="s">
        <v>50</v>
      </c>
      <c r="L144" s="129">
        <v>45054</v>
      </c>
      <c r="M144" s="20">
        <v>3792.58</v>
      </c>
      <c r="N144" s="128">
        <v>23.37</v>
      </c>
      <c r="O144" s="20">
        <v>359.33632862644419</v>
      </c>
      <c r="P144" s="128">
        <v>11.813797105526932</v>
      </c>
      <c r="Q144" s="122">
        <v>162.28412494651261</v>
      </c>
      <c r="R144" s="121">
        <v>13.736830207672186</v>
      </c>
      <c r="S144" s="121">
        <v>164.84196249206624</v>
      </c>
      <c r="T144" s="121">
        <v>15.230764640202711</v>
      </c>
      <c r="U144" s="20">
        <v>25106.691335457839</v>
      </c>
    </row>
    <row r="145" spans="2:21" x14ac:dyDescent="0.25">
      <c r="B145" s="5">
        <v>2024</v>
      </c>
      <c r="C145" s="5">
        <v>5</v>
      </c>
      <c r="D145" s="5" t="s">
        <v>75</v>
      </c>
      <c r="E145" s="127">
        <v>45420</v>
      </c>
      <c r="F145" s="5" t="s">
        <v>52</v>
      </c>
      <c r="G145" s="5" t="s">
        <v>31</v>
      </c>
      <c r="H145" s="5" t="s">
        <v>7</v>
      </c>
      <c r="I145">
        <v>2022</v>
      </c>
      <c r="J145" s="5" t="s">
        <v>60</v>
      </c>
      <c r="K145" s="5" t="s">
        <v>50</v>
      </c>
      <c r="L145" s="129">
        <v>45052</v>
      </c>
      <c r="M145" s="20">
        <v>5464.68</v>
      </c>
      <c r="N145" s="128">
        <v>32.89</v>
      </c>
      <c r="O145" s="20">
        <v>366.98418972331712</v>
      </c>
      <c r="P145" s="128">
        <v>12.065233634739194</v>
      </c>
      <c r="Q145" s="122">
        <v>166.1501976284585</v>
      </c>
      <c r="R145" s="121">
        <v>13.770988831087818</v>
      </c>
      <c r="S145" s="121">
        <v>165.25186597305381</v>
      </c>
      <c r="T145" s="121">
        <v>15.254785675185007</v>
      </c>
      <c r="U145" s="20">
        <v>25208.817978433341</v>
      </c>
    </row>
    <row r="146" spans="2:21" x14ac:dyDescent="0.25">
      <c r="B146" s="5">
        <v>2024</v>
      </c>
      <c r="C146" s="5">
        <v>5</v>
      </c>
      <c r="D146" s="5" t="s">
        <v>75</v>
      </c>
      <c r="E146" s="127">
        <v>45423</v>
      </c>
      <c r="F146" s="5" t="s">
        <v>52</v>
      </c>
      <c r="G146" s="5" t="s">
        <v>30</v>
      </c>
      <c r="H146" s="5" t="s">
        <v>6</v>
      </c>
      <c r="I146">
        <v>2022</v>
      </c>
      <c r="J146" s="5" t="s">
        <v>60</v>
      </c>
      <c r="K146" s="5" t="s">
        <v>50</v>
      </c>
      <c r="L146" s="129">
        <v>45056</v>
      </c>
      <c r="M146" s="20">
        <v>5893.8399999999901</v>
      </c>
      <c r="N146" s="128">
        <v>39.04</v>
      </c>
      <c r="O146" s="20">
        <v>365.67136270491801</v>
      </c>
      <c r="P146" s="128">
        <v>12.022072198517852</v>
      </c>
      <c r="Q146" s="122">
        <v>150.96926229508171</v>
      </c>
      <c r="R146" s="121">
        <v>12.55767390198289</v>
      </c>
      <c r="S146" s="121">
        <v>150.69208682379468</v>
      </c>
      <c r="T146" s="121">
        <v>15.245435655523401</v>
      </c>
      <c r="U146" s="20">
        <v>22973.665134687075</v>
      </c>
    </row>
    <row r="147" spans="2:21" x14ac:dyDescent="0.25">
      <c r="B147" s="5">
        <v>2024</v>
      </c>
      <c r="C147" s="5">
        <v>5</v>
      </c>
      <c r="D147" s="5" t="s">
        <v>75</v>
      </c>
      <c r="E147" s="127">
        <v>45436</v>
      </c>
      <c r="F147" s="5" t="s">
        <v>52</v>
      </c>
      <c r="G147" s="5" t="s">
        <v>44</v>
      </c>
      <c r="H147" s="5" t="s">
        <v>7</v>
      </c>
      <c r="I147">
        <v>2022</v>
      </c>
      <c r="J147" s="5" t="s">
        <v>63</v>
      </c>
      <c r="K147" s="5" t="s">
        <v>50</v>
      </c>
      <c r="L147" s="129">
        <v>44939</v>
      </c>
      <c r="M147" s="20">
        <v>4974.0929999999998</v>
      </c>
      <c r="N147" s="128">
        <v>28.17</v>
      </c>
      <c r="O147" s="20">
        <v>494.80085197017752</v>
      </c>
      <c r="P147" s="128">
        <v>16.26742527025241</v>
      </c>
      <c r="Q147" s="122">
        <v>176.57412140575079</v>
      </c>
      <c r="R147" s="121">
        <v>10.854460277044874</v>
      </c>
      <c r="S147" s="121">
        <v>130.25352332453849</v>
      </c>
      <c r="T147" s="121">
        <v>14.589708979992736</v>
      </c>
      <c r="U147" s="20">
        <v>19003.609989237124</v>
      </c>
    </row>
    <row r="148" spans="2:21" x14ac:dyDescent="0.25">
      <c r="B148" s="5">
        <v>2024</v>
      </c>
      <c r="C148" s="5">
        <v>5</v>
      </c>
      <c r="D148" s="5" t="s">
        <v>75</v>
      </c>
      <c r="E148" s="127">
        <v>45440</v>
      </c>
      <c r="F148" s="5" t="s">
        <v>52</v>
      </c>
      <c r="G148" s="5" t="s">
        <v>21</v>
      </c>
      <c r="H148" s="5" t="s">
        <v>6</v>
      </c>
      <c r="I148">
        <v>2022</v>
      </c>
      <c r="J148" s="5" t="s">
        <v>60</v>
      </c>
      <c r="K148" s="5" t="s">
        <v>50</v>
      </c>
      <c r="L148" s="129">
        <v>45058</v>
      </c>
      <c r="M148" s="20">
        <v>7232.02699999999</v>
      </c>
      <c r="N148" s="128">
        <v>42.98</v>
      </c>
      <c r="O148" s="20">
        <v>375.27873429502097</v>
      </c>
      <c r="P148" s="128">
        <v>12.337930990521237</v>
      </c>
      <c r="Q148" s="122">
        <v>168.26493718008354</v>
      </c>
      <c r="R148" s="121">
        <v>13.638018992759408</v>
      </c>
      <c r="S148" s="121">
        <v>163.6562279131129</v>
      </c>
      <c r="T148" s="121">
        <v>14.902664212782964</v>
      </c>
      <c r="U148" s="20">
        <v>24389.138109198</v>
      </c>
    </row>
    <row r="149" spans="2:21" x14ac:dyDescent="0.25">
      <c r="B149" s="5">
        <v>2024</v>
      </c>
      <c r="C149" s="5">
        <v>5</v>
      </c>
      <c r="D149" s="5" t="s">
        <v>75</v>
      </c>
      <c r="E149" s="127">
        <v>45443</v>
      </c>
      <c r="F149" s="5" t="s">
        <v>52</v>
      </c>
      <c r="G149" s="5" t="s">
        <v>26</v>
      </c>
      <c r="H149" s="5" t="s">
        <v>6</v>
      </c>
      <c r="I149">
        <v>2022</v>
      </c>
      <c r="J149" s="5" t="s">
        <v>60</v>
      </c>
      <c r="K149" s="5" t="s">
        <v>50</v>
      </c>
      <c r="L149" s="129">
        <v>45078</v>
      </c>
      <c r="M149" s="20">
        <v>5654.55</v>
      </c>
      <c r="N149" s="128">
        <v>34.76</v>
      </c>
      <c r="O149" s="20">
        <v>363.70425776754604</v>
      </c>
      <c r="P149" s="128">
        <v>11.957400255371375</v>
      </c>
      <c r="Q149" s="122">
        <v>162.67405063291142</v>
      </c>
      <c r="R149" s="121">
        <v>13.604466452466262</v>
      </c>
      <c r="S149" s="121">
        <v>163.25359742959515</v>
      </c>
      <c r="T149" s="121">
        <v>14.329842679870193</v>
      </c>
      <c r="U149" s="20">
        <v>23393.983680889596</v>
      </c>
    </row>
    <row r="150" spans="2:21" x14ac:dyDescent="0.25">
      <c r="B150" s="5">
        <v>2024</v>
      </c>
      <c r="C150" s="5">
        <v>5</v>
      </c>
      <c r="D150" s="5" t="s">
        <v>22</v>
      </c>
      <c r="E150" s="127">
        <v>45419</v>
      </c>
      <c r="F150" s="5" t="s">
        <v>23</v>
      </c>
      <c r="G150" s="5" t="s">
        <v>10</v>
      </c>
      <c r="H150" s="5" t="s">
        <v>7</v>
      </c>
      <c r="I150">
        <v>2022</v>
      </c>
      <c r="J150" s="5" t="s">
        <v>289</v>
      </c>
      <c r="K150" s="5" t="s">
        <v>50</v>
      </c>
      <c r="L150" s="129">
        <v>44963</v>
      </c>
      <c r="M150" s="20">
        <v>1477.7</v>
      </c>
      <c r="N150" s="128">
        <v>10.39</v>
      </c>
      <c r="O150" s="20">
        <v>455.23772858517805</v>
      </c>
      <c r="P150" s="128">
        <v>14.966719843896264</v>
      </c>
      <c r="Q150" s="122">
        <v>142.22329162656399</v>
      </c>
      <c r="R150" s="121">
        <v>9.50263605586</v>
      </c>
      <c r="S150" s="121">
        <v>114.03163267031999</v>
      </c>
      <c r="T150" s="121">
        <v>15.097833537686878</v>
      </c>
      <c r="U150" s="20">
        <v>17216.30608087148</v>
      </c>
    </row>
    <row r="151" spans="2:21" x14ac:dyDescent="0.25">
      <c r="B151" s="5">
        <v>2024</v>
      </c>
      <c r="C151" s="5">
        <v>5</v>
      </c>
      <c r="D151" s="5" t="s">
        <v>22</v>
      </c>
      <c r="E151" s="127">
        <v>45422</v>
      </c>
      <c r="F151" s="5" t="s">
        <v>25</v>
      </c>
      <c r="G151" s="5" t="s">
        <v>21</v>
      </c>
      <c r="H151" s="5" t="s">
        <v>6</v>
      </c>
      <c r="I151">
        <v>2022</v>
      </c>
      <c r="J151" s="5" t="s">
        <v>304</v>
      </c>
      <c r="K151" s="5" t="s">
        <v>50</v>
      </c>
      <c r="L151" s="129">
        <v>44996</v>
      </c>
      <c r="M151" s="20">
        <v>2564.21</v>
      </c>
      <c r="N151" s="128">
        <v>19.46</v>
      </c>
      <c r="O151" s="20">
        <v>423.9650565262076</v>
      </c>
      <c r="P151" s="128">
        <v>13.938577200861619</v>
      </c>
      <c r="Q151" s="122">
        <v>131.76824254881808</v>
      </c>
      <c r="R151" s="121">
        <v>9.4534930394956493</v>
      </c>
      <c r="S151" s="121">
        <v>113.4419164739478</v>
      </c>
      <c r="T151" s="121">
        <v>14.799737496792384</v>
      </c>
      <c r="U151" s="20">
        <v>16789.105849474749</v>
      </c>
    </row>
    <row r="152" spans="2:21" x14ac:dyDescent="0.25">
      <c r="B152" s="5">
        <v>2024</v>
      </c>
      <c r="C152" s="5">
        <v>5</v>
      </c>
      <c r="D152" s="5" t="s">
        <v>22</v>
      </c>
      <c r="E152" s="127">
        <v>45424</v>
      </c>
      <c r="F152" s="5" t="s">
        <v>25</v>
      </c>
      <c r="G152" s="5" t="s">
        <v>21</v>
      </c>
      <c r="H152" s="5" t="s">
        <v>7</v>
      </c>
      <c r="I152">
        <v>2023</v>
      </c>
      <c r="J152" s="5" t="s">
        <v>304</v>
      </c>
      <c r="K152" s="5" t="s">
        <v>50</v>
      </c>
      <c r="L152" s="129">
        <v>44996</v>
      </c>
      <c r="M152" s="20">
        <v>3178.06</v>
      </c>
      <c r="N152" s="128">
        <v>19.440000000000001</v>
      </c>
      <c r="O152" s="20">
        <v>425.8744855967073</v>
      </c>
      <c r="P152" s="128">
        <v>14.001352951124625</v>
      </c>
      <c r="Q152" s="122">
        <v>163.48045267489709</v>
      </c>
      <c r="R152" s="121">
        <v>11.676046825300974</v>
      </c>
      <c r="S152" s="121">
        <v>140.11256190361169</v>
      </c>
      <c r="T152" s="121">
        <v>14.538997807848185</v>
      </c>
      <c r="U152" s="20">
        <v>20370.962303686036</v>
      </c>
    </row>
    <row r="153" spans="2:21" x14ac:dyDescent="0.25">
      <c r="B153" s="5">
        <v>2024</v>
      </c>
      <c r="C153" s="5">
        <v>5</v>
      </c>
      <c r="D153" s="5" t="s">
        <v>22</v>
      </c>
      <c r="E153" s="127">
        <v>45428</v>
      </c>
      <c r="F153" s="5" t="s">
        <v>23</v>
      </c>
      <c r="G153" s="5" t="s">
        <v>9</v>
      </c>
      <c r="H153" s="5" t="s">
        <v>7</v>
      </c>
      <c r="I153">
        <v>2022</v>
      </c>
      <c r="J153" s="5" t="s">
        <v>62</v>
      </c>
      <c r="K153" s="5" t="s">
        <v>79</v>
      </c>
      <c r="L153" s="129">
        <v>44977</v>
      </c>
      <c r="M153" s="20">
        <v>2207.97999999999</v>
      </c>
      <c r="N153" s="128">
        <v>16.89</v>
      </c>
      <c r="O153" s="20">
        <v>448.43635287152159</v>
      </c>
      <c r="P153" s="128">
        <v>14.743112971118517</v>
      </c>
      <c r="Q153" s="122">
        <v>130.72705743043161</v>
      </c>
      <c r="R153" s="121">
        <v>8.8669915021694177</v>
      </c>
      <c r="S153" s="121">
        <v>106.40389802603302</v>
      </c>
      <c r="T153" s="121">
        <v>14.436422415098935</v>
      </c>
      <c r="U153" s="20">
        <v>15360.916185169244</v>
      </c>
    </row>
    <row r="154" spans="2:21" x14ac:dyDescent="0.25">
      <c r="B154" s="5">
        <v>2024</v>
      </c>
      <c r="C154" s="5">
        <v>5</v>
      </c>
      <c r="D154" s="5" t="s">
        <v>22</v>
      </c>
      <c r="E154" s="127">
        <v>45429</v>
      </c>
      <c r="F154" s="5" t="s">
        <v>23</v>
      </c>
      <c r="G154" s="5" t="s">
        <v>9</v>
      </c>
      <c r="H154" s="5" t="s">
        <v>6</v>
      </c>
      <c r="I154">
        <v>2022</v>
      </c>
      <c r="J154" s="5" t="s">
        <v>62</v>
      </c>
      <c r="K154" s="5" t="s">
        <v>79</v>
      </c>
      <c r="L154" s="129">
        <v>44968</v>
      </c>
      <c r="M154" s="20">
        <v>2426.7399999999998</v>
      </c>
      <c r="N154" s="128">
        <v>18.34</v>
      </c>
      <c r="O154" s="20">
        <v>458.95147219193024</v>
      </c>
      <c r="P154" s="128">
        <v>15.088815524118255</v>
      </c>
      <c r="Q154" s="122">
        <v>132.31952017448199</v>
      </c>
      <c r="R154" s="121">
        <v>8.7693775540551808</v>
      </c>
      <c r="S154" s="121">
        <v>105.23253064866218</v>
      </c>
      <c r="T154" s="121">
        <v>14.472719846147507</v>
      </c>
      <c r="U154" s="20">
        <v>15230.009347792187</v>
      </c>
    </row>
    <row r="155" spans="2:21" x14ac:dyDescent="0.25">
      <c r="B155" s="5">
        <v>2024</v>
      </c>
      <c r="C155" s="5">
        <v>5</v>
      </c>
      <c r="D155" s="5" t="s">
        <v>22</v>
      </c>
      <c r="E155" s="127">
        <v>45434</v>
      </c>
      <c r="F155" s="5" t="s">
        <v>39</v>
      </c>
      <c r="G155" s="5" t="s">
        <v>9</v>
      </c>
      <c r="H155" s="5" t="s">
        <v>6</v>
      </c>
      <c r="I155">
        <v>2022</v>
      </c>
      <c r="J155" s="5" t="s">
        <v>410</v>
      </c>
      <c r="K155" s="5" t="s">
        <v>50</v>
      </c>
      <c r="L155" s="129">
        <v>45240</v>
      </c>
      <c r="M155" s="20">
        <v>232.61</v>
      </c>
      <c r="N155" s="128">
        <v>2.39</v>
      </c>
      <c r="O155" s="20">
        <v>194</v>
      </c>
      <c r="P155" s="128">
        <v>6.3780821917808215</v>
      </c>
      <c r="Q155" s="122">
        <v>97.326359832635987</v>
      </c>
      <c r="R155" s="121">
        <v>15.259502293347138</v>
      </c>
      <c r="S155" s="121">
        <v>183.11402752016565</v>
      </c>
      <c r="T155" s="121">
        <v>10.643999999999998</v>
      </c>
      <c r="U155" s="20">
        <v>19490.65708924643</v>
      </c>
    </row>
    <row r="156" spans="2:21" x14ac:dyDescent="0.25">
      <c r="B156" s="5">
        <v>2024</v>
      </c>
      <c r="C156" s="5">
        <v>5</v>
      </c>
      <c r="D156" s="5" t="s">
        <v>22</v>
      </c>
      <c r="E156" s="127">
        <v>45437</v>
      </c>
      <c r="F156" s="5" t="s">
        <v>23</v>
      </c>
      <c r="G156" s="5" t="s">
        <v>9</v>
      </c>
      <c r="H156" s="5" t="s">
        <v>4</v>
      </c>
      <c r="I156">
        <v>2023</v>
      </c>
      <c r="J156" s="5" t="s">
        <v>381</v>
      </c>
      <c r="K156" s="5" t="s">
        <v>50</v>
      </c>
      <c r="L156" s="129">
        <v>44980</v>
      </c>
      <c r="M156" s="20">
        <v>2215.864</v>
      </c>
      <c r="N156" s="128">
        <v>17.349999999999898</v>
      </c>
      <c r="O156" s="20">
        <v>450.49106628242339</v>
      </c>
      <c r="P156" s="128">
        <v>14.810665192846797</v>
      </c>
      <c r="Q156" s="122">
        <v>127.71550432276732</v>
      </c>
      <c r="R156" s="121">
        <v>8.623211898980129</v>
      </c>
      <c r="S156" s="121">
        <v>103.47854278776154</v>
      </c>
      <c r="T156" s="121">
        <v>14.995383286632212</v>
      </c>
      <c r="U156" s="20">
        <v>15517.004110446556</v>
      </c>
    </row>
    <row r="157" spans="2:21" x14ac:dyDescent="0.25">
      <c r="B157" s="5">
        <v>2024</v>
      </c>
      <c r="C157" s="5">
        <v>5</v>
      </c>
      <c r="D157" s="5" t="s">
        <v>22</v>
      </c>
      <c r="E157" s="127">
        <v>45439</v>
      </c>
      <c r="F157" s="5" t="s">
        <v>25</v>
      </c>
      <c r="G157" s="5" t="s">
        <v>21</v>
      </c>
      <c r="H157" s="5" t="s">
        <v>8</v>
      </c>
      <c r="I157">
        <v>2023</v>
      </c>
      <c r="J157" s="5" t="s">
        <v>304</v>
      </c>
      <c r="K157" s="5" t="s">
        <v>50</v>
      </c>
      <c r="L157" s="129">
        <v>44996</v>
      </c>
      <c r="M157" s="20">
        <v>2283.67</v>
      </c>
      <c r="N157" s="128">
        <v>16.940000000000001</v>
      </c>
      <c r="O157" s="20">
        <v>434.74439197166464</v>
      </c>
      <c r="P157" s="128">
        <v>14.292966311397192</v>
      </c>
      <c r="Q157" s="122">
        <v>134.80932703659977</v>
      </c>
      <c r="R157" s="121">
        <v>9.4318648837157735</v>
      </c>
      <c r="S157" s="121">
        <v>113.18237860458929</v>
      </c>
      <c r="T157" s="121">
        <v>14.58360033329242</v>
      </c>
      <c r="U157" s="20">
        <v>16506.065743407173</v>
      </c>
    </row>
    <row r="158" spans="2:21" x14ac:dyDescent="0.25">
      <c r="B158" s="5">
        <v>2024</v>
      </c>
      <c r="C158" s="5">
        <v>5</v>
      </c>
      <c r="D158" s="5" t="s">
        <v>22</v>
      </c>
      <c r="E158" s="127">
        <v>45443</v>
      </c>
      <c r="F158" s="5" t="s">
        <v>23</v>
      </c>
      <c r="G158" s="5" t="s">
        <v>9</v>
      </c>
      <c r="H158" s="5" t="s">
        <v>8</v>
      </c>
      <c r="I158">
        <v>2023</v>
      </c>
      <c r="J158" s="5" t="s">
        <v>62</v>
      </c>
      <c r="K158" s="5" t="s">
        <v>79</v>
      </c>
      <c r="L158" s="129">
        <v>44980</v>
      </c>
      <c r="M158" s="20">
        <v>2458.0540000000001</v>
      </c>
      <c r="N158" s="128">
        <v>17.3</v>
      </c>
      <c r="O158" s="20">
        <v>453.57225433525952</v>
      </c>
      <c r="P158" s="128">
        <v>14.911964526090724</v>
      </c>
      <c r="Q158" s="122">
        <v>142.08404624277458</v>
      </c>
      <c r="R158" s="121">
        <v>9.5281910035513544</v>
      </c>
      <c r="S158" s="121">
        <v>114.33829204261625</v>
      </c>
      <c r="T158" s="121">
        <v>14.384968434026673</v>
      </c>
      <c r="U158" s="20">
        <v>16447.527218335577</v>
      </c>
    </row>
    <row r="159" spans="2:21" x14ac:dyDescent="0.25">
      <c r="B159" s="5">
        <v>2024</v>
      </c>
      <c r="C159" s="5">
        <v>5</v>
      </c>
      <c r="D159" s="5" t="s">
        <v>19</v>
      </c>
      <c r="E159" s="127">
        <v>45413</v>
      </c>
      <c r="F159" s="5" t="s">
        <v>20</v>
      </c>
      <c r="G159" s="5" t="s">
        <v>2</v>
      </c>
      <c r="H159" s="5" t="s">
        <v>5</v>
      </c>
      <c r="I159">
        <v>2023</v>
      </c>
      <c r="J159" s="5" t="s">
        <v>304</v>
      </c>
      <c r="K159" s="5" t="s">
        <v>50</v>
      </c>
      <c r="L159" s="129">
        <v>45094</v>
      </c>
      <c r="M159" s="20">
        <v>159.65</v>
      </c>
      <c r="N159" s="128">
        <v>1.59</v>
      </c>
      <c r="O159" s="20">
        <v>318.99999999999994</v>
      </c>
      <c r="P159" s="128">
        <v>10.487671232876711</v>
      </c>
      <c r="Q159" s="122">
        <v>100.40880503144653</v>
      </c>
      <c r="R159" s="121">
        <v>9.5739848057675001</v>
      </c>
      <c r="S159" s="121">
        <v>114.88781766921001</v>
      </c>
      <c r="T159" s="121">
        <v>13.400332999999998</v>
      </c>
      <c r="U159" s="20">
        <v>15395.350144106978</v>
      </c>
    </row>
    <row r="160" spans="2:21" x14ac:dyDescent="0.25">
      <c r="B160" s="5">
        <v>2024</v>
      </c>
      <c r="C160" s="5">
        <v>5</v>
      </c>
      <c r="D160" s="5" t="s">
        <v>19</v>
      </c>
      <c r="E160" s="127">
        <v>45416</v>
      </c>
      <c r="F160" s="5" t="s">
        <v>20</v>
      </c>
      <c r="G160" s="5" t="s">
        <v>21</v>
      </c>
      <c r="H160" s="5" t="s">
        <v>4</v>
      </c>
      <c r="I160">
        <v>2022</v>
      </c>
      <c r="J160" s="5" t="s">
        <v>63</v>
      </c>
      <c r="K160" s="5" t="s">
        <v>50</v>
      </c>
      <c r="L160" s="129">
        <v>44945</v>
      </c>
      <c r="M160" s="20">
        <v>3639.45</v>
      </c>
      <c r="N160" s="128">
        <v>23.16</v>
      </c>
      <c r="O160" s="20">
        <v>468.97020725388171</v>
      </c>
      <c r="P160" s="128">
        <v>15.418198594648166</v>
      </c>
      <c r="Q160" s="122">
        <v>157.14378238341968</v>
      </c>
      <c r="R160" s="121">
        <v>10.192097437243161</v>
      </c>
      <c r="S160" s="121">
        <v>122.30516924691793</v>
      </c>
      <c r="T160" s="121">
        <v>14.181313488202889</v>
      </c>
      <c r="U160" s="20">
        <v>17344.479463182546</v>
      </c>
    </row>
    <row r="161" spans="2:21" x14ac:dyDescent="0.25">
      <c r="B161" s="5">
        <v>2024</v>
      </c>
      <c r="C161" s="5">
        <v>5</v>
      </c>
      <c r="D161" s="5" t="s">
        <v>19</v>
      </c>
      <c r="E161" s="127">
        <v>45422</v>
      </c>
      <c r="F161" s="5" t="s">
        <v>20</v>
      </c>
      <c r="G161" s="5" t="s">
        <v>21</v>
      </c>
      <c r="H161" s="5" t="s">
        <v>7</v>
      </c>
      <c r="I161">
        <v>2022</v>
      </c>
      <c r="J161" s="5" t="s">
        <v>283</v>
      </c>
      <c r="K161" s="5" t="s">
        <v>50</v>
      </c>
      <c r="L161" s="129">
        <v>44963</v>
      </c>
      <c r="M161" s="20">
        <v>51.16</v>
      </c>
      <c r="N161" s="128">
        <v>0.27</v>
      </c>
      <c r="O161" s="20">
        <v>457.62962962962962</v>
      </c>
      <c r="P161" s="128">
        <v>15.045357686453578</v>
      </c>
      <c r="Q161" s="122">
        <v>189.48148148148147</v>
      </c>
      <c r="R161" s="121">
        <v>12.594016402287687</v>
      </c>
      <c r="S161" s="121">
        <v>151.12819682745226</v>
      </c>
      <c r="T161" s="121">
        <v>14.094891623534012</v>
      </c>
      <c r="U161" s="20">
        <v>21301.355555430564</v>
      </c>
    </row>
    <row r="162" spans="2:21" x14ac:dyDescent="0.25">
      <c r="B162" s="5">
        <v>2024</v>
      </c>
      <c r="C162" s="5">
        <v>5</v>
      </c>
      <c r="D162" s="5" t="s">
        <v>19</v>
      </c>
      <c r="E162" s="127">
        <v>45430</v>
      </c>
      <c r="F162" s="5" t="s">
        <v>20</v>
      </c>
      <c r="G162" s="5" t="s">
        <v>13</v>
      </c>
      <c r="H162" s="5" t="s">
        <v>5</v>
      </c>
      <c r="I162">
        <v>2022</v>
      </c>
      <c r="J162" s="5" t="s">
        <v>64</v>
      </c>
      <c r="K162" s="5" t="s">
        <v>50</v>
      </c>
      <c r="L162" s="129">
        <v>45062</v>
      </c>
      <c r="M162" s="20">
        <v>5230.1469999999899</v>
      </c>
      <c r="N162" s="128">
        <v>37.21</v>
      </c>
      <c r="O162" s="20">
        <v>366.18220908357966</v>
      </c>
      <c r="P162" s="128">
        <v>12.038867147953304</v>
      </c>
      <c r="Q162" s="122">
        <v>140.55756517065277</v>
      </c>
      <c r="R162" s="121">
        <v>11.675314914871253</v>
      </c>
      <c r="S162" s="121">
        <v>140.10377897845504</v>
      </c>
      <c r="T162" s="121">
        <v>15.147430548660134</v>
      </c>
      <c r="U162" s="20">
        <v>21222.122616809775</v>
      </c>
    </row>
    <row r="163" spans="2:21" x14ac:dyDescent="0.25">
      <c r="B163" s="5">
        <v>2024</v>
      </c>
      <c r="C163" s="5">
        <v>5</v>
      </c>
      <c r="D163" s="5" t="s">
        <v>19</v>
      </c>
      <c r="E163" s="127">
        <v>45432</v>
      </c>
      <c r="F163" s="5" t="s">
        <v>20</v>
      </c>
      <c r="G163" s="5" t="s">
        <v>9</v>
      </c>
      <c r="H163" s="5" t="s">
        <v>7</v>
      </c>
      <c r="I163">
        <v>2022</v>
      </c>
      <c r="J163" s="5" t="s">
        <v>63</v>
      </c>
      <c r="K163" s="5" t="s">
        <v>50</v>
      </c>
      <c r="L163" s="129">
        <v>44993</v>
      </c>
      <c r="M163" s="20">
        <v>1929.6130000000001</v>
      </c>
      <c r="N163" s="128">
        <v>13.78</v>
      </c>
      <c r="O163" s="20">
        <v>437.95355587808348</v>
      </c>
      <c r="P163" s="128">
        <v>14.398473069964387</v>
      </c>
      <c r="Q163" s="122">
        <v>140.02997097242383</v>
      </c>
      <c r="R163" s="121">
        <v>9.7253347832090764</v>
      </c>
      <c r="S163" s="121">
        <v>116.70401739850891</v>
      </c>
      <c r="T163" s="121">
        <v>13.678302796208358</v>
      </c>
      <c r="U163" s="20">
        <v>15963.128875107734</v>
      </c>
    </row>
    <row r="164" spans="2:21" x14ac:dyDescent="0.25">
      <c r="B164" s="5">
        <v>2024</v>
      </c>
      <c r="C164" s="5">
        <v>5</v>
      </c>
      <c r="D164" s="5" t="s">
        <v>19</v>
      </c>
      <c r="E164" s="127">
        <v>45443</v>
      </c>
      <c r="F164" s="5" t="s">
        <v>20</v>
      </c>
      <c r="G164" s="5" t="s">
        <v>12</v>
      </c>
      <c r="H164" s="5" t="s">
        <v>5</v>
      </c>
      <c r="I164">
        <v>2021</v>
      </c>
      <c r="J164" s="5" t="s">
        <v>60</v>
      </c>
      <c r="K164" s="5" t="s">
        <v>79</v>
      </c>
      <c r="L164" s="129">
        <v>45065</v>
      </c>
      <c r="M164" s="20">
        <v>358.77</v>
      </c>
      <c r="N164" s="128">
        <v>2.46</v>
      </c>
      <c r="O164" s="20">
        <v>378</v>
      </c>
      <c r="P164" s="128">
        <v>12.427397260273972</v>
      </c>
      <c r="Q164" s="122">
        <v>145.84146341463415</v>
      </c>
      <c r="R164" s="121">
        <v>11.735479309158171</v>
      </c>
      <c r="S164" s="121">
        <v>140.82575170989804</v>
      </c>
      <c r="T164" s="121">
        <v>13.755625</v>
      </c>
      <c r="U164" s="20">
        <v>19371.462308644663</v>
      </c>
    </row>
    <row r="165" spans="2:21" x14ac:dyDescent="0.25">
      <c r="B165" s="5">
        <v>2024</v>
      </c>
      <c r="C165" s="5">
        <v>5</v>
      </c>
      <c r="D165" s="5" t="s">
        <v>84</v>
      </c>
      <c r="E165" s="127">
        <v>45436</v>
      </c>
      <c r="F165" s="5" t="s">
        <v>739</v>
      </c>
      <c r="G165" s="5" t="s">
        <v>2</v>
      </c>
      <c r="H165" s="5" t="s">
        <v>7</v>
      </c>
      <c r="I165">
        <v>2022</v>
      </c>
      <c r="J165" s="5" t="s">
        <v>60</v>
      </c>
      <c r="K165" s="5" t="s">
        <v>50</v>
      </c>
      <c r="L165" s="129">
        <v>45090</v>
      </c>
      <c r="M165" s="20">
        <v>92.72</v>
      </c>
      <c r="N165" s="128">
        <v>0.5</v>
      </c>
      <c r="O165" s="20">
        <v>346</v>
      </c>
      <c r="P165" s="128">
        <v>11.375342465753425</v>
      </c>
      <c r="Q165" s="122">
        <v>185.44</v>
      </c>
      <c r="R165" s="121">
        <v>16.3019267822736</v>
      </c>
      <c r="S165" s="121">
        <v>195.62312138728322</v>
      </c>
      <c r="T165" s="121">
        <v>13.2525</v>
      </c>
      <c r="U165" s="20">
        <v>25924.95416184971</v>
      </c>
    </row>
    <row r="166" spans="2:21" x14ac:dyDescent="0.25">
      <c r="B166" s="5">
        <v>2024</v>
      </c>
      <c r="C166" s="134" t="s">
        <v>297</v>
      </c>
      <c r="D166" s="134"/>
      <c r="E166" s="134"/>
      <c r="F166" s="134"/>
      <c r="G166" s="134"/>
      <c r="H166" s="134"/>
      <c r="I166" s="134"/>
      <c r="J166" s="134"/>
      <c r="K166" s="134"/>
      <c r="L166" s="134"/>
      <c r="M166" s="130">
        <v>91443.117999999959</v>
      </c>
      <c r="N166" s="131">
        <v>600.44999999999982</v>
      </c>
      <c r="O166" s="130">
        <v>420.63715546673257</v>
      </c>
      <c r="P166" s="131">
        <v>13.829166755070659</v>
      </c>
      <c r="Q166" s="132">
        <v>152.29097843284202</v>
      </c>
      <c r="R166" s="133">
        <v>11.012303281179422</v>
      </c>
      <c r="S166" s="133">
        <v>132.14763937415307</v>
      </c>
      <c r="T166" s="133">
        <v>14.837045910243843</v>
      </c>
      <c r="U166" s="130">
        <v>19606.80592324656</v>
      </c>
    </row>
    <row r="167" spans="2:21" x14ac:dyDescent="0.25">
      <c r="B167" s="5">
        <v>2024</v>
      </c>
      <c r="C167" s="5">
        <v>6</v>
      </c>
      <c r="D167" s="5" t="s">
        <v>78</v>
      </c>
      <c r="E167" s="127">
        <v>45467</v>
      </c>
      <c r="F167" s="5" t="s">
        <v>16</v>
      </c>
      <c r="G167" s="5" t="s">
        <v>2</v>
      </c>
      <c r="H167" s="5" t="s">
        <v>5</v>
      </c>
      <c r="I167">
        <v>2021</v>
      </c>
      <c r="J167" s="5" t="s">
        <v>315</v>
      </c>
      <c r="K167" s="5" t="s">
        <v>50</v>
      </c>
      <c r="L167" s="129">
        <v>44863</v>
      </c>
      <c r="M167" s="20">
        <v>888.04</v>
      </c>
      <c r="N167" s="128">
        <v>4.97</v>
      </c>
      <c r="O167" s="20">
        <v>601.9879275653924</v>
      </c>
      <c r="P167" s="128">
        <v>19.791383919958104</v>
      </c>
      <c r="Q167" s="122">
        <v>178.68008048289738</v>
      </c>
      <c r="R167" s="121">
        <v>9.0281751496272129</v>
      </c>
      <c r="S167" s="121">
        <v>108.33810179552655</v>
      </c>
      <c r="T167" s="121">
        <v>14.572244729967117</v>
      </c>
      <c r="U167" s="20">
        <v>15787.293329445029</v>
      </c>
    </row>
    <row r="168" spans="2:21" x14ac:dyDescent="0.25">
      <c r="B168" s="5">
        <v>2024</v>
      </c>
      <c r="C168" s="5">
        <v>6</v>
      </c>
      <c r="D168" s="5" t="s">
        <v>78</v>
      </c>
      <c r="E168" s="127">
        <v>45468</v>
      </c>
      <c r="F168" s="5" t="s">
        <v>16</v>
      </c>
      <c r="G168" s="5" t="s">
        <v>2</v>
      </c>
      <c r="H168" s="5" t="s">
        <v>7</v>
      </c>
      <c r="I168">
        <v>2022</v>
      </c>
      <c r="J168" s="5" t="s">
        <v>62</v>
      </c>
      <c r="K168" s="5" t="s">
        <v>50</v>
      </c>
      <c r="L168" s="129">
        <v>44964</v>
      </c>
      <c r="M168" s="20">
        <v>712.01</v>
      </c>
      <c r="N168" s="128">
        <v>4.57</v>
      </c>
      <c r="O168" s="20">
        <v>503.63019693654269</v>
      </c>
      <c r="P168" s="128">
        <v>16.557705104763048</v>
      </c>
      <c r="Q168" s="122">
        <v>155.80087527352296</v>
      </c>
      <c r="R168" s="121">
        <v>9.409569399125532</v>
      </c>
      <c r="S168" s="121">
        <v>112.91483278950638</v>
      </c>
      <c r="T168" s="121">
        <v>15.345746511537619</v>
      </c>
      <c r="U168" s="20">
        <v>17327.624013804212</v>
      </c>
    </row>
    <row r="169" spans="2:21" x14ac:dyDescent="0.25">
      <c r="B169" s="5">
        <v>2024</v>
      </c>
      <c r="C169" s="5">
        <v>6</v>
      </c>
      <c r="D169" s="5" t="s">
        <v>78</v>
      </c>
      <c r="E169" s="127">
        <v>45469</v>
      </c>
      <c r="F169" s="5" t="s">
        <v>16</v>
      </c>
      <c r="G169" s="5" t="s">
        <v>2</v>
      </c>
      <c r="H169" s="5" t="s">
        <v>4</v>
      </c>
      <c r="I169">
        <v>2021</v>
      </c>
      <c r="J169" s="5" t="s">
        <v>283</v>
      </c>
      <c r="K169" s="5" t="s">
        <v>50</v>
      </c>
      <c r="L169" s="129">
        <v>44889</v>
      </c>
      <c r="M169" s="20">
        <v>1405.87</v>
      </c>
      <c r="N169" s="128">
        <v>10.34</v>
      </c>
      <c r="O169" s="20">
        <v>577.58800773694293</v>
      </c>
      <c r="P169" s="128">
        <v>18.989194774913191</v>
      </c>
      <c r="Q169" s="122">
        <v>135.96421663442939</v>
      </c>
      <c r="R169" s="121">
        <v>7.1600833129613806</v>
      </c>
      <c r="S169" s="121">
        <v>85.92099975553657</v>
      </c>
      <c r="T169" s="121">
        <v>14.449435224914039</v>
      </c>
      <c r="U169" s="20">
        <v>12415.099204274808</v>
      </c>
    </row>
    <row r="170" spans="2:21" x14ac:dyDescent="0.25">
      <c r="B170" s="5">
        <v>2024</v>
      </c>
      <c r="C170" s="5">
        <v>6</v>
      </c>
      <c r="D170" s="5" t="s">
        <v>17</v>
      </c>
      <c r="E170" s="127">
        <v>45455</v>
      </c>
      <c r="F170" s="5" t="s">
        <v>18</v>
      </c>
      <c r="G170" s="5" t="s">
        <v>10</v>
      </c>
      <c r="H170" s="5" t="s">
        <v>6</v>
      </c>
      <c r="I170">
        <v>2021</v>
      </c>
      <c r="J170" s="5" t="s">
        <v>63</v>
      </c>
      <c r="K170" s="5" t="s">
        <v>50</v>
      </c>
      <c r="L170" s="129">
        <v>45026</v>
      </c>
      <c r="M170" s="20">
        <v>9.782</v>
      </c>
      <c r="N170" s="128">
        <v>0.5</v>
      </c>
      <c r="O170" s="20">
        <v>429</v>
      </c>
      <c r="P170" s="128">
        <v>14.104109589041096</v>
      </c>
      <c r="Q170" s="122">
        <v>19.564</v>
      </c>
      <c r="R170" s="121">
        <v>1.3871134421134421</v>
      </c>
      <c r="S170" s="121">
        <v>16.645361305361305</v>
      </c>
      <c r="T170" s="121">
        <v>12.538</v>
      </c>
      <c r="U170" s="20">
        <v>2086.9954004662004</v>
      </c>
    </row>
    <row r="171" spans="2:21" x14ac:dyDescent="0.25">
      <c r="B171" s="5">
        <v>2024</v>
      </c>
      <c r="C171" s="5">
        <v>6</v>
      </c>
      <c r="D171" s="5" t="s">
        <v>17</v>
      </c>
      <c r="E171" s="127">
        <v>45462</v>
      </c>
      <c r="F171" s="5" t="s">
        <v>18</v>
      </c>
      <c r="G171" s="5" t="s">
        <v>2</v>
      </c>
      <c r="H171" s="5" t="s">
        <v>3</v>
      </c>
      <c r="I171">
        <v>2022</v>
      </c>
      <c r="J171" s="5" t="s">
        <v>63</v>
      </c>
      <c r="K171" s="5" t="s">
        <v>50</v>
      </c>
      <c r="L171" s="129">
        <v>44863</v>
      </c>
      <c r="M171" s="20">
        <v>146.22800000000001</v>
      </c>
      <c r="N171" s="128">
        <v>0.8</v>
      </c>
      <c r="O171" s="20">
        <v>592.46249999999998</v>
      </c>
      <c r="P171" s="128">
        <v>19.478219178082188</v>
      </c>
      <c r="Q171" s="122">
        <v>182.785</v>
      </c>
      <c r="R171" s="121">
        <v>9.3840714250550317</v>
      </c>
      <c r="S171" s="121">
        <v>112.60885710066037</v>
      </c>
      <c r="T171" s="121">
        <v>15.596863419892223</v>
      </c>
      <c r="U171" s="20">
        <v>17563.449640691604</v>
      </c>
    </row>
    <row r="172" spans="2:21" x14ac:dyDescent="0.25">
      <c r="B172" s="5">
        <v>2024</v>
      </c>
      <c r="C172" s="5">
        <v>6</v>
      </c>
      <c r="D172" s="5" t="s">
        <v>0</v>
      </c>
      <c r="E172" s="127">
        <v>45448</v>
      </c>
      <c r="F172" s="5" t="s">
        <v>1</v>
      </c>
      <c r="G172" s="5" t="s">
        <v>2</v>
      </c>
      <c r="H172" s="5" t="s">
        <v>7</v>
      </c>
      <c r="I172">
        <v>2022</v>
      </c>
      <c r="J172" s="5" t="s">
        <v>60</v>
      </c>
      <c r="K172" s="5" t="s">
        <v>50</v>
      </c>
      <c r="L172" s="129">
        <v>45070</v>
      </c>
      <c r="M172" s="20">
        <v>6292.79</v>
      </c>
      <c r="N172" s="128">
        <v>35.17</v>
      </c>
      <c r="O172" s="20">
        <v>375.37332954222347</v>
      </c>
      <c r="P172" s="128">
        <v>12.341040971251182</v>
      </c>
      <c r="Q172" s="122">
        <v>178.92493602502131</v>
      </c>
      <c r="R172" s="121">
        <v>14.498366583648187</v>
      </c>
      <c r="S172" s="121">
        <v>173.98039900377825</v>
      </c>
      <c r="T172" s="121">
        <v>15.002591439895498</v>
      </c>
      <c r="U172" s="20">
        <v>26101.568448036869</v>
      </c>
    </row>
    <row r="173" spans="2:21" x14ac:dyDescent="0.25">
      <c r="B173" s="5">
        <v>2024</v>
      </c>
      <c r="C173" s="5">
        <v>6</v>
      </c>
      <c r="D173" s="5" t="s">
        <v>0</v>
      </c>
      <c r="E173" s="127">
        <v>45471</v>
      </c>
      <c r="F173" s="5" t="s">
        <v>1</v>
      </c>
      <c r="G173" s="5" t="s">
        <v>15</v>
      </c>
      <c r="H173" s="5" t="s">
        <v>7</v>
      </c>
      <c r="I173">
        <v>2023</v>
      </c>
      <c r="J173" s="5" t="s">
        <v>351</v>
      </c>
      <c r="K173" s="5" t="s">
        <v>50</v>
      </c>
      <c r="L173" s="129">
        <v>45131</v>
      </c>
      <c r="M173" s="20">
        <v>223.85</v>
      </c>
      <c r="N173" s="128">
        <v>2</v>
      </c>
      <c r="O173" s="20">
        <v>340</v>
      </c>
      <c r="P173" s="128">
        <v>11.178082191780822</v>
      </c>
      <c r="Q173" s="122">
        <v>111.925</v>
      </c>
      <c r="R173" s="121">
        <v>10.012898284313724</v>
      </c>
      <c r="S173" s="121">
        <v>120.15477941176469</v>
      </c>
      <c r="T173" s="121">
        <v>14.678333</v>
      </c>
      <c r="U173" s="20">
        <v>17636.718637474263</v>
      </c>
    </row>
    <row r="174" spans="2:21" x14ac:dyDescent="0.25">
      <c r="B174" s="5">
        <v>2024</v>
      </c>
      <c r="C174" s="5">
        <v>6</v>
      </c>
      <c r="D174" s="5" t="s">
        <v>0</v>
      </c>
      <c r="E174" s="127">
        <v>45471</v>
      </c>
      <c r="F174" s="5" t="s">
        <v>1</v>
      </c>
      <c r="G174" s="5" t="s">
        <v>15</v>
      </c>
      <c r="H174" s="5" t="s">
        <v>8</v>
      </c>
      <c r="I174">
        <v>2023</v>
      </c>
      <c r="J174" s="5" t="s">
        <v>351</v>
      </c>
      <c r="K174" s="5" t="s">
        <v>50</v>
      </c>
      <c r="L174" s="129">
        <v>45111</v>
      </c>
      <c r="M174" s="20">
        <v>4618.9920000000002</v>
      </c>
      <c r="N174" s="128">
        <v>33.32</v>
      </c>
      <c r="O174" s="20">
        <v>358.16776710684275</v>
      </c>
      <c r="P174" s="128">
        <v>11.775378644608528</v>
      </c>
      <c r="Q174" s="122">
        <v>138.62521008403363</v>
      </c>
      <c r="R174" s="121">
        <v>11.772463057695772</v>
      </c>
      <c r="S174" s="121">
        <v>141.26955669234925</v>
      </c>
      <c r="T174" s="121">
        <v>15.258813551303835</v>
      </c>
      <c r="U174" s="20">
        <v>21556.05826043904</v>
      </c>
    </row>
    <row r="175" spans="2:21" x14ac:dyDescent="0.25">
      <c r="B175" s="5">
        <v>2024</v>
      </c>
      <c r="C175" s="5">
        <v>6</v>
      </c>
      <c r="D175" s="5" t="s">
        <v>75</v>
      </c>
      <c r="E175" s="127">
        <v>45450</v>
      </c>
      <c r="F175" s="5" t="s">
        <v>52</v>
      </c>
      <c r="G175" s="5" t="s">
        <v>34</v>
      </c>
      <c r="H175" s="5" t="s">
        <v>4</v>
      </c>
      <c r="I175">
        <v>2022</v>
      </c>
      <c r="J175" s="5" t="s">
        <v>80</v>
      </c>
      <c r="K175" s="5" t="s">
        <v>50</v>
      </c>
      <c r="L175" s="129">
        <v>45062</v>
      </c>
      <c r="M175" s="20">
        <v>4516.4740000000002</v>
      </c>
      <c r="N175" s="128">
        <v>32.979999999999997</v>
      </c>
      <c r="O175" s="20">
        <v>387.26986052152824</v>
      </c>
      <c r="P175" s="128">
        <v>12.732159797968052</v>
      </c>
      <c r="Q175" s="122">
        <v>136.94584596725289</v>
      </c>
      <c r="R175" s="121">
        <v>10.755900659455149</v>
      </c>
      <c r="S175" s="121">
        <v>129.07080791346178</v>
      </c>
      <c r="T175" s="121">
        <v>15.586690821637831</v>
      </c>
      <c r="U175" s="20">
        <v>20117.86777046134</v>
      </c>
    </row>
    <row r="176" spans="2:21" x14ac:dyDescent="0.25">
      <c r="B176" s="5">
        <v>2024</v>
      </c>
      <c r="C176" s="5">
        <v>6</v>
      </c>
      <c r="D176" s="5" t="s">
        <v>75</v>
      </c>
      <c r="E176" s="127">
        <v>45452</v>
      </c>
      <c r="F176" s="5" t="s">
        <v>52</v>
      </c>
      <c r="G176" s="5" t="s">
        <v>28</v>
      </c>
      <c r="H176" s="5" t="s">
        <v>4</v>
      </c>
      <c r="I176">
        <v>2022</v>
      </c>
      <c r="J176" s="5" t="s">
        <v>60</v>
      </c>
      <c r="K176" s="5" t="s">
        <v>50</v>
      </c>
      <c r="L176" s="129">
        <v>45093</v>
      </c>
      <c r="M176" s="20">
        <v>5560.2460000000001</v>
      </c>
      <c r="N176" s="128">
        <v>34.879999999999903</v>
      </c>
      <c r="O176" s="20">
        <v>358.19409403669823</v>
      </c>
      <c r="P176" s="128">
        <v>11.776244187507887</v>
      </c>
      <c r="Q176" s="122">
        <v>159.41072247706467</v>
      </c>
      <c r="R176" s="121">
        <v>13.536635275121576</v>
      </c>
      <c r="S176" s="121">
        <v>162.43962330145891</v>
      </c>
      <c r="T176" s="121">
        <v>15.559547493537158</v>
      </c>
      <c r="U176" s="20">
        <v>25274.870335913351</v>
      </c>
    </row>
    <row r="177" spans="2:21" x14ac:dyDescent="0.25">
      <c r="B177" s="5">
        <v>2024</v>
      </c>
      <c r="C177" s="5">
        <v>6</v>
      </c>
      <c r="D177" s="5" t="s">
        <v>75</v>
      </c>
      <c r="E177" s="127">
        <v>45456</v>
      </c>
      <c r="F177" s="5" t="s">
        <v>52</v>
      </c>
      <c r="G177" s="5" t="s">
        <v>26</v>
      </c>
      <c r="H177" s="5" t="s">
        <v>5</v>
      </c>
      <c r="I177">
        <v>2022</v>
      </c>
      <c r="J177" s="5" t="s">
        <v>60</v>
      </c>
      <c r="K177" s="5" t="s">
        <v>50</v>
      </c>
      <c r="L177" s="129">
        <v>45063</v>
      </c>
      <c r="M177" s="20">
        <v>5931.24</v>
      </c>
      <c r="N177" s="128">
        <v>34.700000000000003</v>
      </c>
      <c r="O177" s="20">
        <v>390.94380403458212</v>
      </c>
      <c r="P177" s="128">
        <v>12.852946981958864</v>
      </c>
      <c r="Q177" s="122">
        <v>170.92910662824207</v>
      </c>
      <c r="R177" s="121">
        <v>13.298826087757773</v>
      </c>
      <c r="S177" s="121">
        <v>159.58591305309326</v>
      </c>
      <c r="T177" s="121">
        <v>14.15927621805727</v>
      </c>
      <c r="U177" s="20">
        <v>22596.210234296188</v>
      </c>
    </row>
    <row r="178" spans="2:21" x14ac:dyDescent="0.25">
      <c r="B178" s="5">
        <v>2024</v>
      </c>
      <c r="C178" s="5">
        <v>6</v>
      </c>
      <c r="D178" s="5" t="s">
        <v>75</v>
      </c>
      <c r="E178" s="127">
        <v>45460</v>
      </c>
      <c r="F178" s="5" t="s">
        <v>52</v>
      </c>
      <c r="G178" s="5" t="s">
        <v>30</v>
      </c>
      <c r="H178" s="5" t="s">
        <v>5</v>
      </c>
      <c r="I178">
        <v>2022</v>
      </c>
      <c r="J178" s="5" t="s">
        <v>60</v>
      </c>
      <c r="K178" s="5" t="s">
        <v>50</v>
      </c>
      <c r="L178" s="129">
        <v>45100</v>
      </c>
      <c r="M178" s="20">
        <v>6245.3499999999904</v>
      </c>
      <c r="N178" s="128">
        <v>38.979999999999997</v>
      </c>
      <c r="O178" s="20">
        <v>357.2324268855798</v>
      </c>
      <c r="P178" s="128">
        <v>11.744627733224542</v>
      </c>
      <c r="Q178" s="122">
        <v>160.21934325294998</v>
      </c>
      <c r="R178" s="121">
        <v>13.641926069712985</v>
      </c>
      <c r="S178" s="121">
        <v>163.70311283655582</v>
      </c>
      <c r="T178" s="121">
        <v>14.481052038406196</v>
      </c>
      <c r="U178" s="20">
        <v>23705.93295835246</v>
      </c>
    </row>
    <row r="179" spans="2:21" x14ac:dyDescent="0.25">
      <c r="B179" s="5">
        <v>2024</v>
      </c>
      <c r="C179" s="5">
        <v>6</v>
      </c>
      <c r="D179" s="5" t="s">
        <v>75</v>
      </c>
      <c r="E179" s="127">
        <v>45461</v>
      </c>
      <c r="F179" s="5" t="s">
        <v>52</v>
      </c>
      <c r="G179" s="5" t="s">
        <v>33</v>
      </c>
      <c r="H179" s="5" t="s">
        <v>3</v>
      </c>
      <c r="I179">
        <v>2022</v>
      </c>
      <c r="J179" s="5" t="s">
        <v>80</v>
      </c>
      <c r="K179" s="5" t="s">
        <v>50</v>
      </c>
      <c r="L179" s="129">
        <v>45073</v>
      </c>
      <c r="M179" s="20">
        <v>3050.9</v>
      </c>
      <c r="N179" s="128">
        <v>24.41</v>
      </c>
      <c r="O179" s="20">
        <v>386.7546087668988</v>
      </c>
      <c r="P179" s="128">
        <v>12.715220014254207</v>
      </c>
      <c r="Q179" s="122">
        <v>124.98566161409259</v>
      </c>
      <c r="R179" s="121">
        <v>9.8296106142071693</v>
      </c>
      <c r="S179" s="121">
        <v>117.95532737048603</v>
      </c>
      <c r="T179" s="121">
        <v>15.442446897086072</v>
      </c>
      <c r="U179" s="20">
        <v>18215.188791471337</v>
      </c>
    </row>
    <row r="180" spans="2:21" x14ac:dyDescent="0.25">
      <c r="B180" s="5">
        <v>2024</v>
      </c>
      <c r="C180" s="5">
        <v>6</v>
      </c>
      <c r="D180" s="5" t="s">
        <v>75</v>
      </c>
      <c r="E180" s="127">
        <v>45465</v>
      </c>
      <c r="F180" s="5" t="s">
        <v>52</v>
      </c>
      <c r="G180" s="5" t="s">
        <v>44</v>
      </c>
      <c r="H180" s="5" t="s">
        <v>3</v>
      </c>
      <c r="I180">
        <v>2022</v>
      </c>
      <c r="J180" s="5" t="s">
        <v>60</v>
      </c>
      <c r="K180" s="5" t="s">
        <v>50</v>
      </c>
      <c r="L180" s="129">
        <v>45103</v>
      </c>
      <c r="M180" s="20">
        <v>6690.46</v>
      </c>
      <c r="N180" s="128">
        <v>41.01</v>
      </c>
      <c r="O180" s="20">
        <v>359.98049256278955</v>
      </c>
      <c r="P180" s="128">
        <v>11.834975097954725</v>
      </c>
      <c r="Q180" s="122">
        <v>163.14216044867106</v>
      </c>
      <c r="R180" s="121">
        <v>13.784748941031964</v>
      </c>
      <c r="S180" s="121">
        <v>165.41698729238357</v>
      </c>
      <c r="T180" s="121">
        <v>15.505326112321125</v>
      </c>
      <c r="U180" s="20">
        <v>25648.443324860869</v>
      </c>
    </row>
    <row r="181" spans="2:21" x14ac:dyDescent="0.25">
      <c r="B181" s="5">
        <v>2024</v>
      </c>
      <c r="C181" s="5">
        <v>6</v>
      </c>
      <c r="D181" s="5" t="s">
        <v>75</v>
      </c>
      <c r="E181" s="127">
        <v>45473</v>
      </c>
      <c r="F181" s="5" t="s">
        <v>52</v>
      </c>
      <c r="G181" s="5" t="s">
        <v>28</v>
      </c>
      <c r="H181" s="5" t="s">
        <v>6</v>
      </c>
      <c r="I181">
        <v>2023</v>
      </c>
      <c r="J181" s="5" t="s">
        <v>60</v>
      </c>
      <c r="K181" s="5" t="s">
        <v>50</v>
      </c>
      <c r="L181" s="129">
        <v>45096</v>
      </c>
      <c r="M181" s="20">
        <v>4721.32</v>
      </c>
      <c r="N181" s="128">
        <v>27.87</v>
      </c>
      <c r="O181" s="20">
        <v>376.07463222102621</v>
      </c>
      <c r="P181" s="128">
        <v>12.364097497677575</v>
      </c>
      <c r="Q181" s="122">
        <v>169.40509508432004</v>
      </c>
      <c r="R181" s="121">
        <v>13.701371662277852</v>
      </c>
      <c r="S181" s="121">
        <v>164.41645994733423</v>
      </c>
      <c r="T181" s="121">
        <v>14.947634284034974</v>
      </c>
      <c r="U181" s="20">
        <v>24576.371135684363</v>
      </c>
    </row>
    <row r="182" spans="2:21" x14ac:dyDescent="0.25">
      <c r="B182" s="5">
        <v>2024</v>
      </c>
      <c r="C182" s="5">
        <v>6</v>
      </c>
      <c r="D182" s="5" t="s">
        <v>75</v>
      </c>
      <c r="E182" s="127">
        <v>45473</v>
      </c>
      <c r="F182" s="5" t="s">
        <v>52</v>
      </c>
      <c r="G182" s="5" t="s">
        <v>44</v>
      </c>
      <c r="H182" s="5" t="s">
        <v>5</v>
      </c>
      <c r="I182">
        <v>2022</v>
      </c>
      <c r="J182" s="5" t="s">
        <v>60</v>
      </c>
      <c r="K182" s="5" t="s">
        <v>50</v>
      </c>
      <c r="L182" s="129">
        <v>45086</v>
      </c>
      <c r="M182" s="20">
        <v>159.03</v>
      </c>
      <c r="N182" s="128">
        <v>0.83</v>
      </c>
      <c r="O182" s="20">
        <v>387</v>
      </c>
      <c r="P182" s="128">
        <v>12.723287671232876</v>
      </c>
      <c r="Q182" s="122">
        <v>191.60240963855424</v>
      </c>
      <c r="R182" s="121">
        <v>15.059190249369573</v>
      </c>
      <c r="S182" s="121">
        <v>180.71028299243488</v>
      </c>
      <c r="T182" s="121">
        <v>14.255784999999999</v>
      </c>
      <c r="U182" s="20">
        <v>25761.669416293083</v>
      </c>
    </row>
    <row r="183" spans="2:21" x14ac:dyDescent="0.25">
      <c r="B183" s="5">
        <v>2024</v>
      </c>
      <c r="C183" s="5">
        <v>6</v>
      </c>
      <c r="D183" s="5" t="s">
        <v>22</v>
      </c>
      <c r="E183" s="127">
        <v>45445</v>
      </c>
      <c r="F183" s="5" t="s">
        <v>23</v>
      </c>
      <c r="G183" s="5" t="s">
        <v>9</v>
      </c>
      <c r="H183" s="5" t="s">
        <v>8</v>
      </c>
      <c r="I183">
        <v>2023</v>
      </c>
      <c r="J183" s="5" t="s">
        <v>62</v>
      </c>
      <c r="K183" s="5" t="s">
        <v>79</v>
      </c>
      <c r="L183" s="129">
        <v>44980</v>
      </c>
      <c r="M183" s="20">
        <v>67.8</v>
      </c>
      <c r="N183" s="128">
        <v>0.15</v>
      </c>
      <c r="O183" s="20">
        <v>464.53333333333342</v>
      </c>
      <c r="P183" s="128">
        <v>15.272328767123291</v>
      </c>
      <c r="Q183" s="122">
        <v>452</v>
      </c>
      <c r="R183" s="121">
        <v>29.596010332950627</v>
      </c>
      <c r="S183" s="121">
        <v>355.15212399540752</v>
      </c>
      <c r="T183" s="121">
        <v>14.04131017699115</v>
      </c>
      <c r="U183" s="20">
        <v>49868.011330367379</v>
      </c>
    </row>
    <row r="184" spans="2:21" x14ac:dyDescent="0.25">
      <c r="B184" s="5">
        <v>2024</v>
      </c>
      <c r="C184" s="5">
        <v>6</v>
      </c>
      <c r="D184" s="5" t="s">
        <v>22</v>
      </c>
      <c r="E184" s="127">
        <v>45456</v>
      </c>
      <c r="F184" s="5" t="s">
        <v>24</v>
      </c>
      <c r="G184" s="5" t="s">
        <v>13</v>
      </c>
      <c r="H184" s="5" t="s">
        <v>7</v>
      </c>
      <c r="I184">
        <v>2023</v>
      </c>
      <c r="J184" s="5" t="s">
        <v>304</v>
      </c>
      <c r="K184" s="5" t="s">
        <v>50</v>
      </c>
      <c r="L184" s="129">
        <v>45072</v>
      </c>
      <c r="M184" s="20">
        <v>3174.65</v>
      </c>
      <c r="N184" s="128">
        <v>19.2</v>
      </c>
      <c r="O184" s="20">
        <v>382.06666666666672</v>
      </c>
      <c r="P184" s="128">
        <v>12.561095890410963</v>
      </c>
      <c r="Q184" s="122">
        <v>165.34635416666669</v>
      </c>
      <c r="R184" s="121">
        <v>13.163370107929099</v>
      </c>
      <c r="S184" s="121">
        <v>157.9604412951492</v>
      </c>
      <c r="T184" s="121">
        <v>13.466479131053816</v>
      </c>
      <c r="U184" s="20">
        <v>21271.70986233178</v>
      </c>
    </row>
    <row r="185" spans="2:21" x14ac:dyDescent="0.25">
      <c r="B185" s="5">
        <v>2024</v>
      </c>
      <c r="C185" s="5">
        <v>6</v>
      </c>
      <c r="D185" s="5" t="s">
        <v>22</v>
      </c>
      <c r="E185" s="127">
        <v>45458</v>
      </c>
      <c r="F185" s="5" t="s">
        <v>23</v>
      </c>
      <c r="G185" s="5" t="s">
        <v>10</v>
      </c>
      <c r="H185" s="5" t="s">
        <v>8</v>
      </c>
      <c r="I185">
        <v>2022</v>
      </c>
      <c r="J185" s="5" t="s">
        <v>68</v>
      </c>
      <c r="K185" s="5" t="s">
        <v>354</v>
      </c>
      <c r="L185" s="129">
        <v>45124</v>
      </c>
      <c r="M185" s="20">
        <v>3135.8999999999901</v>
      </c>
      <c r="N185" s="128">
        <v>20.16</v>
      </c>
      <c r="O185" s="20">
        <v>332.62499999999949</v>
      </c>
      <c r="P185" s="128">
        <v>10.935616438356147</v>
      </c>
      <c r="Q185" s="122">
        <v>155.55059523809476</v>
      </c>
      <c r="R185" s="121">
        <v>14.224218279319722</v>
      </c>
      <c r="S185" s="121">
        <v>170.69061935183666</v>
      </c>
      <c r="T185" s="121">
        <v>13.696282583848379</v>
      </c>
      <c r="U185" s="20">
        <v>23378.269570548538</v>
      </c>
    </row>
    <row r="186" spans="2:21" x14ac:dyDescent="0.25">
      <c r="B186" s="5">
        <v>2024</v>
      </c>
      <c r="C186" s="5">
        <v>6</v>
      </c>
      <c r="D186" s="5" t="s">
        <v>22</v>
      </c>
      <c r="E186" s="127">
        <v>45460</v>
      </c>
      <c r="F186" s="5" t="s">
        <v>39</v>
      </c>
      <c r="G186" s="5" t="s">
        <v>9</v>
      </c>
      <c r="H186" s="5" t="s">
        <v>7</v>
      </c>
      <c r="I186">
        <v>2023</v>
      </c>
      <c r="J186" s="5" t="s">
        <v>61</v>
      </c>
      <c r="K186" s="5" t="s">
        <v>50</v>
      </c>
      <c r="L186" s="129">
        <v>45129</v>
      </c>
      <c r="M186" s="20">
        <v>936.08500000000004</v>
      </c>
      <c r="N186" s="128">
        <v>6.22</v>
      </c>
      <c r="O186" s="20">
        <v>329.57234726688102</v>
      </c>
      <c r="P186" s="128">
        <v>10.835255252609787</v>
      </c>
      <c r="Q186" s="122">
        <v>150.49598070739552</v>
      </c>
      <c r="R186" s="121">
        <v>13.889472578059198</v>
      </c>
      <c r="S186" s="121">
        <v>166.67367093671038</v>
      </c>
      <c r="T186" s="121">
        <v>14.2503170326199</v>
      </c>
      <c r="U186" s="20">
        <v>23751.526518386887</v>
      </c>
    </row>
    <row r="187" spans="2:21" x14ac:dyDescent="0.25">
      <c r="B187" s="5">
        <v>2024</v>
      </c>
      <c r="C187" s="5">
        <v>6</v>
      </c>
      <c r="D187" s="5" t="s">
        <v>22</v>
      </c>
      <c r="E187" s="127">
        <v>45463</v>
      </c>
      <c r="F187" s="5" t="s">
        <v>39</v>
      </c>
      <c r="G187" s="5" t="s">
        <v>9</v>
      </c>
      <c r="H187" s="5" t="s">
        <v>5</v>
      </c>
      <c r="I187">
        <v>2023</v>
      </c>
      <c r="J187" s="5" t="s">
        <v>61</v>
      </c>
      <c r="K187" s="5" t="s">
        <v>50</v>
      </c>
      <c r="L187" s="129">
        <v>45127</v>
      </c>
      <c r="M187" s="20">
        <v>1034.135</v>
      </c>
      <c r="N187" s="128">
        <v>7.28</v>
      </c>
      <c r="O187" s="20">
        <v>334.33241758241758</v>
      </c>
      <c r="P187" s="128">
        <v>10.991750715038387</v>
      </c>
      <c r="Q187" s="122">
        <v>142.05151098901098</v>
      </c>
      <c r="R187" s="121">
        <v>12.92346548531736</v>
      </c>
      <c r="S187" s="121">
        <v>155.08158582380833</v>
      </c>
      <c r="T187" s="121">
        <v>14.627137676018993</v>
      </c>
      <c r="U187" s="20">
        <v>22683.997068601999</v>
      </c>
    </row>
    <row r="188" spans="2:21" x14ac:dyDescent="0.25">
      <c r="B188" s="5">
        <v>2024</v>
      </c>
      <c r="C188" s="5">
        <v>6</v>
      </c>
      <c r="D188" s="5" t="s">
        <v>22</v>
      </c>
      <c r="E188" s="127">
        <v>45473</v>
      </c>
      <c r="F188" s="5" t="s">
        <v>25</v>
      </c>
      <c r="G188" s="5" t="s">
        <v>26</v>
      </c>
      <c r="H188" s="5" t="s">
        <v>6</v>
      </c>
      <c r="I188">
        <v>2023</v>
      </c>
      <c r="J188" s="5" t="s">
        <v>289</v>
      </c>
      <c r="K188" s="5" t="s">
        <v>50</v>
      </c>
      <c r="L188" s="129">
        <v>45103</v>
      </c>
      <c r="M188" s="20">
        <v>465.30999999999898</v>
      </c>
      <c r="N188" s="128">
        <v>3.07</v>
      </c>
      <c r="O188" s="20">
        <v>369.68729641693812</v>
      </c>
      <c r="P188" s="128">
        <v>12.154102895899335</v>
      </c>
      <c r="Q188" s="122">
        <v>151.56677524429935</v>
      </c>
      <c r="R188" s="121">
        <v>12.470420609606355</v>
      </c>
      <c r="S188" s="121">
        <v>149.64504731527626</v>
      </c>
      <c r="T188" s="121">
        <v>14.213537759773086</v>
      </c>
      <c r="U188" s="20">
        <v>21269.855305787092</v>
      </c>
    </row>
    <row r="189" spans="2:21" x14ac:dyDescent="0.25">
      <c r="B189" s="5">
        <v>2024</v>
      </c>
      <c r="C189" s="5">
        <v>6</v>
      </c>
      <c r="D189" s="5" t="s">
        <v>22</v>
      </c>
      <c r="E189" s="127">
        <v>45473</v>
      </c>
      <c r="F189" s="5" t="s">
        <v>25</v>
      </c>
      <c r="G189" s="5" t="s">
        <v>26</v>
      </c>
      <c r="H189" s="5" t="s">
        <v>7</v>
      </c>
      <c r="I189">
        <v>2023</v>
      </c>
      <c r="J189" s="5" t="s">
        <v>289</v>
      </c>
      <c r="K189" s="5" t="s">
        <v>50</v>
      </c>
      <c r="L189" s="129">
        <v>45080</v>
      </c>
      <c r="M189" s="20">
        <v>632.42999999999995</v>
      </c>
      <c r="N189" s="128">
        <v>4.01</v>
      </c>
      <c r="O189" s="20">
        <v>392.99999999999756</v>
      </c>
      <c r="P189" s="128">
        <v>12.920547945205399</v>
      </c>
      <c r="Q189" s="122">
        <v>157.71321695760599</v>
      </c>
      <c r="R189" s="121">
        <v>12.206387656812245</v>
      </c>
      <c r="S189" s="121">
        <v>146.47665188174693</v>
      </c>
      <c r="T189" s="121">
        <v>14.667833</v>
      </c>
      <c r="U189" s="20">
        <v>21484.950682005998</v>
      </c>
    </row>
    <row r="190" spans="2:21" x14ac:dyDescent="0.25">
      <c r="B190" s="5">
        <v>2024</v>
      </c>
      <c r="C190" s="5">
        <v>6</v>
      </c>
      <c r="D190" s="5" t="s">
        <v>22</v>
      </c>
      <c r="E190" s="127">
        <v>45473</v>
      </c>
      <c r="F190" s="5" t="s">
        <v>25</v>
      </c>
      <c r="G190" s="5" t="s">
        <v>26</v>
      </c>
      <c r="H190" s="5" t="s">
        <v>8</v>
      </c>
      <c r="I190">
        <v>2023</v>
      </c>
      <c r="J190" s="5" t="s">
        <v>289</v>
      </c>
      <c r="K190" s="5" t="s">
        <v>50</v>
      </c>
      <c r="L190" s="129">
        <v>45083</v>
      </c>
      <c r="M190" s="20">
        <v>2997.26</v>
      </c>
      <c r="N190" s="128">
        <v>18.799999999999901</v>
      </c>
      <c r="O190" s="20">
        <v>389.5372340425547</v>
      </c>
      <c r="P190" s="128">
        <v>12.806703584960703</v>
      </c>
      <c r="Q190" s="122">
        <v>159.42872340425617</v>
      </c>
      <c r="R190" s="121">
        <v>12.448849334771682</v>
      </c>
      <c r="S190" s="121">
        <v>149.38619201726019</v>
      </c>
      <c r="T190" s="121">
        <v>14.582765734744399</v>
      </c>
      <c r="U190" s="20">
        <v>21784.63842193249</v>
      </c>
    </row>
    <row r="191" spans="2:21" x14ac:dyDescent="0.25">
      <c r="B191" s="5">
        <v>2024</v>
      </c>
      <c r="C191" s="5">
        <v>6</v>
      </c>
      <c r="D191" s="5" t="s">
        <v>19</v>
      </c>
      <c r="E191" s="127">
        <v>45450</v>
      </c>
      <c r="F191" s="5" t="s">
        <v>20</v>
      </c>
      <c r="G191" s="5" t="s">
        <v>12</v>
      </c>
      <c r="H191" s="5" t="s">
        <v>5</v>
      </c>
      <c r="I191">
        <v>2021</v>
      </c>
      <c r="J191" s="5" t="s">
        <v>60</v>
      </c>
      <c r="K191" s="5" t="s">
        <v>79</v>
      </c>
      <c r="L191" s="129">
        <v>45065</v>
      </c>
      <c r="M191" s="20">
        <v>5111.53</v>
      </c>
      <c r="N191" s="128">
        <v>32.86</v>
      </c>
      <c r="O191" s="20">
        <v>381.73737066342056</v>
      </c>
      <c r="P191" s="128">
        <v>12.550269720441225</v>
      </c>
      <c r="Q191" s="122">
        <v>155.55477784540474</v>
      </c>
      <c r="R191" s="121">
        <v>12.394536636295973</v>
      </c>
      <c r="S191" s="121">
        <v>148.73443963555167</v>
      </c>
      <c r="T191" s="121">
        <v>14.699916909893906</v>
      </c>
      <c r="U191" s="20">
        <v>21863.839042822405</v>
      </c>
    </row>
    <row r="192" spans="2:21" x14ac:dyDescent="0.25">
      <c r="B192" s="5">
        <v>2024</v>
      </c>
      <c r="C192" s="5">
        <v>6</v>
      </c>
      <c r="D192" s="5" t="s">
        <v>19</v>
      </c>
      <c r="E192" s="127">
        <v>45451</v>
      </c>
      <c r="F192" s="5" t="s">
        <v>20</v>
      </c>
      <c r="G192" s="5" t="s">
        <v>9</v>
      </c>
      <c r="H192" s="5" t="s">
        <v>5</v>
      </c>
      <c r="I192">
        <v>2023</v>
      </c>
      <c r="J192" s="5" t="s">
        <v>304</v>
      </c>
      <c r="K192" s="5" t="s">
        <v>50</v>
      </c>
      <c r="L192" s="129">
        <v>45091</v>
      </c>
      <c r="M192" s="20">
        <v>1477.03</v>
      </c>
      <c r="N192" s="128">
        <v>13.37</v>
      </c>
      <c r="O192" s="20">
        <v>359.19222139117426</v>
      </c>
      <c r="P192" s="128">
        <v>11.809059333408468</v>
      </c>
      <c r="Q192" s="122">
        <v>110.47344801795064</v>
      </c>
      <c r="R192" s="121">
        <v>9.3549744225109688</v>
      </c>
      <c r="S192" s="121">
        <v>112.25969307013162</v>
      </c>
      <c r="T192" s="121">
        <v>15.557509796009493</v>
      </c>
      <c r="U192" s="20">
        <v>17464.812746355914</v>
      </c>
    </row>
    <row r="193" spans="2:21" x14ac:dyDescent="0.25">
      <c r="B193" s="5">
        <v>2024</v>
      </c>
      <c r="C193" s="5">
        <v>6</v>
      </c>
      <c r="D193" s="5" t="s">
        <v>19</v>
      </c>
      <c r="E193" s="127">
        <v>45453</v>
      </c>
      <c r="F193" s="5" t="s">
        <v>20</v>
      </c>
      <c r="G193" s="5" t="s">
        <v>2</v>
      </c>
      <c r="H193" s="5" t="s">
        <v>4</v>
      </c>
      <c r="I193">
        <v>2023</v>
      </c>
      <c r="J193" s="5" t="s">
        <v>304</v>
      </c>
      <c r="K193" s="5" t="s">
        <v>50</v>
      </c>
      <c r="L193" s="129">
        <v>45105</v>
      </c>
      <c r="M193" s="20">
        <v>1377.24</v>
      </c>
      <c r="N193" s="128">
        <v>16.84</v>
      </c>
      <c r="O193" s="20">
        <v>347.06769596199524</v>
      </c>
      <c r="P193" s="128">
        <v>11.410444798750529</v>
      </c>
      <c r="Q193" s="122">
        <v>81.783847980997621</v>
      </c>
      <c r="R193" s="121">
        <v>7.1674548559187761</v>
      </c>
      <c r="S193" s="121">
        <v>86.009458271025309</v>
      </c>
      <c r="T193" s="121">
        <v>15.394924990480961</v>
      </c>
      <c r="U193" s="20">
        <v>13241.09158554337</v>
      </c>
    </row>
    <row r="194" spans="2:21" x14ac:dyDescent="0.25">
      <c r="B194" s="5">
        <v>2024</v>
      </c>
      <c r="C194" s="5">
        <v>6</v>
      </c>
      <c r="D194" s="5" t="s">
        <v>19</v>
      </c>
      <c r="E194" s="127">
        <v>45457</v>
      </c>
      <c r="F194" s="5" t="s">
        <v>20</v>
      </c>
      <c r="G194" s="5" t="s">
        <v>2</v>
      </c>
      <c r="H194" s="5" t="s">
        <v>7</v>
      </c>
      <c r="I194">
        <v>2022</v>
      </c>
      <c r="J194" s="5" t="s">
        <v>64</v>
      </c>
      <c r="K194" s="5" t="s">
        <v>50</v>
      </c>
      <c r="L194" s="129">
        <v>45105</v>
      </c>
      <c r="M194" s="20">
        <v>1763.77</v>
      </c>
      <c r="N194" s="128">
        <v>18.97</v>
      </c>
      <c r="O194" s="20">
        <v>346.86874011597263</v>
      </c>
      <c r="P194" s="128">
        <v>11.403903784634716</v>
      </c>
      <c r="Q194" s="122">
        <v>92.976805482340538</v>
      </c>
      <c r="R194" s="121">
        <v>8.1530682157819268</v>
      </c>
      <c r="S194" s="121">
        <v>97.836818589383128</v>
      </c>
      <c r="T194" s="121">
        <v>15.807434822318102</v>
      </c>
      <c r="U194" s="20">
        <v>15465.491330746338</v>
      </c>
    </row>
    <row r="195" spans="2:21" x14ac:dyDescent="0.25">
      <c r="B195" s="5">
        <v>2024</v>
      </c>
      <c r="C195" s="5">
        <v>6</v>
      </c>
      <c r="D195" s="5" t="s">
        <v>84</v>
      </c>
      <c r="E195" s="127">
        <v>45456</v>
      </c>
      <c r="F195" s="5" t="s">
        <v>459</v>
      </c>
      <c r="G195" s="5" t="s">
        <v>2</v>
      </c>
      <c r="H195" s="5" t="s">
        <v>7</v>
      </c>
      <c r="I195">
        <v>2022</v>
      </c>
      <c r="J195" s="5" t="s">
        <v>63</v>
      </c>
      <c r="K195" s="5" t="s">
        <v>50</v>
      </c>
      <c r="L195" s="129">
        <v>44950</v>
      </c>
      <c r="M195" s="20">
        <v>869.12699999999995</v>
      </c>
      <c r="N195" s="128">
        <v>4.26</v>
      </c>
      <c r="O195" s="20">
        <v>504.76995305164326</v>
      </c>
      <c r="P195" s="128">
        <v>16.595176538684161</v>
      </c>
      <c r="Q195" s="122">
        <v>204.02042253521125</v>
      </c>
      <c r="R195" s="121">
        <v>12.293959154916474</v>
      </c>
      <c r="S195" s="121">
        <v>147.52750985899769</v>
      </c>
      <c r="T195" s="121">
        <v>14.298078326366573</v>
      </c>
      <c r="U195" s="20">
        <v>21093.598912577658</v>
      </c>
    </row>
    <row r="196" spans="2:21" x14ac:dyDescent="0.25">
      <c r="B196" s="5">
        <v>2024</v>
      </c>
      <c r="C196" s="5">
        <v>6</v>
      </c>
      <c r="D196" s="5" t="s">
        <v>84</v>
      </c>
      <c r="E196" s="127">
        <v>45456</v>
      </c>
      <c r="F196" s="5" t="s">
        <v>459</v>
      </c>
      <c r="G196" s="5" t="s">
        <v>2</v>
      </c>
      <c r="H196" s="5" t="s">
        <v>8</v>
      </c>
      <c r="I196">
        <v>2022</v>
      </c>
      <c r="J196" s="5" t="s">
        <v>63</v>
      </c>
      <c r="K196" s="5" t="s">
        <v>50</v>
      </c>
      <c r="L196" s="129">
        <v>44952</v>
      </c>
      <c r="M196" s="20">
        <v>1255.8530000000001</v>
      </c>
      <c r="N196" s="128">
        <v>5.13</v>
      </c>
      <c r="O196" s="20">
        <v>500.57699805068228</v>
      </c>
      <c r="P196" s="128">
        <v>16.457325963310101</v>
      </c>
      <c r="Q196" s="122">
        <v>244.80565302144251</v>
      </c>
      <c r="R196" s="121">
        <v>14.875177994724737</v>
      </c>
      <c r="S196" s="121">
        <v>178.50213593669685</v>
      </c>
      <c r="T196" s="121">
        <v>13.585703710147603</v>
      </c>
      <c r="U196" s="20">
        <v>24250.771304644542</v>
      </c>
    </row>
    <row r="197" spans="2:21" x14ac:dyDescent="0.25">
      <c r="B197" s="5">
        <v>2024</v>
      </c>
      <c r="C197" s="5">
        <v>6</v>
      </c>
      <c r="D197" s="5" t="s">
        <v>84</v>
      </c>
      <c r="E197" s="127">
        <v>45460</v>
      </c>
      <c r="F197" s="5" t="s">
        <v>359</v>
      </c>
      <c r="G197" s="5" t="s">
        <v>2</v>
      </c>
      <c r="H197" s="5" t="s">
        <v>537</v>
      </c>
      <c r="I197">
        <v>2022</v>
      </c>
      <c r="J197" s="5" t="s">
        <v>60</v>
      </c>
      <c r="K197" s="5" t="s">
        <v>50</v>
      </c>
      <c r="L197" s="129">
        <v>45117</v>
      </c>
      <c r="M197" s="20">
        <v>1367.09</v>
      </c>
      <c r="N197" s="128">
        <v>9.5499999999999901</v>
      </c>
      <c r="O197" s="20">
        <v>342.34345549738151</v>
      </c>
      <c r="P197" s="128">
        <v>11.255127304023503</v>
      </c>
      <c r="Q197" s="122">
        <v>143.15078534031429</v>
      </c>
      <c r="R197" s="121">
        <v>12.718717565206083</v>
      </c>
      <c r="S197" s="121">
        <v>152.62461078247298</v>
      </c>
      <c r="T197" s="121">
        <v>15.052941723844077</v>
      </c>
      <c r="U197" s="20">
        <v>22974.4937173295</v>
      </c>
    </row>
    <row r="198" spans="2:21" x14ac:dyDescent="0.25">
      <c r="B198" s="5">
        <v>2024</v>
      </c>
      <c r="C198" s="5">
        <v>6</v>
      </c>
      <c r="D198" s="5" t="s">
        <v>84</v>
      </c>
      <c r="E198" s="127">
        <v>45460</v>
      </c>
      <c r="F198" s="5" t="s">
        <v>359</v>
      </c>
      <c r="G198" s="5" t="s">
        <v>2</v>
      </c>
      <c r="H198" s="5" t="s">
        <v>361</v>
      </c>
      <c r="I198">
        <v>2022</v>
      </c>
      <c r="J198" s="5" t="s">
        <v>60</v>
      </c>
      <c r="K198" s="5" t="s">
        <v>50</v>
      </c>
      <c r="L198" s="129">
        <v>44969</v>
      </c>
      <c r="M198" s="20">
        <v>2328.6509999999998</v>
      </c>
      <c r="N198" s="128">
        <v>12.85</v>
      </c>
      <c r="O198" s="20">
        <v>489.51206225680932</v>
      </c>
      <c r="P198" s="128">
        <v>16.093547252278665</v>
      </c>
      <c r="Q198" s="122">
        <v>181.2179766536965</v>
      </c>
      <c r="R198" s="121">
        <v>11.260287978341013</v>
      </c>
      <c r="S198" s="121">
        <v>135.12345574009217</v>
      </c>
      <c r="T198" s="121">
        <v>14.197073637281845</v>
      </c>
      <c r="U198" s="20">
        <v>19183.576512660828</v>
      </c>
    </row>
    <row r="199" spans="2:21" x14ac:dyDescent="0.25">
      <c r="B199" s="5">
        <v>2024</v>
      </c>
      <c r="C199" s="5">
        <v>6</v>
      </c>
      <c r="D199" s="5" t="s">
        <v>84</v>
      </c>
      <c r="E199" s="127">
        <v>45463</v>
      </c>
      <c r="F199" s="5" t="s">
        <v>359</v>
      </c>
      <c r="G199" s="5" t="s">
        <v>2</v>
      </c>
      <c r="H199" s="5" t="s">
        <v>363</v>
      </c>
      <c r="I199">
        <v>2022</v>
      </c>
      <c r="J199" s="5" t="s">
        <v>60</v>
      </c>
      <c r="K199" s="5" t="s">
        <v>50</v>
      </c>
      <c r="L199" s="129">
        <v>44972</v>
      </c>
      <c r="M199" s="20">
        <v>4444.33</v>
      </c>
      <c r="N199" s="128">
        <v>21.31</v>
      </c>
      <c r="O199" s="20">
        <v>489.56827780384805</v>
      </c>
      <c r="P199" s="128">
        <v>16.09539543464706</v>
      </c>
      <c r="Q199" s="122">
        <v>208.55607695917411</v>
      </c>
      <c r="R199" s="121">
        <v>12.957499416897511</v>
      </c>
      <c r="S199" s="121">
        <v>155.48999300277012</v>
      </c>
      <c r="T199" s="121">
        <v>13.630577102035629</v>
      </c>
      <c r="U199" s="20">
        <v>21194.183382192386</v>
      </c>
    </row>
    <row r="200" spans="2:21" x14ac:dyDescent="0.25">
      <c r="B200" s="5">
        <v>2024</v>
      </c>
      <c r="C200" s="5">
        <v>6</v>
      </c>
      <c r="D200" s="5" t="s">
        <v>84</v>
      </c>
      <c r="E200" s="127">
        <v>45464</v>
      </c>
      <c r="F200" s="5" t="s">
        <v>359</v>
      </c>
      <c r="G200" s="5" t="s">
        <v>2</v>
      </c>
      <c r="H200" s="5" t="s">
        <v>542</v>
      </c>
      <c r="I200">
        <v>2022</v>
      </c>
      <c r="J200" s="5" t="s">
        <v>60</v>
      </c>
      <c r="K200" s="5" t="s">
        <v>50</v>
      </c>
      <c r="L200" s="129">
        <v>45117</v>
      </c>
      <c r="M200" s="20">
        <v>1214.1599999999901</v>
      </c>
      <c r="N200" s="128">
        <v>11.45</v>
      </c>
      <c r="O200" s="20">
        <v>346.72489082969435</v>
      </c>
      <c r="P200" s="128">
        <v>11.399174493031047</v>
      </c>
      <c r="Q200" s="122">
        <v>106.04017467248822</v>
      </c>
      <c r="R200" s="121">
        <v>9.3024433249369505</v>
      </c>
      <c r="S200" s="121">
        <v>111.62931989924341</v>
      </c>
      <c r="T200" s="121">
        <v>15.141308376128393</v>
      </c>
      <c r="U200" s="20">
        <v>16902.139564119301</v>
      </c>
    </row>
    <row r="201" spans="2:21" x14ac:dyDescent="0.25">
      <c r="B201" s="5">
        <v>2024</v>
      </c>
      <c r="C201" s="5">
        <v>6</v>
      </c>
      <c r="D201" s="5" t="s">
        <v>84</v>
      </c>
      <c r="E201" s="127">
        <v>45464</v>
      </c>
      <c r="F201" s="5" t="s">
        <v>359</v>
      </c>
      <c r="G201" s="5" t="s">
        <v>2</v>
      </c>
      <c r="H201" s="5" t="s">
        <v>362</v>
      </c>
      <c r="I201">
        <v>2022</v>
      </c>
      <c r="J201" s="5" t="s">
        <v>60</v>
      </c>
      <c r="K201" s="5" t="s">
        <v>50</v>
      </c>
      <c r="L201" s="129">
        <v>44967</v>
      </c>
      <c r="M201" s="20">
        <v>2364.71</v>
      </c>
      <c r="N201" s="128">
        <v>16.399999999999999</v>
      </c>
      <c r="O201" s="20">
        <v>494.03780487804886</v>
      </c>
      <c r="P201" s="128">
        <v>16.242338790511194</v>
      </c>
      <c r="Q201" s="122">
        <v>144.18963414634149</v>
      </c>
      <c r="R201" s="121">
        <v>8.8773935826641743</v>
      </c>
      <c r="S201" s="121">
        <v>106.5287229919701</v>
      </c>
      <c r="T201" s="121">
        <v>14.96181759573901</v>
      </c>
      <c r="U201" s="20">
        <v>15938.63322112865</v>
      </c>
    </row>
    <row r="202" spans="2:21" x14ac:dyDescent="0.25">
      <c r="B202" s="5">
        <v>2024</v>
      </c>
      <c r="C202" s="5">
        <v>6</v>
      </c>
      <c r="D202" s="5" t="s">
        <v>84</v>
      </c>
      <c r="E202" s="127">
        <v>45466</v>
      </c>
      <c r="F202" s="5" t="s">
        <v>359</v>
      </c>
      <c r="G202" s="5" t="s">
        <v>2</v>
      </c>
      <c r="H202" s="5" t="s">
        <v>365</v>
      </c>
      <c r="I202">
        <v>2022</v>
      </c>
      <c r="J202" s="5" t="s">
        <v>60</v>
      </c>
      <c r="K202" s="5" t="s">
        <v>50</v>
      </c>
      <c r="L202" s="129">
        <v>44980</v>
      </c>
      <c r="M202" s="20">
        <v>3955.64</v>
      </c>
      <c r="N202" s="128">
        <v>18.38</v>
      </c>
      <c r="O202" s="20">
        <v>484.73177366702885</v>
      </c>
      <c r="P202" s="128">
        <v>15.936387079463962</v>
      </c>
      <c r="Q202" s="122">
        <v>215.21436343852014</v>
      </c>
      <c r="R202" s="121">
        <v>13.504589363033915</v>
      </c>
      <c r="S202" s="121">
        <v>162.05507235640698</v>
      </c>
      <c r="T202" s="121">
        <v>14.004473218045627</v>
      </c>
      <c r="U202" s="20">
        <v>22694.959206637475</v>
      </c>
    </row>
    <row r="203" spans="2:21" x14ac:dyDescent="0.25">
      <c r="B203" s="5">
        <v>2024</v>
      </c>
      <c r="C203" s="5">
        <v>6</v>
      </c>
      <c r="D203" s="5" t="s">
        <v>84</v>
      </c>
      <c r="E203" s="127">
        <v>45469</v>
      </c>
      <c r="F203" s="5" t="s">
        <v>739</v>
      </c>
      <c r="G203" s="5" t="s">
        <v>2</v>
      </c>
      <c r="H203" s="5" t="s">
        <v>6</v>
      </c>
      <c r="I203">
        <v>2022</v>
      </c>
      <c r="J203" s="5" t="s">
        <v>60</v>
      </c>
      <c r="K203" s="5" t="s">
        <v>50</v>
      </c>
      <c r="L203" s="129">
        <v>45086</v>
      </c>
      <c r="M203" s="20">
        <v>1680.46999999999</v>
      </c>
      <c r="N203" s="128">
        <v>9.4499999999999993</v>
      </c>
      <c r="O203" s="20">
        <v>382.18306878306885</v>
      </c>
      <c r="P203" s="128">
        <v>12.564922809306372</v>
      </c>
      <c r="Q203" s="122">
        <v>177.82751322751218</v>
      </c>
      <c r="R203" s="121">
        <v>14.152694443598328</v>
      </c>
      <c r="S203" s="121">
        <v>169.83233332317994</v>
      </c>
      <c r="T203" s="121">
        <v>13.709613615690929</v>
      </c>
      <c r="U203" s="20">
        <v>23283.356693120277</v>
      </c>
    </row>
    <row r="204" spans="2:21" x14ac:dyDescent="0.25">
      <c r="B204" s="5">
        <v>2024</v>
      </c>
      <c r="C204" s="5">
        <v>6</v>
      </c>
      <c r="D204" s="5" t="s">
        <v>84</v>
      </c>
      <c r="E204" s="127">
        <v>45469</v>
      </c>
      <c r="F204" s="5" t="s">
        <v>739</v>
      </c>
      <c r="G204" s="5" t="s">
        <v>2</v>
      </c>
      <c r="H204" s="5" t="s">
        <v>7</v>
      </c>
      <c r="I204">
        <v>2022</v>
      </c>
      <c r="J204" s="5" t="s">
        <v>60</v>
      </c>
      <c r="K204" s="5" t="s">
        <v>50</v>
      </c>
      <c r="L204" s="129">
        <v>45090</v>
      </c>
      <c r="M204" s="20">
        <v>2371.41</v>
      </c>
      <c r="N204" s="128">
        <v>13.989999999999901</v>
      </c>
      <c r="O204" s="20">
        <v>377.97140814868027</v>
      </c>
      <c r="P204" s="128">
        <v>12.426457254203187</v>
      </c>
      <c r="Q204" s="122">
        <v>169.50750536097331</v>
      </c>
      <c r="R204" s="121">
        <v>13.640855305210843</v>
      </c>
      <c r="S204" s="121">
        <v>163.69026366253013</v>
      </c>
      <c r="T204" s="121">
        <v>13.724960376889699</v>
      </c>
      <c r="U204" s="20">
        <v>22466.423828508538</v>
      </c>
    </row>
    <row r="205" spans="2:21" x14ac:dyDescent="0.25">
      <c r="B205" s="5">
        <v>2024</v>
      </c>
      <c r="C205" s="5">
        <v>6</v>
      </c>
      <c r="D205" s="5" t="s">
        <v>84</v>
      </c>
      <c r="E205" s="127">
        <v>45470</v>
      </c>
      <c r="F205" s="5" t="s">
        <v>359</v>
      </c>
      <c r="G205" s="5" t="s">
        <v>2</v>
      </c>
      <c r="H205" s="5" t="s">
        <v>544</v>
      </c>
      <c r="I205">
        <v>2022</v>
      </c>
      <c r="J205" s="5" t="s">
        <v>60</v>
      </c>
      <c r="K205" s="5" t="s">
        <v>50</v>
      </c>
      <c r="L205" s="129">
        <v>45107</v>
      </c>
      <c r="M205" s="20">
        <v>2863.39</v>
      </c>
      <c r="N205" s="128">
        <v>20.22</v>
      </c>
      <c r="O205" s="20">
        <v>359.18595450049406</v>
      </c>
      <c r="P205" s="128">
        <v>11.80885329864638</v>
      </c>
      <c r="Q205" s="122">
        <v>141.61177052423344</v>
      </c>
      <c r="R205" s="121">
        <v>11.992000149622152</v>
      </c>
      <c r="S205" s="121">
        <v>143.90400179546583</v>
      </c>
      <c r="T205" s="121">
        <v>15.011949400591607</v>
      </c>
      <c r="U205" s="20">
        <v>21602.795934961767</v>
      </c>
    </row>
    <row r="206" spans="2:21" x14ac:dyDescent="0.25">
      <c r="B206" s="5">
        <v>2024</v>
      </c>
      <c r="C206" s="5">
        <v>6</v>
      </c>
      <c r="D206" s="5" t="s">
        <v>84</v>
      </c>
      <c r="E206" s="127">
        <v>45470</v>
      </c>
      <c r="F206" s="5" t="s">
        <v>739</v>
      </c>
      <c r="G206" s="5" t="s">
        <v>2</v>
      </c>
      <c r="H206" s="5" t="s">
        <v>5</v>
      </c>
      <c r="I206">
        <v>2022</v>
      </c>
      <c r="J206" s="5" t="s">
        <v>60</v>
      </c>
      <c r="K206" s="5" t="s">
        <v>50</v>
      </c>
      <c r="L206" s="129">
        <v>45081</v>
      </c>
      <c r="M206" s="20">
        <v>1410.41</v>
      </c>
      <c r="N206" s="128">
        <v>8.98</v>
      </c>
      <c r="O206" s="20">
        <v>388.60690423162583</v>
      </c>
      <c r="P206" s="128">
        <v>12.776117399395918</v>
      </c>
      <c r="Q206" s="122">
        <v>157.06124721603564</v>
      </c>
      <c r="R206" s="121">
        <v>12.293347212312078</v>
      </c>
      <c r="S206" s="121">
        <v>147.52016654774494</v>
      </c>
      <c r="T206" s="121">
        <v>13.757007211909938</v>
      </c>
      <c r="U206" s="20">
        <v>20294.359950994825</v>
      </c>
    </row>
    <row r="207" spans="2:21" x14ac:dyDescent="0.25">
      <c r="B207" s="5">
        <v>2024</v>
      </c>
      <c r="C207" s="5">
        <v>6</v>
      </c>
      <c r="D207" s="5" t="s">
        <v>84</v>
      </c>
      <c r="E207" s="127">
        <v>45472</v>
      </c>
      <c r="F207" s="5" t="s">
        <v>739</v>
      </c>
      <c r="G207" s="5" t="s">
        <v>2</v>
      </c>
      <c r="H207" s="5" t="s">
        <v>3</v>
      </c>
      <c r="I207">
        <v>2022</v>
      </c>
      <c r="J207" s="5" t="s">
        <v>60</v>
      </c>
      <c r="K207" s="5" t="s">
        <v>50</v>
      </c>
      <c r="L207" s="129">
        <v>44992</v>
      </c>
      <c r="M207" s="20">
        <v>1864.07699999999</v>
      </c>
      <c r="N207" s="128">
        <v>12.229999999999899</v>
      </c>
      <c r="O207" s="20">
        <v>479.01390024530241</v>
      </c>
      <c r="P207" s="128">
        <v>15.748402199845557</v>
      </c>
      <c r="Q207" s="122">
        <v>152.41839738348366</v>
      </c>
      <c r="R207" s="121">
        <v>9.6783404087164104</v>
      </c>
      <c r="S207" s="121">
        <v>116.14008490459692</v>
      </c>
      <c r="T207" s="121">
        <v>14.211012239791673</v>
      </c>
      <c r="U207" s="20">
        <v>16504.681681096707</v>
      </c>
    </row>
    <row r="208" spans="2:21" x14ac:dyDescent="0.25">
      <c r="B208" s="5">
        <v>2024</v>
      </c>
      <c r="C208" s="5">
        <v>6</v>
      </c>
      <c r="D208" s="5" t="s">
        <v>84</v>
      </c>
      <c r="E208" s="127">
        <v>45472</v>
      </c>
      <c r="F208" s="5" t="s">
        <v>739</v>
      </c>
      <c r="G208" s="5" t="s">
        <v>2</v>
      </c>
      <c r="H208" s="5" t="s">
        <v>4</v>
      </c>
      <c r="I208">
        <v>2022</v>
      </c>
      <c r="J208" s="5" t="s">
        <v>60</v>
      </c>
      <c r="K208" s="5" t="s">
        <v>50</v>
      </c>
      <c r="L208" s="129">
        <v>44993</v>
      </c>
      <c r="M208" s="20">
        <v>2404.373</v>
      </c>
      <c r="N208" s="128">
        <v>13.97</v>
      </c>
      <c r="O208" s="20">
        <v>477.71581961345737</v>
      </c>
      <c r="P208" s="128">
        <v>15.705725576332846</v>
      </c>
      <c r="Q208" s="122">
        <v>172.10973514674302</v>
      </c>
      <c r="R208" s="121">
        <v>10.958407130587927</v>
      </c>
      <c r="S208" s="121">
        <v>131.50088556705512</v>
      </c>
      <c r="T208" s="121">
        <v>14.384853149963003</v>
      </c>
      <c r="U208" s="20">
        <v>18916.209279721774</v>
      </c>
    </row>
    <row r="209" spans="2:21" x14ac:dyDescent="0.25">
      <c r="B209" s="5">
        <v>2024</v>
      </c>
      <c r="C209" s="134" t="s">
        <v>312</v>
      </c>
      <c r="D209" s="134"/>
      <c r="E209" s="134"/>
      <c r="F209" s="134"/>
      <c r="G209" s="134"/>
      <c r="H209" s="134"/>
      <c r="I209" s="134"/>
      <c r="J209" s="134"/>
      <c r="K209" s="134"/>
      <c r="L209" s="134"/>
      <c r="M209" s="130">
        <v>103739.41299999997</v>
      </c>
      <c r="N209" s="131">
        <v>666.42999999999961</v>
      </c>
      <c r="O209" s="130">
        <v>392.85294779646773</v>
      </c>
      <c r="P209" s="131">
        <v>12.915713352212638</v>
      </c>
      <c r="Q209" s="132">
        <v>155.66438035502608</v>
      </c>
      <c r="R209" s="133">
        <v>12.05232542021062</v>
      </c>
      <c r="S209" s="133">
        <v>144.62790504252743</v>
      </c>
      <c r="T209" s="133">
        <v>14.686990699242854</v>
      </c>
      <c r="U209" s="130">
        <v>21241.486962105791</v>
      </c>
    </row>
    <row r="210" spans="2:21" x14ac:dyDescent="0.25">
      <c r="B210" s="5">
        <v>2024</v>
      </c>
      <c r="C210" s="5">
        <v>7</v>
      </c>
      <c r="D210" s="5" t="s">
        <v>78</v>
      </c>
      <c r="E210" s="127">
        <v>45479</v>
      </c>
      <c r="F210" s="5" t="s">
        <v>16</v>
      </c>
      <c r="G210" s="5" t="s">
        <v>2</v>
      </c>
      <c r="H210" s="5" t="s">
        <v>7</v>
      </c>
      <c r="I210">
        <v>2022</v>
      </c>
      <c r="J210" s="5" t="s">
        <v>62</v>
      </c>
      <c r="K210" s="5" t="s">
        <v>50</v>
      </c>
      <c r="L210" s="129">
        <v>44964</v>
      </c>
      <c r="M210" s="20">
        <v>749.25</v>
      </c>
      <c r="N210" s="128">
        <v>4.1399999999999997</v>
      </c>
      <c r="O210" s="20">
        <v>514.43478260869574</v>
      </c>
      <c r="P210" s="128">
        <v>16.912924359737943</v>
      </c>
      <c r="Q210" s="122">
        <v>180.97826086956522</v>
      </c>
      <c r="R210" s="121">
        <v>10.700589503042595</v>
      </c>
      <c r="S210" s="121">
        <v>128.40707403651115</v>
      </c>
      <c r="T210" s="121">
        <v>15.645759711284617</v>
      </c>
      <c r="U210" s="20">
        <v>20090.262256043869</v>
      </c>
    </row>
    <row r="211" spans="2:21" x14ac:dyDescent="0.25">
      <c r="B211" s="5">
        <v>2024</v>
      </c>
      <c r="C211" s="5">
        <v>7</v>
      </c>
      <c r="D211" s="5" t="s">
        <v>78</v>
      </c>
      <c r="E211" s="127">
        <v>45480</v>
      </c>
      <c r="F211" s="5" t="s">
        <v>16</v>
      </c>
      <c r="G211" s="5" t="s">
        <v>2</v>
      </c>
      <c r="H211" s="5" t="s">
        <v>8</v>
      </c>
      <c r="I211">
        <v>2022</v>
      </c>
      <c r="J211" s="5" t="s">
        <v>62</v>
      </c>
      <c r="K211" s="5" t="s">
        <v>50</v>
      </c>
      <c r="L211" s="129">
        <v>44970</v>
      </c>
      <c r="M211" s="20">
        <v>1168.08</v>
      </c>
      <c r="N211" s="128">
        <v>8.31</v>
      </c>
      <c r="O211" s="20">
        <v>508.99638989169677</v>
      </c>
      <c r="P211" s="128">
        <v>16.734127886850306</v>
      </c>
      <c r="Q211" s="122">
        <v>140.56317689530684</v>
      </c>
      <c r="R211" s="121">
        <v>8.3997910046905719</v>
      </c>
      <c r="S211" s="121">
        <v>100.79749205628686</v>
      </c>
      <c r="T211" s="121">
        <v>15.700633265384221</v>
      </c>
      <c r="U211" s="20">
        <v>15825.844568462391</v>
      </c>
    </row>
    <row r="212" spans="2:21" x14ac:dyDescent="0.25">
      <c r="B212" s="5">
        <v>2024</v>
      </c>
      <c r="C212" s="5">
        <v>7</v>
      </c>
      <c r="D212" s="5" t="s">
        <v>78</v>
      </c>
      <c r="E212" s="127">
        <v>45481</v>
      </c>
      <c r="F212" s="5" t="s">
        <v>16</v>
      </c>
      <c r="G212" s="5" t="s">
        <v>2</v>
      </c>
      <c r="H212" s="5" t="s">
        <v>40</v>
      </c>
      <c r="I212">
        <v>2022</v>
      </c>
      <c r="J212" s="5" t="s">
        <v>62</v>
      </c>
      <c r="K212" s="5" t="s">
        <v>50</v>
      </c>
      <c r="L212" s="129">
        <v>44981</v>
      </c>
      <c r="M212" s="20">
        <v>1472.33</v>
      </c>
      <c r="N212" s="128">
        <v>8.6</v>
      </c>
      <c r="O212" s="20">
        <v>498.95813953488374</v>
      </c>
      <c r="P212" s="128">
        <v>16.40410321758522</v>
      </c>
      <c r="Q212" s="122">
        <v>171.20116279069768</v>
      </c>
      <c r="R212" s="121">
        <v>10.436484123506967</v>
      </c>
      <c r="S212" s="121">
        <v>125.23780948208359</v>
      </c>
      <c r="T212" s="121">
        <v>15.407397347041764</v>
      </c>
      <c r="U212" s="20">
        <v>19295.886935635765</v>
      </c>
    </row>
    <row r="213" spans="2:21" x14ac:dyDescent="0.25">
      <c r="B213" s="5">
        <v>2024</v>
      </c>
      <c r="C213" s="5">
        <v>7</v>
      </c>
      <c r="D213" s="5" t="s">
        <v>78</v>
      </c>
      <c r="E213" s="127">
        <v>45483</v>
      </c>
      <c r="F213" s="5" t="s">
        <v>16</v>
      </c>
      <c r="G213" s="5" t="s">
        <v>2</v>
      </c>
      <c r="H213" s="5" t="s">
        <v>37</v>
      </c>
      <c r="I213">
        <v>2021</v>
      </c>
      <c r="J213" s="5" t="s">
        <v>283</v>
      </c>
      <c r="K213" s="5" t="s">
        <v>51</v>
      </c>
      <c r="L213" s="129">
        <v>44975</v>
      </c>
      <c r="M213" s="20">
        <v>1394.5</v>
      </c>
      <c r="N213" s="128">
        <v>8.31</v>
      </c>
      <c r="O213" s="20">
        <v>506.17448856799041</v>
      </c>
      <c r="P213" s="128">
        <v>16.641353048810643</v>
      </c>
      <c r="Q213" s="122">
        <v>167.8098676293622</v>
      </c>
      <c r="R213" s="121">
        <v>10.083907668875252</v>
      </c>
      <c r="S213" s="121">
        <v>121.00689202650302</v>
      </c>
      <c r="T213" s="121">
        <v>14.393019266267478</v>
      </c>
      <c r="U213" s="20">
        <v>17416.545282886065</v>
      </c>
    </row>
    <row r="214" spans="2:21" x14ac:dyDescent="0.25">
      <c r="B214" s="5">
        <v>2024</v>
      </c>
      <c r="C214" s="5">
        <v>7</v>
      </c>
      <c r="D214" s="5" t="s">
        <v>78</v>
      </c>
      <c r="E214" s="127">
        <v>45490</v>
      </c>
      <c r="F214" s="5" t="s">
        <v>16</v>
      </c>
      <c r="G214" s="5" t="s">
        <v>2</v>
      </c>
      <c r="H214" s="5" t="s">
        <v>4</v>
      </c>
      <c r="I214">
        <v>2021</v>
      </c>
      <c r="J214" s="5" t="s">
        <v>283</v>
      </c>
      <c r="K214" s="5" t="s">
        <v>50</v>
      </c>
      <c r="L214" s="129">
        <v>44889</v>
      </c>
      <c r="M214" s="20">
        <v>106.67</v>
      </c>
      <c r="N214" s="128">
        <v>7.0000000000000007E-2</v>
      </c>
      <c r="O214" s="20">
        <v>601</v>
      </c>
      <c r="P214" s="128">
        <v>19.758904109589039</v>
      </c>
      <c r="Q214" s="122">
        <v>1523.8571428571427</v>
      </c>
      <c r="R214" s="121">
        <v>77.122553680373969</v>
      </c>
      <c r="S214" s="121">
        <v>925.47064416448757</v>
      </c>
      <c r="T214" s="121">
        <v>14.449434999999999</v>
      </c>
      <c r="U214" s="20">
        <v>133725.27917262891</v>
      </c>
    </row>
    <row r="215" spans="2:21" x14ac:dyDescent="0.25">
      <c r="B215" s="5">
        <v>2024</v>
      </c>
      <c r="C215" s="5">
        <v>7</v>
      </c>
      <c r="D215" s="5" t="s">
        <v>78</v>
      </c>
      <c r="E215" s="127">
        <v>45494</v>
      </c>
      <c r="F215" s="5" t="s">
        <v>16</v>
      </c>
      <c r="G215" s="5" t="s">
        <v>2</v>
      </c>
      <c r="H215" s="5" t="s">
        <v>6</v>
      </c>
      <c r="I215">
        <v>2021</v>
      </c>
      <c r="J215" s="5" t="s">
        <v>315</v>
      </c>
      <c r="K215" s="5" t="s">
        <v>50</v>
      </c>
      <c r="L215" s="129">
        <v>44968</v>
      </c>
      <c r="M215" s="20">
        <v>1112.9199999999901</v>
      </c>
      <c r="N215" s="128">
        <v>6.12</v>
      </c>
      <c r="O215" s="20">
        <v>514.52777777777771</v>
      </c>
      <c r="P215" s="128">
        <v>16.915981735159814</v>
      </c>
      <c r="Q215" s="122">
        <v>181.84967320261276</v>
      </c>
      <c r="R215" s="121">
        <v>10.750169635418724</v>
      </c>
      <c r="S215" s="121">
        <v>129.00203562502469</v>
      </c>
      <c r="T215" s="121">
        <v>15.055469528429851</v>
      </c>
      <c r="U215" s="20">
        <v>19421.862164579812</v>
      </c>
    </row>
    <row r="216" spans="2:21" x14ac:dyDescent="0.25">
      <c r="B216" s="5">
        <v>2024</v>
      </c>
      <c r="C216" s="5">
        <v>7</v>
      </c>
      <c r="D216" s="5" t="s">
        <v>0</v>
      </c>
      <c r="E216" s="127">
        <v>45486</v>
      </c>
      <c r="F216" s="5" t="s">
        <v>1</v>
      </c>
      <c r="G216" s="5" t="s">
        <v>15</v>
      </c>
      <c r="H216" s="5" t="s">
        <v>7</v>
      </c>
      <c r="I216">
        <v>2023</v>
      </c>
      <c r="J216" s="5" t="s">
        <v>351</v>
      </c>
      <c r="K216" s="5" t="s">
        <v>50</v>
      </c>
      <c r="L216" s="129">
        <v>45131</v>
      </c>
      <c r="M216" s="20">
        <v>5337.2719999999999</v>
      </c>
      <c r="N216" s="128">
        <v>39.880000000000003</v>
      </c>
      <c r="O216" s="20">
        <v>353.52131394182544</v>
      </c>
      <c r="P216" s="128">
        <v>11.622618540553166</v>
      </c>
      <c r="Q216" s="122">
        <v>133.83329989969909</v>
      </c>
      <c r="R216" s="121">
        <v>11.514900831747459</v>
      </c>
      <c r="S216" s="121">
        <v>138.1788099809695</v>
      </c>
      <c r="T216" s="121">
        <v>15.237017151368338</v>
      </c>
      <c r="U216" s="20">
        <v>21054.328976356988</v>
      </c>
    </row>
    <row r="217" spans="2:21" x14ac:dyDescent="0.25">
      <c r="B217" s="5">
        <v>2024</v>
      </c>
      <c r="C217" s="5">
        <v>7</v>
      </c>
      <c r="D217" s="5" t="s">
        <v>0</v>
      </c>
      <c r="E217" s="127">
        <v>45486</v>
      </c>
      <c r="F217" s="5" t="s">
        <v>1</v>
      </c>
      <c r="G217" s="5" t="s">
        <v>15</v>
      </c>
      <c r="H217" s="5" t="s">
        <v>8</v>
      </c>
      <c r="I217">
        <v>2023</v>
      </c>
      <c r="J217" s="5" t="s">
        <v>351</v>
      </c>
      <c r="K217" s="5" t="s">
        <v>50</v>
      </c>
      <c r="L217" s="129">
        <v>45111</v>
      </c>
      <c r="M217" s="20">
        <v>1158.81</v>
      </c>
      <c r="N217" s="128">
        <v>8.1499999999999897</v>
      </c>
      <c r="O217" s="20">
        <v>373.10552147239309</v>
      </c>
      <c r="P217" s="128">
        <v>12.266482897722513</v>
      </c>
      <c r="Q217" s="122">
        <v>142.1852760736198</v>
      </c>
      <c r="R217" s="121">
        <v>11.591364636396223</v>
      </c>
      <c r="S217" s="121">
        <v>139.09637563675469</v>
      </c>
      <c r="T217" s="121">
        <v>15.474781500470311</v>
      </c>
      <c r="U217" s="20">
        <v>21524.860204861208</v>
      </c>
    </row>
    <row r="218" spans="2:21" x14ac:dyDescent="0.25">
      <c r="B218" s="5">
        <v>2024</v>
      </c>
      <c r="C218" s="5">
        <v>7</v>
      </c>
      <c r="D218" s="5" t="s">
        <v>0</v>
      </c>
      <c r="E218" s="127">
        <v>45489</v>
      </c>
      <c r="F218" s="5" t="s">
        <v>1</v>
      </c>
      <c r="G218" s="5" t="s">
        <v>9</v>
      </c>
      <c r="H218" s="5" t="s">
        <v>3</v>
      </c>
      <c r="I218">
        <v>2023</v>
      </c>
      <c r="J218" s="5" t="s">
        <v>61</v>
      </c>
      <c r="K218" s="5" t="s">
        <v>50</v>
      </c>
      <c r="L218" s="129">
        <v>45139</v>
      </c>
      <c r="M218" s="20">
        <v>5136.32</v>
      </c>
      <c r="N218" s="128">
        <v>35.99</v>
      </c>
      <c r="O218" s="20">
        <v>348.10058349541538</v>
      </c>
      <c r="P218" s="128">
        <v>11.444402745054752</v>
      </c>
      <c r="Q218" s="122">
        <v>142.71519866629617</v>
      </c>
      <c r="R218" s="121">
        <v>12.470305514891541</v>
      </c>
      <c r="S218" s="121">
        <v>149.64366617869848</v>
      </c>
      <c r="T218" s="121">
        <v>14.477216388807532</v>
      </c>
      <c r="U218" s="20">
        <v>21664.237364834971</v>
      </c>
    </row>
    <row r="219" spans="2:21" x14ac:dyDescent="0.25">
      <c r="B219" s="5">
        <v>2024</v>
      </c>
      <c r="C219" s="5">
        <v>7</v>
      </c>
      <c r="D219" s="5" t="s">
        <v>75</v>
      </c>
      <c r="E219" s="127">
        <v>45478</v>
      </c>
      <c r="F219" s="5" t="s">
        <v>52</v>
      </c>
      <c r="G219" s="5" t="s">
        <v>44</v>
      </c>
      <c r="H219" s="5" t="s">
        <v>5</v>
      </c>
      <c r="I219">
        <v>2022</v>
      </c>
      <c r="J219" s="5" t="s">
        <v>60</v>
      </c>
      <c r="K219" s="5" t="s">
        <v>50</v>
      </c>
      <c r="L219" s="129">
        <v>45086</v>
      </c>
      <c r="M219" s="20">
        <v>6599.9470000000001</v>
      </c>
      <c r="N219" s="128">
        <v>33.869999999999997</v>
      </c>
      <c r="O219" s="20">
        <v>389.73811632713023</v>
      </c>
      <c r="P219" s="128">
        <v>12.813307934042637</v>
      </c>
      <c r="Q219" s="122">
        <v>194.86114555653973</v>
      </c>
      <c r="R219" s="121">
        <v>15.207715802944918</v>
      </c>
      <c r="S219" s="121">
        <v>182.49258963533902</v>
      </c>
      <c r="T219" s="121">
        <v>14.25578530049952</v>
      </c>
      <c r="U219" s="20">
        <v>26015.751767735568</v>
      </c>
    </row>
    <row r="220" spans="2:21" x14ac:dyDescent="0.25">
      <c r="B220" s="5">
        <v>2024</v>
      </c>
      <c r="C220" s="5">
        <v>7</v>
      </c>
      <c r="D220" s="5" t="s">
        <v>75</v>
      </c>
      <c r="E220" s="127">
        <v>45490</v>
      </c>
      <c r="F220" s="5" t="s">
        <v>52</v>
      </c>
      <c r="G220" s="5" t="s">
        <v>42</v>
      </c>
      <c r="H220" s="5" t="s">
        <v>3</v>
      </c>
      <c r="I220">
        <v>2022</v>
      </c>
      <c r="J220" s="5" t="s">
        <v>64</v>
      </c>
      <c r="K220" s="5" t="s">
        <v>50</v>
      </c>
      <c r="L220" s="129">
        <v>45129</v>
      </c>
      <c r="M220" s="20">
        <v>2958.81</v>
      </c>
      <c r="N220" s="128">
        <v>29.45</v>
      </c>
      <c r="O220" s="20">
        <v>360.05025466893039</v>
      </c>
      <c r="P220" s="128">
        <v>11.837268646649767</v>
      </c>
      <c r="Q220" s="122">
        <v>100.46893039049236</v>
      </c>
      <c r="R220" s="121">
        <v>8.4875095251747528</v>
      </c>
      <c r="S220" s="121">
        <v>101.85011430209704</v>
      </c>
      <c r="T220" s="121">
        <v>15.456247193713013</v>
      </c>
      <c r="U220" s="20">
        <v>15742.205433611371</v>
      </c>
    </row>
    <row r="221" spans="2:21" x14ac:dyDescent="0.25">
      <c r="B221" s="5">
        <v>2024</v>
      </c>
      <c r="C221" s="5">
        <v>7</v>
      </c>
      <c r="D221" s="5" t="s">
        <v>75</v>
      </c>
      <c r="E221" s="127">
        <v>45492</v>
      </c>
      <c r="F221" s="5" t="s">
        <v>52</v>
      </c>
      <c r="G221" s="5" t="s">
        <v>42</v>
      </c>
      <c r="H221" s="5" t="s">
        <v>4</v>
      </c>
      <c r="I221">
        <v>2022</v>
      </c>
      <c r="J221" s="5" t="s">
        <v>64</v>
      </c>
      <c r="K221" s="5" t="s">
        <v>50</v>
      </c>
      <c r="L221" s="129">
        <v>45127</v>
      </c>
      <c r="M221" s="20">
        <v>4797.62</v>
      </c>
      <c r="N221" s="128">
        <v>38.86</v>
      </c>
      <c r="O221" s="20">
        <v>363.71899125064334</v>
      </c>
      <c r="P221" s="128">
        <v>11.957884643856769</v>
      </c>
      <c r="Q221" s="122">
        <v>123.45908389089037</v>
      </c>
      <c r="R221" s="121">
        <v>10.324491962239836</v>
      </c>
      <c r="S221" s="121">
        <v>123.89390354687804</v>
      </c>
      <c r="T221" s="121">
        <v>15.305647432397731</v>
      </c>
      <c r="U221" s="20">
        <v>18962.764067120057</v>
      </c>
    </row>
    <row r="222" spans="2:21" x14ac:dyDescent="0.25">
      <c r="B222" s="5">
        <v>2024</v>
      </c>
      <c r="C222" s="5">
        <v>7</v>
      </c>
      <c r="D222" s="5" t="s">
        <v>75</v>
      </c>
      <c r="E222" s="127">
        <v>45494</v>
      </c>
      <c r="F222" s="5" t="s">
        <v>52</v>
      </c>
      <c r="G222" s="5" t="s">
        <v>31</v>
      </c>
      <c r="H222" s="5" t="s">
        <v>4</v>
      </c>
      <c r="I222">
        <v>2022</v>
      </c>
      <c r="J222" s="5" t="s">
        <v>64</v>
      </c>
      <c r="K222" s="5" t="s">
        <v>50</v>
      </c>
      <c r="L222" s="129">
        <v>45125</v>
      </c>
      <c r="M222" s="20">
        <v>4712.9399999999996</v>
      </c>
      <c r="N222" s="128">
        <v>35.03</v>
      </c>
      <c r="O222" s="20">
        <v>367.76591493005992</v>
      </c>
      <c r="P222" s="128">
        <v>12.090934189481423</v>
      </c>
      <c r="Q222" s="122">
        <v>134.54010847844702</v>
      </c>
      <c r="R222" s="121">
        <v>11.127354294549958</v>
      </c>
      <c r="S222" s="121">
        <v>133.52825153459949</v>
      </c>
      <c r="T222" s="121">
        <v>16.00775547980664</v>
      </c>
      <c r="U222" s="20">
        <v>21374.876002119847</v>
      </c>
    </row>
    <row r="223" spans="2:21" x14ac:dyDescent="0.25">
      <c r="B223" s="5">
        <v>2024</v>
      </c>
      <c r="C223" s="5">
        <v>7</v>
      </c>
      <c r="D223" s="5" t="s">
        <v>75</v>
      </c>
      <c r="E223" s="127">
        <v>45497</v>
      </c>
      <c r="F223" s="5" t="s">
        <v>52</v>
      </c>
      <c r="G223" s="5" t="s">
        <v>33</v>
      </c>
      <c r="H223" s="5" t="s">
        <v>7</v>
      </c>
      <c r="I223">
        <v>2022</v>
      </c>
      <c r="J223" s="5" t="s">
        <v>60</v>
      </c>
      <c r="K223" s="5" t="s">
        <v>50</v>
      </c>
      <c r="L223" s="129">
        <v>45119</v>
      </c>
      <c r="M223" s="20">
        <v>6799.53</v>
      </c>
      <c r="N223" s="128">
        <v>39.42</v>
      </c>
      <c r="O223" s="20">
        <v>376.64789446981223</v>
      </c>
      <c r="P223" s="128">
        <v>12.382944475719855</v>
      </c>
      <c r="Q223" s="122">
        <v>172.48934550989344</v>
      </c>
      <c r="R223" s="121">
        <v>13.929590482143075</v>
      </c>
      <c r="S223" s="121">
        <v>167.15508578571689</v>
      </c>
      <c r="T223" s="121">
        <v>15.16110797126419</v>
      </c>
      <c r="U223" s="20">
        <v>25342.563035431816</v>
      </c>
    </row>
    <row r="224" spans="2:21" x14ac:dyDescent="0.25">
      <c r="B224" s="5">
        <v>2024</v>
      </c>
      <c r="C224" s="5">
        <v>7</v>
      </c>
      <c r="D224" s="5" t="s">
        <v>75</v>
      </c>
      <c r="E224" s="127">
        <v>45502</v>
      </c>
      <c r="F224" s="5" t="s">
        <v>52</v>
      </c>
      <c r="G224" s="5" t="s">
        <v>42</v>
      </c>
      <c r="H224" s="5" t="s">
        <v>6</v>
      </c>
      <c r="I224">
        <v>2022</v>
      </c>
      <c r="J224" s="5" t="s">
        <v>64</v>
      </c>
      <c r="K224" s="5" t="s">
        <v>50</v>
      </c>
      <c r="L224" s="129">
        <v>45122</v>
      </c>
      <c r="M224" s="20">
        <v>5782.04</v>
      </c>
      <c r="N224" s="128">
        <v>38.72</v>
      </c>
      <c r="O224" s="20">
        <v>378.71177685950414</v>
      </c>
      <c r="P224" s="128">
        <v>12.450798143326162</v>
      </c>
      <c r="Q224" s="122">
        <v>149.32954545454547</v>
      </c>
      <c r="R224" s="121">
        <v>11.993572117670913</v>
      </c>
      <c r="S224" s="121">
        <v>143.92286541205095</v>
      </c>
      <c r="T224" s="121">
        <v>15.123773440121481</v>
      </c>
      <c r="U224" s="20">
        <v>21766.568093449547</v>
      </c>
    </row>
    <row r="225" spans="2:21" x14ac:dyDescent="0.25">
      <c r="B225" s="5">
        <v>2024</v>
      </c>
      <c r="C225" s="5">
        <v>7</v>
      </c>
      <c r="D225" s="5" t="s">
        <v>75</v>
      </c>
      <c r="E225" s="127">
        <v>45503</v>
      </c>
      <c r="F225" s="5" t="s">
        <v>52</v>
      </c>
      <c r="G225" s="5" t="s">
        <v>33</v>
      </c>
      <c r="H225" s="5" t="s">
        <v>5</v>
      </c>
      <c r="I225">
        <v>2022</v>
      </c>
      <c r="J225" s="5" t="s">
        <v>60</v>
      </c>
      <c r="K225" s="5" t="s">
        <v>50</v>
      </c>
      <c r="L225" s="129">
        <v>45138</v>
      </c>
      <c r="M225" s="20">
        <v>4943.22</v>
      </c>
      <c r="N225" s="128">
        <v>29.41</v>
      </c>
      <c r="O225" s="20">
        <v>360.21353281196866</v>
      </c>
      <c r="P225" s="128">
        <v>11.842636695188011</v>
      </c>
      <c r="Q225" s="122">
        <v>168.07956477388643</v>
      </c>
      <c r="R225" s="121">
        <v>14.192748549162348</v>
      </c>
      <c r="S225" s="121">
        <v>170.31298258994818</v>
      </c>
      <c r="T225" s="121">
        <v>14.345053519993039</v>
      </c>
      <c r="U225" s="20">
        <v>24431.488504024492</v>
      </c>
    </row>
    <row r="226" spans="2:21" x14ac:dyDescent="0.25">
      <c r="B226" s="5">
        <v>2024</v>
      </c>
      <c r="C226" s="5">
        <v>7</v>
      </c>
      <c r="D226" s="5" t="s">
        <v>75</v>
      </c>
      <c r="E226" s="127">
        <v>45504</v>
      </c>
      <c r="F226" s="5" t="s">
        <v>52</v>
      </c>
      <c r="G226" s="5" t="s">
        <v>26</v>
      </c>
      <c r="H226" s="5" t="s">
        <v>4</v>
      </c>
      <c r="I226">
        <v>2022</v>
      </c>
      <c r="J226" s="5" t="s">
        <v>64</v>
      </c>
      <c r="K226" s="5" t="s">
        <v>50</v>
      </c>
      <c r="L226" s="129">
        <v>45141</v>
      </c>
      <c r="M226" s="20">
        <v>5399.07</v>
      </c>
      <c r="N226" s="128">
        <v>34.06</v>
      </c>
      <c r="O226" s="20">
        <v>362.51497357604228</v>
      </c>
      <c r="P226" s="128">
        <v>11.918300501130156</v>
      </c>
      <c r="Q226" s="122">
        <v>158.51644157369347</v>
      </c>
      <c r="R226" s="121">
        <v>13.300255481783003</v>
      </c>
      <c r="S226" s="121">
        <v>159.60306578139603</v>
      </c>
      <c r="T226" s="121">
        <v>15.217826058641583</v>
      </c>
      <c r="U226" s="20">
        <v>24288.116934872152</v>
      </c>
    </row>
    <row r="227" spans="2:21" x14ac:dyDescent="0.25">
      <c r="B227" s="5">
        <v>2024</v>
      </c>
      <c r="C227" s="5">
        <v>7</v>
      </c>
      <c r="D227" s="5" t="s">
        <v>22</v>
      </c>
      <c r="E227" s="127">
        <v>45474</v>
      </c>
      <c r="F227" s="5" t="s">
        <v>25</v>
      </c>
      <c r="G227" s="5" t="s">
        <v>26</v>
      </c>
      <c r="H227" s="5" t="s">
        <v>8</v>
      </c>
      <c r="I227">
        <v>2023</v>
      </c>
      <c r="J227" s="5" t="s">
        <v>289</v>
      </c>
      <c r="K227" s="5" t="s">
        <v>50</v>
      </c>
      <c r="L227" s="129">
        <v>45083</v>
      </c>
      <c r="M227" s="20">
        <v>157.72999999999999</v>
      </c>
      <c r="N227" s="128">
        <v>0.95</v>
      </c>
      <c r="O227" s="20">
        <v>391</v>
      </c>
      <c r="P227" s="128">
        <v>12.854794520547944</v>
      </c>
      <c r="Q227" s="122">
        <v>166.03157894736842</v>
      </c>
      <c r="R227" s="121">
        <v>12.915926324763314</v>
      </c>
      <c r="S227" s="121">
        <v>154.99111589715977</v>
      </c>
      <c r="T227" s="121">
        <v>14.987375</v>
      </c>
      <c r="U227" s="20">
        <v>23229.09975619195</v>
      </c>
    </row>
    <row r="228" spans="2:21" x14ac:dyDescent="0.25">
      <c r="B228" s="5">
        <v>2024</v>
      </c>
      <c r="C228" s="5">
        <v>7</v>
      </c>
      <c r="D228" s="5" t="s">
        <v>22</v>
      </c>
      <c r="E228" s="127">
        <v>45475</v>
      </c>
      <c r="F228" s="5" t="s">
        <v>25</v>
      </c>
      <c r="G228" s="5" t="s">
        <v>26</v>
      </c>
      <c r="H228" s="5" t="s">
        <v>7</v>
      </c>
      <c r="I228">
        <v>2023</v>
      </c>
      <c r="J228" s="5" t="s">
        <v>289</v>
      </c>
      <c r="K228" s="5" t="s">
        <v>50</v>
      </c>
      <c r="L228" s="129">
        <v>45080</v>
      </c>
      <c r="M228" s="20">
        <v>1942.74</v>
      </c>
      <c r="N228" s="128">
        <v>15.62</v>
      </c>
      <c r="O228" s="20">
        <v>394.50768245838668</v>
      </c>
      <c r="P228" s="128">
        <v>12.970115587672987</v>
      </c>
      <c r="Q228" s="122">
        <v>124.3751600512164</v>
      </c>
      <c r="R228" s="121">
        <v>9.5893640430949301</v>
      </c>
      <c r="S228" s="121">
        <v>115.07236851713915</v>
      </c>
      <c r="T228" s="121">
        <v>14.996887528053163</v>
      </c>
      <c r="U228" s="20">
        <v>17257.273682382216</v>
      </c>
    </row>
    <row r="229" spans="2:21" x14ac:dyDescent="0.25">
      <c r="B229" s="5">
        <v>2024</v>
      </c>
      <c r="C229" s="5">
        <v>7</v>
      </c>
      <c r="D229" s="5" t="s">
        <v>22</v>
      </c>
      <c r="E229" s="127">
        <v>45476</v>
      </c>
      <c r="F229" s="5" t="s">
        <v>25</v>
      </c>
      <c r="G229" s="5" t="s">
        <v>26</v>
      </c>
      <c r="H229" s="5" t="s">
        <v>5</v>
      </c>
      <c r="I229">
        <v>2023</v>
      </c>
      <c r="J229" s="5" t="s">
        <v>289</v>
      </c>
      <c r="K229" s="5" t="s">
        <v>50</v>
      </c>
      <c r="L229" s="129">
        <v>45114</v>
      </c>
      <c r="M229" s="20">
        <v>2166.36</v>
      </c>
      <c r="N229" s="128">
        <v>19.5</v>
      </c>
      <c r="O229" s="20">
        <v>361.65230769230772</v>
      </c>
      <c r="P229" s="128">
        <v>11.889938883034775</v>
      </c>
      <c r="Q229" s="122">
        <v>111.09538461538462</v>
      </c>
      <c r="R229" s="121">
        <v>9.3436463978718738</v>
      </c>
      <c r="S229" s="121">
        <v>112.12375677446249</v>
      </c>
      <c r="T229" s="121">
        <v>15.281314327701764</v>
      </c>
      <c r="U229" s="20">
        <v>17133.983708733416</v>
      </c>
    </row>
    <row r="230" spans="2:21" x14ac:dyDescent="0.25">
      <c r="B230" s="5">
        <v>2024</v>
      </c>
      <c r="C230" s="5">
        <v>7</v>
      </c>
      <c r="D230" s="5" t="s">
        <v>22</v>
      </c>
      <c r="E230" s="127">
        <v>45476</v>
      </c>
      <c r="F230" s="5" t="s">
        <v>25</v>
      </c>
      <c r="G230" s="5" t="s">
        <v>26</v>
      </c>
      <c r="H230" s="5" t="s">
        <v>6</v>
      </c>
      <c r="I230">
        <v>2023</v>
      </c>
      <c r="J230" s="5" t="s">
        <v>289</v>
      </c>
      <c r="K230" s="5" t="s">
        <v>50</v>
      </c>
      <c r="L230" s="129">
        <v>45103</v>
      </c>
      <c r="M230" s="20">
        <v>2481.35</v>
      </c>
      <c r="N230" s="128">
        <v>17.329999999999998</v>
      </c>
      <c r="O230" s="20">
        <v>371.60069244085349</v>
      </c>
      <c r="P230" s="128">
        <v>12.217009066548609</v>
      </c>
      <c r="Q230" s="122">
        <v>143.18234275822275</v>
      </c>
      <c r="R230" s="121">
        <v>11.719917860278118</v>
      </c>
      <c r="S230" s="121">
        <v>140.63901432333742</v>
      </c>
      <c r="T230" s="121">
        <v>15.072927788969674</v>
      </c>
      <c r="U230" s="20">
        <v>21198.417072075368</v>
      </c>
    </row>
    <row r="231" spans="2:21" x14ac:dyDescent="0.25">
      <c r="B231" s="5">
        <v>2024</v>
      </c>
      <c r="C231" s="5">
        <v>7</v>
      </c>
      <c r="D231" s="5" t="s">
        <v>22</v>
      </c>
      <c r="E231" s="127">
        <v>45482</v>
      </c>
      <c r="F231" s="5" t="s">
        <v>41</v>
      </c>
      <c r="G231" s="5" t="s">
        <v>44</v>
      </c>
      <c r="H231" s="5" t="s">
        <v>7</v>
      </c>
      <c r="I231">
        <v>2023</v>
      </c>
      <c r="J231" s="5" t="s">
        <v>61</v>
      </c>
      <c r="K231" s="5" t="s">
        <v>50</v>
      </c>
      <c r="L231" s="129">
        <v>45143</v>
      </c>
      <c r="M231" s="20">
        <v>1972.33</v>
      </c>
      <c r="N231" s="128">
        <v>15.39</v>
      </c>
      <c r="O231" s="20">
        <v>337.48732943469787</v>
      </c>
      <c r="P231" s="128">
        <v>11.095473844428424</v>
      </c>
      <c r="Q231" s="122">
        <v>128.1565951916829</v>
      </c>
      <c r="R231" s="121">
        <v>11.550348997130625</v>
      </c>
      <c r="S231" s="121">
        <v>138.60418796556749</v>
      </c>
      <c r="T231" s="121">
        <v>15.051896557548686</v>
      </c>
      <c r="U231" s="20">
        <v>20862.558997007563</v>
      </c>
    </row>
    <row r="232" spans="2:21" x14ac:dyDescent="0.25">
      <c r="B232" s="5">
        <v>2024</v>
      </c>
      <c r="C232" s="5">
        <v>7</v>
      </c>
      <c r="D232" s="5" t="s">
        <v>22</v>
      </c>
      <c r="E232" s="127">
        <v>45482</v>
      </c>
      <c r="F232" s="5" t="s">
        <v>41</v>
      </c>
      <c r="G232" s="5" t="s">
        <v>44</v>
      </c>
      <c r="H232" s="5" t="s">
        <v>8</v>
      </c>
      <c r="I232">
        <v>2023</v>
      </c>
      <c r="J232" s="5" t="s">
        <v>61</v>
      </c>
      <c r="K232" s="5" t="s">
        <v>50</v>
      </c>
      <c r="L232" s="129">
        <v>45141</v>
      </c>
      <c r="M232" s="20">
        <v>1954.04</v>
      </c>
      <c r="N232" s="128">
        <v>16.369999999999902</v>
      </c>
      <c r="O232" s="20">
        <v>339.57544288332463</v>
      </c>
      <c r="P232" s="128">
        <v>11.164124149588755</v>
      </c>
      <c r="Q232" s="122">
        <v>119.36713500305508</v>
      </c>
      <c r="R232" s="121">
        <v>10.692028627024191</v>
      </c>
      <c r="S232" s="121">
        <v>128.30434352429029</v>
      </c>
      <c r="T232" s="121">
        <v>14.507524252318275</v>
      </c>
      <c r="U232" s="20">
        <v>18613.783753564167</v>
      </c>
    </row>
    <row r="233" spans="2:21" x14ac:dyDescent="0.25">
      <c r="B233" s="5">
        <v>2024</v>
      </c>
      <c r="C233" s="5">
        <v>7</v>
      </c>
      <c r="D233" s="5" t="s">
        <v>22</v>
      </c>
      <c r="E233" s="127">
        <v>45483</v>
      </c>
      <c r="F233" s="5" t="s">
        <v>41</v>
      </c>
      <c r="G233" s="5" t="s">
        <v>42</v>
      </c>
      <c r="H233" s="5" t="s">
        <v>6</v>
      </c>
      <c r="I233">
        <v>2022</v>
      </c>
      <c r="J233" s="5" t="s">
        <v>62</v>
      </c>
      <c r="K233" s="5" t="s">
        <v>79</v>
      </c>
      <c r="L233" s="129">
        <v>45105</v>
      </c>
      <c r="M233" s="20">
        <v>2173.0300000000002</v>
      </c>
      <c r="N233" s="128">
        <v>17.32</v>
      </c>
      <c r="O233" s="20">
        <v>373.81755196304795</v>
      </c>
      <c r="P233" s="128">
        <v>12.289892119333084</v>
      </c>
      <c r="Q233" s="122">
        <v>125.46362586605082</v>
      </c>
      <c r="R233" s="121">
        <v>10.208684067184404</v>
      </c>
      <c r="S233" s="121">
        <v>122.50420880621284</v>
      </c>
      <c r="T233" s="121">
        <v>15.240360540287062</v>
      </c>
      <c r="U233" s="20">
        <v>18670.083099092932</v>
      </c>
    </row>
    <row r="234" spans="2:21" x14ac:dyDescent="0.25">
      <c r="B234" s="5">
        <v>2024</v>
      </c>
      <c r="C234" s="5">
        <v>7</v>
      </c>
      <c r="D234" s="5" t="s">
        <v>22</v>
      </c>
      <c r="E234" s="127">
        <v>45489</v>
      </c>
      <c r="F234" s="5" t="s">
        <v>39</v>
      </c>
      <c r="G234" s="5" t="s">
        <v>9</v>
      </c>
      <c r="H234" s="5" t="s">
        <v>6</v>
      </c>
      <c r="I234">
        <v>2022</v>
      </c>
      <c r="J234" s="5" t="s">
        <v>410</v>
      </c>
      <c r="K234" s="5" t="s">
        <v>50</v>
      </c>
      <c r="L234" s="129">
        <v>45240</v>
      </c>
      <c r="M234" s="20">
        <v>165.79999999999899</v>
      </c>
      <c r="N234" s="128">
        <v>1.1000000000000001</v>
      </c>
      <c r="O234" s="20">
        <v>248.77272727272722</v>
      </c>
      <c r="P234" s="128">
        <v>8.1788293897882927</v>
      </c>
      <c r="Q234" s="122">
        <v>150.72727272727178</v>
      </c>
      <c r="R234" s="121">
        <v>18.428954260308068</v>
      </c>
      <c r="S234" s="121">
        <v>221.14745112369681</v>
      </c>
      <c r="T234" s="121">
        <v>11.084028950542891</v>
      </c>
      <c r="U234" s="20">
        <v>24512.047505938244</v>
      </c>
    </row>
    <row r="235" spans="2:21" x14ac:dyDescent="0.25">
      <c r="B235" s="5">
        <v>2024</v>
      </c>
      <c r="C235" s="5">
        <v>7</v>
      </c>
      <c r="D235" s="5" t="s">
        <v>22</v>
      </c>
      <c r="E235" s="127">
        <v>45493</v>
      </c>
      <c r="F235" s="5" t="s">
        <v>24</v>
      </c>
      <c r="G235" s="5" t="s">
        <v>12</v>
      </c>
      <c r="H235" s="5" t="s">
        <v>8</v>
      </c>
      <c r="I235">
        <v>2022</v>
      </c>
      <c r="J235" s="5" t="s">
        <v>304</v>
      </c>
      <c r="K235" s="5" t="s">
        <v>50</v>
      </c>
      <c r="L235" s="129">
        <v>45121</v>
      </c>
      <c r="M235" s="20">
        <v>2369.35</v>
      </c>
      <c r="N235" s="128">
        <v>17.28</v>
      </c>
      <c r="O235" s="20">
        <v>364.62847222222217</v>
      </c>
      <c r="P235" s="128">
        <v>11.987785388127852</v>
      </c>
      <c r="Q235" s="122">
        <v>137.11516203703701</v>
      </c>
      <c r="R235" s="121">
        <v>11.437905968255782</v>
      </c>
      <c r="S235" s="121">
        <v>137.25487161906938</v>
      </c>
      <c r="T235" s="121">
        <v>15.193681222753076</v>
      </c>
      <c r="U235" s="20">
        <v>20854.067656500381</v>
      </c>
    </row>
    <row r="236" spans="2:21" x14ac:dyDescent="0.25">
      <c r="B236" s="5">
        <v>2024</v>
      </c>
      <c r="C236" s="5">
        <v>7</v>
      </c>
      <c r="D236" s="5" t="s">
        <v>22</v>
      </c>
      <c r="E236" s="127">
        <v>45495</v>
      </c>
      <c r="F236" s="5" t="s">
        <v>24</v>
      </c>
      <c r="G236" s="5" t="s">
        <v>12</v>
      </c>
      <c r="H236" s="5" t="s">
        <v>7</v>
      </c>
      <c r="I236">
        <v>2022</v>
      </c>
      <c r="J236" s="5" t="s">
        <v>304</v>
      </c>
      <c r="K236" s="5" t="s">
        <v>50</v>
      </c>
      <c r="L236" s="129">
        <v>45125</v>
      </c>
      <c r="M236" s="20">
        <v>2317.67</v>
      </c>
      <c r="N236" s="128">
        <v>18.37</v>
      </c>
      <c r="O236" s="20">
        <v>361.62874251496947</v>
      </c>
      <c r="P236" s="128">
        <v>11.889164137478449</v>
      </c>
      <c r="Q236" s="122">
        <v>126.1660315732172</v>
      </c>
      <c r="R236" s="121">
        <v>10.611850430721324</v>
      </c>
      <c r="S236" s="121">
        <v>127.34220516865588</v>
      </c>
      <c r="T236" s="121">
        <v>14.645798158836245</v>
      </c>
      <c r="U236" s="20">
        <v>18650.282340012476</v>
      </c>
    </row>
    <row r="237" spans="2:21" x14ac:dyDescent="0.25">
      <c r="B237" s="5">
        <v>2024</v>
      </c>
      <c r="C237" s="5">
        <v>7</v>
      </c>
      <c r="D237" s="5" t="s">
        <v>22</v>
      </c>
      <c r="E237" s="127">
        <v>45497</v>
      </c>
      <c r="F237" s="5" t="s">
        <v>24</v>
      </c>
      <c r="G237" s="5" t="s">
        <v>12</v>
      </c>
      <c r="H237" s="5" t="s">
        <v>6</v>
      </c>
      <c r="I237">
        <v>2022</v>
      </c>
      <c r="J237" s="5" t="s">
        <v>304</v>
      </c>
      <c r="K237" s="5" t="s">
        <v>50</v>
      </c>
      <c r="L237" s="129">
        <v>45127</v>
      </c>
      <c r="M237" s="20">
        <v>2957.14</v>
      </c>
      <c r="N237" s="128">
        <v>20.069999999999901</v>
      </c>
      <c r="O237" s="20">
        <v>356.22321873443076</v>
      </c>
      <c r="P237" s="128">
        <v>11.711448287159367</v>
      </c>
      <c r="Q237" s="122">
        <v>147.34130543099226</v>
      </c>
      <c r="R237" s="121">
        <v>12.580963670611071</v>
      </c>
      <c r="S237" s="121">
        <v>150.97156404733286</v>
      </c>
      <c r="T237" s="121">
        <v>14.058820445704297</v>
      </c>
      <c r="U237" s="20">
        <v>21224.821113485992</v>
      </c>
    </row>
    <row r="238" spans="2:21" x14ac:dyDescent="0.25">
      <c r="B238" s="5">
        <v>2024</v>
      </c>
      <c r="C238" s="5">
        <v>7</v>
      </c>
      <c r="D238" s="5" t="s">
        <v>22</v>
      </c>
      <c r="E238" s="127">
        <v>45504</v>
      </c>
      <c r="F238" s="5" t="s">
        <v>24</v>
      </c>
      <c r="G238" s="5" t="s">
        <v>13</v>
      </c>
      <c r="H238" s="5" t="s">
        <v>6</v>
      </c>
      <c r="I238">
        <v>2023</v>
      </c>
      <c r="J238" s="5" t="s">
        <v>304</v>
      </c>
      <c r="K238" s="5" t="s">
        <v>50</v>
      </c>
      <c r="L238" s="129">
        <v>45142</v>
      </c>
      <c r="M238" s="20">
        <v>442.6</v>
      </c>
      <c r="N238" s="128">
        <v>2.93</v>
      </c>
      <c r="O238" s="20">
        <v>362</v>
      </c>
      <c r="P238" s="128">
        <v>11.901369863013699</v>
      </c>
      <c r="Q238" s="122">
        <v>151.05802047781569</v>
      </c>
      <c r="R238" s="121">
        <v>12.692490210497866</v>
      </c>
      <c r="S238" s="121">
        <v>152.30988252597439</v>
      </c>
      <c r="T238" s="121">
        <v>14.3895</v>
      </c>
      <c r="U238" s="20">
        <v>21916.630546075085</v>
      </c>
    </row>
    <row r="239" spans="2:21" x14ac:dyDescent="0.25">
      <c r="B239" s="5">
        <v>2024</v>
      </c>
      <c r="C239" s="5">
        <v>7</v>
      </c>
      <c r="D239" s="5" t="s">
        <v>22</v>
      </c>
      <c r="E239" s="127">
        <v>45504</v>
      </c>
      <c r="F239" s="5" t="s">
        <v>41</v>
      </c>
      <c r="G239" s="5" t="s">
        <v>42</v>
      </c>
      <c r="H239" s="5" t="s">
        <v>7</v>
      </c>
      <c r="I239">
        <v>2022</v>
      </c>
      <c r="J239" s="5" t="s">
        <v>62</v>
      </c>
      <c r="K239" s="5" t="s">
        <v>79</v>
      </c>
      <c r="L239" s="129">
        <v>45110</v>
      </c>
      <c r="M239" s="20">
        <v>2457.3000000000002</v>
      </c>
      <c r="N239" s="128">
        <v>20.25</v>
      </c>
      <c r="O239" s="20">
        <v>372.89234567901235</v>
      </c>
      <c r="P239" s="128">
        <v>12.259474378488077</v>
      </c>
      <c r="Q239" s="122">
        <v>121.34814814814816</v>
      </c>
      <c r="R239" s="121">
        <v>9.8983157353858466</v>
      </c>
      <c r="S239" s="121">
        <v>118.77978882463016</v>
      </c>
      <c r="T239" s="121">
        <v>15.361726443368738</v>
      </c>
      <c r="U239" s="20">
        <v>18246.626229250756</v>
      </c>
    </row>
    <row r="240" spans="2:21" x14ac:dyDescent="0.25">
      <c r="B240" s="5">
        <v>2024</v>
      </c>
      <c r="C240" s="5">
        <v>7</v>
      </c>
      <c r="D240" s="5" t="s">
        <v>19</v>
      </c>
      <c r="E240" s="127">
        <v>45486</v>
      </c>
      <c r="F240" s="5" t="s">
        <v>20</v>
      </c>
      <c r="G240" s="5" t="s">
        <v>11</v>
      </c>
      <c r="H240" s="5" t="s">
        <v>3</v>
      </c>
      <c r="I240">
        <v>2022</v>
      </c>
      <c r="J240" s="5" t="s">
        <v>61</v>
      </c>
      <c r="K240" s="5" t="s">
        <v>79</v>
      </c>
      <c r="L240" s="129">
        <v>45108</v>
      </c>
      <c r="M240" s="20">
        <v>2750.70999999999</v>
      </c>
      <c r="N240" s="128">
        <v>32.71</v>
      </c>
      <c r="O240" s="20">
        <v>371.91837358605625</v>
      </c>
      <c r="P240" s="128">
        <v>12.227453378171711</v>
      </c>
      <c r="Q240" s="122">
        <v>84.093855090186182</v>
      </c>
      <c r="R240" s="121">
        <v>6.8774627462746594</v>
      </c>
      <c r="S240" s="121">
        <v>82.529552955295912</v>
      </c>
      <c r="T240" s="121">
        <v>14.837449924314139</v>
      </c>
      <c r="U240" s="20">
        <v>12245.281092502351</v>
      </c>
    </row>
    <row r="241" spans="2:21" x14ac:dyDescent="0.25">
      <c r="B241" s="5">
        <v>2024</v>
      </c>
      <c r="C241" s="5">
        <v>7</v>
      </c>
      <c r="D241" s="5" t="s">
        <v>19</v>
      </c>
      <c r="E241" s="127">
        <v>45488</v>
      </c>
      <c r="F241" s="5" t="s">
        <v>20</v>
      </c>
      <c r="G241" s="5" t="s">
        <v>11</v>
      </c>
      <c r="H241" s="5" t="s">
        <v>4</v>
      </c>
      <c r="I241">
        <v>2022</v>
      </c>
      <c r="J241" s="5" t="s">
        <v>61</v>
      </c>
      <c r="K241" s="5" t="s">
        <v>79</v>
      </c>
      <c r="L241" s="129">
        <v>45110</v>
      </c>
      <c r="M241" s="20">
        <v>3058.97</v>
      </c>
      <c r="N241" s="128">
        <v>34.57</v>
      </c>
      <c r="O241" s="20">
        <v>377.22157940410756</v>
      </c>
      <c r="P241" s="128">
        <v>12.40180535027203</v>
      </c>
      <c r="Q241" s="122">
        <v>88.486259762800103</v>
      </c>
      <c r="R241" s="121">
        <v>7.1349498934733058</v>
      </c>
      <c r="S241" s="121">
        <v>85.619398721679673</v>
      </c>
      <c r="T241" s="121">
        <v>15.49161356950869</v>
      </c>
      <c r="U241" s="20">
        <v>13263.826390499478</v>
      </c>
    </row>
    <row r="242" spans="2:21" x14ac:dyDescent="0.25">
      <c r="B242" s="5">
        <v>2024</v>
      </c>
      <c r="C242" s="5">
        <v>7</v>
      </c>
      <c r="D242" s="5" t="s">
        <v>19</v>
      </c>
      <c r="E242" s="127">
        <v>45491</v>
      </c>
      <c r="F242" s="5" t="s">
        <v>20</v>
      </c>
      <c r="G242" s="5" t="s">
        <v>12</v>
      </c>
      <c r="H242" s="5" t="s">
        <v>3</v>
      </c>
      <c r="I242">
        <v>2023</v>
      </c>
      <c r="J242" s="5" t="s">
        <v>283</v>
      </c>
      <c r="K242" s="5" t="s">
        <v>50</v>
      </c>
      <c r="L242" s="129">
        <v>45101</v>
      </c>
      <c r="M242" s="20">
        <v>4827.7529999999997</v>
      </c>
      <c r="N242" s="128">
        <v>40.299999999999997</v>
      </c>
      <c r="O242" s="20">
        <v>388.6208436724541</v>
      </c>
      <c r="P242" s="128">
        <v>12.776575682382052</v>
      </c>
      <c r="Q242" s="122">
        <v>119.79535980148883</v>
      </c>
      <c r="R242" s="121">
        <v>9.3761711102825238</v>
      </c>
      <c r="S242" s="121">
        <v>112.51405332339029</v>
      </c>
      <c r="T242" s="121">
        <v>15.937455897046991</v>
      </c>
      <c r="U242" s="20">
        <v>17931.87762639526</v>
      </c>
    </row>
    <row r="243" spans="2:21" x14ac:dyDescent="0.25">
      <c r="B243" s="5">
        <v>2024</v>
      </c>
      <c r="C243" s="5">
        <v>7</v>
      </c>
      <c r="D243" s="5" t="s">
        <v>19</v>
      </c>
      <c r="E243" s="127">
        <v>45493</v>
      </c>
      <c r="F243" s="5" t="s">
        <v>20</v>
      </c>
      <c r="G243" s="5" t="s">
        <v>26</v>
      </c>
      <c r="H243" s="5" t="s">
        <v>3</v>
      </c>
      <c r="I243">
        <v>2021</v>
      </c>
      <c r="J243" s="5" t="s">
        <v>64</v>
      </c>
      <c r="K243" s="5" t="s">
        <v>50</v>
      </c>
      <c r="L243" s="129">
        <v>45089</v>
      </c>
      <c r="M243" s="20">
        <v>2731.9870000000001</v>
      </c>
      <c r="N243" s="128">
        <v>21.18</v>
      </c>
      <c r="O243" s="20">
        <v>402.62747875354108</v>
      </c>
      <c r="P243" s="128">
        <v>13.237067794636967</v>
      </c>
      <c r="Q243" s="122">
        <v>128.98899905571295</v>
      </c>
      <c r="R243" s="121">
        <v>9.744529608586971</v>
      </c>
      <c r="S243" s="121">
        <v>116.93435530304365</v>
      </c>
      <c r="T243" s="121">
        <v>15.918606754893052</v>
      </c>
      <c r="U243" s="20">
        <v>18614.320182060947</v>
      </c>
    </row>
    <row r="244" spans="2:21" x14ac:dyDescent="0.25">
      <c r="B244" s="5">
        <v>2024</v>
      </c>
      <c r="C244" s="5">
        <v>7</v>
      </c>
      <c r="D244" s="5" t="s">
        <v>19</v>
      </c>
      <c r="E244" s="127">
        <v>45495</v>
      </c>
      <c r="F244" s="5" t="s">
        <v>20</v>
      </c>
      <c r="G244" s="5" t="s">
        <v>15</v>
      </c>
      <c r="H244" s="5" t="s">
        <v>7</v>
      </c>
      <c r="I244">
        <v>2023</v>
      </c>
      <c r="J244" s="5" t="s">
        <v>60</v>
      </c>
      <c r="K244" s="5" t="s">
        <v>50</v>
      </c>
      <c r="L244" s="129">
        <v>45117</v>
      </c>
      <c r="M244" s="20">
        <v>4641.21</v>
      </c>
      <c r="N244" s="128">
        <v>39.450000000000003</v>
      </c>
      <c r="O244" s="20">
        <v>376.54144486692013</v>
      </c>
      <c r="P244" s="128">
        <v>12.37944476274806</v>
      </c>
      <c r="Q244" s="122">
        <v>117.64790874524714</v>
      </c>
      <c r="R244" s="121">
        <v>9.5034883227776508</v>
      </c>
      <c r="S244" s="121">
        <v>114.04185987333182</v>
      </c>
      <c r="T244" s="121">
        <v>15.567689633890732</v>
      </c>
      <c r="U244" s="20">
        <v>17753.682797796871</v>
      </c>
    </row>
    <row r="245" spans="2:21" x14ac:dyDescent="0.25">
      <c r="B245" s="5">
        <v>2024</v>
      </c>
      <c r="C245" s="5">
        <v>7</v>
      </c>
      <c r="D245" s="5" t="s">
        <v>19</v>
      </c>
      <c r="E245" s="127">
        <v>45498</v>
      </c>
      <c r="F245" s="5" t="s">
        <v>20</v>
      </c>
      <c r="G245" s="5" t="s">
        <v>21</v>
      </c>
      <c r="H245" s="5" t="s">
        <v>5</v>
      </c>
      <c r="I245">
        <v>2022</v>
      </c>
      <c r="J245" s="5" t="s">
        <v>283</v>
      </c>
      <c r="K245" s="5" t="s">
        <v>50</v>
      </c>
      <c r="L245" s="129">
        <v>45139</v>
      </c>
      <c r="M245" s="20">
        <v>4442.32</v>
      </c>
      <c r="N245" s="128">
        <v>40.58</v>
      </c>
      <c r="O245" s="20">
        <v>357.06826022671021</v>
      </c>
      <c r="P245" s="128">
        <v>11.739230473206911</v>
      </c>
      <c r="Q245" s="122">
        <v>109.47067520946278</v>
      </c>
      <c r="R245" s="121">
        <v>9.325200272651065</v>
      </c>
      <c r="S245" s="121">
        <v>111.90240327181279</v>
      </c>
      <c r="T245" s="121">
        <v>15.49972435907589</v>
      </c>
      <c r="U245" s="20">
        <v>17344.564058312502</v>
      </c>
    </row>
    <row r="246" spans="2:21" x14ac:dyDescent="0.25">
      <c r="B246" s="5">
        <v>2024</v>
      </c>
      <c r="C246" s="5">
        <v>7</v>
      </c>
      <c r="D246" s="5" t="s">
        <v>19</v>
      </c>
      <c r="E246" s="127">
        <v>45499</v>
      </c>
      <c r="F246" s="5" t="s">
        <v>20</v>
      </c>
      <c r="G246" s="5" t="s">
        <v>9</v>
      </c>
      <c r="H246" s="5" t="s">
        <v>3</v>
      </c>
      <c r="I246">
        <v>2023</v>
      </c>
      <c r="J246" s="5" t="s">
        <v>304</v>
      </c>
      <c r="K246" s="5" t="s">
        <v>50</v>
      </c>
      <c r="L246" s="129">
        <v>45120</v>
      </c>
      <c r="M246" s="20">
        <v>1572.3</v>
      </c>
      <c r="N246" s="128">
        <v>11.76</v>
      </c>
      <c r="O246" s="20">
        <v>378.08928571428572</v>
      </c>
      <c r="P246" s="128">
        <v>12.430332681017612</v>
      </c>
      <c r="Q246" s="122">
        <v>133.69897959183675</v>
      </c>
      <c r="R246" s="121">
        <v>10.755864949295264</v>
      </c>
      <c r="S246" s="121">
        <v>129.07037939154316</v>
      </c>
      <c r="T246" s="121">
        <v>14.618336508624308</v>
      </c>
      <c r="U246" s="20">
        <v>18867.942392413857</v>
      </c>
    </row>
    <row r="247" spans="2:21" x14ac:dyDescent="0.25">
      <c r="B247" s="5">
        <v>2024</v>
      </c>
      <c r="C247" s="5">
        <v>7</v>
      </c>
      <c r="D247" s="5" t="s">
        <v>19</v>
      </c>
      <c r="E247" s="127">
        <v>45500</v>
      </c>
      <c r="F247" s="5" t="s">
        <v>20</v>
      </c>
      <c r="G247" s="5" t="s">
        <v>2</v>
      </c>
      <c r="H247" s="5" t="s">
        <v>8</v>
      </c>
      <c r="I247">
        <v>2022</v>
      </c>
      <c r="J247" s="5" t="s">
        <v>63</v>
      </c>
      <c r="K247" s="5" t="s">
        <v>50</v>
      </c>
      <c r="L247" s="129">
        <v>45122</v>
      </c>
      <c r="M247" s="20">
        <v>1989.72</v>
      </c>
      <c r="N247" s="128">
        <v>14.0299999999999</v>
      </c>
      <c r="O247" s="20">
        <v>376.90449037776466</v>
      </c>
      <c r="P247" s="128">
        <v>12.391380505570345</v>
      </c>
      <c r="Q247" s="122">
        <v>141.81895937277363</v>
      </c>
      <c r="R247" s="121">
        <v>11.444968485070829</v>
      </c>
      <c r="S247" s="121">
        <v>137.33962182084994</v>
      </c>
      <c r="T247" s="121">
        <v>13.721110752517941</v>
      </c>
      <c r="U247" s="20">
        <v>18844.521617128117</v>
      </c>
    </row>
    <row r="248" spans="2:21" x14ac:dyDescent="0.25">
      <c r="B248" s="5">
        <v>2024</v>
      </c>
      <c r="C248" s="5">
        <v>7</v>
      </c>
      <c r="D248" s="5" t="s">
        <v>19</v>
      </c>
      <c r="E248" s="127">
        <v>45502</v>
      </c>
      <c r="F248" s="5" t="s">
        <v>20</v>
      </c>
      <c r="G248" s="5" t="s">
        <v>2</v>
      </c>
      <c r="H248" s="5" t="s">
        <v>37</v>
      </c>
      <c r="I248">
        <v>2022</v>
      </c>
      <c r="J248" s="5" t="s">
        <v>63</v>
      </c>
      <c r="K248" s="5" t="s">
        <v>50</v>
      </c>
      <c r="L248" s="129">
        <v>45122</v>
      </c>
      <c r="M248" s="20">
        <v>1577.88</v>
      </c>
      <c r="N248" s="128">
        <v>14.23</v>
      </c>
      <c r="O248" s="20">
        <v>378.75404075895995</v>
      </c>
      <c r="P248" s="128">
        <v>12.452187641390465</v>
      </c>
      <c r="Q248" s="122">
        <v>110.88404778636684</v>
      </c>
      <c r="R248" s="121">
        <v>8.9047845229856382</v>
      </c>
      <c r="S248" s="121">
        <v>106.85741427582767</v>
      </c>
      <c r="T248" s="121">
        <v>14.166056442042485</v>
      </c>
      <c r="U248" s="20">
        <v>15137.481618820912</v>
      </c>
    </row>
    <row r="249" spans="2:21" x14ac:dyDescent="0.25">
      <c r="B249" s="5">
        <v>2024</v>
      </c>
      <c r="C249" s="5">
        <v>7</v>
      </c>
      <c r="D249" s="5" t="s">
        <v>84</v>
      </c>
      <c r="E249" s="127">
        <v>45474</v>
      </c>
      <c r="F249" s="5" t="s">
        <v>739</v>
      </c>
      <c r="G249" s="5" t="s">
        <v>2</v>
      </c>
      <c r="H249" s="5" t="s">
        <v>3</v>
      </c>
      <c r="I249">
        <v>2022</v>
      </c>
      <c r="J249" s="5" t="s">
        <v>60</v>
      </c>
      <c r="K249" s="5" t="s">
        <v>50</v>
      </c>
      <c r="L249" s="129">
        <v>44992</v>
      </c>
      <c r="M249" s="20">
        <v>19.670000000000002</v>
      </c>
      <c r="N249" s="128">
        <v>0.1</v>
      </c>
      <c r="O249" s="20">
        <v>482</v>
      </c>
      <c r="P249" s="128">
        <v>15.846575342465753</v>
      </c>
      <c r="Q249" s="122">
        <v>196.70000000000002</v>
      </c>
      <c r="R249" s="121">
        <v>12.412776625172894</v>
      </c>
      <c r="S249" s="121">
        <v>148.95331950207472</v>
      </c>
      <c r="T249" s="121">
        <v>14.211011999999998</v>
      </c>
      <c r="U249" s="20">
        <v>21167.774108838174</v>
      </c>
    </row>
    <row r="250" spans="2:21" x14ac:dyDescent="0.25">
      <c r="B250" s="5">
        <v>2024</v>
      </c>
      <c r="C250" s="134" t="s">
        <v>313</v>
      </c>
      <c r="D250" s="134"/>
      <c r="E250" s="134"/>
      <c r="F250" s="134"/>
      <c r="G250" s="134"/>
      <c r="H250" s="134"/>
      <c r="I250" s="134"/>
      <c r="J250" s="134"/>
      <c r="K250" s="134"/>
      <c r="L250" s="134"/>
      <c r="M250" s="130">
        <v>110799.28899999999</v>
      </c>
      <c r="N250" s="131">
        <v>829.77999999999975</v>
      </c>
      <c r="O250" s="130">
        <v>374.95691629106466</v>
      </c>
      <c r="P250" s="131">
        <v>12.327350672582947</v>
      </c>
      <c r="Q250" s="132">
        <v>133.52851237677459</v>
      </c>
      <c r="R250" s="133">
        <v>10.831890478604871</v>
      </c>
      <c r="S250" s="133">
        <v>129.98268574325846</v>
      </c>
      <c r="T250" s="133">
        <v>15.075198359012216</v>
      </c>
      <c r="U250" s="130">
        <v>19595.147708167704</v>
      </c>
    </row>
    <row r="251" spans="2:21" x14ac:dyDescent="0.25">
      <c r="B251" s="5">
        <v>2024</v>
      </c>
      <c r="C251" s="5">
        <v>8</v>
      </c>
      <c r="D251" s="5" t="s">
        <v>78</v>
      </c>
      <c r="E251" s="127">
        <v>45528</v>
      </c>
      <c r="F251" s="5" t="s">
        <v>49</v>
      </c>
      <c r="G251" s="5" t="s">
        <v>2</v>
      </c>
      <c r="H251" s="5" t="s">
        <v>4</v>
      </c>
      <c r="I251">
        <v>2022</v>
      </c>
      <c r="J251" s="5" t="s">
        <v>61</v>
      </c>
      <c r="K251" s="5" t="s">
        <v>50</v>
      </c>
      <c r="L251" s="129">
        <v>45162</v>
      </c>
      <c r="M251" s="20">
        <v>177.22</v>
      </c>
      <c r="N251" s="128">
        <v>1.49</v>
      </c>
      <c r="O251" s="20">
        <v>365.32885906040269</v>
      </c>
      <c r="P251" s="128">
        <v>12.010811804725568</v>
      </c>
      <c r="Q251" s="122">
        <v>118.93959731543625</v>
      </c>
      <c r="R251" s="121">
        <v>9.9027109282188821</v>
      </c>
      <c r="S251" s="121">
        <v>118.83253113862659</v>
      </c>
      <c r="T251" s="121">
        <v>11.540608960613925</v>
      </c>
      <c r="U251" s="20">
        <v>13713.997736708672</v>
      </c>
    </row>
    <row r="252" spans="2:21" x14ac:dyDescent="0.25">
      <c r="B252" s="5">
        <v>2024</v>
      </c>
      <c r="C252" s="5">
        <v>8</v>
      </c>
      <c r="D252" s="5" t="s">
        <v>78</v>
      </c>
      <c r="E252" s="127">
        <v>45531</v>
      </c>
      <c r="F252" s="5" t="s">
        <v>49</v>
      </c>
      <c r="G252" s="5" t="s">
        <v>2</v>
      </c>
      <c r="H252" s="5" t="s">
        <v>3</v>
      </c>
      <c r="I252">
        <v>2022</v>
      </c>
      <c r="J252" s="5" t="s">
        <v>61</v>
      </c>
      <c r="K252" s="5" t="s">
        <v>50</v>
      </c>
      <c r="L252" s="129">
        <v>45105</v>
      </c>
      <c r="M252" s="20">
        <v>5513.241</v>
      </c>
      <c r="N252" s="128">
        <v>33.700000000000003</v>
      </c>
      <c r="O252" s="20">
        <v>422.91661721067953</v>
      </c>
      <c r="P252" s="128">
        <v>13.904107963090834</v>
      </c>
      <c r="Q252" s="122">
        <v>163.59765578635015</v>
      </c>
      <c r="R252" s="121">
        <v>11.766138196037351</v>
      </c>
      <c r="S252" s="121">
        <v>141.19365835244821</v>
      </c>
      <c r="T252" s="121">
        <v>13.555143429091871</v>
      </c>
      <c r="U252" s="20">
        <v>19139.002902456308</v>
      </c>
    </row>
    <row r="253" spans="2:21" x14ac:dyDescent="0.25">
      <c r="B253" s="5">
        <v>2024</v>
      </c>
      <c r="C253" s="5">
        <v>8</v>
      </c>
      <c r="D253" s="5" t="s">
        <v>78</v>
      </c>
      <c r="E253" s="127">
        <v>45534</v>
      </c>
      <c r="F253" s="5" t="s">
        <v>48</v>
      </c>
      <c r="G253" s="5" t="s">
        <v>2</v>
      </c>
      <c r="H253" s="5" t="s">
        <v>4</v>
      </c>
      <c r="I253">
        <v>2022</v>
      </c>
      <c r="J253" s="5" t="s">
        <v>80</v>
      </c>
      <c r="K253" s="5" t="s">
        <v>50</v>
      </c>
      <c r="L253" s="129">
        <v>45162</v>
      </c>
      <c r="M253" s="20">
        <v>3130.96</v>
      </c>
      <c r="N253" s="128">
        <v>28.799999999999901</v>
      </c>
      <c r="O253" s="20">
        <v>370.10034722222349</v>
      </c>
      <c r="P253" s="128">
        <v>12.167682648401868</v>
      </c>
      <c r="Q253" s="122">
        <v>108.71388888888926</v>
      </c>
      <c r="R253" s="121">
        <v>8.9346420374604367</v>
      </c>
      <c r="S253" s="121">
        <v>107.21570444952523</v>
      </c>
      <c r="T253" s="121">
        <v>14.877505277694382</v>
      </c>
      <c r="U253" s="20">
        <v>15951.022087995327</v>
      </c>
    </row>
    <row r="254" spans="2:21" x14ac:dyDescent="0.25">
      <c r="B254" s="5">
        <v>2024</v>
      </c>
      <c r="C254" s="5">
        <v>8</v>
      </c>
      <c r="D254" s="5" t="s">
        <v>0</v>
      </c>
      <c r="E254" s="127">
        <v>45520</v>
      </c>
      <c r="F254" s="5" t="s">
        <v>1</v>
      </c>
      <c r="G254" s="5" t="s">
        <v>11</v>
      </c>
      <c r="H254" s="5" t="s">
        <v>7</v>
      </c>
      <c r="I254">
        <v>2023</v>
      </c>
      <c r="J254" s="5" t="s">
        <v>304</v>
      </c>
      <c r="K254" s="5" t="s">
        <v>50</v>
      </c>
      <c r="L254" s="129">
        <v>45174</v>
      </c>
      <c r="M254" s="20">
        <v>3402.71</v>
      </c>
      <c r="N254" s="128">
        <v>41.88</v>
      </c>
      <c r="O254" s="20">
        <v>344.9245463228271</v>
      </c>
      <c r="P254" s="128">
        <v>11.339985084586095</v>
      </c>
      <c r="Q254" s="122">
        <v>81.249044890162367</v>
      </c>
      <c r="R254" s="121">
        <v>7.1648281972257921</v>
      </c>
      <c r="S254" s="121">
        <v>85.977938366709509</v>
      </c>
      <c r="T254" s="121">
        <v>15.526924917168962</v>
      </c>
      <c r="U254" s="20">
        <v>13349.729935528792</v>
      </c>
    </row>
    <row r="255" spans="2:21" x14ac:dyDescent="0.25">
      <c r="B255" s="5">
        <v>2024</v>
      </c>
      <c r="C255" s="5">
        <v>8</v>
      </c>
      <c r="D255" s="5" t="s">
        <v>0</v>
      </c>
      <c r="E255" s="127">
        <v>45522</v>
      </c>
      <c r="F255" s="5" t="s">
        <v>1</v>
      </c>
      <c r="G255" s="5" t="s">
        <v>11</v>
      </c>
      <c r="H255" s="5" t="s">
        <v>6</v>
      </c>
      <c r="I255">
        <v>2023</v>
      </c>
      <c r="J255" s="5" t="s">
        <v>304</v>
      </c>
      <c r="K255" s="5" t="s">
        <v>50</v>
      </c>
      <c r="L255" s="129">
        <v>45157</v>
      </c>
      <c r="M255" s="20">
        <v>3229.24</v>
      </c>
      <c r="N255" s="128">
        <v>40.409999999999997</v>
      </c>
      <c r="O255" s="20">
        <v>362.16208859193273</v>
      </c>
      <c r="P255" s="128">
        <v>11.906698803022445</v>
      </c>
      <c r="Q255" s="122">
        <v>79.911902994308335</v>
      </c>
      <c r="R255" s="121">
        <v>6.7115078928529845</v>
      </c>
      <c r="S255" s="121">
        <v>80.538094714235811</v>
      </c>
      <c r="T255" s="121">
        <v>15.418939945200728</v>
      </c>
      <c r="U255" s="20">
        <v>12418.120456996901</v>
      </c>
    </row>
    <row r="256" spans="2:21" x14ac:dyDescent="0.25">
      <c r="B256" s="5">
        <v>2024</v>
      </c>
      <c r="C256" s="5">
        <v>8</v>
      </c>
      <c r="D256" s="5" t="s">
        <v>0</v>
      </c>
      <c r="E256" s="127">
        <v>45522</v>
      </c>
      <c r="F256" s="5" t="s">
        <v>1</v>
      </c>
      <c r="G256" s="5" t="s">
        <v>11</v>
      </c>
      <c r="H256" s="5" t="s">
        <v>8</v>
      </c>
      <c r="I256">
        <v>2023</v>
      </c>
      <c r="J256" s="5" t="s">
        <v>304</v>
      </c>
      <c r="K256" s="5" t="s">
        <v>50</v>
      </c>
      <c r="L256" s="129">
        <v>45180</v>
      </c>
      <c r="M256" s="20">
        <v>2519.5</v>
      </c>
      <c r="N256" s="128">
        <v>40.909999999999997</v>
      </c>
      <c r="O256" s="20">
        <v>340.60914201906627</v>
      </c>
      <c r="P256" s="128">
        <v>11.198108778709029</v>
      </c>
      <c r="Q256" s="122">
        <v>61.58640919090687</v>
      </c>
      <c r="R256" s="121">
        <v>5.4997152115543964</v>
      </c>
      <c r="S256" s="121">
        <v>65.99658253865276</v>
      </c>
      <c r="T256" s="121">
        <v>15.451337209874975</v>
      </c>
      <c r="U256" s="20">
        <v>10197.354515040704</v>
      </c>
    </row>
    <row r="257" spans="2:21" x14ac:dyDescent="0.25">
      <c r="B257" s="5">
        <v>2024</v>
      </c>
      <c r="C257" s="5">
        <v>8</v>
      </c>
      <c r="D257" s="5" t="s">
        <v>0</v>
      </c>
      <c r="E257" s="127">
        <v>45522</v>
      </c>
      <c r="F257" s="5" t="s">
        <v>1</v>
      </c>
      <c r="G257" s="5" t="s">
        <v>14</v>
      </c>
      <c r="H257" s="5" t="s">
        <v>5</v>
      </c>
      <c r="I257">
        <v>2023</v>
      </c>
      <c r="J257" s="5" t="s">
        <v>351</v>
      </c>
      <c r="K257" s="5" t="s">
        <v>50</v>
      </c>
      <c r="L257" s="129">
        <v>45167</v>
      </c>
      <c r="M257" s="20">
        <v>3148.2999999999902</v>
      </c>
      <c r="N257" s="128">
        <v>41.88</v>
      </c>
      <c r="O257" s="20">
        <v>353.96824259789634</v>
      </c>
      <c r="P257" s="128">
        <v>11.637312085410292</v>
      </c>
      <c r="Q257" s="122">
        <v>75.174307545367483</v>
      </c>
      <c r="R257" s="121">
        <v>6.4597655363744684</v>
      </c>
      <c r="S257" s="121">
        <v>77.517186436493617</v>
      </c>
      <c r="T257" s="121">
        <v>15.601546783295765</v>
      </c>
      <c r="U257" s="20">
        <v>12093.880106984152</v>
      </c>
    </row>
    <row r="258" spans="2:21" x14ac:dyDescent="0.25">
      <c r="B258" s="5">
        <v>2024</v>
      </c>
      <c r="C258" s="5">
        <v>8</v>
      </c>
      <c r="D258" s="5" t="s">
        <v>0</v>
      </c>
      <c r="E258" s="127">
        <v>45524</v>
      </c>
      <c r="F258" s="5" t="s">
        <v>1</v>
      </c>
      <c r="G258" s="5" t="s">
        <v>14</v>
      </c>
      <c r="H258" s="5" t="s">
        <v>7</v>
      </c>
      <c r="I258">
        <v>2023</v>
      </c>
      <c r="J258" s="5" t="s">
        <v>351</v>
      </c>
      <c r="K258" s="5" t="s">
        <v>50</v>
      </c>
      <c r="L258" s="129">
        <v>45166</v>
      </c>
      <c r="M258" s="20">
        <v>3789.63</v>
      </c>
      <c r="N258" s="128">
        <v>41.88</v>
      </c>
      <c r="O258" s="20">
        <v>356.45845272206299</v>
      </c>
      <c r="P258" s="128">
        <v>11.719182007300702</v>
      </c>
      <c r="Q258" s="122">
        <v>90.487822349570195</v>
      </c>
      <c r="R258" s="121">
        <v>7.7213428627696876</v>
      </c>
      <c r="S258" s="121">
        <v>92.656114353236248</v>
      </c>
      <c r="T258" s="121">
        <v>15.413656902795259</v>
      </c>
      <c r="U258" s="20">
        <v>14281.695565869468</v>
      </c>
    </row>
    <row r="259" spans="2:21" x14ac:dyDescent="0.25">
      <c r="B259" s="5">
        <v>2024</v>
      </c>
      <c r="C259" s="5">
        <v>8</v>
      </c>
      <c r="D259" s="5" t="s">
        <v>0</v>
      </c>
      <c r="E259" s="127">
        <v>45526</v>
      </c>
      <c r="F259" s="5" t="s">
        <v>1</v>
      </c>
      <c r="G259" s="5" t="s">
        <v>2</v>
      </c>
      <c r="H259" s="5" t="s">
        <v>5</v>
      </c>
      <c r="I259">
        <v>2023</v>
      </c>
      <c r="J259" s="5" t="s">
        <v>304</v>
      </c>
      <c r="K259" s="5" t="s">
        <v>50</v>
      </c>
      <c r="L259" s="129">
        <v>45171</v>
      </c>
      <c r="M259" s="20">
        <v>3910.83</v>
      </c>
      <c r="N259" s="128">
        <v>41.879999999999903</v>
      </c>
      <c r="O259" s="20">
        <v>353.8256924546331</v>
      </c>
      <c r="P259" s="128">
        <v>11.632625505357801</v>
      </c>
      <c r="Q259" s="122">
        <v>93.381805157593334</v>
      </c>
      <c r="R259" s="121">
        <v>8.0275777050145027</v>
      </c>
      <c r="S259" s="121">
        <v>96.330932460174026</v>
      </c>
      <c r="T259" s="121">
        <v>14.965064342387677</v>
      </c>
      <c r="U259" s="20">
        <v>14415.98602428706</v>
      </c>
    </row>
    <row r="260" spans="2:21" x14ac:dyDescent="0.25">
      <c r="B260" s="5">
        <v>2024</v>
      </c>
      <c r="C260" s="5">
        <v>8</v>
      </c>
      <c r="D260" s="5" t="s">
        <v>0</v>
      </c>
      <c r="E260" s="127">
        <v>45535</v>
      </c>
      <c r="F260" s="5" t="s">
        <v>1</v>
      </c>
      <c r="G260" s="5" t="s">
        <v>14</v>
      </c>
      <c r="H260" s="5" t="s">
        <v>4</v>
      </c>
      <c r="I260">
        <v>2023</v>
      </c>
      <c r="J260" s="5" t="s">
        <v>351</v>
      </c>
      <c r="K260" s="5" t="s">
        <v>50</v>
      </c>
      <c r="L260" s="129">
        <v>45182</v>
      </c>
      <c r="M260" s="20">
        <v>2559.1799999999998</v>
      </c>
      <c r="N260" s="128">
        <v>37.61</v>
      </c>
      <c r="O260" s="20">
        <v>352.65328370114332</v>
      </c>
      <c r="P260" s="128">
        <v>11.59408056003759</v>
      </c>
      <c r="Q260" s="122">
        <v>68.045200744482841</v>
      </c>
      <c r="R260" s="121">
        <v>5.8689604917030378</v>
      </c>
      <c r="S260" s="121">
        <v>70.42752590043645</v>
      </c>
      <c r="T260" s="121">
        <v>15.675969741878259</v>
      </c>
      <c r="U260" s="20">
        <v>11040.197650105893</v>
      </c>
    </row>
    <row r="261" spans="2:21" x14ac:dyDescent="0.25">
      <c r="B261" s="5">
        <v>2024</v>
      </c>
      <c r="C261" s="5">
        <v>8</v>
      </c>
      <c r="D261" s="5" t="s">
        <v>75</v>
      </c>
      <c r="E261" s="127">
        <v>45505</v>
      </c>
      <c r="F261" s="5" t="s">
        <v>52</v>
      </c>
      <c r="G261" s="5" t="s">
        <v>26</v>
      </c>
      <c r="H261" s="5" t="s">
        <v>4</v>
      </c>
      <c r="I261">
        <v>2022</v>
      </c>
      <c r="J261" s="5" t="s">
        <v>64</v>
      </c>
      <c r="K261" s="5" t="s">
        <v>50</v>
      </c>
      <c r="L261" s="129">
        <v>45141</v>
      </c>
      <c r="M261" s="20">
        <v>1074.8689999999999</v>
      </c>
      <c r="N261" s="128">
        <v>6.78</v>
      </c>
      <c r="O261" s="20">
        <v>364</v>
      </c>
      <c r="P261" s="128">
        <v>11.967123287671233</v>
      </c>
      <c r="Q261" s="122">
        <v>158.53525073746312</v>
      </c>
      <c r="R261" s="121">
        <v>13.247565595049002</v>
      </c>
      <c r="S261" s="121">
        <v>158.97078714058802</v>
      </c>
      <c r="T261" s="121">
        <v>15.438856999999908</v>
      </c>
      <c r="U261" s="20">
        <v>24543.272498409628</v>
      </c>
    </row>
    <row r="262" spans="2:21" x14ac:dyDescent="0.25">
      <c r="B262" s="5">
        <v>2024</v>
      </c>
      <c r="C262" s="5">
        <v>8</v>
      </c>
      <c r="D262" s="5" t="s">
        <v>75</v>
      </c>
      <c r="E262" s="127">
        <v>45507</v>
      </c>
      <c r="F262" s="5" t="s">
        <v>52</v>
      </c>
      <c r="G262" s="5" t="s">
        <v>26</v>
      </c>
      <c r="H262" s="5" t="s">
        <v>7</v>
      </c>
      <c r="I262">
        <v>2022</v>
      </c>
      <c r="J262" s="5" t="s">
        <v>64</v>
      </c>
      <c r="K262" s="5" t="s">
        <v>50</v>
      </c>
      <c r="L262" s="129">
        <v>45153</v>
      </c>
      <c r="M262" s="20">
        <v>4589.6309999999903</v>
      </c>
      <c r="N262" s="128">
        <v>34.380000000000003</v>
      </c>
      <c r="O262" s="20">
        <v>353.05788248981963</v>
      </c>
      <c r="P262" s="128">
        <v>11.607382438021467</v>
      </c>
      <c r="Q262" s="122">
        <v>133.49712041884789</v>
      </c>
      <c r="R262" s="121">
        <v>11.501052983449652</v>
      </c>
      <c r="S262" s="121">
        <v>138.01263580139582</v>
      </c>
      <c r="T262" s="121">
        <v>15.319709152269571</v>
      </c>
      <c r="U262" s="20">
        <v>21143.134398154907</v>
      </c>
    </row>
    <row r="263" spans="2:21" x14ac:dyDescent="0.25">
      <c r="B263" s="5">
        <v>2024</v>
      </c>
      <c r="C263" s="5">
        <v>8</v>
      </c>
      <c r="D263" s="5" t="s">
        <v>75</v>
      </c>
      <c r="E263" s="127">
        <v>45510</v>
      </c>
      <c r="F263" s="5" t="s">
        <v>52</v>
      </c>
      <c r="G263" s="5" t="s">
        <v>30</v>
      </c>
      <c r="H263" s="5" t="s">
        <v>7</v>
      </c>
      <c r="I263">
        <v>2022</v>
      </c>
      <c r="J263" s="5" t="s">
        <v>64</v>
      </c>
      <c r="K263" s="5" t="s">
        <v>50</v>
      </c>
      <c r="L263" s="129">
        <v>45150</v>
      </c>
      <c r="M263" s="20">
        <v>5594.9699999999903</v>
      </c>
      <c r="N263" s="128">
        <v>38.96</v>
      </c>
      <c r="O263" s="20">
        <v>358.62833675564679</v>
      </c>
      <c r="P263" s="128">
        <v>11.79052066045962</v>
      </c>
      <c r="Q263" s="122">
        <v>143.60805954825437</v>
      </c>
      <c r="R263" s="121">
        <v>12.179959111547513</v>
      </c>
      <c r="S263" s="121">
        <v>146.15950933857016</v>
      </c>
      <c r="T263" s="121">
        <v>15.420008177659602</v>
      </c>
      <c r="U263" s="20">
        <v>22537.808292434671</v>
      </c>
    </row>
    <row r="264" spans="2:21" x14ac:dyDescent="0.25">
      <c r="B264" s="5">
        <v>2024</v>
      </c>
      <c r="C264" s="5">
        <v>8</v>
      </c>
      <c r="D264" s="5" t="s">
        <v>75</v>
      </c>
      <c r="E264" s="127">
        <v>45512</v>
      </c>
      <c r="F264" s="5" t="s">
        <v>52</v>
      </c>
      <c r="G264" s="5" t="s">
        <v>28</v>
      </c>
      <c r="H264" s="5" t="s">
        <v>5</v>
      </c>
      <c r="I264">
        <v>2022</v>
      </c>
      <c r="J264" s="5" t="s">
        <v>64</v>
      </c>
      <c r="K264" s="5" t="s">
        <v>50</v>
      </c>
      <c r="L264" s="129">
        <v>45145</v>
      </c>
      <c r="M264" s="20">
        <v>4294.26</v>
      </c>
      <c r="N264" s="128">
        <v>28.91</v>
      </c>
      <c r="O264" s="20">
        <v>365.70702179176754</v>
      </c>
      <c r="P264" s="128">
        <v>12.023244552058111</v>
      </c>
      <c r="Q264" s="122">
        <v>148.538913870633</v>
      </c>
      <c r="R264" s="121">
        <v>12.354311951943657</v>
      </c>
      <c r="S264" s="121">
        <v>148.25174342332389</v>
      </c>
      <c r="T264" s="121">
        <v>15.608627072051993</v>
      </c>
      <c r="U264" s="20">
        <v>23140.061758761993</v>
      </c>
    </row>
    <row r="265" spans="2:21" x14ac:dyDescent="0.25">
      <c r="B265" s="5">
        <v>2024</v>
      </c>
      <c r="C265" s="5">
        <v>8</v>
      </c>
      <c r="D265" s="5" t="s">
        <v>75</v>
      </c>
      <c r="E265" s="127">
        <v>45514</v>
      </c>
      <c r="F265" s="5" t="s">
        <v>52</v>
      </c>
      <c r="G265" s="5" t="s">
        <v>43</v>
      </c>
      <c r="H265" s="5" t="s">
        <v>4</v>
      </c>
      <c r="I265">
        <v>2022</v>
      </c>
      <c r="J265" s="5" t="s">
        <v>60</v>
      </c>
      <c r="K265" s="5" t="s">
        <v>50</v>
      </c>
      <c r="L265" s="129">
        <v>45148</v>
      </c>
      <c r="M265" s="20">
        <v>5531.8979999999901</v>
      </c>
      <c r="N265" s="128">
        <v>34.699999999999903</v>
      </c>
      <c r="O265" s="20">
        <v>364.85821325648516</v>
      </c>
      <c r="P265" s="128">
        <v>11.995338518021429</v>
      </c>
      <c r="Q265" s="122">
        <v>159.42069164265146</v>
      </c>
      <c r="R265" s="121">
        <v>13.290220313761274</v>
      </c>
      <c r="S265" s="121">
        <v>159.48264376513529</v>
      </c>
      <c r="T265" s="121">
        <v>15.087496464808309</v>
      </c>
      <c r="U265" s="20">
        <v>24061.938240047617</v>
      </c>
    </row>
    <row r="266" spans="2:21" x14ac:dyDescent="0.25">
      <c r="B266" s="5">
        <v>2024</v>
      </c>
      <c r="C266" s="5">
        <v>8</v>
      </c>
      <c r="D266" s="5" t="s">
        <v>75</v>
      </c>
      <c r="E266" s="127">
        <v>45514</v>
      </c>
      <c r="F266" s="5" t="s">
        <v>52</v>
      </c>
      <c r="G266" s="5" t="s">
        <v>33</v>
      </c>
      <c r="H266" s="5" t="s">
        <v>5</v>
      </c>
      <c r="I266">
        <v>2022</v>
      </c>
      <c r="J266" s="5" t="s">
        <v>60</v>
      </c>
      <c r="K266" s="5" t="s">
        <v>50</v>
      </c>
      <c r="L266" s="129">
        <v>45138</v>
      </c>
      <c r="M266" s="20">
        <v>816.18199999999899</v>
      </c>
      <c r="N266" s="128">
        <v>5.29</v>
      </c>
      <c r="O266" s="20">
        <v>368.9111531190926</v>
      </c>
      <c r="P266" s="128">
        <v>12.128585855970167</v>
      </c>
      <c r="Q266" s="122">
        <v>154.28771266540625</v>
      </c>
      <c r="R266" s="121">
        <v>12.72099769071262</v>
      </c>
      <c r="S266" s="121">
        <v>152.65197228855143</v>
      </c>
      <c r="T266" s="121">
        <v>14.95406858205647</v>
      </c>
      <c r="U266" s="20">
        <v>22827.680627891819</v>
      </c>
    </row>
    <row r="267" spans="2:21" x14ac:dyDescent="0.25">
      <c r="B267" s="5">
        <v>2024</v>
      </c>
      <c r="C267" s="5">
        <v>8</v>
      </c>
      <c r="D267" s="5" t="s">
        <v>75</v>
      </c>
      <c r="E267" s="127">
        <v>45517</v>
      </c>
      <c r="F267" s="5" t="s">
        <v>52</v>
      </c>
      <c r="G267" s="5" t="s">
        <v>35</v>
      </c>
      <c r="H267" s="5" t="s">
        <v>5</v>
      </c>
      <c r="I267">
        <v>2022</v>
      </c>
      <c r="J267" s="5" t="s">
        <v>60</v>
      </c>
      <c r="K267" s="5" t="s">
        <v>50</v>
      </c>
      <c r="L267" s="129">
        <v>45161</v>
      </c>
      <c r="M267" s="20">
        <v>2159.69</v>
      </c>
      <c r="N267" s="128">
        <v>14.04</v>
      </c>
      <c r="O267" s="20">
        <v>354.80128205128204</v>
      </c>
      <c r="P267" s="128">
        <v>11.664699683877766</v>
      </c>
      <c r="Q267" s="122">
        <v>153.82407407407408</v>
      </c>
      <c r="R267" s="121">
        <v>13.187143967939464</v>
      </c>
      <c r="S267" s="121">
        <v>158.24572761527358</v>
      </c>
      <c r="T267" s="121">
        <v>15.352631207113058</v>
      </c>
      <c r="U267" s="20">
        <v>24294.882961785621</v>
      </c>
    </row>
    <row r="268" spans="2:21" x14ac:dyDescent="0.25">
      <c r="B268" s="5">
        <v>2024</v>
      </c>
      <c r="C268" s="5">
        <v>8</v>
      </c>
      <c r="D268" s="5" t="s">
        <v>75</v>
      </c>
      <c r="E268" s="127">
        <v>45518</v>
      </c>
      <c r="F268" s="5" t="s">
        <v>52</v>
      </c>
      <c r="G268" s="5" t="s">
        <v>35</v>
      </c>
      <c r="H268" s="5" t="s">
        <v>3</v>
      </c>
      <c r="I268">
        <v>2022</v>
      </c>
      <c r="J268" s="5" t="s">
        <v>60</v>
      </c>
      <c r="K268" s="5" t="s">
        <v>50</v>
      </c>
      <c r="L268" s="129">
        <v>45156</v>
      </c>
      <c r="M268" s="20">
        <v>2185.66</v>
      </c>
      <c r="N268" s="128">
        <v>14.31</v>
      </c>
      <c r="O268" s="20">
        <v>359.93081761006283</v>
      </c>
      <c r="P268" s="128">
        <v>11.833341948823984</v>
      </c>
      <c r="Q268" s="122">
        <v>152.73654786862332</v>
      </c>
      <c r="R268" s="121">
        <v>12.907304506974254</v>
      </c>
      <c r="S268" s="121">
        <v>154.88765408369105</v>
      </c>
      <c r="T268" s="121">
        <v>14.766323307490598</v>
      </c>
      <c r="U268" s="20">
        <v>22871.211765385484</v>
      </c>
    </row>
    <row r="269" spans="2:21" x14ac:dyDescent="0.25">
      <c r="B269" s="5">
        <v>2024</v>
      </c>
      <c r="C269" s="5">
        <v>8</v>
      </c>
      <c r="D269" s="5" t="s">
        <v>75</v>
      </c>
      <c r="E269" s="127">
        <v>45518</v>
      </c>
      <c r="F269" s="5" t="s">
        <v>52</v>
      </c>
      <c r="G269" s="5" t="s">
        <v>35</v>
      </c>
      <c r="H269" s="5" t="s">
        <v>4</v>
      </c>
      <c r="I269">
        <v>2022</v>
      </c>
      <c r="J269" s="5" t="s">
        <v>60</v>
      </c>
      <c r="K269" s="5" t="s">
        <v>50</v>
      </c>
      <c r="L269" s="129">
        <v>45159</v>
      </c>
      <c r="M269" s="20">
        <v>2131.62</v>
      </c>
      <c r="N269" s="128">
        <v>14</v>
      </c>
      <c r="O269" s="20">
        <v>356.97285714285715</v>
      </c>
      <c r="P269" s="128">
        <v>11.736093933463795</v>
      </c>
      <c r="Q269" s="122">
        <v>152.25857142857143</v>
      </c>
      <c r="R269" s="121">
        <v>12.973530400470622</v>
      </c>
      <c r="S269" s="121">
        <v>155.68236480564747</v>
      </c>
      <c r="T269" s="121">
        <v>15.177810651363751</v>
      </c>
      <c r="U269" s="20">
        <v>23629.174547766532</v>
      </c>
    </row>
    <row r="270" spans="2:21" x14ac:dyDescent="0.25">
      <c r="B270" s="5">
        <v>2024</v>
      </c>
      <c r="C270" s="5">
        <v>8</v>
      </c>
      <c r="D270" s="5" t="s">
        <v>75</v>
      </c>
      <c r="E270" s="127">
        <v>45518</v>
      </c>
      <c r="F270" s="5" t="s">
        <v>52</v>
      </c>
      <c r="G270" s="5" t="s">
        <v>35</v>
      </c>
      <c r="H270" s="5" t="s">
        <v>6</v>
      </c>
      <c r="I270">
        <v>2022</v>
      </c>
      <c r="J270" s="5" t="s">
        <v>60</v>
      </c>
      <c r="K270" s="5" t="s">
        <v>50</v>
      </c>
      <c r="L270" s="129">
        <v>45164</v>
      </c>
      <c r="M270" s="20">
        <v>1737.02</v>
      </c>
      <c r="N270" s="128">
        <v>12.26</v>
      </c>
      <c r="O270" s="20">
        <v>353.28711256117458</v>
      </c>
      <c r="P270" s="128">
        <v>11.614918769134507</v>
      </c>
      <c r="Q270" s="122">
        <v>141.68189233278957</v>
      </c>
      <c r="R270" s="121">
        <v>12.198268033461856</v>
      </c>
      <c r="S270" s="121">
        <v>146.37921640154227</v>
      </c>
      <c r="T270" s="121">
        <v>15.063184603516365</v>
      </c>
      <c r="U270" s="20">
        <v>22049.371587745016</v>
      </c>
    </row>
    <row r="271" spans="2:21" x14ac:dyDescent="0.25">
      <c r="B271" s="5">
        <v>2024</v>
      </c>
      <c r="C271" s="5">
        <v>8</v>
      </c>
      <c r="D271" s="5" t="s">
        <v>22</v>
      </c>
      <c r="E271" s="127">
        <v>45507</v>
      </c>
      <c r="F271" s="5" t="s">
        <v>24</v>
      </c>
      <c r="G271" s="5" t="s">
        <v>13</v>
      </c>
      <c r="H271" s="5" t="s">
        <v>6</v>
      </c>
      <c r="I271">
        <v>2023</v>
      </c>
      <c r="J271" s="5" t="s">
        <v>304</v>
      </c>
      <c r="K271" s="5" t="s">
        <v>50</v>
      </c>
      <c r="L271" s="129">
        <v>45142</v>
      </c>
      <c r="M271" s="20">
        <v>2732.02</v>
      </c>
      <c r="N271" s="128">
        <v>18.059999999999999</v>
      </c>
      <c r="O271" s="20">
        <v>363.6135105204873</v>
      </c>
      <c r="P271" s="128">
        <v>11.954416784235198</v>
      </c>
      <c r="Q271" s="122">
        <v>151.2746400885936</v>
      </c>
      <c r="R271" s="121">
        <v>12.65428860470098</v>
      </c>
      <c r="S271" s="121">
        <v>151.85146325641176</v>
      </c>
      <c r="T271" s="121">
        <v>14.237724689972952</v>
      </c>
      <c r="U271" s="20">
        <v>21620.193276143342</v>
      </c>
    </row>
    <row r="272" spans="2:21" x14ac:dyDescent="0.25">
      <c r="B272" s="5">
        <v>2024</v>
      </c>
      <c r="C272" s="5">
        <v>8</v>
      </c>
      <c r="D272" s="5" t="s">
        <v>22</v>
      </c>
      <c r="E272" s="127">
        <v>45511</v>
      </c>
      <c r="F272" s="5" t="s">
        <v>29</v>
      </c>
      <c r="G272" s="5" t="s">
        <v>30</v>
      </c>
      <c r="H272" s="5" t="s">
        <v>7</v>
      </c>
      <c r="I272">
        <v>2022</v>
      </c>
      <c r="J272" s="5" t="s">
        <v>351</v>
      </c>
      <c r="K272" s="5" t="s">
        <v>50</v>
      </c>
      <c r="L272" s="129">
        <v>45143</v>
      </c>
      <c r="M272" s="20">
        <v>2007.894</v>
      </c>
      <c r="N272" s="128">
        <v>14.45</v>
      </c>
      <c r="O272" s="20">
        <v>365.1833910034602</v>
      </c>
      <c r="P272" s="128">
        <v>12.006029293264445</v>
      </c>
      <c r="Q272" s="122">
        <v>138.95460207612459</v>
      </c>
      <c r="R272" s="121">
        <v>11.5737350527772</v>
      </c>
      <c r="S272" s="121">
        <v>138.8848206333264</v>
      </c>
      <c r="T272" s="121">
        <v>15.588972569868728</v>
      </c>
      <c r="U272" s="20">
        <v>21650.716592240638</v>
      </c>
    </row>
    <row r="273" spans="2:21" x14ac:dyDescent="0.25">
      <c r="B273" s="5">
        <v>2024</v>
      </c>
      <c r="C273" s="5">
        <v>8</v>
      </c>
      <c r="D273" s="5" t="s">
        <v>22</v>
      </c>
      <c r="E273" s="127">
        <v>45518</v>
      </c>
      <c r="F273" s="5" t="s">
        <v>29</v>
      </c>
      <c r="G273" s="5" t="s">
        <v>30</v>
      </c>
      <c r="H273" s="5" t="s">
        <v>5</v>
      </c>
      <c r="I273">
        <v>2022</v>
      </c>
      <c r="J273" s="5" t="s">
        <v>289</v>
      </c>
      <c r="K273" s="5" t="s">
        <v>50</v>
      </c>
      <c r="L273" s="129">
        <v>45146</v>
      </c>
      <c r="M273" s="20">
        <v>1834.87</v>
      </c>
      <c r="N273" s="128">
        <v>14.04</v>
      </c>
      <c r="O273" s="20">
        <v>363.95940170940173</v>
      </c>
      <c r="P273" s="128">
        <v>11.965788549350192</v>
      </c>
      <c r="Q273" s="122">
        <v>130.68874643874645</v>
      </c>
      <c r="R273" s="121">
        <v>10.921866611611113</v>
      </c>
      <c r="S273" s="121">
        <v>131.06239933933335</v>
      </c>
      <c r="T273" s="121">
        <v>15.061291547373875</v>
      </c>
      <c r="U273" s="20">
        <v>19739.690073480408</v>
      </c>
    </row>
    <row r="274" spans="2:21" x14ac:dyDescent="0.25">
      <c r="B274" s="5">
        <v>2024</v>
      </c>
      <c r="C274" s="5">
        <v>8</v>
      </c>
      <c r="D274" s="5" t="s">
        <v>22</v>
      </c>
      <c r="E274" s="127">
        <v>45530</v>
      </c>
      <c r="F274" s="5" t="s">
        <v>24</v>
      </c>
      <c r="G274" s="5" t="s">
        <v>14</v>
      </c>
      <c r="H274" s="5" t="s">
        <v>5</v>
      </c>
      <c r="I274">
        <v>2023</v>
      </c>
      <c r="J274" s="5" t="s">
        <v>315</v>
      </c>
      <c r="K274" s="5" t="s">
        <v>50</v>
      </c>
      <c r="L274" s="129">
        <v>45197</v>
      </c>
      <c r="M274" s="20">
        <v>2310.2799999999902</v>
      </c>
      <c r="N274" s="128">
        <v>19.659999999999901</v>
      </c>
      <c r="O274" s="20">
        <v>331.4572736520866</v>
      </c>
      <c r="P274" s="128">
        <v>10.897225435137095</v>
      </c>
      <c r="Q274" s="122">
        <v>117.5116988809767</v>
      </c>
      <c r="R274" s="121">
        <v>10.783634750004447</v>
      </c>
      <c r="S274" s="121">
        <v>129.40361700005337</v>
      </c>
      <c r="T274" s="121">
        <v>14.983729375002184</v>
      </c>
      <c r="U274" s="20">
        <v>19389.48777275232</v>
      </c>
    </row>
    <row r="275" spans="2:21" x14ac:dyDescent="0.25">
      <c r="B275" s="5">
        <v>2024</v>
      </c>
      <c r="C275" s="5">
        <v>8</v>
      </c>
      <c r="D275" s="5" t="s">
        <v>22</v>
      </c>
      <c r="E275" s="127">
        <v>45532</v>
      </c>
      <c r="F275" s="5" t="s">
        <v>24</v>
      </c>
      <c r="G275" s="5" t="s">
        <v>14</v>
      </c>
      <c r="H275" s="5" t="s">
        <v>7</v>
      </c>
      <c r="I275">
        <v>2023</v>
      </c>
      <c r="J275" s="5" t="s">
        <v>304</v>
      </c>
      <c r="K275" s="5" t="s">
        <v>50</v>
      </c>
      <c r="L275" s="129">
        <v>45208</v>
      </c>
      <c r="M275" s="20">
        <v>2219.5059999999999</v>
      </c>
      <c r="N275" s="128">
        <v>17.43</v>
      </c>
      <c r="O275" s="20">
        <v>318.15088927137117</v>
      </c>
      <c r="P275" s="128">
        <v>10.459755263716312</v>
      </c>
      <c r="Q275" s="122">
        <v>127.33826735513482</v>
      </c>
      <c r="R275" s="121">
        <v>12.174115373125089</v>
      </c>
      <c r="S275" s="121">
        <v>146.08938447750106</v>
      </c>
      <c r="T275" s="121">
        <v>15.24179486580077</v>
      </c>
      <c r="U275" s="20">
        <v>22266.644302771703</v>
      </c>
    </row>
    <row r="276" spans="2:21" x14ac:dyDescent="0.25">
      <c r="B276" s="5">
        <v>2024</v>
      </c>
      <c r="C276" s="5">
        <v>8</v>
      </c>
      <c r="D276" s="5" t="s">
        <v>22</v>
      </c>
      <c r="E276" s="127">
        <v>45533</v>
      </c>
      <c r="F276" s="5" t="s">
        <v>24</v>
      </c>
      <c r="G276" s="5" t="s">
        <v>14</v>
      </c>
      <c r="H276" s="5" t="s">
        <v>6</v>
      </c>
      <c r="I276">
        <v>2023</v>
      </c>
      <c r="J276" s="5" t="s">
        <v>315</v>
      </c>
      <c r="K276" s="5" t="s">
        <v>50</v>
      </c>
      <c r="L276" s="129">
        <v>45203</v>
      </c>
      <c r="M276" s="20">
        <v>2255.54</v>
      </c>
      <c r="N276" s="128">
        <v>19.59</v>
      </c>
      <c r="O276" s="20">
        <v>327.39407861153649</v>
      </c>
      <c r="P276" s="128">
        <v>10.763640940653254</v>
      </c>
      <c r="Q276" s="122">
        <v>115.13731495661051</v>
      </c>
      <c r="R276" s="121">
        <v>10.696874374706029</v>
      </c>
      <c r="S276" s="121">
        <v>128.36249249647236</v>
      </c>
      <c r="T276" s="121">
        <v>14.880776728459704</v>
      </c>
      <c r="U276" s="20">
        <v>19101.33591148589</v>
      </c>
    </row>
    <row r="277" spans="2:21" x14ac:dyDescent="0.25">
      <c r="B277" s="5">
        <v>2024</v>
      </c>
      <c r="C277" s="5">
        <v>8</v>
      </c>
      <c r="D277" s="5" t="s">
        <v>22</v>
      </c>
      <c r="E277" s="127">
        <v>45535</v>
      </c>
      <c r="F277" s="5" t="s">
        <v>24</v>
      </c>
      <c r="G277" s="5" t="s">
        <v>13</v>
      </c>
      <c r="H277" s="5" t="s">
        <v>3</v>
      </c>
      <c r="I277">
        <v>2022</v>
      </c>
      <c r="J277" s="5" t="s">
        <v>62</v>
      </c>
      <c r="K277" s="5" t="s">
        <v>79</v>
      </c>
      <c r="L277" s="129">
        <v>45220</v>
      </c>
      <c r="M277" s="20">
        <v>1271.48</v>
      </c>
      <c r="N277" s="128">
        <v>10.68</v>
      </c>
      <c r="O277" s="20">
        <v>314.11142322097379</v>
      </c>
      <c r="P277" s="128">
        <v>10.326950900415577</v>
      </c>
      <c r="Q277" s="122">
        <v>119.05243445692885</v>
      </c>
      <c r="R277" s="121">
        <v>11.528323859091648</v>
      </c>
      <c r="S277" s="121">
        <v>138.33988630909977</v>
      </c>
      <c r="T277" s="121">
        <v>15.16662179084217</v>
      </c>
      <c r="U277" s="20">
        <v>20981.48734238221</v>
      </c>
    </row>
    <row r="278" spans="2:21" x14ac:dyDescent="0.25">
      <c r="B278" s="5">
        <v>2024</v>
      </c>
      <c r="C278" s="5">
        <v>8</v>
      </c>
      <c r="D278" s="5" t="s">
        <v>22</v>
      </c>
      <c r="E278" s="127">
        <v>45535</v>
      </c>
      <c r="F278" s="5" t="s">
        <v>24</v>
      </c>
      <c r="G278" s="5" t="s">
        <v>14</v>
      </c>
      <c r="H278" s="5" t="s">
        <v>8</v>
      </c>
      <c r="I278">
        <v>2022</v>
      </c>
      <c r="J278" s="5" t="s">
        <v>304</v>
      </c>
      <c r="K278" s="5" t="s">
        <v>50</v>
      </c>
      <c r="L278" s="129">
        <v>45208</v>
      </c>
      <c r="M278" s="20">
        <v>2006.0249999999901</v>
      </c>
      <c r="N278" s="128">
        <v>18.77</v>
      </c>
      <c r="O278" s="20">
        <v>324.27330847096374</v>
      </c>
      <c r="P278" s="128">
        <v>10.661040278497438</v>
      </c>
      <c r="Q278" s="122">
        <v>106.87400106552957</v>
      </c>
      <c r="R278" s="121">
        <v>10.024725380794859</v>
      </c>
      <c r="S278" s="121">
        <v>120.29670456953831</v>
      </c>
      <c r="T278" s="121">
        <v>15.313126271028551</v>
      </c>
      <c r="U278" s="20">
        <v>18421.186270619575</v>
      </c>
    </row>
    <row r="279" spans="2:21" x14ac:dyDescent="0.25">
      <c r="B279" s="5">
        <v>2024</v>
      </c>
      <c r="C279" s="5">
        <v>8</v>
      </c>
      <c r="D279" s="5" t="s">
        <v>22</v>
      </c>
      <c r="E279" s="127">
        <v>45535</v>
      </c>
      <c r="F279" s="5" t="s">
        <v>24</v>
      </c>
      <c r="G279" s="5" t="s">
        <v>15</v>
      </c>
      <c r="H279" s="5" t="s">
        <v>3</v>
      </c>
      <c r="I279">
        <v>2023</v>
      </c>
      <c r="J279" s="5" t="s">
        <v>315</v>
      </c>
      <c r="K279" s="5" t="s">
        <v>50</v>
      </c>
      <c r="L279" s="129">
        <v>45177</v>
      </c>
      <c r="M279" s="20">
        <v>2059.08</v>
      </c>
      <c r="N279" s="128">
        <v>18.43</v>
      </c>
      <c r="O279" s="20">
        <v>356.1665762344004</v>
      </c>
      <c r="P279" s="128">
        <v>11.709586067980286</v>
      </c>
      <c r="Q279" s="122">
        <v>111.72436245252305</v>
      </c>
      <c r="R279" s="121">
        <v>9.5412734322037132</v>
      </c>
      <c r="S279" s="121">
        <v>114.49528118644456</v>
      </c>
      <c r="T279" s="121">
        <v>15.416912513530267</v>
      </c>
      <c r="U279" s="20">
        <v>17651.637332634637</v>
      </c>
    </row>
    <row r="280" spans="2:21" x14ac:dyDescent="0.25">
      <c r="B280" s="5">
        <v>2024</v>
      </c>
      <c r="C280" s="5">
        <v>8</v>
      </c>
      <c r="D280" s="5" t="s">
        <v>22</v>
      </c>
      <c r="E280" s="127">
        <v>45535</v>
      </c>
      <c r="F280" s="5" t="s">
        <v>24</v>
      </c>
      <c r="G280" s="5" t="s">
        <v>15</v>
      </c>
      <c r="H280" s="5" t="s">
        <v>4</v>
      </c>
      <c r="I280">
        <v>2023</v>
      </c>
      <c r="J280" s="5" t="s">
        <v>304</v>
      </c>
      <c r="K280" s="5" t="s">
        <v>50</v>
      </c>
      <c r="L280" s="129">
        <v>45179</v>
      </c>
      <c r="M280" s="20">
        <v>295.04000000000002</v>
      </c>
      <c r="N280" s="128">
        <v>1.5</v>
      </c>
      <c r="O280" s="20">
        <v>354.96000000000004</v>
      </c>
      <c r="P280" s="128">
        <v>11.669917808219179</v>
      </c>
      <c r="Q280" s="122">
        <v>196.69333333333336</v>
      </c>
      <c r="R280" s="121">
        <v>16.854731675556557</v>
      </c>
      <c r="S280" s="121">
        <v>202.25678010667869</v>
      </c>
      <c r="T280" s="121">
        <v>15.771993242543383</v>
      </c>
      <c r="U280" s="20">
        <v>31899.925691011191</v>
      </c>
    </row>
    <row r="281" spans="2:21" x14ac:dyDescent="0.25">
      <c r="B281" s="5">
        <v>2024</v>
      </c>
      <c r="C281" s="5">
        <v>8</v>
      </c>
      <c r="D281" s="5" t="s">
        <v>22</v>
      </c>
      <c r="E281" s="127">
        <v>45535</v>
      </c>
      <c r="F281" s="5" t="s">
        <v>24</v>
      </c>
      <c r="G281" s="5" t="s">
        <v>15</v>
      </c>
      <c r="H281" s="5" t="s">
        <v>5</v>
      </c>
      <c r="I281">
        <v>2023</v>
      </c>
      <c r="J281" s="5" t="s">
        <v>304</v>
      </c>
      <c r="K281" s="5" t="s">
        <v>50</v>
      </c>
      <c r="L281" s="129">
        <v>45175</v>
      </c>
      <c r="M281" s="20">
        <v>1009.745</v>
      </c>
      <c r="N281" s="128">
        <v>9.07</v>
      </c>
      <c r="O281" s="20">
        <v>359.82249173098126</v>
      </c>
      <c r="P281" s="128">
        <v>11.829780550059658</v>
      </c>
      <c r="Q281" s="122">
        <v>111.32800441014332</v>
      </c>
      <c r="R281" s="121">
        <v>9.4108258339231732</v>
      </c>
      <c r="S281" s="121">
        <v>112.92991000707808</v>
      </c>
      <c r="T281" s="121">
        <v>15.277126418224402</v>
      </c>
      <c r="U281" s="20">
        <v>17252.445115768365</v>
      </c>
    </row>
    <row r="282" spans="2:21" x14ac:dyDescent="0.25">
      <c r="B282" s="5">
        <v>2024</v>
      </c>
      <c r="C282" s="5">
        <v>8</v>
      </c>
      <c r="D282" s="5" t="s">
        <v>19</v>
      </c>
      <c r="E282" s="127">
        <v>45505</v>
      </c>
      <c r="F282" s="5" t="s">
        <v>20</v>
      </c>
      <c r="G282" s="5" t="s">
        <v>21</v>
      </c>
      <c r="H282" s="5" t="s">
        <v>5</v>
      </c>
      <c r="I282">
        <v>2022</v>
      </c>
      <c r="J282" s="5" t="s">
        <v>283</v>
      </c>
      <c r="K282" s="5" t="s">
        <v>50</v>
      </c>
      <c r="L282" s="129">
        <v>45139</v>
      </c>
      <c r="M282" s="20">
        <v>11.319000000000001</v>
      </c>
      <c r="N282" s="128">
        <v>0.1</v>
      </c>
      <c r="O282" s="20">
        <v>366</v>
      </c>
      <c r="P282" s="128">
        <v>12.032876712328767</v>
      </c>
      <c r="Q282" s="122">
        <v>113.19</v>
      </c>
      <c r="R282" s="121">
        <v>9.4067281420765028</v>
      </c>
      <c r="S282" s="121">
        <v>112.88073770491803</v>
      </c>
      <c r="T282" s="121">
        <v>12.698</v>
      </c>
      <c r="U282" s="20">
        <v>14333.596073770494</v>
      </c>
    </row>
    <row r="283" spans="2:21" x14ac:dyDescent="0.25">
      <c r="B283" s="5">
        <v>2024</v>
      </c>
      <c r="C283" s="5">
        <v>8</v>
      </c>
      <c r="D283" s="5" t="s">
        <v>19</v>
      </c>
      <c r="E283" s="127">
        <v>45505</v>
      </c>
      <c r="F283" s="5" t="s">
        <v>20</v>
      </c>
      <c r="G283" s="5" t="s">
        <v>26</v>
      </c>
      <c r="H283" s="5" t="s">
        <v>3</v>
      </c>
      <c r="I283">
        <v>2021</v>
      </c>
      <c r="J283" s="5" t="s">
        <v>64</v>
      </c>
      <c r="K283" s="5" t="s">
        <v>50</v>
      </c>
      <c r="L283" s="129">
        <v>45089</v>
      </c>
      <c r="M283" s="20">
        <v>12.260999999999999</v>
      </c>
      <c r="N283" s="128">
        <v>0.14000000000000001</v>
      </c>
      <c r="O283" s="20">
        <v>416</v>
      </c>
      <c r="P283" s="128">
        <v>13.676712328767124</v>
      </c>
      <c r="Q283" s="122">
        <v>87.578571428571408</v>
      </c>
      <c r="R283" s="121">
        <v>6.4034812843406579</v>
      </c>
      <c r="S283" s="121">
        <v>76.841775412087898</v>
      </c>
      <c r="T283" s="121">
        <v>13.006</v>
      </c>
      <c r="U283" s="20">
        <v>9994.0413100961523</v>
      </c>
    </row>
    <row r="284" spans="2:21" x14ac:dyDescent="0.25">
      <c r="B284" s="5">
        <v>2024</v>
      </c>
      <c r="C284" s="5">
        <v>8</v>
      </c>
      <c r="D284" s="5" t="s">
        <v>19</v>
      </c>
      <c r="E284" s="127">
        <v>45510</v>
      </c>
      <c r="F284" s="5" t="s">
        <v>20</v>
      </c>
      <c r="G284" s="5" t="s">
        <v>9</v>
      </c>
      <c r="H284" s="5" t="s">
        <v>3</v>
      </c>
      <c r="I284">
        <v>2023</v>
      </c>
      <c r="J284" s="5" t="s">
        <v>304</v>
      </c>
      <c r="K284" s="5" t="s">
        <v>50</v>
      </c>
      <c r="L284" s="129">
        <v>45120</v>
      </c>
      <c r="M284" s="20">
        <v>48.14</v>
      </c>
      <c r="N284" s="128">
        <v>0.8</v>
      </c>
      <c r="O284" s="20">
        <v>389.24999999999994</v>
      </c>
      <c r="P284" s="128">
        <v>12.797260273972601</v>
      </c>
      <c r="Q284" s="122">
        <v>60.174999999999997</v>
      </c>
      <c r="R284" s="121">
        <v>4.7021783344037686</v>
      </c>
      <c r="S284" s="121">
        <v>56.426140012845224</v>
      </c>
      <c r="T284" s="121">
        <v>13.707282509347735</v>
      </c>
      <c r="U284" s="20">
        <v>7734.4904206807969</v>
      </c>
    </row>
    <row r="285" spans="2:21" x14ac:dyDescent="0.25">
      <c r="B285" s="5">
        <v>2024</v>
      </c>
      <c r="C285" s="5">
        <v>8</v>
      </c>
      <c r="D285" s="5" t="s">
        <v>19</v>
      </c>
      <c r="E285" s="127">
        <v>45513</v>
      </c>
      <c r="F285" s="5" t="s">
        <v>20</v>
      </c>
      <c r="G285" s="5" t="s">
        <v>9</v>
      </c>
      <c r="H285" s="5" t="s">
        <v>4</v>
      </c>
      <c r="I285">
        <v>2023</v>
      </c>
      <c r="J285" s="5" t="s">
        <v>62</v>
      </c>
      <c r="K285" s="5" t="s">
        <v>79</v>
      </c>
      <c r="L285" s="129">
        <v>45166</v>
      </c>
      <c r="M285" s="20">
        <v>1079.0630000000001</v>
      </c>
      <c r="N285" s="128">
        <v>12.86</v>
      </c>
      <c r="O285" s="20">
        <v>345.88413685847587</v>
      </c>
      <c r="P285" s="128">
        <v>11.371533266580029</v>
      </c>
      <c r="Q285" s="122">
        <v>83.90847589424574</v>
      </c>
      <c r="R285" s="121">
        <v>7.3788181353560853</v>
      </c>
      <c r="S285" s="121">
        <v>88.545817624273027</v>
      </c>
      <c r="T285" s="121">
        <v>14.378420339924546</v>
      </c>
      <c r="U285" s="20">
        <v>12731.489851440965</v>
      </c>
    </row>
    <row r="286" spans="2:21" x14ac:dyDescent="0.25">
      <c r="B286" s="5">
        <v>2024</v>
      </c>
      <c r="C286" s="5">
        <v>8</v>
      </c>
      <c r="D286" s="5" t="s">
        <v>19</v>
      </c>
      <c r="E286" s="127">
        <v>45514</v>
      </c>
      <c r="F286" s="5" t="s">
        <v>20</v>
      </c>
      <c r="G286" s="5" t="s">
        <v>2</v>
      </c>
      <c r="H286" s="5" t="s">
        <v>8</v>
      </c>
      <c r="I286">
        <v>2022</v>
      </c>
      <c r="J286" s="5" t="s">
        <v>63</v>
      </c>
      <c r="K286" s="5" t="s">
        <v>50</v>
      </c>
      <c r="L286" s="129">
        <v>45122</v>
      </c>
      <c r="M286" s="20">
        <v>26.28</v>
      </c>
      <c r="N286" s="128">
        <v>0.12</v>
      </c>
      <c r="O286" s="20">
        <v>392</v>
      </c>
      <c r="P286" s="128">
        <v>12.887671232876713</v>
      </c>
      <c r="Q286" s="122">
        <v>219.00000000000003</v>
      </c>
      <c r="R286" s="121">
        <v>16.992984693877556</v>
      </c>
      <c r="S286" s="121">
        <v>203.91581632653066</v>
      </c>
      <c r="T286" s="121">
        <v>13.793118</v>
      </c>
      <c r="U286" s="20">
        <v>28126.34916658164</v>
      </c>
    </row>
    <row r="287" spans="2:21" x14ac:dyDescent="0.25">
      <c r="B287" s="5">
        <v>2024</v>
      </c>
      <c r="C287" s="5">
        <v>8</v>
      </c>
      <c r="D287" s="5" t="s">
        <v>19</v>
      </c>
      <c r="E287" s="127">
        <v>45515</v>
      </c>
      <c r="F287" s="5" t="s">
        <v>20</v>
      </c>
      <c r="G287" s="5" t="s">
        <v>10</v>
      </c>
      <c r="H287" s="5" t="s">
        <v>6</v>
      </c>
      <c r="I287">
        <v>2022</v>
      </c>
      <c r="J287" s="5" t="s">
        <v>64</v>
      </c>
      <c r="K287" s="5" t="s">
        <v>50</v>
      </c>
      <c r="L287" s="129">
        <v>45171</v>
      </c>
      <c r="M287" s="20">
        <v>3524.4670000000001</v>
      </c>
      <c r="N287" s="128">
        <v>38.49</v>
      </c>
      <c r="O287" s="20">
        <v>343.08963367108339</v>
      </c>
      <c r="P287" s="128">
        <v>11.279659189186303</v>
      </c>
      <c r="Q287" s="122">
        <v>91.568381397765648</v>
      </c>
      <c r="R287" s="121">
        <v>8.1180095836185675</v>
      </c>
      <c r="S287" s="121">
        <v>97.416115003422803</v>
      </c>
      <c r="T287" s="121">
        <v>14.106095974441525</v>
      </c>
      <c r="U287" s="20">
        <v>13741.61067695515</v>
      </c>
    </row>
    <row r="288" spans="2:21" x14ac:dyDescent="0.25">
      <c r="B288" s="5">
        <v>2024</v>
      </c>
      <c r="C288" s="5">
        <v>8</v>
      </c>
      <c r="D288" s="5" t="s">
        <v>19</v>
      </c>
      <c r="E288" s="127">
        <v>45517</v>
      </c>
      <c r="F288" s="5" t="s">
        <v>20</v>
      </c>
      <c r="G288" s="5" t="s">
        <v>15</v>
      </c>
      <c r="H288" s="5" t="s">
        <v>6</v>
      </c>
      <c r="I288">
        <v>2024</v>
      </c>
      <c r="J288" s="5" t="s">
        <v>315</v>
      </c>
      <c r="K288" s="5" t="s">
        <v>50</v>
      </c>
      <c r="L288" s="129">
        <v>45342</v>
      </c>
      <c r="M288" s="20">
        <v>546.27</v>
      </c>
      <c r="N288" s="128">
        <v>4.5</v>
      </c>
      <c r="O288" s="20">
        <v>174.0999999999998</v>
      </c>
      <c r="P288" s="128">
        <v>5.7238356164383495</v>
      </c>
      <c r="Q288" s="122">
        <v>121.39333333333333</v>
      </c>
      <c r="R288" s="121">
        <v>21.208389176080182</v>
      </c>
      <c r="S288" s="121">
        <v>254.50067011296218</v>
      </c>
      <c r="T288" s="121">
        <v>14.847131716147693</v>
      </c>
      <c r="U288" s="20">
        <v>37786.049710150022</v>
      </c>
    </row>
    <row r="289" spans="2:21" x14ac:dyDescent="0.25">
      <c r="B289" s="5">
        <v>2024</v>
      </c>
      <c r="C289" s="5">
        <v>8</v>
      </c>
      <c r="D289" s="5" t="s">
        <v>19</v>
      </c>
      <c r="E289" s="127">
        <v>45520</v>
      </c>
      <c r="F289" s="5" t="s">
        <v>20</v>
      </c>
      <c r="G289" s="5" t="s">
        <v>2</v>
      </c>
      <c r="H289" s="5" t="s">
        <v>3</v>
      </c>
      <c r="I289">
        <v>2023</v>
      </c>
      <c r="J289" s="5" t="s">
        <v>62</v>
      </c>
      <c r="K289" s="5" t="s">
        <v>79</v>
      </c>
      <c r="L289" s="129">
        <v>45162</v>
      </c>
      <c r="M289" s="20">
        <v>1795.36</v>
      </c>
      <c r="N289" s="128">
        <v>18.38</v>
      </c>
      <c r="O289" s="20">
        <v>353.69314472252398</v>
      </c>
      <c r="P289" s="128">
        <v>11.628267771699418</v>
      </c>
      <c r="Q289" s="122">
        <v>97.68008705114255</v>
      </c>
      <c r="R289" s="121">
        <v>8.4002268410840895</v>
      </c>
      <c r="S289" s="121">
        <v>100.80272209300908</v>
      </c>
      <c r="T289" s="121">
        <v>15.027000394338685</v>
      </c>
      <c r="U289" s="20">
        <v>15147.625446420605</v>
      </c>
    </row>
    <row r="290" spans="2:21" x14ac:dyDescent="0.25">
      <c r="B290" s="5">
        <v>2024</v>
      </c>
      <c r="C290" s="134" t="s">
        <v>314</v>
      </c>
      <c r="D290" s="134"/>
      <c r="E290" s="134"/>
      <c r="F290" s="134"/>
      <c r="G290" s="134"/>
      <c r="H290" s="134"/>
      <c r="I290" s="134"/>
      <c r="J290" s="134"/>
      <c r="K290" s="134"/>
      <c r="L290" s="134"/>
      <c r="M290" s="130">
        <v>88541.250999999902</v>
      </c>
      <c r="N290" s="131">
        <v>791.13999999999942</v>
      </c>
      <c r="O290" s="130">
        <v>354.10952549485546</v>
      </c>
      <c r="P290" s="131">
        <v>11.641957002570591</v>
      </c>
      <c r="Q290" s="132">
        <v>111.91603382460748</v>
      </c>
      <c r="R290" s="133">
        <v>9.6131633023465017</v>
      </c>
      <c r="S290" s="133">
        <v>115.35795962815801</v>
      </c>
      <c r="T290" s="133">
        <v>15.06903002862218</v>
      </c>
      <c r="U290" s="130">
        <v>17383.325576772982</v>
      </c>
    </row>
    <row r="291" spans="2:21" x14ac:dyDescent="0.25">
      <c r="B291" s="5">
        <v>2024</v>
      </c>
      <c r="C291" s="5">
        <v>9</v>
      </c>
      <c r="D291" s="5" t="s">
        <v>78</v>
      </c>
      <c r="E291" s="127">
        <v>45564</v>
      </c>
      <c r="F291" s="5" t="s">
        <v>49</v>
      </c>
      <c r="G291" s="5" t="s">
        <v>2</v>
      </c>
      <c r="H291" s="5" t="s">
        <v>3</v>
      </c>
      <c r="I291">
        <v>2022</v>
      </c>
      <c r="J291" s="5" t="s">
        <v>61</v>
      </c>
      <c r="K291" s="5" t="s">
        <v>50</v>
      </c>
      <c r="L291" s="129">
        <v>45105</v>
      </c>
      <c r="M291" s="20">
        <v>2145.85</v>
      </c>
      <c r="N291" s="128">
        <v>15.68</v>
      </c>
      <c r="O291" s="20">
        <v>457.71237244897964</v>
      </c>
      <c r="P291" s="128">
        <v>15.048077998322617</v>
      </c>
      <c r="Q291" s="122">
        <v>136.85267857142856</v>
      </c>
      <c r="R291" s="121">
        <v>9.0943626545983651</v>
      </c>
      <c r="S291" s="121">
        <v>109.13235185518039</v>
      </c>
      <c r="T291" s="121">
        <v>13.972791663443346</v>
      </c>
      <c r="U291" s="20">
        <v>15248.836162140306</v>
      </c>
    </row>
    <row r="292" spans="2:21" x14ac:dyDescent="0.25">
      <c r="B292" s="5">
        <v>2024</v>
      </c>
      <c r="C292" s="5">
        <v>9</v>
      </c>
      <c r="D292" s="5" t="s">
        <v>78</v>
      </c>
      <c r="E292" s="127">
        <v>45564</v>
      </c>
      <c r="F292" s="5" t="s">
        <v>49</v>
      </c>
      <c r="G292" s="5" t="s">
        <v>2</v>
      </c>
      <c r="H292" s="5" t="s">
        <v>4</v>
      </c>
      <c r="I292">
        <v>2022</v>
      </c>
      <c r="J292" s="5" t="s">
        <v>61</v>
      </c>
      <c r="K292" s="5" t="s">
        <v>50</v>
      </c>
      <c r="L292" s="129">
        <v>45162</v>
      </c>
      <c r="M292" s="20">
        <v>690.51</v>
      </c>
      <c r="N292" s="128">
        <v>5.91</v>
      </c>
      <c r="O292" s="20">
        <v>401.23181049069206</v>
      </c>
      <c r="P292" s="128">
        <v>13.191182810652888</v>
      </c>
      <c r="Q292" s="122">
        <v>116.83756345177665</v>
      </c>
      <c r="R292" s="121">
        <v>8.8572469299281753</v>
      </c>
      <c r="S292" s="121">
        <v>106.28696315913811</v>
      </c>
      <c r="T292" s="121">
        <v>14.142841359647216</v>
      </c>
      <c r="U292" s="20">
        <v>15031.996585583584</v>
      </c>
    </row>
    <row r="293" spans="2:21" x14ac:dyDescent="0.25">
      <c r="B293" s="5">
        <v>2024</v>
      </c>
      <c r="C293" s="5">
        <v>9</v>
      </c>
      <c r="D293" s="5" t="s">
        <v>17</v>
      </c>
      <c r="E293" s="127">
        <v>45544</v>
      </c>
      <c r="F293" s="5" t="s">
        <v>18</v>
      </c>
      <c r="G293" s="5" t="s">
        <v>13</v>
      </c>
      <c r="H293" s="5" t="s">
        <v>3</v>
      </c>
      <c r="I293">
        <v>2022</v>
      </c>
      <c r="J293" s="5" t="s">
        <v>62</v>
      </c>
      <c r="K293" s="5" t="s">
        <v>50</v>
      </c>
      <c r="L293" s="129">
        <v>45176</v>
      </c>
      <c r="M293" s="20">
        <v>2615.25</v>
      </c>
      <c r="N293" s="128">
        <v>21.4</v>
      </c>
      <c r="O293" s="20">
        <v>366.31214953271029</v>
      </c>
      <c r="P293" s="128">
        <v>12.043139162719243</v>
      </c>
      <c r="Q293" s="122">
        <v>122.20794392523365</v>
      </c>
      <c r="R293" s="121">
        <v>10.147515716129954</v>
      </c>
      <c r="S293" s="121">
        <v>121.77018859355945</v>
      </c>
      <c r="T293" s="121">
        <v>15.281814617095881</v>
      </c>
      <c r="U293" s="20">
        <v>18608.694479755788</v>
      </c>
    </row>
    <row r="294" spans="2:21" x14ac:dyDescent="0.25">
      <c r="B294" s="5">
        <v>2024</v>
      </c>
      <c r="C294" s="5">
        <v>9</v>
      </c>
      <c r="D294" s="5" t="s">
        <v>17</v>
      </c>
      <c r="E294" s="127">
        <v>45546</v>
      </c>
      <c r="F294" s="5" t="s">
        <v>18</v>
      </c>
      <c r="G294" s="5" t="s">
        <v>2</v>
      </c>
      <c r="H294" s="5" t="s">
        <v>6</v>
      </c>
      <c r="I294">
        <v>2023</v>
      </c>
      <c r="J294" s="5" t="s">
        <v>410</v>
      </c>
      <c r="K294" s="5" t="s">
        <v>50</v>
      </c>
      <c r="L294" s="129">
        <v>45182</v>
      </c>
      <c r="M294" s="20">
        <v>2638.3</v>
      </c>
      <c r="N294" s="128">
        <v>24.869999999999902</v>
      </c>
      <c r="O294" s="20">
        <v>362.35826296743164</v>
      </c>
      <c r="P294" s="128">
        <v>11.913148371532001</v>
      </c>
      <c r="Q294" s="122">
        <v>106.08363490148817</v>
      </c>
      <c r="R294" s="121">
        <v>8.9047522613743872</v>
      </c>
      <c r="S294" s="121">
        <v>106.85702713649265</v>
      </c>
      <c r="T294" s="121">
        <v>15.929740620854336</v>
      </c>
      <c r="U294" s="20">
        <v>17022.047257999209</v>
      </c>
    </row>
    <row r="295" spans="2:21" x14ac:dyDescent="0.25">
      <c r="B295" s="5">
        <v>2024</v>
      </c>
      <c r="C295" s="5">
        <v>9</v>
      </c>
      <c r="D295" s="5" t="s">
        <v>17</v>
      </c>
      <c r="E295" s="127">
        <v>45547</v>
      </c>
      <c r="F295" s="5" t="s">
        <v>18</v>
      </c>
      <c r="G295" s="5" t="s">
        <v>2</v>
      </c>
      <c r="H295" s="5" t="s">
        <v>5</v>
      </c>
      <c r="I295">
        <v>2023</v>
      </c>
      <c r="J295" s="5" t="s">
        <v>410</v>
      </c>
      <c r="K295" s="5" t="s">
        <v>50</v>
      </c>
      <c r="L295" s="129">
        <v>45187</v>
      </c>
      <c r="M295" s="20">
        <v>2687.94</v>
      </c>
      <c r="N295" s="128">
        <v>21.98</v>
      </c>
      <c r="O295" s="20">
        <v>359.01228389444952</v>
      </c>
      <c r="P295" s="128">
        <v>11.803143580091492</v>
      </c>
      <c r="Q295" s="122">
        <v>122.29026387625113</v>
      </c>
      <c r="R295" s="121">
        <v>10.360821508815638</v>
      </c>
      <c r="S295" s="121">
        <v>124.32985810578765</v>
      </c>
      <c r="T295" s="121">
        <v>15.671445105433902</v>
      </c>
      <c r="U295" s="20">
        <v>19484.285462712374</v>
      </c>
    </row>
    <row r="296" spans="2:21" x14ac:dyDescent="0.25">
      <c r="B296" s="5">
        <v>2024</v>
      </c>
      <c r="C296" s="5">
        <v>9</v>
      </c>
      <c r="D296" s="5" t="s">
        <v>0</v>
      </c>
      <c r="E296" s="127">
        <v>45536</v>
      </c>
      <c r="F296" s="5" t="s">
        <v>1</v>
      </c>
      <c r="G296" s="5" t="s">
        <v>14</v>
      </c>
      <c r="H296" s="5" t="s">
        <v>4</v>
      </c>
      <c r="I296">
        <v>2023</v>
      </c>
      <c r="J296" s="5" t="s">
        <v>351</v>
      </c>
      <c r="K296" s="5" t="s">
        <v>50</v>
      </c>
      <c r="L296" s="129">
        <v>45182</v>
      </c>
      <c r="M296" s="20">
        <v>283.8</v>
      </c>
      <c r="N296" s="128">
        <v>4.2699999999999996</v>
      </c>
      <c r="O296" s="20">
        <v>354</v>
      </c>
      <c r="P296" s="128">
        <v>11.638356164383561</v>
      </c>
      <c r="Q296" s="122">
        <v>66.463700234192046</v>
      </c>
      <c r="R296" s="121">
        <v>5.7107463713465387</v>
      </c>
      <c r="S296" s="121">
        <v>68.528956456158468</v>
      </c>
      <c r="T296" s="121">
        <v>15.739750000000001</v>
      </c>
      <c r="U296" s="20">
        <v>10786.286423808204</v>
      </c>
    </row>
    <row r="297" spans="2:21" x14ac:dyDescent="0.25">
      <c r="B297" s="5">
        <v>2024</v>
      </c>
      <c r="C297" s="5">
        <v>9</v>
      </c>
      <c r="D297" s="5" t="s">
        <v>0</v>
      </c>
      <c r="E297" s="127">
        <v>45537</v>
      </c>
      <c r="F297" s="5" t="s">
        <v>1</v>
      </c>
      <c r="G297" s="5" t="s">
        <v>14</v>
      </c>
      <c r="H297" s="5" t="s">
        <v>6</v>
      </c>
      <c r="I297">
        <v>2023</v>
      </c>
      <c r="J297" s="5" t="s">
        <v>351</v>
      </c>
      <c r="K297" s="5" t="s">
        <v>50</v>
      </c>
      <c r="L297" s="129">
        <v>45187</v>
      </c>
      <c r="M297" s="20">
        <v>2746.79</v>
      </c>
      <c r="N297" s="128">
        <v>41.88</v>
      </c>
      <c r="O297" s="20">
        <v>349.34097421203438</v>
      </c>
      <c r="P297" s="128">
        <v>11.48518271382031</v>
      </c>
      <c r="Q297" s="122">
        <v>65.587153772683848</v>
      </c>
      <c r="R297" s="121">
        <v>5.7105886259660243</v>
      </c>
      <c r="S297" s="121">
        <v>68.527063511592289</v>
      </c>
      <c r="T297" s="121">
        <v>15.603937092107515</v>
      </c>
      <c r="U297" s="20">
        <v>10692.919881417423</v>
      </c>
    </row>
    <row r="298" spans="2:21" x14ac:dyDescent="0.25">
      <c r="B298" s="5">
        <v>2024</v>
      </c>
      <c r="C298" s="5">
        <v>9</v>
      </c>
      <c r="D298" s="5" t="s">
        <v>0</v>
      </c>
      <c r="E298" s="127">
        <v>45546</v>
      </c>
      <c r="F298" s="5" t="s">
        <v>1</v>
      </c>
      <c r="G298" s="5" t="s">
        <v>12</v>
      </c>
      <c r="H298" s="5" t="s">
        <v>4</v>
      </c>
      <c r="I298">
        <v>2023</v>
      </c>
      <c r="J298" s="5" t="s">
        <v>283</v>
      </c>
      <c r="K298" s="5" t="s">
        <v>50</v>
      </c>
      <c r="L298" s="129">
        <v>45190</v>
      </c>
      <c r="M298" s="20">
        <v>2563.2439999999901</v>
      </c>
      <c r="N298" s="128">
        <v>41.88</v>
      </c>
      <c r="O298" s="20">
        <v>355.41618911174783</v>
      </c>
      <c r="P298" s="128">
        <v>11.684915806413628</v>
      </c>
      <c r="Q298" s="122">
        <v>61.204489016236629</v>
      </c>
      <c r="R298" s="121">
        <v>5.2379058634417079</v>
      </c>
      <c r="S298" s="121">
        <v>62.854870361300492</v>
      </c>
      <c r="T298" s="121">
        <v>15.174295807217748</v>
      </c>
      <c r="U298" s="20">
        <v>9537.7839578669718</v>
      </c>
    </row>
    <row r="299" spans="2:21" x14ac:dyDescent="0.25">
      <c r="B299" s="5">
        <v>2024</v>
      </c>
      <c r="C299" s="5">
        <v>9</v>
      </c>
      <c r="D299" s="5" t="s">
        <v>0</v>
      </c>
      <c r="E299" s="127">
        <v>45548</v>
      </c>
      <c r="F299" s="5" t="s">
        <v>1</v>
      </c>
      <c r="G299" s="5" t="s">
        <v>9</v>
      </c>
      <c r="H299" s="5" t="s">
        <v>6</v>
      </c>
      <c r="I299">
        <v>2023</v>
      </c>
      <c r="J299" s="5" t="s">
        <v>289</v>
      </c>
      <c r="K299" s="5" t="s">
        <v>50</v>
      </c>
      <c r="L299" s="129">
        <v>45203</v>
      </c>
      <c r="M299" s="20">
        <v>2295.7460000000001</v>
      </c>
      <c r="N299" s="128">
        <v>41.88</v>
      </c>
      <c r="O299" s="20">
        <v>344.21442215854586</v>
      </c>
      <c r="P299" s="128">
        <v>11.316638536719315</v>
      </c>
      <c r="Q299" s="122">
        <v>54.817239732569242</v>
      </c>
      <c r="R299" s="121">
        <v>4.8439507504549768</v>
      </c>
      <c r="S299" s="121">
        <v>58.127409005459718</v>
      </c>
      <c r="T299" s="121">
        <v>14.957531440479915</v>
      </c>
      <c r="U299" s="20">
        <v>8694.4254775279915</v>
      </c>
    </row>
    <row r="300" spans="2:21" x14ac:dyDescent="0.25">
      <c r="B300" s="5">
        <v>2024</v>
      </c>
      <c r="C300" s="5">
        <v>9</v>
      </c>
      <c r="D300" s="5" t="s">
        <v>0</v>
      </c>
      <c r="E300" s="127">
        <v>45549</v>
      </c>
      <c r="F300" s="5" t="s">
        <v>1</v>
      </c>
      <c r="G300" s="5" t="s">
        <v>2</v>
      </c>
      <c r="H300" s="5" t="s">
        <v>4</v>
      </c>
      <c r="I300">
        <v>2023</v>
      </c>
      <c r="J300" s="5" t="s">
        <v>304</v>
      </c>
      <c r="K300" s="5" t="s">
        <v>50</v>
      </c>
      <c r="L300" s="129">
        <v>45197</v>
      </c>
      <c r="M300" s="20">
        <v>1949.904</v>
      </c>
      <c r="N300" s="128">
        <v>41.88</v>
      </c>
      <c r="O300" s="20">
        <v>351.64278892072343</v>
      </c>
      <c r="P300" s="128">
        <v>11.560858813832004</v>
      </c>
      <c r="Q300" s="122">
        <v>46.559312320916902</v>
      </c>
      <c r="R300" s="121">
        <v>4.027322975799251</v>
      </c>
      <c r="S300" s="121">
        <v>48.327875709591012</v>
      </c>
      <c r="T300" s="121">
        <v>15.541279012710369</v>
      </c>
      <c r="U300" s="20">
        <v>7510.7700049434206</v>
      </c>
    </row>
    <row r="301" spans="2:21" x14ac:dyDescent="0.25">
      <c r="B301" s="5">
        <v>2024</v>
      </c>
      <c r="C301" s="5">
        <v>9</v>
      </c>
      <c r="D301" s="5" t="s">
        <v>0</v>
      </c>
      <c r="E301" s="127">
        <v>45553</v>
      </c>
      <c r="F301" s="5" t="s">
        <v>1</v>
      </c>
      <c r="G301" s="5" t="s">
        <v>13</v>
      </c>
      <c r="H301" s="5" t="s">
        <v>4</v>
      </c>
      <c r="I301">
        <v>2023</v>
      </c>
      <c r="J301" s="5" t="s">
        <v>60</v>
      </c>
      <c r="K301" s="5" t="s">
        <v>50</v>
      </c>
      <c r="L301" s="129">
        <v>45220</v>
      </c>
      <c r="M301" s="20">
        <v>5714.3899999999903</v>
      </c>
      <c r="N301" s="128">
        <v>41.879999999999903</v>
      </c>
      <c r="O301" s="20">
        <v>330.76074498567414</v>
      </c>
      <c r="P301" s="128">
        <v>10.874325862542712</v>
      </c>
      <c r="Q301" s="122">
        <v>136.44675262655213</v>
      </c>
      <c r="R301" s="121">
        <v>12.547605649427098</v>
      </c>
      <c r="S301" s="121">
        <v>150.57126779312517</v>
      </c>
      <c r="T301" s="121">
        <v>14.801964874816059</v>
      </c>
      <c r="U301" s="20">
        <v>22287.506170303612</v>
      </c>
    </row>
    <row r="302" spans="2:21" x14ac:dyDescent="0.25">
      <c r="B302" s="5">
        <v>2024</v>
      </c>
      <c r="C302" s="5">
        <v>9</v>
      </c>
      <c r="D302" s="5" t="s">
        <v>0</v>
      </c>
      <c r="E302" s="127">
        <v>45556</v>
      </c>
      <c r="F302" s="5" t="s">
        <v>1</v>
      </c>
      <c r="G302" s="5" t="s">
        <v>15</v>
      </c>
      <c r="H302" s="5" t="s">
        <v>3</v>
      </c>
      <c r="I302">
        <v>2023</v>
      </c>
      <c r="J302" s="5" t="s">
        <v>62</v>
      </c>
      <c r="K302" s="5" t="s">
        <v>50</v>
      </c>
      <c r="L302" s="129">
        <v>45271</v>
      </c>
      <c r="M302" s="20">
        <v>4637.6400000000003</v>
      </c>
      <c r="N302" s="128">
        <v>40.94</v>
      </c>
      <c r="O302" s="20">
        <v>283.69736199316071</v>
      </c>
      <c r="P302" s="128">
        <v>9.3270365586792554</v>
      </c>
      <c r="Q302" s="122">
        <v>113.2789447972643</v>
      </c>
      <c r="R302" s="121">
        <v>12.145223628597529</v>
      </c>
      <c r="S302" s="121">
        <v>145.74268354317036</v>
      </c>
      <c r="T302" s="121">
        <v>13.940157968395541</v>
      </c>
      <c r="U302" s="20">
        <v>20316.76031329676</v>
      </c>
    </row>
    <row r="303" spans="2:21" x14ac:dyDescent="0.25">
      <c r="B303" s="5">
        <v>2024</v>
      </c>
      <c r="C303" s="5">
        <v>9</v>
      </c>
      <c r="D303" s="5" t="s">
        <v>0</v>
      </c>
      <c r="E303" s="127">
        <v>45561</v>
      </c>
      <c r="F303" s="5" t="s">
        <v>1</v>
      </c>
      <c r="G303" s="5" t="s">
        <v>15</v>
      </c>
      <c r="H303" s="5" t="s">
        <v>6</v>
      </c>
      <c r="I303">
        <v>2022</v>
      </c>
      <c r="J303" s="5" t="s">
        <v>64</v>
      </c>
      <c r="K303" s="5" t="s">
        <v>50</v>
      </c>
      <c r="L303" s="129">
        <v>45272</v>
      </c>
      <c r="M303" s="20">
        <v>5860.9699999999903</v>
      </c>
      <c r="N303" s="128">
        <v>40.069999999999901</v>
      </c>
      <c r="O303" s="20">
        <v>286.82430746194228</v>
      </c>
      <c r="P303" s="128">
        <v>9.4298402453241312</v>
      </c>
      <c r="Q303" s="122">
        <v>146.26828050910919</v>
      </c>
      <c r="R303" s="121">
        <v>15.511215111161361</v>
      </c>
      <c r="S303" s="121">
        <v>186.13458133393632</v>
      </c>
      <c r="T303" s="121">
        <v>14.215883508107044</v>
      </c>
      <c r="U303" s="20">
        <v>26460.675250735148</v>
      </c>
    </row>
    <row r="304" spans="2:21" x14ac:dyDescent="0.25">
      <c r="B304" s="5">
        <v>2024</v>
      </c>
      <c r="C304" s="5">
        <v>9</v>
      </c>
      <c r="D304" s="5" t="s">
        <v>0</v>
      </c>
      <c r="E304" s="127">
        <v>45564</v>
      </c>
      <c r="F304" s="5" t="s">
        <v>1</v>
      </c>
      <c r="G304" s="5" t="s">
        <v>13</v>
      </c>
      <c r="H304" s="5" t="s">
        <v>3</v>
      </c>
      <c r="I304">
        <v>2022</v>
      </c>
      <c r="J304" s="5" t="s">
        <v>64</v>
      </c>
      <c r="K304" s="5" t="s">
        <v>50</v>
      </c>
      <c r="L304" s="129">
        <v>45237</v>
      </c>
      <c r="M304" s="20">
        <v>4490.07</v>
      </c>
      <c r="N304" s="128">
        <v>41.839999999999897</v>
      </c>
      <c r="O304" s="20">
        <v>325.42758126195105</v>
      </c>
      <c r="P304" s="128">
        <v>10.698988972995652</v>
      </c>
      <c r="Q304" s="122">
        <v>107.31524856596585</v>
      </c>
      <c r="R304" s="121">
        <v>10.030410241269577</v>
      </c>
      <c r="S304" s="121">
        <v>120.36492289523493</v>
      </c>
      <c r="T304" s="121">
        <v>14.361948185957013</v>
      </c>
      <c r="U304" s="20">
        <v>17286.74786028075</v>
      </c>
    </row>
    <row r="305" spans="2:21" x14ac:dyDescent="0.25">
      <c r="B305" s="5">
        <v>2024</v>
      </c>
      <c r="C305" s="5">
        <v>9</v>
      </c>
      <c r="D305" s="5" t="s">
        <v>75</v>
      </c>
      <c r="E305" s="127">
        <v>45540</v>
      </c>
      <c r="F305" s="5" t="s">
        <v>52</v>
      </c>
      <c r="G305" s="5" t="s">
        <v>34</v>
      </c>
      <c r="H305" s="5" t="s">
        <v>3</v>
      </c>
      <c r="I305">
        <v>2022</v>
      </c>
      <c r="J305" s="5" t="s">
        <v>60</v>
      </c>
      <c r="K305" s="5" t="s">
        <v>50</v>
      </c>
      <c r="L305" s="129">
        <v>45217</v>
      </c>
      <c r="M305" s="20">
        <v>4744.41</v>
      </c>
      <c r="N305" s="128">
        <v>32.549999999999997</v>
      </c>
      <c r="O305" s="20">
        <v>321.32995391705077</v>
      </c>
      <c r="P305" s="128">
        <v>10.564272457546876</v>
      </c>
      <c r="Q305" s="122">
        <v>145.75760368663595</v>
      </c>
      <c r="R305" s="121">
        <v>13.797221178492991</v>
      </c>
      <c r="S305" s="121">
        <v>165.5666541419159</v>
      </c>
      <c r="T305" s="121">
        <v>14.907351201434953</v>
      </c>
      <c r="U305" s="20">
        <v>24681.602605400552</v>
      </c>
    </row>
    <row r="306" spans="2:21" x14ac:dyDescent="0.25">
      <c r="B306" s="5">
        <v>2024</v>
      </c>
      <c r="C306" s="5">
        <v>9</v>
      </c>
      <c r="D306" s="5" t="s">
        <v>75</v>
      </c>
      <c r="E306" s="127">
        <v>45543</v>
      </c>
      <c r="F306" s="5" t="s">
        <v>52</v>
      </c>
      <c r="G306" s="5" t="s">
        <v>34</v>
      </c>
      <c r="H306" s="5" t="s">
        <v>5</v>
      </c>
      <c r="I306">
        <v>2022</v>
      </c>
      <c r="J306" s="5" t="s">
        <v>60</v>
      </c>
      <c r="K306" s="5" t="s">
        <v>50</v>
      </c>
      <c r="L306" s="129">
        <v>45170</v>
      </c>
      <c r="M306" s="20">
        <v>4821.59</v>
      </c>
      <c r="N306" s="128">
        <v>33.839999999999897</v>
      </c>
      <c r="O306" s="20">
        <v>371.27009456264892</v>
      </c>
      <c r="P306" s="128">
        <v>12.206140095210376</v>
      </c>
      <c r="Q306" s="122">
        <v>142.48197399527231</v>
      </c>
      <c r="R306" s="121">
        <v>11.672975476594887</v>
      </c>
      <c r="S306" s="121">
        <v>140.07570571913865</v>
      </c>
      <c r="T306" s="121">
        <v>15.051349799578542</v>
      </c>
      <c r="U306" s="20">
        <v>21083.284452015803</v>
      </c>
    </row>
    <row r="307" spans="2:21" x14ac:dyDescent="0.25">
      <c r="B307" s="5">
        <v>2024</v>
      </c>
      <c r="C307" s="5">
        <v>9</v>
      </c>
      <c r="D307" s="5" t="s">
        <v>75</v>
      </c>
      <c r="E307" s="127">
        <v>45544</v>
      </c>
      <c r="F307" s="5" t="s">
        <v>52</v>
      </c>
      <c r="G307" s="5" t="s">
        <v>34</v>
      </c>
      <c r="H307" s="5" t="s">
        <v>6</v>
      </c>
      <c r="I307">
        <v>2022</v>
      </c>
      <c r="J307" s="5" t="s">
        <v>60</v>
      </c>
      <c r="K307" s="5" t="s">
        <v>50</v>
      </c>
      <c r="L307" s="129">
        <v>45155</v>
      </c>
      <c r="M307" s="20">
        <v>4246.68</v>
      </c>
      <c r="N307" s="128">
        <v>29.65</v>
      </c>
      <c r="O307" s="20">
        <v>388.29612141652615</v>
      </c>
      <c r="P307" s="128">
        <v>12.765899882187162</v>
      </c>
      <c r="Q307" s="122">
        <v>143.22698145025296</v>
      </c>
      <c r="R307" s="121">
        <v>11.219497471549502</v>
      </c>
      <c r="S307" s="121">
        <v>134.63396965859403</v>
      </c>
      <c r="T307" s="121">
        <v>15.695033074827863</v>
      </c>
      <c r="U307" s="20">
        <v>21130.846067870043</v>
      </c>
    </row>
    <row r="308" spans="2:21" x14ac:dyDescent="0.25">
      <c r="B308" s="5">
        <v>2024</v>
      </c>
      <c r="C308" s="5">
        <v>9</v>
      </c>
      <c r="D308" s="5" t="s">
        <v>75</v>
      </c>
      <c r="E308" s="127">
        <v>45564</v>
      </c>
      <c r="F308" s="5" t="s">
        <v>52</v>
      </c>
      <c r="G308" s="5" t="s">
        <v>33</v>
      </c>
      <c r="H308" s="5" t="s">
        <v>6</v>
      </c>
      <c r="I308">
        <v>2022</v>
      </c>
      <c r="J308" s="5" t="s">
        <v>60</v>
      </c>
      <c r="K308" s="5" t="s">
        <v>50</v>
      </c>
      <c r="L308" s="129">
        <v>45236</v>
      </c>
      <c r="M308" s="20">
        <v>1102.6300000000001</v>
      </c>
      <c r="N308" s="128">
        <v>7.1</v>
      </c>
      <c r="O308" s="20">
        <v>327.99999999999864</v>
      </c>
      <c r="P308" s="128">
        <v>10.783561643835572</v>
      </c>
      <c r="Q308" s="122">
        <v>155.30000000000001</v>
      </c>
      <c r="R308" s="121">
        <v>14.401549796748029</v>
      </c>
      <c r="S308" s="121">
        <v>172.81859756097634</v>
      </c>
      <c r="T308" s="121">
        <v>14.785499999999997</v>
      </c>
      <c r="U308" s="20">
        <v>25552.093742378151</v>
      </c>
    </row>
    <row r="309" spans="2:21" x14ac:dyDescent="0.25">
      <c r="B309" s="5">
        <v>2024</v>
      </c>
      <c r="C309" s="5">
        <v>9</v>
      </c>
      <c r="D309" s="5" t="s">
        <v>22</v>
      </c>
      <c r="E309" s="127">
        <v>45536</v>
      </c>
      <c r="F309" s="5" t="s">
        <v>24</v>
      </c>
      <c r="G309" s="5" t="s">
        <v>13</v>
      </c>
      <c r="H309" s="5" t="s">
        <v>3</v>
      </c>
      <c r="I309">
        <v>2022</v>
      </c>
      <c r="J309" s="5" t="s">
        <v>62</v>
      </c>
      <c r="K309" s="5" t="s">
        <v>79</v>
      </c>
      <c r="L309" s="129">
        <v>45220</v>
      </c>
      <c r="M309" s="20">
        <v>459.11</v>
      </c>
      <c r="N309" s="128">
        <v>3.87</v>
      </c>
      <c r="O309" s="20">
        <v>316</v>
      </c>
      <c r="P309" s="128">
        <v>10.389041095890411</v>
      </c>
      <c r="Q309" s="122">
        <v>118.63307493540051</v>
      </c>
      <c r="R309" s="121">
        <v>11.419059164404322</v>
      </c>
      <c r="S309" s="121">
        <v>137.02870997285186</v>
      </c>
      <c r="T309" s="121">
        <v>15.264374999999999</v>
      </c>
      <c r="U309" s="20">
        <v>20916.576147918502</v>
      </c>
    </row>
    <row r="310" spans="2:21" x14ac:dyDescent="0.25">
      <c r="B310" s="5">
        <v>2024</v>
      </c>
      <c r="C310" s="5">
        <v>9</v>
      </c>
      <c r="D310" s="5" t="s">
        <v>22</v>
      </c>
      <c r="E310" s="127">
        <v>45537</v>
      </c>
      <c r="F310" s="5" t="s">
        <v>24</v>
      </c>
      <c r="G310" s="5" t="s">
        <v>14</v>
      </c>
      <c r="H310" s="5" t="s">
        <v>7</v>
      </c>
      <c r="I310">
        <v>2023</v>
      </c>
      <c r="J310" s="5" t="s">
        <v>304</v>
      </c>
      <c r="K310" s="5" t="s">
        <v>50</v>
      </c>
      <c r="L310" s="129">
        <v>45208</v>
      </c>
      <c r="M310" s="20">
        <v>165.24</v>
      </c>
      <c r="N310" s="128">
        <v>1.4</v>
      </c>
      <c r="O310" s="20">
        <v>328.99999999999932</v>
      </c>
      <c r="P310" s="128">
        <v>10.816438356164362</v>
      </c>
      <c r="Q310" s="122">
        <v>118.02857142857144</v>
      </c>
      <c r="R310" s="121">
        <v>10.911962657403409</v>
      </c>
      <c r="S310" s="121">
        <v>130.94355188884091</v>
      </c>
      <c r="T310" s="121">
        <v>15.241793999999999</v>
      </c>
      <c r="U310" s="20">
        <v>19958.146435180239</v>
      </c>
    </row>
    <row r="311" spans="2:21" x14ac:dyDescent="0.25">
      <c r="B311" s="5">
        <v>2024</v>
      </c>
      <c r="C311" s="5">
        <v>9</v>
      </c>
      <c r="D311" s="5" t="s">
        <v>22</v>
      </c>
      <c r="E311" s="127">
        <v>45541</v>
      </c>
      <c r="F311" s="5" t="s">
        <v>24</v>
      </c>
      <c r="G311" s="5" t="s">
        <v>14</v>
      </c>
      <c r="H311" s="5" t="s">
        <v>6</v>
      </c>
      <c r="I311">
        <v>2023</v>
      </c>
      <c r="J311" s="5" t="s">
        <v>315</v>
      </c>
      <c r="K311" s="5" t="s">
        <v>50</v>
      </c>
      <c r="L311" s="129">
        <v>45203</v>
      </c>
      <c r="M311" s="20">
        <v>50.64</v>
      </c>
      <c r="N311" s="128">
        <v>0.55000000000000004</v>
      </c>
      <c r="O311" s="20">
        <v>338</v>
      </c>
      <c r="P311" s="128">
        <v>11.112328767123287</v>
      </c>
      <c r="Q311" s="122">
        <v>92.072727272727263</v>
      </c>
      <c r="R311" s="121">
        <v>8.2856374394835921</v>
      </c>
      <c r="S311" s="121">
        <v>99.427649273803112</v>
      </c>
      <c r="T311" s="121">
        <v>14.503499999999999</v>
      </c>
      <c r="U311" s="20">
        <v>14420.489112426032</v>
      </c>
    </row>
    <row r="312" spans="2:21" x14ac:dyDescent="0.25">
      <c r="B312" s="5">
        <v>2024</v>
      </c>
      <c r="C312" s="5">
        <v>9</v>
      </c>
      <c r="D312" s="5" t="s">
        <v>22</v>
      </c>
      <c r="E312" s="127">
        <v>45544</v>
      </c>
      <c r="F312" s="5" t="s">
        <v>24</v>
      </c>
      <c r="G312" s="5" t="s">
        <v>14</v>
      </c>
      <c r="H312" s="5" t="s">
        <v>8</v>
      </c>
      <c r="I312">
        <v>2022</v>
      </c>
      <c r="J312" s="5" t="s">
        <v>304</v>
      </c>
      <c r="K312" s="5" t="s">
        <v>50</v>
      </c>
      <c r="L312" s="129">
        <v>45208</v>
      </c>
      <c r="M312" s="20">
        <v>48.11</v>
      </c>
      <c r="N312" s="128">
        <v>0.4</v>
      </c>
      <c r="O312" s="20">
        <v>333.5</v>
      </c>
      <c r="P312" s="128">
        <v>10.964383561643835</v>
      </c>
      <c r="Q312" s="122">
        <v>120.27499999999999</v>
      </c>
      <c r="R312" s="121">
        <v>10.969608945527234</v>
      </c>
      <c r="S312" s="121">
        <v>131.63530734632681</v>
      </c>
      <c r="T312" s="121">
        <v>15.683969514861776</v>
      </c>
      <c r="U312" s="20">
        <v>20645.641474992499</v>
      </c>
    </row>
    <row r="313" spans="2:21" x14ac:dyDescent="0.25">
      <c r="B313" s="5">
        <v>2024</v>
      </c>
      <c r="C313" s="5">
        <v>9</v>
      </c>
      <c r="D313" s="5" t="s">
        <v>22</v>
      </c>
      <c r="E313" s="127">
        <v>45546</v>
      </c>
      <c r="F313" s="5" t="s">
        <v>24</v>
      </c>
      <c r="G313" s="5" t="s">
        <v>15</v>
      </c>
      <c r="H313" s="5" t="s">
        <v>4</v>
      </c>
      <c r="I313">
        <v>2023</v>
      </c>
      <c r="J313" s="5" t="s">
        <v>304</v>
      </c>
      <c r="K313" s="5" t="s">
        <v>50</v>
      </c>
      <c r="L313" s="129">
        <v>45179</v>
      </c>
      <c r="M313" s="20">
        <v>1444.0229999999999</v>
      </c>
      <c r="N313" s="128">
        <v>15.87</v>
      </c>
      <c r="O313" s="20">
        <v>359.36798991808445</v>
      </c>
      <c r="P313" s="128">
        <v>11.814838024704146</v>
      </c>
      <c r="Q313" s="122">
        <v>90.990737240075617</v>
      </c>
      <c r="R313" s="121">
        <v>7.7013952328266564</v>
      </c>
      <c r="S313" s="121">
        <v>92.41674279391988</v>
      </c>
      <c r="T313" s="121">
        <v>15.678903631582045</v>
      </c>
      <c r="U313" s="20">
        <v>14489.932042105742</v>
      </c>
    </row>
    <row r="314" spans="2:21" x14ac:dyDescent="0.25">
      <c r="B314" s="5">
        <v>2024</v>
      </c>
      <c r="C314" s="5">
        <v>9</v>
      </c>
      <c r="D314" s="5" t="s">
        <v>22</v>
      </c>
      <c r="E314" s="127">
        <v>45550</v>
      </c>
      <c r="F314" s="5" t="s">
        <v>24</v>
      </c>
      <c r="G314" s="5" t="s">
        <v>15</v>
      </c>
      <c r="H314" s="5" t="s">
        <v>5</v>
      </c>
      <c r="I314">
        <v>2023</v>
      </c>
      <c r="J314" s="5" t="s">
        <v>304</v>
      </c>
      <c r="K314" s="5" t="s">
        <v>50</v>
      </c>
      <c r="L314" s="129">
        <v>45175</v>
      </c>
      <c r="M314" s="20">
        <v>1167.21999999999</v>
      </c>
      <c r="N314" s="128">
        <v>10.73</v>
      </c>
      <c r="O314" s="20">
        <v>361.66356011183598</v>
      </c>
      <c r="P314" s="128">
        <v>11.890308825594607</v>
      </c>
      <c r="Q314" s="122">
        <v>108.78098788443522</v>
      </c>
      <c r="R314" s="121">
        <v>9.1487100528690721</v>
      </c>
      <c r="S314" s="121">
        <v>109.78452063442886</v>
      </c>
      <c r="T314" s="121">
        <v>15.510932322818451</v>
      </c>
      <c r="U314" s="20">
        <v>17028.602696536916</v>
      </c>
    </row>
    <row r="315" spans="2:21" x14ac:dyDescent="0.25">
      <c r="B315" s="5">
        <v>2024</v>
      </c>
      <c r="C315" s="5">
        <v>9</v>
      </c>
      <c r="D315" s="5" t="s">
        <v>22</v>
      </c>
      <c r="E315" s="127">
        <v>45550</v>
      </c>
      <c r="F315" s="5" t="s">
        <v>32</v>
      </c>
      <c r="G315" s="5" t="s">
        <v>35</v>
      </c>
      <c r="H315" s="5" t="s">
        <v>7</v>
      </c>
      <c r="I315">
        <v>2023</v>
      </c>
      <c r="J315" s="5" t="s">
        <v>351</v>
      </c>
      <c r="K315" s="5" t="s">
        <v>50</v>
      </c>
      <c r="L315" s="129">
        <v>45225</v>
      </c>
      <c r="M315" s="20">
        <v>2571.9899999999998</v>
      </c>
      <c r="N315" s="128">
        <v>17.13</v>
      </c>
      <c r="O315" s="20">
        <v>323.25160537069473</v>
      </c>
      <c r="P315" s="128">
        <v>10.627450039584485</v>
      </c>
      <c r="Q315" s="122">
        <v>150.14535901926445</v>
      </c>
      <c r="R315" s="121">
        <v>14.128070088310183</v>
      </c>
      <c r="S315" s="121">
        <v>169.53684105972221</v>
      </c>
      <c r="T315" s="121">
        <v>14.692561142675517</v>
      </c>
      <c r="U315" s="20">
        <v>24909.304032060296</v>
      </c>
    </row>
    <row r="316" spans="2:21" x14ac:dyDescent="0.25">
      <c r="B316" s="5">
        <v>2024</v>
      </c>
      <c r="C316" s="5">
        <v>9</v>
      </c>
      <c r="D316" s="5" t="s">
        <v>22</v>
      </c>
      <c r="E316" s="127">
        <v>45550</v>
      </c>
      <c r="F316" s="5" t="s">
        <v>32</v>
      </c>
      <c r="G316" s="5" t="s">
        <v>35</v>
      </c>
      <c r="H316" s="5" t="s">
        <v>8</v>
      </c>
      <c r="I316">
        <v>2023</v>
      </c>
      <c r="J316" s="5" t="s">
        <v>351</v>
      </c>
      <c r="K316" s="5" t="s">
        <v>50</v>
      </c>
      <c r="L316" s="129">
        <v>45227</v>
      </c>
      <c r="M316" s="20">
        <v>2396.0499999999902</v>
      </c>
      <c r="N316" s="128">
        <v>15.71</v>
      </c>
      <c r="O316" s="20">
        <v>321.29789942711648</v>
      </c>
      <c r="P316" s="128">
        <v>10.56321861130246</v>
      </c>
      <c r="Q316" s="122">
        <v>152.51750477402865</v>
      </c>
      <c r="R316" s="121">
        <v>14.438544764266981</v>
      </c>
      <c r="S316" s="121">
        <v>173.26253717120377</v>
      </c>
      <c r="T316" s="121">
        <v>14.917528773673398</v>
      </c>
      <c r="U316" s="20">
        <v>25846.488836510889</v>
      </c>
    </row>
    <row r="317" spans="2:21" x14ac:dyDescent="0.25">
      <c r="B317" s="5">
        <v>2024</v>
      </c>
      <c r="C317" s="5">
        <v>9</v>
      </c>
      <c r="D317" s="5" t="s">
        <v>22</v>
      </c>
      <c r="E317" s="127">
        <v>45551</v>
      </c>
      <c r="F317" s="5" t="s">
        <v>32</v>
      </c>
      <c r="G317" s="5" t="s">
        <v>38</v>
      </c>
      <c r="H317" s="5" t="s">
        <v>7</v>
      </c>
      <c r="I317">
        <v>2023</v>
      </c>
      <c r="J317" s="5" t="s">
        <v>351</v>
      </c>
      <c r="K317" s="5" t="s">
        <v>50</v>
      </c>
      <c r="L317" s="129">
        <v>45206</v>
      </c>
      <c r="M317" s="20">
        <v>2876.9269999999901</v>
      </c>
      <c r="N317" s="128">
        <v>18.89</v>
      </c>
      <c r="O317" s="20">
        <v>334.49232398094233</v>
      </c>
      <c r="P317" s="128">
        <v>10.997007911702214</v>
      </c>
      <c r="Q317" s="122">
        <v>152.29894123875013</v>
      </c>
      <c r="R317" s="121">
        <v>13.849125367699765</v>
      </c>
      <c r="S317" s="121">
        <v>166.18950441239718</v>
      </c>
      <c r="T317" s="121">
        <v>15.00413240857347</v>
      </c>
      <c r="U317" s="20">
        <v>24935.293291188122</v>
      </c>
    </row>
    <row r="318" spans="2:21" x14ac:dyDescent="0.25">
      <c r="B318" s="5">
        <v>2024</v>
      </c>
      <c r="C318" s="5">
        <v>9</v>
      </c>
      <c r="D318" s="5" t="s">
        <v>22</v>
      </c>
      <c r="E318" s="127">
        <v>45554</v>
      </c>
      <c r="F318" s="5" t="s">
        <v>32</v>
      </c>
      <c r="G318" s="5" t="s">
        <v>38</v>
      </c>
      <c r="H318" s="5" t="s">
        <v>5</v>
      </c>
      <c r="I318">
        <v>2023</v>
      </c>
      <c r="J318" s="5" t="s">
        <v>351</v>
      </c>
      <c r="K318" s="5" t="s">
        <v>50</v>
      </c>
      <c r="L318" s="129">
        <v>45215</v>
      </c>
      <c r="M318" s="20">
        <v>3381.86</v>
      </c>
      <c r="N318" s="128">
        <v>23.59</v>
      </c>
      <c r="O318" s="20">
        <v>337.33446375582878</v>
      </c>
      <c r="P318" s="128">
        <v>11.090448123479302</v>
      </c>
      <c r="Q318" s="122">
        <v>143.35989826197542</v>
      </c>
      <c r="R318" s="121">
        <v>12.926429722751408</v>
      </c>
      <c r="S318" s="121">
        <v>155.11715667301689</v>
      </c>
      <c r="T318" s="121">
        <v>15.083216271324062</v>
      </c>
      <c r="U318" s="20">
        <v>23396.65621491972</v>
      </c>
    </row>
    <row r="319" spans="2:21" x14ac:dyDescent="0.25">
      <c r="B319" s="5">
        <v>2024</v>
      </c>
      <c r="C319" s="5">
        <v>9</v>
      </c>
      <c r="D319" s="5" t="s">
        <v>22</v>
      </c>
      <c r="E319" s="127">
        <v>45556</v>
      </c>
      <c r="F319" s="5" t="s">
        <v>32</v>
      </c>
      <c r="G319" s="5" t="s">
        <v>38</v>
      </c>
      <c r="H319" s="5" t="s">
        <v>4</v>
      </c>
      <c r="I319">
        <v>2023</v>
      </c>
      <c r="J319" s="5" t="s">
        <v>351</v>
      </c>
      <c r="K319" s="5" t="s">
        <v>50</v>
      </c>
      <c r="L319" s="129">
        <v>45215</v>
      </c>
      <c r="M319" s="20">
        <v>3612.71</v>
      </c>
      <c r="N319" s="128">
        <v>25.56</v>
      </c>
      <c r="O319" s="20">
        <v>339.49413145539904</v>
      </c>
      <c r="P319" s="128">
        <v>11.161450897163805</v>
      </c>
      <c r="Q319" s="122">
        <v>141.34233176838811</v>
      </c>
      <c r="R319" s="121">
        <v>12.663437134710158</v>
      </c>
      <c r="S319" s="121">
        <v>151.96124561652189</v>
      </c>
      <c r="T319" s="121">
        <v>14.892052595132187</v>
      </c>
      <c r="U319" s="20">
        <v>22630.148621430446</v>
      </c>
    </row>
    <row r="320" spans="2:21" x14ac:dyDescent="0.25">
      <c r="B320" s="5">
        <v>2024</v>
      </c>
      <c r="C320" s="5">
        <v>9</v>
      </c>
      <c r="D320" s="5" t="s">
        <v>22</v>
      </c>
      <c r="E320" s="127">
        <v>45557</v>
      </c>
      <c r="F320" s="5" t="s">
        <v>32</v>
      </c>
      <c r="G320" s="5" t="s">
        <v>38</v>
      </c>
      <c r="H320" s="5" t="s">
        <v>6</v>
      </c>
      <c r="I320">
        <v>2023</v>
      </c>
      <c r="J320" s="5" t="s">
        <v>351</v>
      </c>
      <c r="K320" s="5" t="s">
        <v>50</v>
      </c>
      <c r="L320" s="129">
        <v>45219</v>
      </c>
      <c r="M320" s="20">
        <v>2530.2820000000002</v>
      </c>
      <c r="N320" s="128">
        <v>20.81</v>
      </c>
      <c r="O320" s="20">
        <v>332.84430562229699</v>
      </c>
      <c r="P320" s="128">
        <v>10.942826486212503</v>
      </c>
      <c r="Q320" s="122">
        <v>121.58971648246037</v>
      </c>
      <c r="R320" s="121">
        <v>11.111362922153454</v>
      </c>
      <c r="S320" s="121">
        <v>133.33635506584145</v>
      </c>
      <c r="T320" s="121">
        <v>14.776404370572132</v>
      </c>
      <c r="U320" s="20">
        <v>19702.318997510571</v>
      </c>
    </row>
    <row r="321" spans="2:21" x14ac:dyDescent="0.25">
      <c r="B321" s="5">
        <v>2024</v>
      </c>
      <c r="C321" s="5">
        <v>9</v>
      </c>
      <c r="D321" s="5" t="s">
        <v>22</v>
      </c>
      <c r="E321" s="127">
        <v>45560</v>
      </c>
      <c r="F321" s="5" t="s">
        <v>24</v>
      </c>
      <c r="G321" s="5" t="s">
        <v>13</v>
      </c>
      <c r="H321" s="5" t="s">
        <v>4</v>
      </c>
      <c r="I321">
        <v>2022</v>
      </c>
      <c r="J321" s="5" t="s">
        <v>304</v>
      </c>
      <c r="K321" s="5" t="s">
        <v>50</v>
      </c>
      <c r="L321" s="129">
        <v>45198</v>
      </c>
      <c r="M321" s="20">
        <v>2983.672</v>
      </c>
      <c r="N321" s="128">
        <v>19.86</v>
      </c>
      <c r="O321" s="20">
        <v>361.2643504531722</v>
      </c>
      <c r="P321" s="128">
        <v>11.877184124487853</v>
      </c>
      <c r="Q321" s="122">
        <v>150.23524672708965</v>
      </c>
      <c r="R321" s="121">
        <v>12.649062703115064</v>
      </c>
      <c r="S321" s="121">
        <v>151.78875243738077</v>
      </c>
      <c r="T321" s="121">
        <v>14.389089486066833</v>
      </c>
      <c r="U321" s="20">
        <v>21841.019417999167</v>
      </c>
    </row>
    <row r="322" spans="2:21" x14ac:dyDescent="0.25">
      <c r="B322" s="5">
        <v>2024</v>
      </c>
      <c r="C322" s="5">
        <v>9</v>
      </c>
      <c r="D322" s="5" t="s">
        <v>22</v>
      </c>
      <c r="E322" s="127">
        <v>45562</v>
      </c>
      <c r="F322" s="5" t="s">
        <v>24</v>
      </c>
      <c r="G322" s="5" t="s">
        <v>15</v>
      </c>
      <c r="H322" s="5" t="s">
        <v>6</v>
      </c>
      <c r="I322">
        <v>2023</v>
      </c>
      <c r="J322" s="5" t="s">
        <v>304</v>
      </c>
      <c r="K322" s="5" t="s">
        <v>50</v>
      </c>
      <c r="L322" s="129">
        <v>45215</v>
      </c>
      <c r="M322" s="20">
        <v>3293.36</v>
      </c>
      <c r="N322" s="128">
        <v>22.49</v>
      </c>
      <c r="O322" s="20">
        <v>345.96798577145398</v>
      </c>
      <c r="P322" s="128">
        <v>11.374289943171089</v>
      </c>
      <c r="Q322" s="122">
        <v>146.43663850600268</v>
      </c>
      <c r="R322" s="121">
        <v>12.874354288279813</v>
      </c>
      <c r="S322" s="121">
        <v>154.49225145935776</v>
      </c>
      <c r="T322" s="121">
        <v>14.827865649294338</v>
      </c>
      <c r="U322" s="20">
        <v>22907.903484963539</v>
      </c>
    </row>
    <row r="323" spans="2:21" x14ac:dyDescent="0.25">
      <c r="B323" s="5">
        <v>2024</v>
      </c>
      <c r="C323" s="5">
        <v>9</v>
      </c>
      <c r="D323" s="5" t="s">
        <v>22</v>
      </c>
      <c r="E323" s="127">
        <v>45562</v>
      </c>
      <c r="F323" s="5" t="s">
        <v>32</v>
      </c>
      <c r="G323" s="5" t="s">
        <v>35</v>
      </c>
      <c r="H323" s="5" t="s">
        <v>3</v>
      </c>
      <c r="I323">
        <v>2023</v>
      </c>
      <c r="J323" s="5" t="s">
        <v>351</v>
      </c>
      <c r="K323" s="5" t="s">
        <v>50</v>
      </c>
      <c r="L323" s="129">
        <v>45238</v>
      </c>
      <c r="M323" s="20">
        <v>2289.665</v>
      </c>
      <c r="N323" s="128">
        <v>15.6</v>
      </c>
      <c r="O323" s="20">
        <v>319.76410256410253</v>
      </c>
      <c r="P323" s="128">
        <v>10.512792413066384</v>
      </c>
      <c r="Q323" s="122">
        <v>146.77339743589744</v>
      </c>
      <c r="R323" s="121">
        <v>13.961409268718397</v>
      </c>
      <c r="S323" s="121">
        <v>167.53691122462075</v>
      </c>
      <c r="T323" s="121">
        <v>15.249625533971125</v>
      </c>
      <c r="U323" s="20">
        <v>25548.7515929363</v>
      </c>
    </row>
    <row r="324" spans="2:21" x14ac:dyDescent="0.25">
      <c r="B324" s="5">
        <v>2024</v>
      </c>
      <c r="C324" s="5">
        <v>9</v>
      </c>
      <c r="D324" s="5" t="s">
        <v>22</v>
      </c>
      <c r="E324" s="127">
        <v>45562</v>
      </c>
      <c r="F324" s="5" t="s">
        <v>32</v>
      </c>
      <c r="G324" s="5" t="s">
        <v>38</v>
      </c>
      <c r="H324" s="5" t="s">
        <v>3</v>
      </c>
      <c r="I324">
        <v>2023</v>
      </c>
      <c r="J324" s="5" t="s">
        <v>351</v>
      </c>
      <c r="K324" s="5" t="s">
        <v>50</v>
      </c>
      <c r="L324" s="129">
        <v>45220</v>
      </c>
      <c r="M324" s="20">
        <v>2883.3029999999999</v>
      </c>
      <c r="N324" s="128">
        <v>21.02</v>
      </c>
      <c r="O324" s="20">
        <v>335.49429115128453</v>
      </c>
      <c r="P324" s="128">
        <v>11.029949298124423</v>
      </c>
      <c r="Q324" s="122">
        <v>137.16950523311132</v>
      </c>
      <c r="R324" s="121">
        <v>12.436095717723397</v>
      </c>
      <c r="S324" s="121">
        <v>149.23314861268076</v>
      </c>
      <c r="T324" s="121">
        <v>15.27167198971943</v>
      </c>
      <c r="U324" s="20">
        <v>22790.396956059139</v>
      </c>
    </row>
    <row r="325" spans="2:21" x14ac:dyDescent="0.25">
      <c r="B325" s="5">
        <v>2024</v>
      </c>
      <c r="C325" s="5">
        <v>9</v>
      </c>
      <c r="D325" s="5" t="s">
        <v>22</v>
      </c>
      <c r="E325" s="127">
        <v>45564</v>
      </c>
      <c r="F325" s="5" t="s">
        <v>41</v>
      </c>
      <c r="G325" s="5" t="s">
        <v>42</v>
      </c>
      <c r="H325" s="5" t="s">
        <v>5</v>
      </c>
      <c r="I325">
        <v>2023</v>
      </c>
      <c r="J325" s="5" t="s">
        <v>61</v>
      </c>
      <c r="K325" s="5" t="s">
        <v>50</v>
      </c>
      <c r="L325" s="129">
        <v>45250</v>
      </c>
      <c r="M325" s="20">
        <v>737.71</v>
      </c>
      <c r="N325" s="128">
        <v>5.48</v>
      </c>
      <c r="O325" s="20">
        <v>314</v>
      </c>
      <c r="P325" s="128">
        <v>10.323287671232876</v>
      </c>
      <c r="Q325" s="122">
        <v>134.61861313868613</v>
      </c>
      <c r="R325" s="121">
        <v>13.040284977606271</v>
      </c>
      <c r="S325" s="121">
        <v>156.48341973127526</v>
      </c>
      <c r="T325" s="121">
        <v>15.305374999999998</v>
      </c>
      <c r="U325" s="20">
        <v>23950.374202695668</v>
      </c>
    </row>
    <row r="326" spans="2:21" x14ac:dyDescent="0.25">
      <c r="B326" s="5">
        <v>2024</v>
      </c>
      <c r="C326" s="134" t="s">
        <v>298</v>
      </c>
      <c r="D326" s="134"/>
      <c r="E326" s="134"/>
      <c r="F326" s="134"/>
      <c r="G326" s="134"/>
      <c r="H326" s="134"/>
      <c r="I326" s="134"/>
      <c r="J326" s="134"/>
      <c r="K326" s="134"/>
      <c r="L326" s="134"/>
      <c r="M326" s="130">
        <v>89127.585999999952</v>
      </c>
      <c r="N326" s="131">
        <v>768.45999999999947</v>
      </c>
      <c r="O326" s="130">
        <v>341.81166228561005</v>
      </c>
      <c r="P326" s="131">
        <v>11.237643691581701</v>
      </c>
      <c r="Q326" s="132">
        <v>115.98207583999169</v>
      </c>
      <c r="R326" s="133">
        <v>10.320853643622437</v>
      </c>
      <c r="S326" s="133">
        <v>123.85024372346925</v>
      </c>
      <c r="T326" s="133">
        <v>14.930138613656569</v>
      </c>
      <c r="U326" s="130">
        <v>18491.013061265454</v>
      </c>
    </row>
    <row r="327" spans="2:21" x14ac:dyDescent="0.25">
      <c r="B327" s="5">
        <v>2024</v>
      </c>
      <c r="C327" s="5">
        <v>10</v>
      </c>
      <c r="D327" s="5" t="s">
        <v>78</v>
      </c>
      <c r="E327" s="127">
        <v>45581</v>
      </c>
      <c r="F327" s="5" t="s">
        <v>49</v>
      </c>
      <c r="G327" s="5" t="s">
        <v>2</v>
      </c>
      <c r="H327" s="5" t="s">
        <v>4</v>
      </c>
      <c r="I327">
        <v>2022</v>
      </c>
      <c r="J327" s="5" t="s">
        <v>61</v>
      </c>
      <c r="K327" s="5" t="s">
        <v>50</v>
      </c>
      <c r="L327" s="129">
        <v>45162</v>
      </c>
      <c r="M327" s="20">
        <v>1259</v>
      </c>
      <c r="N327" s="128">
        <v>9.11</v>
      </c>
      <c r="O327" s="20">
        <v>415.07793633369926</v>
      </c>
      <c r="P327" s="128">
        <v>13.646397906861345</v>
      </c>
      <c r="Q327" s="122">
        <v>138.19978046103185</v>
      </c>
      <c r="R327" s="121">
        <v>10.127198503536647</v>
      </c>
      <c r="S327" s="121">
        <v>121.52638204243976</v>
      </c>
      <c r="T327" s="121">
        <v>14.639255490150912</v>
      </c>
      <c r="U327" s="20">
        <v>17790.557555129635</v>
      </c>
    </row>
    <row r="328" spans="2:21" x14ac:dyDescent="0.25">
      <c r="B328" s="5">
        <v>2024</v>
      </c>
      <c r="C328" s="5">
        <v>10</v>
      </c>
      <c r="D328" s="5" t="s">
        <v>17</v>
      </c>
      <c r="E328" s="127">
        <v>45588</v>
      </c>
      <c r="F328" s="5" t="s">
        <v>18</v>
      </c>
      <c r="G328" s="5" t="s">
        <v>12</v>
      </c>
      <c r="H328" s="5" t="s">
        <v>7</v>
      </c>
      <c r="I328">
        <v>2022</v>
      </c>
      <c r="J328" s="5" t="s">
        <v>410</v>
      </c>
      <c r="K328" s="5" t="s">
        <v>50</v>
      </c>
      <c r="L328" s="129">
        <v>45240</v>
      </c>
      <c r="M328" s="20">
        <v>1464.28</v>
      </c>
      <c r="N328" s="128">
        <v>16.96</v>
      </c>
      <c r="O328" s="20">
        <v>347.32429245282958</v>
      </c>
      <c r="P328" s="128">
        <v>11.418880847764262</v>
      </c>
      <c r="Q328" s="122">
        <v>86.337264150943383</v>
      </c>
      <c r="R328" s="121">
        <v>7.5609217139565503</v>
      </c>
      <c r="S328" s="121">
        <v>90.731060567478607</v>
      </c>
      <c r="T328" s="121">
        <v>16.307728687969515</v>
      </c>
      <c r="U328" s="20">
        <v>14796.175193061707</v>
      </c>
    </row>
    <row r="329" spans="2:21" x14ac:dyDescent="0.25">
      <c r="B329" s="5">
        <v>2024</v>
      </c>
      <c r="C329" s="5">
        <v>10</v>
      </c>
      <c r="D329" s="5" t="s">
        <v>17</v>
      </c>
      <c r="E329" s="127">
        <v>45594</v>
      </c>
      <c r="F329" s="5" t="s">
        <v>18</v>
      </c>
      <c r="G329" s="5" t="s">
        <v>13</v>
      </c>
      <c r="H329" s="5" t="s">
        <v>4</v>
      </c>
      <c r="I329">
        <v>2022</v>
      </c>
      <c r="J329" s="5" t="s">
        <v>68</v>
      </c>
      <c r="K329" s="5" t="s">
        <v>50</v>
      </c>
      <c r="L329" s="129">
        <v>45237</v>
      </c>
      <c r="M329" s="20">
        <v>1563.95999999999</v>
      </c>
      <c r="N329" s="128">
        <v>15.15</v>
      </c>
      <c r="O329" s="20">
        <v>354.00264026402641</v>
      </c>
      <c r="P329" s="128">
        <v>11.63844296758443</v>
      </c>
      <c r="Q329" s="122">
        <v>103.23168316831617</v>
      </c>
      <c r="R329" s="121">
        <v>8.8698877896157278</v>
      </c>
      <c r="S329" s="121">
        <v>106.43865347538873</v>
      </c>
      <c r="T329" s="121">
        <v>15.280617734532951</v>
      </c>
      <c r="U329" s="20">
        <v>16264.483759358325</v>
      </c>
    </row>
    <row r="330" spans="2:21" x14ac:dyDescent="0.25">
      <c r="B330" s="5">
        <v>2024</v>
      </c>
      <c r="C330" s="5">
        <v>10</v>
      </c>
      <c r="D330" s="5" t="s">
        <v>17</v>
      </c>
      <c r="E330" s="127">
        <v>45594</v>
      </c>
      <c r="F330" s="5" t="s">
        <v>18</v>
      </c>
      <c r="G330" s="5" t="s">
        <v>13</v>
      </c>
      <c r="H330" s="5" t="s">
        <v>8</v>
      </c>
      <c r="I330">
        <v>2023</v>
      </c>
      <c r="J330" s="5" t="s">
        <v>68</v>
      </c>
      <c r="K330" s="5" t="s">
        <v>50</v>
      </c>
      <c r="L330" s="129">
        <v>45234</v>
      </c>
      <c r="M330" s="20">
        <v>1619.11</v>
      </c>
      <c r="N330" s="128">
        <v>17.5</v>
      </c>
      <c r="O330" s="20">
        <v>356.78114285714287</v>
      </c>
      <c r="P330" s="128">
        <v>11.729790998043054</v>
      </c>
      <c r="Q330" s="122">
        <v>92.520571428571429</v>
      </c>
      <c r="R330" s="121">
        <v>7.8876572859658927</v>
      </c>
      <c r="S330" s="121">
        <v>94.651887431590708</v>
      </c>
      <c r="T330" s="121">
        <v>15.131986344411438</v>
      </c>
      <c r="U330" s="20">
        <v>14322.710680875991</v>
      </c>
    </row>
    <row r="331" spans="2:21" x14ac:dyDescent="0.25">
      <c r="B331" s="5">
        <v>2024</v>
      </c>
      <c r="C331" s="5">
        <v>10</v>
      </c>
      <c r="D331" s="5" t="s">
        <v>17</v>
      </c>
      <c r="E331" s="127">
        <v>45596</v>
      </c>
      <c r="F331" s="5" t="s">
        <v>18</v>
      </c>
      <c r="G331" s="5" t="s">
        <v>12</v>
      </c>
      <c r="H331" s="5" t="s">
        <v>4</v>
      </c>
      <c r="I331">
        <v>2022</v>
      </c>
      <c r="J331" s="5" t="s">
        <v>410</v>
      </c>
      <c r="K331" s="5" t="s">
        <v>50</v>
      </c>
      <c r="L331" s="129">
        <v>45244</v>
      </c>
      <c r="M331" s="20">
        <v>2164.2199999999998</v>
      </c>
      <c r="N331" s="128">
        <v>17.46</v>
      </c>
      <c r="O331" s="20">
        <v>350.42210767468498</v>
      </c>
      <c r="P331" s="128">
        <v>11.520726827660877</v>
      </c>
      <c r="Q331" s="122">
        <v>123.95303550973652</v>
      </c>
      <c r="R331" s="121">
        <v>10.759133287678472</v>
      </c>
      <c r="S331" s="121">
        <v>129.10959945214165</v>
      </c>
      <c r="T331" s="121">
        <v>14.513686171230283</v>
      </c>
      <c r="U331" s="20">
        <v>18738.56208141629</v>
      </c>
    </row>
    <row r="332" spans="2:21" x14ac:dyDescent="0.25">
      <c r="B332" s="5">
        <v>2024</v>
      </c>
      <c r="C332" s="5">
        <v>10</v>
      </c>
      <c r="D332" s="5" t="s">
        <v>17</v>
      </c>
      <c r="E332" s="127">
        <v>45596</v>
      </c>
      <c r="F332" s="5" t="s">
        <v>18</v>
      </c>
      <c r="G332" s="5" t="s">
        <v>12</v>
      </c>
      <c r="H332" s="5" t="s">
        <v>5</v>
      </c>
      <c r="I332">
        <v>2022</v>
      </c>
      <c r="J332" s="5" t="s">
        <v>410</v>
      </c>
      <c r="K332" s="5" t="s">
        <v>50</v>
      </c>
      <c r="L332" s="129">
        <v>45248</v>
      </c>
      <c r="M332" s="20">
        <v>1309.08</v>
      </c>
      <c r="N332" s="128">
        <v>10.98</v>
      </c>
      <c r="O332" s="20">
        <v>347.56010928961746</v>
      </c>
      <c r="P332" s="128">
        <v>11.426633730069614</v>
      </c>
      <c r="Q332" s="122">
        <v>119.22404371584699</v>
      </c>
      <c r="R332" s="121">
        <v>10.433872873872245</v>
      </c>
      <c r="S332" s="121">
        <v>125.20647448646694</v>
      </c>
      <c r="T332" s="121">
        <v>14.705597263788311</v>
      </c>
      <c r="U332" s="20">
        <v>18412.359886167695</v>
      </c>
    </row>
    <row r="333" spans="2:21" x14ac:dyDescent="0.25">
      <c r="B333" s="5">
        <v>2024</v>
      </c>
      <c r="C333" s="5">
        <v>10</v>
      </c>
      <c r="D333" s="5" t="s">
        <v>17</v>
      </c>
      <c r="E333" s="127">
        <v>45596</v>
      </c>
      <c r="F333" s="5" t="s">
        <v>18</v>
      </c>
      <c r="G333" s="5" t="s">
        <v>12</v>
      </c>
      <c r="H333" s="5" t="s">
        <v>6</v>
      </c>
      <c r="I333">
        <v>2022</v>
      </c>
      <c r="J333" s="5" t="s">
        <v>410</v>
      </c>
      <c r="K333" s="5" t="s">
        <v>50</v>
      </c>
      <c r="L333" s="129">
        <v>45245</v>
      </c>
      <c r="M333" s="20">
        <v>550.79999999999995</v>
      </c>
      <c r="N333" s="128">
        <v>5.14</v>
      </c>
      <c r="O333" s="20">
        <v>350.99999999999807</v>
      </c>
      <c r="P333" s="128">
        <v>11.539726027397196</v>
      </c>
      <c r="Q333" s="122">
        <v>107.15953307392996</v>
      </c>
      <c r="R333" s="121">
        <v>9.2861418736905623</v>
      </c>
      <c r="S333" s="121">
        <v>111.43370248428675</v>
      </c>
      <c r="T333" s="121">
        <v>15.126500000000002</v>
      </c>
      <c r="U333" s="20">
        <v>16856.019006285638</v>
      </c>
    </row>
    <row r="334" spans="2:21" x14ac:dyDescent="0.25">
      <c r="B334" s="5">
        <v>2024</v>
      </c>
      <c r="C334" s="5">
        <v>10</v>
      </c>
      <c r="D334" s="5" t="s">
        <v>0</v>
      </c>
      <c r="E334" s="127">
        <v>45576</v>
      </c>
      <c r="F334" s="5" t="s">
        <v>1</v>
      </c>
      <c r="G334" s="5" t="s">
        <v>13</v>
      </c>
      <c r="H334" s="5" t="s">
        <v>5</v>
      </c>
      <c r="I334">
        <v>2023</v>
      </c>
      <c r="J334" s="5" t="s">
        <v>351</v>
      </c>
      <c r="K334" s="5" t="s">
        <v>50</v>
      </c>
      <c r="L334" s="129">
        <v>45267</v>
      </c>
      <c r="M334" s="20">
        <v>5383.22</v>
      </c>
      <c r="N334" s="128">
        <v>41.879999999999903</v>
      </c>
      <c r="O334" s="20">
        <v>307.466809933143</v>
      </c>
      <c r="P334" s="128">
        <v>10.10849786081566</v>
      </c>
      <c r="Q334" s="122">
        <v>128.5391595033432</v>
      </c>
      <c r="R334" s="121">
        <v>12.715950606430788</v>
      </c>
      <c r="S334" s="121">
        <v>152.59140727716945</v>
      </c>
      <c r="T334" s="121">
        <v>14.651471345254325</v>
      </c>
      <c r="U334" s="20">
        <v>22356.886312534807</v>
      </c>
    </row>
    <row r="335" spans="2:21" x14ac:dyDescent="0.25">
      <c r="B335" s="5">
        <v>2024</v>
      </c>
      <c r="C335" s="5">
        <v>10</v>
      </c>
      <c r="D335" s="5" t="s">
        <v>0</v>
      </c>
      <c r="E335" s="127">
        <v>45579</v>
      </c>
      <c r="F335" s="5" t="s">
        <v>1</v>
      </c>
      <c r="G335" s="5" t="s">
        <v>12</v>
      </c>
      <c r="H335" s="5" t="s">
        <v>3</v>
      </c>
      <c r="I335">
        <v>2023</v>
      </c>
      <c r="J335" s="5" t="s">
        <v>60</v>
      </c>
      <c r="K335" s="5" t="s">
        <v>50</v>
      </c>
      <c r="L335" s="129">
        <v>45254</v>
      </c>
      <c r="M335" s="20">
        <v>6456.0969999999998</v>
      </c>
      <c r="N335" s="128">
        <v>41.88</v>
      </c>
      <c r="O335" s="20">
        <v>323.50405921680994</v>
      </c>
      <c r="P335" s="128">
        <v>10.635749892059504</v>
      </c>
      <c r="Q335" s="122">
        <v>154.15704393505251</v>
      </c>
      <c r="R335" s="121">
        <v>14.49423364591752</v>
      </c>
      <c r="S335" s="121">
        <v>173.93080375101025</v>
      </c>
      <c r="T335" s="121">
        <v>14.299022505918515</v>
      </c>
      <c r="U335" s="20">
        <v>24870.404773081918</v>
      </c>
    </row>
    <row r="336" spans="2:21" x14ac:dyDescent="0.25">
      <c r="B336" s="5">
        <v>2024</v>
      </c>
      <c r="C336" s="5">
        <v>10</v>
      </c>
      <c r="D336" s="5" t="s">
        <v>0</v>
      </c>
      <c r="E336" s="127">
        <v>45582</v>
      </c>
      <c r="F336" s="5" t="s">
        <v>1</v>
      </c>
      <c r="G336" s="5" t="s">
        <v>13</v>
      </c>
      <c r="H336" s="5" t="s">
        <v>8</v>
      </c>
      <c r="I336">
        <v>2023</v>
      </c>
      <c r="J336" s="5" t="s">
        <v>60</v>
      </c>
      <c r="K336" s="5" t="s">
        <v>50</v>
      </c>
      <c r="L336" s="129">
        <v>45267</v>
      </c>
      <c r="M336" s="20">
        <v>5324.5730000000003</v>
      </c>
      <c r="N336" s="128">
        <v>41.879999999999903</v>
      </c>
      <c r="O336" s="20">
        <v>313.22922636102987</v>
      </c>
      <c r="P336" s="128">
        <v>10.297947168033859</v>
      </c>
      <c r="Q336" s="122">
        <v>127.13880133715408</v>
      </c>
      <c r="R336" s="121">
        <v>12.346033560145765</v>
      </c>
      <c r="S336" s="121">
        <v>148.15240272174918</v>
      </c>
      <c r="T336" s="121">
        <v>14.763731034229412</v>
      </c>
      <c r="U336" s="20">
        <v>21872.822258587425</v>
      </c>
    </row>
    <row r="337" spans="2:21" x14ac:dyDescent="0.25">
      <c r="B337" s="5">
        <v>2024</v>
      </c>
      <c r="C337" s="5">
        <v>10</v>
      </c>
      <c r="D337" s="5" t="s">
        <v>0</v>
      </c>
      <c r="E337" s="127">
        <v>45590</v>
      </c>
      <c r="F337" s="5" t="s">
        <v>1</v>
      </c>
      <c r="G337" s="5" t="s">
        <v>10</v>
      </c>
      <c r="H337" s="5" t="s">
        <v>5</v>
      </c>
      <c r="I337">
        <v>2024</v>
      </c>
      <c r="J337" s="5" t="s">
        <v>381</v>
      </c>
      <c r="K337" s="5" t="s">
        <v>51</v>
      </c>
      <c r="L337" s="129">
        <v>45255</v>
      </c>
      <c r="M337" s="20">
        <v>4474.25</v>
      </c>
      <c r="N337" s="128">
        <v>41.87</v>
      </c>
      <c r="O337" s="20">
        <v>333.09314545020305</v>
      </c>
      <c r="P337" s="128">
        <v>10.95100752165051</v>
      </c>
      <c r="Q337" s="122">
        <v>106.86052065918319</v>
      </c>
      <c r="R337" s="121">
        <v>9.7580538090140418</v>
      </c>
      <c r="S337" s="121">
        <v>117.0966457081685</v>
      </c>
      <c r="T337" s="121">
        <v>14.761531301105212</v>
      </c>
      <c r="U337" s="20">
        <v>17285.258008755565</v>
      </c>
    </row>
    <row r="338" spans="2:21" x14ac:dyDescent="0.25">
      <c r="B338" s="5">
        <v>2024</v>
      </c>
      <c r="C338" s="5">
        <v>10</v>
      </c>
      <c r="D338" s="5" t="s">
        <v>0</v>
      </c>
      <c r="E338" s="127">
        <v>45593</v>
      </c>
      <c r="F338" s="5" t="s">
        <v>1</v>
      </c>
      <c r="G338" s="5" t="s">
        <v>9</v>
      </c>
      <c r="H338" s="5" t="s">
        <v>8</v>
      </c>
      <c r="I338">
        <v>2023</v>
      </c>
      <c r="J338" s="5" t="s">
        <v>60</v>
      </c>
      <c r="K338" s="5" t="s">
        <v>50</v>
      </c>
      <c r="L338" s="129">
        <v>45264</v>
      </c>
      <c r="M338" s="20">
        <v>6696.3</v>
      </c>
      <c r="N338" s="128">
        <v>41.88</v>
      </c>
      <c r="O338" s="20">
        <v>327.26456542502387</v>
      </c>
      <c r="P338" s="128">
        <v>10.759382972877498</v>
      </c>
      <c r="Q338" s="122">
        <v>159.89255014326648</v>
      </c>
      <c r="R338" s="121">
        <v>14.860754612632279</v>
      </c>
      <c r="S338" s="121">
        <v>178.32905535158736</v>
      </c>
      <c r="T338" s="121">
        <v>14.451031250810148</v>
      </c>
      <c r="U338" s="20">
        <v>25770.387518132415</v>
      </c>
    </row>
    <row r="339" spans="2:21" x14ac:dyDescent="0.25">
      <c r="B339" s="5">
        <v>2024</v>
      </c>
      <c r="C339" s="5">
        <v>10</v>
      </c>
      <c r="D339" s="5" t="s">
        <v>75</v>
      </c>
      <c r="E339" s="127">
        <v>45569</v>
      </c>
      <c r="F339" s="5" t="s">
        <v>52</v>
      </c>
      <c r="G339" s="5" t="s">
        <v>33</v>
      </c>
      <c r="H339" s="5" t="s">
        <v>6</v>
      </c>
      <c r="I339">
        <v>2022</v>
      </c>
      <c r="J339" s="5" t="s">
        <v>60</v>
      </c>
      <c r="K339" s="5" t="s">
        <v>50</v>
      </c>
      <c r="L339" s="129">
        <v>45236</v>
      </c>
      <c r="M339" s="20">
        <v>4161.4960000000001</v>
      </c>
      <c r="N339" s="128">
        <v>27.7</v>
      </c>
      <c r="O339" s="20">
        <v>331.81119133574009</v>
      </c>
      <c r="P339" s="128">
        <v>10.908861085010633</v>
      </c>
      <c r="Q339" s="122">
        <v>150.23451263537908</v>
      </c>
      <c r="R339" s="121">
        <v>13.771787124671469</v>
      </c>
      <c r="S339" s="121">
        <v>165.26144549605763</v>
      </c>
      <c r="T339" s="121">
        <v>14.710921001947375</v>
      </c>
      <c r="U339" s="20">
        <v>24311.480693601356</v>
      </c>
    </row>
    <row r="340" spans="2:21" x14ac:dyDescent="0.25">
      <c r="B340" s="5">
        <v>2024</v>
      </c>
      <c r="C340" s="5">
        <v>10</v>
      </c>
      <c r="D340" s="5" t="s">
        <v>75</v>
      </c>
      <c r="E340" s="127">
        <v>45571</v>
      </c>
      <c r="F340" s="5" t="s">
        <v>52</v>
      </c>
      <c r="G340" s="5" t="s">
        <v>44</v>
      </c>
      <c r="H340" s="5" t="s">
        <v>4</v>
      </c>
      <c r="I340">
        <v>2022</v>
      </c>
      <c r="J340" s="5" t="s">
        <v>60</v>
      </c>
      <c r="K340" s="5" t="s">
        <v>50</v>
      </c>
      <c r="L340" s="129">
        <v>45223</v>
      </c>
      <c r="M340" s="20">
        <v>5442.6639999999998</v>
      </c>
      <c r="N340" s="128">
        <v>34.700000000000003</v>
      </c>
      <c r="O340" s="20">
        <v>346.90951008645533</v>
      </c>
      <c r="P340" s="128">
        <v>11.405244167225929</v>
      </c>
      <c r="Q340" s="122">
        <v>156.84910662824205</v>
      </c>
      <c r="R340" s="121">
        <v>13.752367273202543</v>
      </c>
      <c r="S340" s="121">
        <v>165.02840727843051</v>
      </c>
      <c r="T340" s="121">
        <v>14.664153342384537</v>
      </c>
      <c r="U340" s="20">
        <v>24200.018701803932</v>
      </c>
    </row>
    <row r="341" spans="2:21" x14ac:dyDescent="0.25">
      <c r="B341" s="5">
        <v>2024</v>
      </c>
      <c r="C341" s="5">
        <v>10</v>
      </c>
      <c r="D341" s="5" t="s">
        <v>75</v>
      </c>
      <c r="E341" s="127">
        <v>45573</v>
      </c>
      <c r="F341" s="5" t="s">
        <v>52</v>
      </c>
      <c r="G341" s="5" t="s">
        <v>44</v>
      </c>
      <c r="H341" s="5" t="s">
        <v>6</v>
      </c>
      <c r="I341">
        <v>2022</v>
      </c>
      <c r="J341" s="5" t="s">
        <v>60</v>
      </c>
      <c r="K341" s="5" t="s">
        <v>50</v>
      </c>
      <c r="L341" s="129">
        <v>45229</v>
      </c>
      <c r="M341" s="20">
        <v>5488.13</v>
      </c>
      <c r="N341" s="128">
        <v>33.119999999999997</v>
      </c>
      <c r="O341" s="20">
        <v>342.87016908212564</v>
      </c>
      <c r="P341" s="128">
        <v>11.27244391502879</v>
      </c>
      <c r="Q341" s="122">
        <v>165.70440821256039</v>
      </c>
      <c r="R341" s="121">
        <v>14.6999541059271</v>
      </c>
      <c r="S341" s="121">
        <v>176.39944927112521</v>
      </c>
      <c r="T341" s="121">
        <v>14.470819481535603</v>
      </c>
      <c r="U341" s="20">
        <v>25526.4458704475</v>
      </c>
    </row>
    <row r="342" spans="2:21" x14ac:dyDescent="0.25">
      <c r="B342" s="5">
        <v>2024</v>
      </c>
      <c r="C342" s="5">
        <v>10</v>
      </c>
      <c r="D342" s="5" t="s">
        <v>75</v>
      </c>
      <c r="E342" s="127">
        <v>45584</v>
      </c>
      <c r="F342" s="5" t="s">
        <v>52</v>
      </c>
      <c r="G342" s="5" t="s">
        <v>31</v>
      </c>
      <c r="H342" s="5" t="s">
        <v>6</v>
      </c>
      <c r="I342">
        <v>2022</v>
      </c>
      <c r="J342" s="5" t="s">
        <v>64</v>
      </c>
      <c r="K342" s="5" t="s">
        <v>50</v>
      </c>
      <c r="L342" s="129">
        <v>45243</v>
      </c>
      <c r="M342" s="20">
        <v>4400.55</v>
      </c>
      <c r="N342" s="128">
        <v>36.33</v>
      </c>
      <c r="O342" s="20">
        <v>339.69254060005511</v>
      </c>
      <c r="P342" s="128">
        <v>11.167973937536059</v>
      </c>
      <c r="Q342" s="122">
        <v>121.12716763005781</v>
      </c>
      <c r="R342" s="121">
        <v>10.845939317868931</v>
      </c>
      <c r="S342" s="121">
        <v>130.15127181442716</v>
      </c>
      <c r="T342" s="121">
        <v>15.484822837831635</v>
      </c>
      <c r="U342" s="20">
        <v>20153.693861648746</v>
      </c>
    </row>
    <row r="343" spans="2:21" x14ac:dyDescent="0.25">
      <c r="B343" s="5">
        <v>2024</v>
      </c>
      <c r="C343" s="5">
        <v>10</v>
      </c>
      <c r="D343" s="5" t="s">
        <v>75</v>
      </c>
      <c r="E343" s="127">
        <v>45586</v>
      </c>
      <c r="F343" s="5" t="s">
        <v>52</v>
      </c>
      <c r="G343" s="5" t="s">
        <v>34</v>
      </c>
      <c r="H343" s="5" t="s">
        <v>7</v>
      </c>
      <c r="I343">
        <v>2022</v>
      </c>
      <c r="J343" s="5" t="s">
        <v>60</v>
      </c>
      <c r="K343" s="5" t="s">
        <v>50</v>
      </c>
      <c r="L343" s="129">
        <v>45264</v>
      </c>
      <c r="M343" s="20">
        <v>4814.13</v>
      </c>
      <c r="N343" s="128">
        <v>34.799999999999997</v>
      </c>
      <c r="O343" s="20">
        <v>320.95574712643679</v>
      </c>
      <c r="P343" s="128">
        <v>10.551969768540388</v>
      </c>
      <c r="Q343" s="122">
        <v>138.33706896551726</v>
      </c>
      <c r="R343" s="121">
        <v>13.110070631357855</v>
      </c>
      <c r="S343" s="121">
        <v>157.32084757629426</v>
      </c>
      <c r="T343" s="121">
        <v>15.064396176098276</v>
      </c>
      <c r="U343" s="20">
        <v>23699.435746488671</v>
      </c>
    </row>
    <row r="344" spans="2:21" x14ac:dyDescent="0.25">
      <c r="B344" s="5">
        <v>2024</v>
      </c>
      <c r="C344" s="5">
        <v>10</v>
      </c>
      <c r="D344" s="5" t="s">
        <v>22</v>
      </c>
      <c r="E344" s="127">
        <v>45568</v>
      </c>
      <c r="F344" s="5" t="s">
        <v>41</v>
      </c>
      <c r="G344" s="5" t="s">
        <v>42</v>
      </c>
      <c r="H344" s="5" t="s">
        <v>8</v>
      </c>
      <c r="I344">
        <v>2023</v>
      </c>
      <c r="J344" s="5" t="s">
        <v>61</v>
      </c>
      <c r="K344" s="5" t="s">
        <v>50</v>
      </c>
      <c r="L344" s="129">
        <v>45254</v>
      </c>
      <c r="M344" s="20">
        <v>1609.18</v>
      </c>
      <c r="N344" s="128">
        <v>12.219999999999899</v>
      </c>
      <c r="O344" s="20">
        <v>313.35924713584546</v>
      </c>
      <c r="P344" s="128">
        <v>10.302221823644235</v>
      </c>
      <c r="Q344" s="122">
        <v>131.68412438625313</v>
      </c>
      <c r="R344" s="121">
        <v>12.782109203281756</v>
      </c>
      <c r="S344" s="121">
        <v>153.38531043938107</v>
      </c>
      <c r="T344" s="121">
        <v>14.5268738075293</v>
      </c>
      <c r="U344" s="20">
        <v>22282.090486815956</v>
      </c>
    </row>
    <row r="345" spans="2:21" x14ac:dyDescent="0.25">
      <c r="B345" s="5">
        <v>2024</v>
      </c>
      <c r="C345" s="5">
        <v>10</v>
      </c>
      <c r="D345" s="5" t="s">
        <v>22</v>
      </c>
      <c r="E345" s="127">
        <v>45572</v>
      </c>
      <c r="F345" s="5" t="s">
        <v>23</v>
      </c>
      <c r="G345" s="5" t="s">
        <v>2</v>
      </c>
      <c r="H345" s="5" t="s">
        <v>8</v>
      </c>
      <c r="I345">
        <v>2022</v>
      </c>
      <c r="J345" s="5" t="s">
        <v>410</v>
      </c>
      <c r="K345" s="5" t="s">
        <v>50</v>
      </c>
      <c r="L345" s="129">
        <v>45264</v>
      </c>
      <c r="M345" s="20">
        <v>2852.14</v>
      </c>
      <c r="N345" s="128">
        <v>18.920000000000002</v>
      </c>
      <c r="O345" s="20">
        <v>306.26691331923888</v>
      </c>
      <c r="P345" s="128">
        <v>10.069049205016071</v>
      </c>
      <c r="Q345" s="122">
        <v>150.7473572938689</v>
      </c>
      <c r="R345" s="121">
        <v>14.971359680988693</v>
      </c>
      <c r="S345" s="121">
        <v>179.65631617186432</v>
      </c>
      <c r="T345" s="121">
        <v>13.419099842577854</v>
      </c>
      <c r="U345" s="20">
        <v>24108.260440599814</v>
      </c>
    </row>
    <row r="346" spans="2:21" x14ac:dyDescent="0.25">
      <c r="B346" s="5">
        <v>2024</v>
      </c>
      <c r="C346" s="5">
        <v>10</v>
      </c>
      <c r="D346" s="5" t="s">
        <v>22</v>
      </c>
      <c r="E346" s="127">
        <v>45575</v>
      </c>
      <c r="F346" s="5" t="s">
        <v>23</v>
      </c>
      <c r="G346" s="5" t="s">
        <v>2</v>
      </c>
      <c r="H346" s="5" t="s">
        <v>7</v>
      </c>
      <c r="I346">
        <v>2023</v>
      </c>
      <c r="J346" s="5" t="s">
        <v>315</v>
      </c>
      <c r="K346" s="5" t="s">
        <v>50</v>
      </c>
      <c r="L346" s="129">
        <v>45259</v>
      </c>
      <c r="M346" s="20">
        <v>2790.1</v>
      </c>
      <c r="N346" s="128">
        <v>21.399999999999899</v>
      </c>
      <c r="O346" s="20">
        <v>310.45887850467437</v>
      </c>
      <c r="P346" s="128">
        <v>10.206867238509842</v>
      </c>
      <c r="Q346" s="122">
        <v>130.3785046728978</v>
      </c>
      <c r="R346" s="121">
        <v>12.773606399129816</v>
      </c>
      <c r="S346" s="121">
        <v>153.28327678955779</v>
      </c>
      <c r="T346" s="121">
        <v>13.88114721522526</v>
      </c>
      <c r="U346" s="20">
        <v>21277.47730747973</v>
      </c>
    </row>
    <row r="347" spans="2:21" x14ac:dyDescent="0.25">
      <c r="B347" s="5">
        <v>2024</v>
      </c>
      <c r="C347" s="5">
        <v>10</v>
      </c>
      <c r="D347" s="5" t="s">
        <v>22</v>
      </c>
      <c r="E347" s="127">
        <v>45575</v>
      </c>
      <c r="F347" s="5" t="s">
        <v>41</v>
      </c>
      <c r="G347" s="5" t="s">
        <v>43</v>
      </c>
      <c r="H347" s="5" t="s">
        <v>4</v>
      </c>
      <c r="I347">
        <v>2023</v>
      </c>
      <c r="J347" s="5" t="s">
        <v>61</v>
      </c>
      <c r="K347" s="5" t="s">
        <v>50</v>
      </c>
      <c r="L347" s="129">
        <v>45253</v>
      </c>
      <c r="M347" s="20">
        <v>3255.77</v>
      </c>
      <c r="N347" s="128">
        <v>22.369999999999902</v>
      </c>
      <c r="O347" s="20">
        <v>319.80688421993835</v>
      </c>
      <c r="P347" s="128">
        <v>10.514198933258246</v>
      </c>
      <c r="Q347" s="122">
        <v>145.54179704962067</v>
      </c>
      <c r="R347" s="121">
        <v>13.842404730354355</v>
      </c>
      <c r="S347" s="121">
        <v>166.10885676425227</v>
      </c>
      <c r="T347" s="121">
        <v>14.592156872079416</v>
      </c>
      <c r="U347" s="20">
        <v>24238.86495745739</v>
      </c>
    </row>
    <row r="348" spans="2:21" x14ac:dyDescent="0.25">
      <c r="B348" s="5">
        <v>2024</v>
      </c>
      <c r="C348" s="5">
        <v>10</v>
      </c>
      <c r="D348" s="5" t="s">
        <v>22</v>
      </c>
      <c r="E348" s="127">
        <v>45576</v>
      </c>
      <c r="F348" s="5" t="s">
        <v>41</v>
      </c>
      <c r="G348" s="5" t="s">
        <v>43</v>
      </c>
      <c r="H348" s="5" t="s">
        <v>5</v>
      </c>
      <c r="I348">
        <v>2023</v>
      </c>
      <c r="J348" s="5" t="s">
        <v>61</v>
      </c>
      <c r="K348" s="5" t="s">
        <v>50</v>
      </c>
      <c r="L348" s="129">
        <v>45255</v>
      </c>
      <c r="M348" s="20">
        <v>2418.2199999999998</v>
      </c>
      <c r="N348" s="128">
        <v>18.34</v>
      </c>
      <c r="O348" s="20">
        <v>319.34514721919248</v>
      </c>
      <c r="P348" s="128">
        <v>10.499018538713177</v>
      </c>
      <c r="Q348" s="122">
        <v>131.85496183206106</v>
      </c>
      <c r="R348" s="121">
        <v>12.558789314055446</v>
      </c>
      <c r="S348" s="121">
        <v>150.70547176866535</v>
      </c>
      <c r="T348" s="121">
        <v>14.935938389397988</v>
      </c>
      <c r="U348" s="20">
        <v>22509.276412819436</v>
      </c>
    </row>
    <row r="349" spans="2:21" x14ac:dyDescent="0.25">
      <c r="B349" s="5">
        <v>2024</v>
      </c>
      <c r="C349" s="5">
        <v>10</v>
      </c>
      <c r="D349" s="5" t="s">
        <v>22</v>
      </c>
      <c r="E349" s="127">
        <v>45579</v>
      </c>
      <c r="F349" s="5" t="s">
        <v>41</v>
      </c>
      <c r="G349" s="5" t="s">
        <v>43</v>
      </c>
      <c r="H349" s="5" t="s">
        <v>6</v>
      </c>
      <c r="I349">
        <v>2023</v>
      </c>
      <c r="J349" s="5" t="s">
        <v>61</v>
      </c>
      <c r="K349" s="5" t="s">
        <v>50</v>
      </c>
      <c r="L349" s="129">
        <v>45257</v>
      </c>
      <c r="M349" s="20">
        <v>2504.14</v>
      </c>
      <c r="N349" s="128">
        <v>17.739999999999998</v>
      </c>
      <c r="O349" s="20">
        <v>318.22998872604285</v>
      </c>
      <c r="P349" s="128">
        <v>10.462355793732916</v>
      </c>
      <c r="Q349" s="122">
        <v>141.15783540022548</v>
      </c>
      <c r="R349" s="121">
        <v>13.491974291753758</v>
      </c>
      <c r="S349" s="121">
        <v>161.9036915010451</v>
      </c>
      <c r="T349" s="121">
        <v>14.874580382243005</v>
      </c>
      <c r="U349" s="20">
        <v>24082.494734141692</v>
      </c>
    </row>
    <row r="350" spans="2:21" x14ac:dyDescent="0.25">
      <c r="B350" s="5">
        <v>2024</v>
      </c>
      <c r="C350" s="5">
        <v>10</v>
      </c>
      <c r="D350" s="5" t="s">
        <v>22</v>
      </c>
      <c r="E350" s="127">
        <v>45579</v>
      </c>
      <c r="F350" s="5" t="s">
        <v>41</v>
      </c>
      <c r="G350" s="5" t="s">
        <v>43</v>
      </c>
      <c r="H350" s="5" t="s">
        <v>37</v>
      </c>
      <c r="I350">
        <v>2023</v>
      </c>
      <c r="J350" s="5" t="s">
        <v>61</v>
      </c>
      <c r="K350" s="5" t="s">
        <v>50</v>
      </c>
      <c r="L350" s="129">
        <v>45258</v>
      </c>
      <c r="M350" s="20">
        <v>2238.83</v>
      </c>
      <c r="N350" s="128">
        <v>15.93</v>
      </c>
      <c r="O350" s="20">
        <v>318.76145637162585</v>
      </c>
      <c r="P350" s="128">
        <v>10.479828702628796</v>
      </c>
      <c r="Q350" s="122">
        <v>140.54174513496548</v>
      </c>
      <c r="R350" s="121">
        <v>13.410691064035381</v>
      </c>
      <c r="S350" s="121">
        <v>160.92829276842457</v>
      </c>
      <c r="T350" s="121">
        <v>15.210587875175873</v>
      </c>
      <c r="U350" s="20">
        <v>24478.139387561518</v>
      </c>
    </row>
    <row r="351" spans="2:21" x14ac:dyDescent="0.25">
      <c r="B351" s="5">
        <v>2024</v>
      </c>
      <c r="C351" s="5">
        <v>10</v>
      </c>
      <c r="D351" s="5" t="s">
        <v>22</v>
      </c>
      <c r="E351" s="127">
        <v>45583</v>
      </c>
      <c r="F351" s="5" t="s">
        <v>41</v>
      </c>
      <c r="G351" s="5" t="s">
        <v>42</v>
      </c>
      <c r="H351" s="5" t="s">
        <v>3</v>
      </c>
      <c r="I351">
        <v>2023</v>
      </c>
      <c r="J351" s="5" t="s">
        <v>61</v>
      </c>
      <c r="K351" s="5" t="s">
        <v>50</v>
      </c>
      <c r="L351" s="129">
        <v>45244</v>
      </c>
      <c r="M351" s="20">
        <v>2964.16</v>
      </c>
      <c r="N351" s="128">
        <v>21.12</v>
      </c>
      <c r="O351" s="20">
        <v>336.62310606060601</v>
      </c>
      <c r="P351" s="128">
        <v>11.067061021170609</v>
      </c>
      <c r="Q351" s="122">
        <v>140.34848484848484</v>
      </c>
      <c r="R351" s="121">
        <v>12.681640101198212</v>
      </c>
      <c r="S351" s="121">
        <v>152.17968121437855</v>
      </c>
      <c r="T351" s="121">
        <v>15.695613403196861</v>
      </c>
      <c r="U351" s="20">
        <v>23885.534441626256</v>
      </c>
    </row>
    <row r="352" spans="2:21" x14ac:dyDescent="0.25">
      <c r="B352" s="5">
        <v>2024</v>
      </c>
      <c r="C352" s="5">
        <v>10</v>
      </c>
      <c r="D352" s="5" t="s">
        <v>22</v>
      </c>
      <c r="E352" s="127">
        <v>45585</v>
      </c>
      <c r="F352" s="5" t="s">
        <v>25</v>
      </c>
      <c r="G352" s="5" t="s">
        <v>27</v>
      </c>
      <c r="H352" s="5" t="s">
        <v>3</v>
      </c>
      <c r="I352">
        <v>2023</v>
      </c>
      <c r="J352" s="5" t="s">
        <v>304</v>
      </c>
      <c r="K352" s="5" t="s">
        <v>50</v>
      </c>
      <c r="L352" s="129">
        <v>45243</v>
      </c>
      <c r="M352" s="20">
        <v>2621.5699999999902</v>
      </c>
      <c r="N352" s="128">
        <v>18.53</v>
      </c>
      <c r="O352" s="20">
        <v>340.99190501888825</v>
      </c>
      <c r="P352" s="128">
        <v>11.210692767744272</v>
      </c>
      <c r="Q352" s="122">
        <v>141.47706422018294</v>
      </c>
      <c r="R352" s="121">
        <v>12.619832435979767</v>
      </c>
      <c r="S352" s="121">
        <v>151.4379892317572</v>
      </c>
      <c r="T352" s="121">
        <v>15.635888454689425</v>
      </c>
      <c r="U352" s="20">
        <v>23678.67507430214</v>
      </c>
    </row>
    <row r="353" spans="2:21" x14ac:dyDescent="0.25">
      <c r="B353" s="5">
        <v>2024</v>
      </c>
      <c r="C353" s="5">
        <v>10</v>
      </c>
      <c r="D353" s="5" t="s">
        <v>22</v>
      </c>
      <c r="E353" s="127">
        <v>45585</v>
      </c>
      <c r="F353" s="5" t="s">
        <v>39</v>
      </c>
      <c r="G353" s="5" t="s">
        <v>9</v>
      </c>
      <c r="H353" s="5" t="s">
        <v>6</v>
      </c>
      <c r="I353">
        <v>2022</v>
      </c>
      <c r="J353" s="5" t="s">
        <v>410</v>
      </c>
      <c r="K353" s="5" t="s">
        <v>50</v>
      </c>
      <c r="L353" s="129">
        <v>45240</v>
      </c>
      <c r="M353" s="20">
        <v>666.86</v>
      </c>
      <c r="N353" s="128">
        <v>4.43</v>
      </c>
      <c r="O353" s="20">
        <v>344.65011286681715</v>
      </c>
      <c r="P353" s="128">
        <v>11.330962614799468</v>
      </c>
      <c r="Q353" s="122">
        <v>150.53273137697519</v>
      </c>
      <c r="R353" s="121">
        <v>13.285078814077375</v>
      </c>
      <c r="S353" s="121">
        <v>159.4209457689285</v>
      </c>
      <c r="T353" s="121">
        <v>15.121062919848244</v>
      </c>
      <c r="U353" s="20">
        <v>24106.141517136824</v>
      </c>
    </row>
    <row r="354" spans="2:21" x14ac:dyDescent="0.25">
      <c r="B354" s="5">
        <v>2024</v>
      </c>
      <c r="C354" s="5">
        <v>10</v>
      </c>
      <c r="D354" s="5" t="s">
        <v>22</v>
      </c>
      <c r="E354" s="127">
        <v>45586</v>
      </c>
      <c r="F354" s="5" t="s">
        <v>41</v>
      </c>
      <c r="G354" s="5" t="s">
        <v>42</v>
      </c>
      <c r="H354" s="5" t="s">
        <v>37</v>
      </c>
      <c r="I354">
        <v>2023</v>
      </c>
      <c r="J354" s="5" t="s">
        <v>61</v>
      </c>
      <c r="K354" s="5" t="s">
        <v>50</v>
      </c>
      <c r="L354" s="129">
        <v>45247</v>
      </c>
      <c r="M354" s="20">
        <v>2601.9079999999999</v>
      </c>
      <c r="N354" s="128">
        <v>18.670000000000002</v>
      </c>
      <c r="O354" s="20">
        <v>332.06802356722011</v>
      </c>
      <c r="P354" s="128">
        <v>10.917304884401757</v>
      </c>
      <c r="Q354" s="122">
        <v>139.36304231387251</v>
      </c>
      <c r="R354" s="121">
        <v>12.765333916156294</v>
      </c>
      <c r="S354" s="121">
        <v>153.18400699387553</v>
      </c>
      <c r="T354" s="121">
        <v>14.768363259801616</v>
      </c>
      <c r="U354" s="20">
        <v>22622.770608775449</v>
      </c>
    </row>
    <row r="355" spans="2:21" x14ac:dyDescent="0.25">
      <c r="B355" s="5">
        <v>2024</v>
      </c>
      <c r="C355" s="5">
        <v>10</v>
      </c>
      <c r="D355" s="5" t="s">
        <v>22</v>
      </c>
      <c r="E355" s="127">
        <v>45586</v>
      </c>
      <c r="F355" s="5" t="s">
        <v>41</v>
      </c>
      <c r="G355" s="5" t="s">
        <v>43</v>
      </c>
      <c r="H355" s="5" t="s">
        <v>8</v>
      </c>
      <c r="I355">
        <v>2023</v>
      </c>
      <c r="J355" s="5" t="s">
        <v>61</v>
      </c>
      <c r="K355" s="5" t="s">
        <v>50</v>
      </c>
      <c r="L355" s="129">
        <v>45258</v>
      </c>
      <c r="M355" s="20">
        <v>2357.2600000000002</v>
      </c>
      <c r="N355" s="128">
        <v>19.9499999999999</v>
      </c>
      <c r="O355" s="20">
        <v>319.15087719298407</v>
      </c>
      <c r="P355" s="128">
        <v>10.492631578947421</v>
      </c>
      <c r="Q355" s="122">
        <v>118.15839598997555</v>
      </c>
      <c r="R355" s="121">
        <v>11.261083084919363</v>
      </c>
      <c r="S355" s="121">
        <v>135.13299701903236</v>
      </c>
      <c r="T355" s="121">
        <v>15.471531158646055</v>
      </c>
      <c r="U355" s="20">
        <v>20907.143739411837</v>
      </c>
    </row>
    <row r="356" spans="2:21" x14ac:dyDescent="0.25">
      <c r="B356" s="5">
        <v>2024</v>
      </c>
      <c r="C356" s="5">
        <v>10</v>
      </c>
      <c r="D356" s="5" t="s">
        <v>22</v>
      </c>
      <c r="E356" s="127">
        <v>45586</v>
      </c>
      <c r="F356" s="5" t="s">
        <v>39</v>
      </c>
      <c r="G356" s="5" t="s">
        <v>9</v>
      </c>
      <c r="H356" s="5" t="s">
        <v>3</v>
      </c>
      <c r="I356">
        <v>2023</v>
      </c>
      <c r="J356" s="5" t="s">
        <v>410</v>
      </c>
      <c r="K356" s="5" t="s">
        <v>50</v>
      </c>
      <c r="L356" s="129">
        <v>45243</v>
      </c>
      <c r="M356" s="20">
        <v>1236.76</v>
      </c>
      <c r="N356" s="128">
        <v>8.8699999999999992</v>
      </c>
      <c r="O356" s="20">
        <v>342.40586245772266</v>
      </c>
      <c r="P356" s="128">
        <v>11.257179039705951</v>
      </c>
      <c r="Q356" s="122">
        <v>139.4317925591883</v>
      </c>
      <c r="R356" s="121">
        <v>12.386033132047475</v>
      </c>
      <c r="S356" s="121">
        <v>148.6323975845697</v>
      </c>
      <c r="T356" s="121">
        <v>14.57676180972056</v>
      </c>
      <c r="U356" s="20">
        <v>21665.79056797958</v>
      </c>
    </row>
    <row r="357" spans="2:21" x14ac:dyDescent="0.25">
      <c r="B357" s="5">
        <v>2024</v>
      </c>
      <c r="C357" s="5">
        <v>10</v>
      </c>
      <c r="D357" s="5" t="s">
        <v>22</v>
      </c>
      <c r="E357" s="127">
        <v>45587</v>
      </c>
      <c r="F357" s="5" t="s">
        <v>25</v>
      </c>
      <c r="G357" s="5" t="s">
        <v>27</v>
      </c>
      <c r="H357" s="5" t="s">
        <v>4</v>
      </c>
      <c r="I357">
        <v>2023</v>
      </c>
      <c r="J357" s="5" t="s">
        <v>304</v>
      </c>
      <c r="K357" s="5" t="s">
        <v>50</v>
      </c>
      <c r="L357" s="129">
        <v>45246</v>
      </c>
      <c r="M357" s="20">
        <v>2307.27</v>
      </c>
      <c r="N357" s="128">
        <v>18.75</v>
      </c>
      <c r="O357" s="20">
        <v>339.59359999999947</v>
      </c>
      <c r="P357" s="128">
        <v>11.164721095890393</v>
      </c>
      <c r="Q357" s="122">
        <v>123.0544</v>
      </c>
      <c r="R357" s="121">
        <v>11.021717331147208</v>
      </c>
      <c r="S357" s="121">
        <v>132.2606079737665</v>
      </c>
      <c r="T357" s="121">
        <v>15.050192485842574</v>
      </c>
      <c r="U357" s="20">
        <v>19905.476082997509</v>
      </c>
    </row>
    <row r="358" spans="2:21" x14ac:dyDescent="0.25">
      <c r="B358" s="5">
        <v>2024</v>
      </c>
      <c r="C358" s="5">
        <v>10</v>
      </c>
      <c r="D358" s="5" t="s">
        <v>22</v>
      </c>
      <c r="E358" s="127">
        <v>45587</v>
      </c>
      <c r="F358" s="5" t="s">
        <v>41</v>
      </c>
      <c r="G358" s="5" t="s">
        <v>42</v>
      </c>
      <c r="H358" s="5" t="s">
        <v>5</v>
      </c>
      <c r="I358">
        <v>2023</v>
      </c>
      <c r="J358" s="5" t="s">
        <v>61</v>
      </c>
      <c r="K358" s="5" t="s">
        <v>50</v>
      </c>
      <c r="L358" s="129">
        <v>45250</v>
      </c>
      <c r="M358" s="20">
        <v>1571.5729999999901</v>
      </c>
      <c r="N358" s="128">
        <v>12.23</v>
      </c>
      <c r="O358" s="20">
        <v>332.17252657399752</v>
      </c>
      <c r="P358" s="128">
        <v>10.920740599693069</v>
      </c>
      <c r="Q358" s="122">
        <v>128.50147179067784</v>
      </c>
      <c r="R358" s="121">
        <v>11.766736021024931</v>
      </c>
      <c r="S358" s="121">
        <v>141.20083225229916</v>
      </c>
      <c r="T358" s="121">
        <v>15.881578155425268</v>
      </c>
      <c r="U358" s="20">
        <v>22424.92053025982</v>
      </c>
    </row>
    <row r="359" spans="2:21" x14ac:dyDescent="0.25">
      <c r="B359" s="5">
        <v>2024</v>
      </c>
      <c r="C359" s="5">
        <v>10</v>
      </c>
      <c r="D359" s="5" t="s">
        <v>22</v>
      </c>
      <c r="E359" s="127">
        <v>45589</v>
      </c>
      <c r="F359" s="5" t="s">
        <v>41</v>
      </c>
      <c r="G359" s="5" t="s">
        <v>42</v>
      </c>
      <c r="H359" s="5" t="s">
        <v>4</v>
      </c>
      <c r="I359">
        <v>2023</v>
      </c>
      <c r="J359" s="5" t="s">
        <v>61</v>
      </c>
      <c r="K359" s="5" t="s">
        <v>50</v>
      </c>
      <c r="L359" s="129">
        <v>45252</v>
      </c>
      <c r="M359" s="20">
        <v>2351.4789999999998</v>
      </c>
      <c r="N359" s="128">
        <v>18.489999999999998</v>
      </c>
      <c r="O359" s="20">
        <v>330.42401297998867</v>
      </c>
      <c r="P359" s="128">
        <v>10.863255221259902</v>
      </c>
      <c r="Q359" s="122">
        <v>127.1757166035695</v>
      </c>
      <c r="R359" s="121">
        <v>11.706962048970427</v>
      </c>
      <c r="S359" s="121">
        <v>140.48354458764513</v>
      </c>
      <c r="T359" s="121">
        <v>16.033240886001959</v>
      </c>
      <c r="U359" s="20">
        <v>22524.065108931107</v>
      </c>
    </row>
    <row r="360" spans="2:21" x14ac:dyDescent="0.25">
      <c r="B360" s="5">
        <v>2024</v>
      </c>
      <c r="C360" s="5">
        <v>10</v>
      </c>
      <c r="D360" s="5" t="s">
        <v>22</v>
      </c>
      <c r="E360" s="127">
        <v>45590</v>
      </c>
      <c r="F360" s="5" t="s">
        <v>25</v>
      </c>
      <c r="G360" s="5" t="s">
        <v>27</v>
      </c>
      <c r="H360" s="5" t="s">
        <v>5</v>
      </c>
      <c r="I360">
        <v>2023</v>
      </c>
      <c r="J360" s="5" t="s">
        <v>315</v>
      </c>
      <c r="K360" s="5" t="s">
        <v>50</v>
      </c>
      <c r="L360" s="129">
        <v>45254</v>
      </c>
      <c r="M360" s="20">
        <v>1989.83</v>
      </c>
      <c r="N360" s="128">
        <v>16.23</v>
      </c>
      <c r="O360" s="20">
        <v>332.53789279112692</v>
      </c>
      <c r="P360" s="128">
        <v>10.932752639708282</v>
      </c>
      <c r="Q360" s="122">
        <v>122.60197165742451</v>
      </c>
      <c r="R360" s="121">
        <v>11.214190579244267</v>
      </c>
      <c r="S360" s="121">
        <v>134.57028695093121</v>
      </c>
      <c r="T360" s="121">
        <v>15.250646188669334</v>
      </c>
      <c r="U360" s="20">
        <v>20522.838337963578</v>
      </c>
    </row>
    <row r="361" spans="2:21" x14ac:dyDescent="0.25">
      <c r="B361" s="5">
        <v>2024</v>
      </c>
      <c r="C361" s="5">
        <v>10</v>
      </c>
      <c r="D361" s="5" t="s">
        <v>22</v>
      </c>
      <c r="E361" s="127">
        <v>45591</v>
      </c>
      <c r="F361" s="5" t="s">
        <v>29</v>
      </c>
      <c r="G361" s="5" t="s">
        <v>31</v>
      </c>
      <c r="H361" s="5" t="s">
        <v>4</v>
      </c>
      <c r="I361">
        <v>2024</v>
      </c>
      <c r="J361" s="5" t="s">
        <v>381</v>
      </c>
      <c r="K361" s="5" t="s">
        <v>50</v>
      </c>
      <c r="L361" s="129">
        <v>45261</v>
      </c>
      <c r="M361" s="20">
        <v>1889.1</v>
      </c>
      <c r="N361" s="128">
        <v>15.06</v>
      </c>
      <c r="O361" s="20">
        <v>329.35325365205847</v>
      </c>
      <c r="P361" s="128">
        <v>10.828052174862195</v>
      </c>
      <c r="Q361" s="122">
        <v>125.43824701195219</v>
      </c>
      <c r="R361" s="121">
        <v>11.584562485131228</v>
      </c>
      <c r="S361" s="121">
        <v>139.01474982157472</v>
      </c>
      <c r="T361" s="121">
        <v>15.350077836768833</v>
      </c>
      <c r="U361" s="20">
        <v>21338.87230220118</v>
      </c>
    </row>
    <row r="362" spans="2:21" x14ac:dyDescent="0.25">
      <c r="B362" s="5">
        <v>2024</v>
      </c>
      <c r="C362" s="5">
        <v>10</v>
      </c>
      <c r="D362" s="5" t="s">
        <v>22</v>
      </c>
      <c r="E362" s="127">
        <v>45592</v>
      </c>
      <c r="F362" s="5" t="s">
        <v>29</v>
      </c>
      <c r="G362" s="5" t="s">
        <v>31</v>
      </c>
      <c r="H362" s="5" t="s">
        <v>3</v>
      </c>
      <c r="I362">
        <v>2024</v>
      </c>
      <c r="J362" s="5" t="s">
        <v>381</v>
      </c>
      <c r="K362" s="5" t="s">
        <v>50</v>
      </c>
      <c r="L362" s="129">
        <v>45271</v>
      </c>
      <c r="M362" s="20">
        <v>1232.1949999999999</v>
      </c>
      <c r="N362" s="128">
        <v>11.2</v>
      </c>
      <c r="O362" s="20">
        <v>320.45446428571432</v>
      </c>
      <c r="P362" s="128">
        <v>10.535489236790609</v>
      </c>
      <c r="Q362" s="122">
        <v>110.01741071428572</v>
      </c>
      <c r="R362" s="121">
        <v>10.442553567431668</v>
      </c>
      <c r="S362" s="121">
        <v>125.31064280918002</v>
      </c>
      <c r="T362" s="121">
        <v>15.103048116694191</v>
      </c>
      <c r="U362" s="20">
        <v>18925.726678809249</v>
      </c>
    </row>
    <row r="363" spans="2:21" x14ac:dyDescent="0.25">
      <c r="B363" s="5">
        <v>2024</v>
      </c>
      <c r="C363" s="5">
        <v>10</v>
      </c>
      <c r="D363" s="5" t="s">
        <v>22</v>
      </c>
      <c r="E363" s="127">
        <v>45592</v>
      </c>
      <c r="F363" s="5" t="s">
        <v>29</v>
      </c>
      <c r="G363" s="5" t="s">
        <v>31</v>
      </c>
      <c r="H363" s="5" t="s">
        <v>5</v>
      </c>
      <c r="I363">
        <v>2024</v>
      </c>
      <c r="J363" s="5" t="s">
        <v>381</v>
      </c>
      <c r="K363" s="5" t="s">
        <v>50</v>
      </c>
      <c r="L363" s="129">
        <v>45264</v>
      </c>
      <c r="M363" s="20">
        <v>1786.645</v>
      </c>
      <c r="N363" s="128">
        <v>13.2</v>
      </c>
      <c r="O363" s="20">
        <v>325.97803030303032</v>
      </c>
      <c r="P363" s="128">
        <v>10.71708592777086</v>
      </c>
      <c r="Q363" s="122">
        <v>135.35189393939393</v>
      </c>
      <c r="R363" s="121">
        <v>12.629542662213865</v>
      </c>
      <c r="S363" s="121">
        <v>151.55451194656638</v>
      </c>
      <c r="T363" s="121">
        <v>15.435668450632329</v>
      </c>
      <c r="U363" s="20">
        <v>23393.451986045951</v>
      </c>
    </row>
    <row r="364" spans="2:21" x14ac:dyDescent="0.25">
      <c r="B364" s="5">
        <v>2024</v>
      </c>
      <c r="C364" s="5">
        <v>10</v>
      </c>
      <c r="D364" s="5" t="s">
        <v>22</v>
      </c>
      <c r="E364" s="127">
        <v>45595</v>
      </c>
      <c r="F364" s="5" t="s">
        <v>39</v>
      </c>
      <c r="G364" s="5" t="s">
        <v>9</v>
      </c>
      <c r="H364" s="5" t="s">
        <v>4</v>
      </c>
      <c r="I364">
        <v>2023</v>
      </c>
      <c r="J364" s="5" t="s">
        <v>410</v>
      </c>
      <c r="K364" s="5" t="s">
        <v>50</v>
      </c>
      <c r="L364" s="129">
        <v>45240</v>
      </c>
      <c r="M364" s="20">
        <v>994.51</v>
      </c>
      <c r="N364" s="128">
        <v>6.47</v>
      </c>
      <c r="O364" s="20">
        <v>353.83153013910356</v>
      </c>
      <c r="P364" s="128">
        <v>11.632817429230803</v>
      </c>
      <c r="Q364" s="122">
        <v>153.7109737248841</v>
      </c>
      <c r="R364" s="121">
        <v>13.213563666755489</v>
      </c>
      <c r="S364" s="121">
        <v>158.56276400106586</v>
      </c>
      <c r="T364" s="121">
        <v>14.3599964031332</v>
      </c>
      <c r="U364" s="20">
        <v>22769.607207261644</v>
      </c>
    </row>
    <row r="365" spans="2:21" x14ac:dyDescent="0.25">
      <c r="B365" s="5">
        <v>2024</v>
      </c>
      <c r="C365" s="5">
        <v>10</v>
      </c>
      <c r="D365" s="5" t="s">
        <v>22</v>
      </c>
      <c r="E365" s="127">
        <v>45596</v>
      </c>
      <c r="F365" s="5" t="s">
        <v>25</v>
      </c>
      <c r="G365" s="5" t="s">
        <v>28</v>
      </c>
      <c r="H365" s="5" t="s">
        <v>8</v>
      </c>
      <c r="I365">
        <v>2022</v>
      </c>
      <c r="J365" s="5" t="s">
        <v>315</v>
      </c>
      <c r="K365" s="5" t="s">
        <v>50</v>
      </c>
      <c r="L365" s="129">
        <v>45295</v>
      </c>
      <c r="M365" s="20">
        <v>2325.21</v>
      </c>
      <c r="N365" s="128">
        <v>17.799999999999901</v>
      </c>
      <c r="O365" s="20">
        <v>300.6151685393275</v>
      </c>
      <c r="P365" s="128">
        <v>9.8832384177313148</v>
      </c>
      <c r="Q365" s="122">
        <v>130.62977528089959</v>
      </c>
      <c r="R365" s="121">
        <v>13.217304871097655</v>
      </c>
      <c r="S365" s="121">
        <v>158.60765845317187</v>
      </c>
      <c r="T365" s="121">
        <v>14.745882468151262</v>
      </c>
      <c r="U365" s="20">
        <v>23388.098900991503</v>
      </c>
    </row>
    <row r="366" spans="2:21" x14ac:dyDescent="0.25">
      <c r="B366" s="5">
        <v>2024</v>
      </c>
      <c r="C366" s="5">
        <v>10</v>
      </c>
      <c r="D366" s="5" t="s">
        <v>19</v>
      </c>
      <c r="E366" s="127">
        <v>45595</v>
      </c>
      <c r="F366" s="5" t="s">
        <v>20</v>
      </c>
      <c r="G366" s="5" t="s">
        <v>10</v>
      </c>
      <c r="H366" s="5" t="s">
        <v>8</v>
      </c>
      <c r="I366">
        <v>2022</v>
      </c>
      <c r="J366" s="5" t="s">
        <v>64</v>
      </c>
      <c r="K366" s="5" t="s">
        <v>50</v>
      </c>
      <c r="L366" s="129">
        <v>45174</v>
      </c>
      <c r="M366" s="20">
        <v>4242.68</v>
      </c>
      <c r="N366" s="128">
        <v>39.28</v>
      </c>
      <c r="O366" s="20">
        <v>419.34139511201624</v>
      </c>
      <c r="P366" s="128">
        <v>13.78656641464163</v>
      </c>
      <c r="Q366" s="122">
        <v>108.0112016293279</v>
      </c>
      <c r="R366" s="121">
        <v>7.83452517333233</v>
      </c>
      <c r="S366" s="121">
        <v>94.014302079987957</v>
      </c>
      <c r="T366" s="121">
        <v>14.3769945786484</v>
      </c>
      <c r="U366" s="20">
        <v>13516.431113193998</v>
      </c>
    </row>
    <row r="367" spans="2:21" x14ac:dyDescent="0.25">
      <c r="B367" s="5">
        <v>2024</v>
      </c>
      <c r="C367" s="5">
        <v>10</v>
      </c>
      <c r="D367" s="5" t="s">
        <v>19</v>
      </c>
      <c r="E367" s="127">
        <v>45596</v>
      </c>
      <c r="F367" s="5" t="s">
        <v>20</v>
      </c>
      <c r="G367" s="5" t="s">
        <v>9</v>
      </c>
      <c r="H367" s="5" t="s">
        <v>37</v>
      </c>
      <c r="I367">
        <v>2022</v>
      </c>
      <c r="J367" s="5" t="s">
        <v>283</v>
      </c>
      <c r="K367" s="5" t="s">
        <v>50</v>
      </c>
      <c r="L367" s="129">
        <v>45167</v>
      </c>
      <c r="M367" s="20">
        <v>874.24</v>
      </c>
      <c r="N367" s="128">
        <v>7.13</v>
      </c>
      <c r="O367" s="20">
        <v>428.53997194950909</v>
      </c>
      <c r="P367" s="128">
        <v>14.088985379161944</v>
      </c>
      <c r="Q367" s="122">
        <v>122.61430575035064</v>
      </c>
      <c r="R367" s="121">
        <v>8.7028485338412711</v>
      </c>
      <c r="S367" s="121">
        <v>104.43418240609526</v>
      </c>
      <c r="T367" s="121">
        <v>14.445451160436493</v>
      </c>
      <c r="U367" s="20">
        <v>15085.988814273651</v>
      </c>
    </row>
    <row r="368" spans="2:21" x14ac:dyDescent="0.25">
      <c r="B368" s="5">
        <v>2024</v>
      </c>
      <c r="C368" s="5">
        <v>10</v>
      </c>
      <c r="D368" s="5" t="s">
        <v>19</v>
      </c>
      <c r="E368" s="127">
        <v>45596</v>
      </c>
      <c r="F368" s="5" t="s">
        <v>20</v>
      </c>
      <c r="G368" s="5" t="s">
        <v>26</v>
      </c>
      <c r="H368" s="5" t="s">
        <v>7</v>
      </c>
      <c r="I368">
        <v>2022</v>
      </c>
      <c r="J368" s="5" t="s">
        <v>283</v>
      </c>
      <c r="K368" s="5" t="s">
        <v>50</v>
      </c>
      <c r="L368" s="129">
        <v>45129</v>
      </c>
      <c r="M368" s="20">
        <v>1343.04</v>
      </c>
      <c r="N368" s="128">
        <v>14.67</v>
      </c>
      <c r="O368" s="20">
        <v>466.49147920927066</v>
      </c>
      <c r="P368" s="128">
        <v>15.336706165784241</v>
      </c>
      <c r="Q368" s="122">
        <v>91.550102249488745</v>
      </c>
      <c r="R368" s="121">
        <v>5.9693457812821924</v>
      </c>
      <c r="S368" s="121">
        <v>71.632149375386305</v>
      </c>
      <c r="T368" s="121">
        <v>14.218219219085061</v>
      </c>
      <c r="U368" s="20">
        <v>10184.816029534895</v>
      </c>
    </row>
    <row r="369" spans="2:21" x14ac:dyDescent="0.25">
      <c r="B369" s="5">
        <v>2024</v>
      </c>
      <c r="C369" s="134" t="s">
        <v>299</v>
      </c>
      <c r="D369" s="134"/>
      <c r="E369" s="134"/>
      <c r="F369" s="134"/>
      <c r="G369" s="134"/>
      <c r="H369" s="134"/>
      <c r="I369" s="134"/>
      <c r="J369" s="134"/>
      <c r="K369" s="134"/>
      <c r="L369" s="134"/>
      <c r="M369" s="130">
        <v>115596.53</v>
      </c>
      <c r="N369" s="131">
        <v>877.33999999999935</v>
      </c>
      <c r="O369" s="130">
        <v>337.00517473271475</v>
      </c>
      <c r="P369" s="131">
        <v>11.079622182993361</v>
      </c>
      <c r="Q369" s="132">
        <v>131.75796156564169</v>
      </c>
      <c r="R369" s="133">
        <v>11.891918279296858</v>
      </c>
      <c r="S369" s="133">
        <v>142.70301935156229</v>
      </c>
      <c r="T369" s="133">
        <v>14.822825967939123</v>
      </c>
      <c r="U369" s="130">
        <v>21152.620209476569</v>
      </c>
    </row>
    <row r="370" spans="2:21" x14ac:dyDescent="0.25">
      <c r="B370" s="5">
        <v>2024</v>
      </c>
      <c r="C370" s="5">
        <v>11</v>
      </c>
      <c r="D370" s="5" t="s">
        <v>78</v>
      </c>
      <c r="E370" s="127">
        <v>45617</v>
      </c>
      <c r="F370" s="5" t="s">
        <v>48</v>
      </c>
      <c r="G370" s="5" t="s">
        <v>2</v>
      </c>
      <c r="H370" s="5" t="s">
        <v>3</v>
      </c>
      <c r="I370">
        <v>2022</v>
      </c>
      <c r="J370" s="5" t="s">
        <v>80</v>
      </c>
      <c r="K370" s="5" t="s">
        <v>50</v>
      </c>
      <c r="L370" s="129">
        <v>45226</v>
      </c>
      <c r="M370" s="20">
        <v>3250.7</v>
      </c>
      <c r="N370" s="128">
        <v>28.79</v>
      </c>
      <c r="O370" s="20">
        <v>389.74852379298369</v>
      </c>
      <c r="P370" s="128">
        <v>12.813650097303574</v>
      </c>
      <c r="Q370" s="122">
        <v>112.91073289336575</v>
      </c>
      <c r="R370" s="121">
        <v>8.8117540307368003</v>
      </c>
      <c r="S370" s="121">
        <v>105.7410483688416</v>
      </c>
      <c r="T370" s="121">
        <v>15.067981878986066</v>
      </c>
      <c r="U370" s="20">
        <v>15933.042006866945</v>
      </c>
    </row>
    <row r="371" spans="2:21" x14ac:dyDescent="0.25">
      <c r="B371" s="5">
        <v>2024</v>
      </c>
      <c r="C371" s="5">
        <v>11</v>
      </c>
      <c r="D371" s="5" t="s">
        <v>17</v>
      </c>
      <c r="E371" s="127">
        <v>45597</v>
      </c>
      <c r="F371" s="5" t="s">
        <v>18</v>
      </c>
      <c r="G371" s="5" t="s">
        <v>12</v>
      </c>
      <c r="H371" s="5" t="s">
        <v>4</v>
      </c>
      <c r="I371">
        <v>2022</v>
      </c>
      <c r="J371" s="5" t="s">
        <v>410</v>
      </c>
      <c r="K371" s="5" t="s">
        <v>50</v>
      </c>
      <c r="L371" s="129">
        <v>45244</v>
      </c>
      <c r="M371" s="20">
        <v>276.76</v>
      </c>
      <c r="N371" s="128">
        <v>2.23</v>
      </c>
      <c r="O371" s="20">
        <v>352.99999999999955</v>
      </c>
      <c r="P371" s="128">
        <v>11.60547945205478</v>
      </c>
      <c r="Q371" s="122">
        <v>124.10762331838565</v>
      </c>
      <c r="R371" s="121">
        <v>10.693881612656002</v>
      </c>
      <c r="S371" s="121">
        <v>128.32657935187203</v>
      </c>
      <c r="T371" s="121">
        <v>12.8825</v>
      </c>
      <c r="U371" s="20">
        <v>16531.671585004915</v>
      </c>
    </row>
    <row r="372" spans="2:21" x14ac:dyDescent="0.25">
      <c r="B372" s="5">
        <v>2024</v>
      </c>
      <c r="C372" s="5">
        <v>11</v>
      </c>
      <c r="D372" s="5" t="s">
        <v>17</v>
      </c>
      <c r="E372" s="127">
        <v>45598</v>
      </c>
      <c r="F372" s="5" t="s">
        <v>18</v>
      </c>
      <c r="G372" s="5" t="s">
        <v>12</v>
      </c>
      <c r="H372" s="5" t="s">
        <v>6</v>
      </c>
      <c r="I372">
        <v>2022</v>
      </c>
      <c r="J372" s="5" t="s">
        <v>410</v>
      </c>
      <c r="K372" s="5" t="s">
        <v>50</v>
      </c>
      <c r="L372" s="129">
        <v>45245</v>
      </c>
      <c r="M372" s="20">
        <v>1497.74</v>
      </c>
      <c r="N372" s="128">
        <v>14.93</v>
      </c>
      <c r="O372" s="20">
        <v>352.64367046215676</v>
      </c>
      <c r="P372" s="128">
        <v>11.593764508344881</v>
      </c>
      <c r="Q372" s="122">
        <v>100.31748158070998</v>
      </c>
      <c r="R372" s="121">
        <v>8.6527099552957232</v>
      </c>
      <c r="S372" s="121">
        <v>103.83251946354868</v>
      </c>
      <c r="T372" s="121">
        <v>15.214528513693965</v>
      </c>
      <c r="U372" s="20">
        <v>15797.628280268451</v>
      </c>
    </row>
    <row r="373" spans="2:21" x14ac:dyDescent="0.25">
      <c r="B373" s="5">
        <v>2024</v>
      </c>
      <c r="C373" s="5">
        <v>11</v>
      </c>
      <c r="D373" s="5" t="s">
        <v>17</v>
      </c>
      <c r="E373" s="127">
        <v>45599</v>
      </c>
      <c r="F373" s="5" t="s">
        <v>18</v>
      </c>
      <c r="G373" s="5" t="s">
        <v>2</v>
      </c>
      <c r="H373" s="5" t="s">
        <v>4</v>
      </c>
      <c r="I373">
        <v>2023</v>
      </c>
      <c r="J373" s="5" t="s">
        <v>410</v>
      </c>
      <c r="K373" s="5" t="s">
        <v>50</v>
      </c>
      <c r="L373" s="129">
        <v>45255</v>
      </c>
      <c r="M373" s="20">
        <v>412.67</v>
      </c>
      <c r="N373" s="128">
        <v>3.5</v>
      </c>
      <c r="O373" s="20">
        <v>343.72285714285715</v>
      </c>
      <c r="P373" s="128">
        <v>11.30047749510763</v>
      </c>
      <c r="Q373" s="122">
        <v>117.9057142857143</v>
      </c>
      <c r="R373" s="121">
        <v>10.433693119318166</v>
      </c>
      <c r="S373" s="121">
        <v>125.204317431818</v>
      </c>
      <c r="T373" s="121">
        <v>15.770715693556594</v>
      </c>
      <c r="U373" s="20">
        <v>19745.616938230138</v>
      </c>
    </row>
    <row r="374" spans="2:21" x14ac:dyDescent="0.25">
      <c r="B374" s="5">
        <v>2024</v>
      </c>
      <c r="C374" s="5">
        <v>11</v>
      </c>
      <c r="D374" s="5" t="s">
        <v>17</v>
      </c>
      <c r="E374" s="127">
        <v>45605</v>
      </c>
      <c r="F374" s="5" t="s">
        <v>18</v>
      </c>
      <c r="G374" s="5" t="s">
        <v>12</v>
      </c>
      <c r="H374" s="5" t="s">
        <v>5</v>
      </c>
      <c r="I374">
        <v>2022</v>
      </c>
      <c r="J374" s="5" t="s">
        <v>410</v>
      </c>
      <c r="K374" s="5" t="s">
        <v>50</v>
      </c>
      <c r="L374" s="129">
        <v>45248</v>
      </c>
      <c r="M374" s="20">
        <v>143.62</v>
      </c>
      <c r="N374" s="128">
        <v>1.0999999999999901</v>
      </c>
      <c r="O374" s="20">
        <v>350.09090909091225</v>
      </c>
      <c r="P374" s="128">
        <v>11.509838107098485</v>
      </c>
      <c r="Q374" s="122">
        <v>130.56363636363756</v>
      </c>
      <c r="R374" s="121">
        <v>11.343655327620533</v>
      </c>
      <c r="S374" s="121">
        <v>136.12386393144641</v>
      </c>
      <c r="T374" s="121">
        <v>15.027616376479598</v>
      </c>
      <c r="U374" s="20">
        <v>20456.172068458844</v>
      </c>
    </row>
    <row r="375" spans="2:21" x14ac:dyDescent="0.25">
      <c r="B375" s="5">
        <v>2024</v>
      </c>
      <c r="C375" s="5">
        <v>11</v>
      </c>
      <c r="D375" s="5" t="s">
        <v>17</v>
      </c>
      <c r="E375" s="127">
        <v>45613</v>
      </c>
      <c r="F375" s="5" t="s">
        <v>18</v>
      </c>
      <c r="G375" s="5" t="s">
        <v>13</v>
      </c>
      <c r="H375" s="5" t="s">
        <v>4</v>
      </c>
      <c r="I375">
        <v>2022</v>
      </c>
      <c r="J375" s="5" t="s">
        <v>68</v>
      </c>
      <c r="K375" s="5" t="s">
        <v>50</v>
      </c>
      <c r="L375" s="129">
        <v>45237</v>
      </c>
      <c r="M375" s="20">
        <v>24.99</v>
      </c>
      <c r="N375" s="128">
        <v>0.2</v>
      </c>
      <c r="O375" s="20">
        <v>376</v>
      </c>
      <c r="P375" s="128">
        <v>12.361643835616439</v>
      </c>
      <c r="Q375" s="122">
        <v>124.94999999999999</v>
      </c>
      <c r="R375" s="121">
        <v>10.107878989361701</v>
      </c>
      <c r="S375" s="121">
        <v>121.29454787234042</v>
      </c>
      <c r="T375" s="121">
        <v>15.467000000000001</v>
      </c>
      <c r="U375" s="20">
        <v>18760.627719414893</v>
      </c>
    </row>
    <row r="376" spans="2:21" x14ac:dyDescent="0.25">
      <c r="B376" s="5">
        <v>2024</v>
      </c>
      <c r="C376" s="5">
        <v>11</v>
      </c>
      <c r="D376" s="5" t="s">
        <v>17</v>
      </c>
      <c r="E376" s="127">
        <v>45620</v>
      </c>
      <c r="F376" s="5" t="s">
        <v>18</v>
      </c>
      <c r="G376" s="5" t="s">
        <v>11</v>
      </c>
      <c r="H376" s="5" t="s">
        <v>4</v>
      </c>
      <c r="I376">
        <v>2023</v>
      </c>
      <c r="J376" s="5" t="s">
        <v>61</v>
      </c>
      <c r="K376" s="5" t="s">
        <v>50</v>
      </c>
      <c r="L376" s="129">
        <v>45247</v>
      </c>
      <c r="M376" s="20">
        <v>1394.96</v>
      </c>
      <c r="N376" s="128">
        <v>16.489999999999998</v>
      </c>
      <c r="O376" s="20">
        <v>372.34748332322624</v>
      </c>
      <c r="P376" s="128">
        <v>12.241561095558122</v>
      </c>
      <c r="Q376" s="122">
        <v>84.594299575500315</v>
      </c>
      <c r="R376" s="121">
        <v>6.9104176268985453</v>
      </c>
      <c r="S376" s="121">
        <v>82.92501152278254</v>
      </c>
      <c r="T376" s="121">
        <v>16.366139152513334</v>
      </c>
      <c r="U376" s="20">
        <v>13571.622778056308</v>
      </c>
    </row>
    <row r="377" spans="2:21" x14ac:dyDescent="0.25">
      <c r="B377" s="5">
        <v>2024</v>
      </c>
      <c r="C377" s="5">
        <v>11</v>
      </c>
      <c r="D377" s="5" t="s">
        <v>17</v>
      </c>
      <c r="E377" s="127">
        <v>45622</v>
      </c>
      <c r="F377" s="5" t="s">
        <v>18</v>
      </c>
      <c r="G377" s="5" t="s">
        <v>10</v>
      </c>
      <c r="H377" s="5" t="s">
        <v>4</v>
      </c>
      <c r="I377">
        <v>2022</v>
      </c>
      <c r="J377" s="5" t="s">
        <v>62</v>
      </c>
      <c r="K377" s="5" t="s">
        <v>79</v>
      </c>
      <c r="L377" s="129">
        <v>45281</v>
      </c>
      <c r="M377" s="20">
        <v>2068.7199999999998</v>
      </c>
      <c r="N377" s="128">
        <v>24.3</v>
      </c>
      <c r="O377" s="20">
        <v>340.01028806584361</v>
      </c>
      <c r="P377" s="128">
        <v>11.178420429561982</v>
      </c>
      <c r="Q377" s="122">
        <v>85.132510288065831</v>
      </c>
      <c r="R377" s="121">
        <v>7.6157906946251517</v>
      </c>
      <c r="S377" s="121">
        <v>91.389488335501824</v>
      </c>
      <c r="T377" s="121">
        <v>16.028637320459026</v>
      </c>
      <c r="U377" s="20">
        <v>14648.489634320795</v>
      </c>
    </row>
    <row r="378" spans="2:21" x14ac:dyDescent="0.25">
      <c r="B378" s="5">
        <v>2024</v>
      </c>
      <c r="C378" s="5">
        <v>11</v>
      </c>
      <c r="D378" s="5" t="s">
        <v>17</v>
      </c>
      <c r="E378" s="127">
        <v>45624</v>
      </c>
      <c r="F378" s="5" t="s">
        <v>18</v>
      </c>
      <c r="G378" s="5" t="s">
        <v>9</v>
      </c>
      <c r="H378" s="5" t="s">
        <v>5</v>
      </c>
      <c r="I378">
        <v>2023</v>
      </c>
      <c r="J378" s="5" t="s">
        <v>61</v>
      </c>
      <c r="K378" s="5" t="s">
        <v>50</v>
      </c>
      <c r="L378" s="129">
        <v>45290</v>
      </c>
      <c r="M378" s="20">
        <v>1639.28999999999</v>
      </c>
      <c r="N378" s="128">
        <v>17.2</v>
      </c>
      <c r="O378" s="20">
        <v>332.91279069767387</v>
      </c>
      <c r="P378" s="128">
        <v>10.945078050334482</v>
      </c>
      <c r="Q378" s="122">
        <v>95.307558139534308</v>
      </c>
      <c r="R378" s="121">
        <v>8.7078006845845817</v>
      </c>
      <c r="S378" s="121">
        <v>104.49360821501499</v>
      </c>
      <c r="T378" s="121">
        <v>16.152161958930488</v>
      </c>
      <c r="U378" s="20">
        <v>16877.976835619516</v>
      </c>
    </row>
    <row r="379" spans="2:21" x14ac:dyDescent="0.25">
      <c r="B379" s="5">
        <v>2024</v>
      </c>
      <c r="C379" s="5">
        <v>11</v>
      </c>
      <c r="D379" s="5" t="s">
        <v>17</v>
      </c>
      <c r="E379" s="127">
        <v>45625</v>
      </c>
      <c r="F379" s="5" t="s">
        <v>18</v>
      </c>
      <c r="G379" s="5" t="s">
        <v>11</v>
      </c>
      <c r="H379" s="5" t="s">
        <v>5</v>
      </c>
      <c r="I379">
        <v>2023</v>
      </c>
      <c r="J379" s="5" t="s">
        <v>62</v>
      </c>
      <c r="K379" s="5" t="s">
        <v>50</v>
      </c>
      <c r="L379" s="129">
        <v>45304</v>
      </c>
      <c r="M379" s="20">
        <v>1635.91</v>
      </c>
      <c r="N379" s="128">
        <v>18.07</v>
      </c>
      <c r="O379" s="20">
        <v>319.82623132263421</v>
      </c>
      <c r="P379" s="128">
        <v>10.514835002387974</v>
      </c>
      <c r="Q379" s="122">
        <v>90.531820697288325</v>
      </c>
      <c r="R379" s="121">
        <v>8.6099135817849817</v>
      </c>
      <c r="S379" s="121">
        <v>103.31896298141977</v>
      </c>
      <c r="T379" s="121">
        <v>15.443601223838657</v>
      </c>
      <c r="U379" s="20">
        <v>15956.168631455952</v>
      </c>
    </row>
    <row r="380" spans="2:21" x14ac:dyDescent="0.25">
      <c r="B380" s="5">
        <v>2024</v>
      </c>
      <c r="C380" s="5">
        <v>11</v>
      </c>
      <c r="D380" s="5" t="s">
        <v>17</v>
      </c>
      <c r="E380" s="127">
        <v>45626</v>
      </c>
      <c r="F380" s="5" t="s">
        <v>18</v>
      </c>
      <c r="G380" s="5" t="s">
        <v>9</v>
      </c>
      <c r="H380" s="5" t="s">
        <v>3</v>
      </c>
      <c r="I380">
        <v>2023</v>
      </c>
      <c r="J380" s="5" t="s">
        <v>351</v>
      </c>
      <c r="K380" s="5" t="s">
        <v>50</v>
      </c>
      <c r="L380" s="129">
        <v>45257</v>
      </c>
      <c r="M380" s="20">
        <v>467.81</v>
      </c>
      <c r="N380" s="128">
        <v>4.1399999999999997</v>
      </c>
      <c r="O380" s="20">
        <v>356.21739130434787</v>
      </c>
      <c r="P380" s="128">
        <v>11.711256700416914</v>
      </c>
      <c r="Q380" s="122">
        <v>112.99758454106281</v>
      </c>
      <c r="R380" s="121">
        <v>9.6486301540158497</v>
      </c>
      <c r="S380" s="121">
        <v>115.78356184819019</v>
      </c>
      <c r="T380" s="121">
        <v>14.984751961266326</v>
      </c>
      <c r="U380" s="20">
        <v>17349.879554870691</v>
      </c>
    </row>
    <row r="381" spans="2:21" x14ac:dyDescent="0.25">
      <c r="B381" s="5">
        <v>2024</v>
      </c>
      <c r="C381" s="5">
        <v>11</v>
      </c>
      <c r="D381" s="5" t="s">
        <v>17</v>
      </c>
      <c r="E381" s="127">
        <v>45626</v>
      </c>
      <c r="F381" s="5" t="s">
        <v>18</v>
      </c>
      <c r="G381" s="5" t="s">
        <v>11</v>
      </c>
      <c r="H381" s="5" t="s">
        <v>3</v>
      </c>
      <c r="I381">
        <v>2023</v>
      </c>
      <c r="J381" s="5" t="s">
        <v>62</v>
      </c>
      <c r="K381" s="5" t="s">
        <v>50</v>
      </c>
      <c r="L381" s="129">
        <v>45288</v>
      </c>
      <c r="M381" s="20">
        <v>1875.83</v>
      </c>
      <c r="N381" s="128">
        <v>20.79</v>
      </c>
      <c r="O381" s="20">
        <v>337.07070707070659</v>
      </c>
      <c r="P381" s="128">
        <v>11.081776670817751</v>
      </c>
      <c r="Q381" s="122">
        <v>90.227513227513228</v>
      </c>
      <c r="R381" s="121">
        <v>8.141971807202566</v>
      </c>
      <c r="S381" s="121">
        <v>97.703661686430792</v>
      </c>
      <c r="T381" s="121">
        <v>15.552472964628992</v>
      </c>
      <c r="U381" s="20">
        <v>15195.335569234723</v>
      </c>
    </row>
    <row r="382" spans="2:21" x14ac:dyDescent="0.25">
      <c r="B382" s="5">
        <v>2024</v>
      </c>
      <c r="C382" s="5">
        <v>11</v>
      </c>
      <c r="D382" s="5" t="s">
        <v>17</v>
      </c>
      <c r="E382" s="127">
        <v>45626</v>
      </c>
      <c r="F382" s="5" t="s">
        <v>18</v>
      </c>
      <c r="G382" s="5" t="s">
        <v>11</v>
      </c>
      <c r="H382" s="5" t="s">
        <v>6</v>
      </c>
      <c r="I382">
        <v>2023</v>
      </c>
      <c r="J382" s="5" t="s">
        <v>62</v>
      </c>
      <c r="K382" s="5" t="s">
        <v>50</v>
      </c>
      <c r="L382" s="129">
        <v>45287</v>
      </c>
      <c r="M382" s="20">
        <v>1667.04</v>
      </c>
      <c r="N382" s="128">
        <v>15.21</v>
      </c>
      <c r="O382" s="20">
        <v>338.78238001314924</v>
      </c>
      <c r="P382" s="128">
        <v>11.138050849747373</v>
      </c>
      <c r="Q382" s="122">
        <v>109.6015779092702</v>
      </c>
      <c r="R382" s="121">
        <v>9.8402834919501316</v>
      </c>
      <c r="S382" s="121">
        <v>118.08340190340158</v>
      </c>
      <c r="T382" s="121">
        <v>15.643442999154189</v>
      </c>
      <c r="U382" s="20">
        <v>18472.309668220776</v>
      </c>
    </row>
    <row r="383" spans="2:21" x14ac:dyDescent="0.25">
      <c r="B383" s="5">
        <v>2024</v>
      </c>
      <c r="C383" s="5">
        <v>11</v>
      </c>
      <c r="D383" s="5" t="s">
        <v>0</v>
      </c>
      <c r="E383" s="127">
        <v>45606</v>
      </c>
      <c r="F383" s="5" t="s">
        <v>1</v>
      </c>
      <c r="G383" s="5" t="s">
        <v>15</v>
      </c>
      <c r="H383" s="5" t="s">
        <v>4</v>
      </c>
      <c r="I383">
        <v>2024</v>
      </c>
      <c r="J383" s="5" t="s">
        <v>60</v>
      </c>
      <c r="K383" s="5" t="s">
        <v>50</v>
      </c>
      <c r="L383" s="129">
        <v>45271</v>
      </c>
      <c r="M383" s="20">
        <v>5987.85</v>
      </c>
      <c r="N383" s="128">
        <v>41.88</v>
      </c>
      <c r="O383" s="20">
        <v>332.49880611270294</v>
      </c>
      <c r="P383" s="128">
        <v>10.931467598225851</v>
      </c>
      <c r="Q383" s="122">
        <v>142.97636103151862</v>
      </c>
      <c r="R383" s="121">
        <v>13.079338135231113</v>
      </c>
      <c r="S383" s="121">
        <v>156.95205762277337</v>
      </c>
      <c r="T383" s="121">
        <v>15.148419387237473</v>
      </c>
      <c r="U383" s="20">
        <v>23775.755925596332</v>
      </c>
    </row>
    <row r="384" spans="2:21" x14ac:dyDescent="0.25">
      <c r="B384" s="5">
        <v>2024</v>
      </c>
      <c r="C384" s="5">
        <v>11</v>
      </c>
      <c r="D384" s="5" t="s">
        <v>0</v>
      </c>
      <c r="E384" s="127">
        <v>45607</v>
      </c>
      <c r="F384" s="5" t="s">
        <v>1</v>
      </c>
      <c r="G384" s="5" t="s">
        <v>12</v>
      </c>
      <c r="H384" s="5" t="s">
        <v>8</v>
      </c>
      <c r="I384">
        <v>2024</v>
      </c>
      <c r="J384" s="5" t="s">
        <v>289</v>
      </c>
      <c r="K384" s="5" t="s">
        <v>50</v>
      </c>
      <c r="L384" s="129">
        <v>45265</v>
      </c>
      <c r="M384" s="20">
        <v>1346.79</v>
      </c>
      <c r="N384" s="128">
        <v>39.36</v>
      </c>
      <c r="O384" s="20">
        <v>339.97205284552842</v>
      </c>
      <c r="P384" s="128">
        <v>11.177163381222853</v>
      </c>
      <c r="Q384" s="122">
        <v>34.217225609756099</v>
      </c>
      <c r="R384" s="121">
        <v>3.0613514755666493</v>
      </c>
      <c r="S384" s="121">
        <v>36.736217706799792</v>
      </c>
      <c r="T384" s="121">
        <v>15.194739894586387</v>
      </c>
      <c r="U384" s="20">
        <v>5581.9727276572166</v>
      </c>
    </row>
    <row r="385" spans="2:21" x14ac:dyDescent="0.25">
      <c r="B385" s="5">
        <v>2024</v>
      </c>
      <c r="C385" s="5">
        <v>11</v>
      </c>
      <c r="D385" s="5" t="s">
        <v>0</v>
      </c>
      <c r="E385" s="127">
        <v>45612</v>
      </c>
      <c r="F385" s="5" t="s">
        <v>1</v>
      </c>
      <c r="G385" s="5" t="s">
        <v>10</v>
      </c>
      <c r="H385" s="5" t="s">
        <v>3</v>
      </c>
      <c r="I385">
        <v>2023</v>
      </c>
      <c r="J385" s="5" t="s">
        <v>289</v>
      </c>
      <c r="K385" s="5" t="s">
        <v>50</v>
      </c>
      <c r="L385" s="129">
        <v>45271</v>
      </c>
      <c r="M385" s="20">
        <v>4427.8519999999999</v>
      </c>
      <c r="N385" s="128">
        <v>41.79</v>
      </c>
      <c r="O385" s="20">
        <v>339.93036611629577</v>
      </c>
      <c r="P385" s="128">
        <v>11.175792858617942</v>
      </c>
      <c r="Q385" s="122">
        <v>105.95482172768605</v>
      </c>
      <c r="R385" s="121">
        <v>9.48074316230562</v>
      </c>
      <c r="S385" s="121">
        <v>113.76891794766745</v>
      </c>
      <c r="T385" s="121">
        <v>15.149510074699879</v>
      </c>
      <c r="U385" s="20">
        <v>17235.43368635892</v>
      </c>
    </row>
    <row r="386" spans="2:21" x14ac:dyDescent="0.25">
      <c r="B386" s="5">
        <v>2024</v>
      </c>
      <c r="C386" s="5">
        <v>11</v>
      </c>
      <c r="D386" s="5" t="s">
        <v>0</v>
      </c>
      <c r="E386" s="127">
        <v>45615</v>
      </c>
      <c r="F386" s="5" t="s">
        <v>1</v>
      </c>
      <c r="G386" s="5" t="s">
        <v>10</v>
      </c>
      <c r="H386" s="5" t="s">
        <v>7</v>
      </c>
      <c r="I386">
        <v>2024</v>
      </c>
      <c r="J386" s="5" t="s">
        <v>381</v>
      </c>
      <c r="K386" s="5" t="s">
        <v>51</v>
      </c>
      <c r="L386" s="129">
        <v>45274</v>
      </c>
      <c r="M386" s="20">
        <v>3190.72</v>
      </c>
      <c r="N386" s="128">
        <v>41.879999999999903</v>
      </c>
      <c r="O386" s="20">
        <v>339.22922636102993</v>
      </c>
      <c r="P386" s="128">
        <v>11.152741688581806</v>
      </c>
      <c r="Q386" s="122">
        <v>76.187201528175905</v>
      </c>
      <c r="R386" s="121">
        <v>6.8312531264107443</v>
      </c>
      <c r="S386" s="121">
        <v>81.975037516928936</v>
      </c>
      <c r="T386" s="121">
        <v>15.213235700446921</v>
      </c>
      <c r="U386" s="20">
        <v>12471.05567298019</v>
      </c>
    </row>
    <row r="387" spans="2:21" x14ac:dyDescent="0.25">
      <c r="B387" s="5">
        <v>2024</v>
      </c>
      <c r="C387" s="5">
        <v>11</v>
      </c>
      <c r="D387" s="5" t="s">
        <v>0</v>
      </c>
      <c r="E387" s="127">
        <v>45626</v>
      </c>
      <c r="F387" s="5" t="s">
        <v>1</v>
      </c>
      <c r="G387" s="5" t="s">
        <v>11</v>
      </c>
      <c r="H387" s="5" t="s">
        <v>3</v>
      </c>
      <c r="I387">
        <v>2023</v>
      </c>
      <c r="J387" s="5" t="s">
        <v>62</v>
      </c>
      <c r="K387" s="5" t="s">
        <v>50</v>
      </c>
      <c r="L387" s="129">
        <v>45275</v>
      </c>
      <c r="M387" s="20">
        <v>2817.8609999999999</v>
      </c>
      <c r="N387" s="128">
        <v>38.07</v>
      </c>
      <c r="O387" s="20">
        <v>342.55818229577096</v>
      </c>
      <c r="P387" s="128">
        <v>11.262186815203428</v>
      </c>
      <c r="Q387" s="122">
        <v>74.017888100866827</v>
      </c>
      <c r="R387" s="121">
        <v>6.5722482955926571</v>
      </c>
      <c r="S387" s="121">
        <v>78.866979547111882</v>
      </c>
      <c r="T387" s="121">
        <v>15.185210887829458</v>
      </c>
      <c r="U387" s="20">
        <v>11976.117165090265</v>
      </c>
    </row>
    <row r="388" spans="2:21" x14ac:dyDescent="0.25">
      <c r="B388" s="5">
        <v>2024</v>
      </c>
      <c r="C388" s="5">
        <v>11</v>
      </c>
      <c r="D388" s="5" t="s">
        <v>75</v>
      </c>
      <c r="E388" s="127">
        <v>45601</v>
      </c>
      <c r="F388" s="5" t="s">
        <v>52</v>
      </c>
      <c r="G388" s="5" t="s">
        <v>21</v>
      </c>
      <c r="H388" s="5" t="s">
        <v>5</v>
      </c>
      <c r="I388">
        <v>2023</v>
      </c>
      <c r="J388" s="5" t="s">
        <v>60</v>
      </c>
      <c r="K388" s="5" t="s">
        <v>50</v>
      </c>
      <c r="L388" s="129">
        <v>45274</v>
      </c>
      <c r="M388" s="20">
        <v>5611.23</v>
      </c>
      <c r="N388" s="128">
        <v>34.520000000000003</v>
      </c>
      <c r="O388" s="20">
        <v>325.98580533024045</v>
      </c>
      <c r="P388" s="128">
        <v>10.717341545103794</v>
      </c>
      <c r="Q388" s="122">
        <v>162.55011587485512</v>
      </c>
      <c r="R388" s="121">
        <v>15.167018349724605</v>
      </c>
      <c r="S388" s="121">
        <v>182.00422019669526</v>
      </c>
      <c r="T388" s="121">
        <v>14.632941991823541</v>
      </c>
      <c r="U388" s="20">
        <v>26632.571964053204</v>
      </c>
    </row>
    <row r="389" spans="2:21" x14ac:dyDescent="0.25">
      <c r="B389" s="5">
        <v>2024</v>
      </c>
      <c r="C389" s="5">
        <v>11</v>
      </c>
      <c r="D389" s="5" t="s">
        <v>75</v>
      </c>
      <c r="E389" s="127">
        <v>45608</v>
      </c>
      <c r="F389" s="5" t="s">
        <v>52</v>
      </c>
      <c r="G389" s="5" t="s">
        <v>35</v>
      </c>
      <c r="H389" s="5" t="s">
        <v>7</v>
      </c>
      <c r="I389">
        <v>2022</v>
      </c>
      <c r="J389" s="5" t="s">
        <v>60</v>
      </c>
      <c r="K389" s="5" t="s">
        <v>473</v>
      </c>
      <c r="L389" s="129">
        <v>45287</v>
      </c>
      <c r="M389" s="20">
        <v>1806.27</v>
      </c>
      <c r="N389" s="128">
        <v>13.77</v>
      </c>
      <c r="O389" s="20">
        <v>319.87291212781406</v>
      </c>
      <c r="P389" s="128">
        <v>10.516369713791148</v>
      </c>
      <c r="Q389" s="122">
        <v>131.17429193899781</v>
      </c>
      <c r="R389" s="121">
        <v>12.473343511970304</v>
      </c>
      <c r="S389" s="121">
        <v>149.68012214364364</v>
      </c>
      <c r="T389" s="121">
        <v>15.394839448144518</v>
      </c>
      <c r="U389" s="20">
        <v>23043.014489800549</v>
      </c>
    </row>
    <row r="390" spans="2:21" x14ac:dyDescent="0.25">
      <c r="B390" s="5">
        <v>2024</v>
      </c>
      <c r="C390" s="5">
        <v>11</v>
      </c>
      <c r="D390" s="5" t="s">
        <v>75</v>
      </c>
      <c r="E390" s="127">
        <v>45610</v>
      </c>
      <c r="F390" s="5" t="s">
        <v>52</v>
      </c>
      <c r="G390" s="5" t="s">
        <v>31</v>
      </c>
      <c r="H390" s="5" t="s">
        <v>5</v>
      </c>
      <c r="I390">
        <v>2023</v>
      </c>
      <c r="J390" s="5" t="s">
        <v>60</v>
      </c>
      <c r="K390" s="5" t="s">
        <v>50</v>
      </c>
      <c r="L390" s="129">
        <v>45281</v>
      </c>
      <c r="M390" s="20">
        <v>4736.6000000000004</v>
      </c>
      <c r="N390" s="128">
        <v>34.119999999999997</v>
      </c>
      <c r="O390" s="20">
        <v>327.69460726846427</v>
      </c>
      <c r="P390" s="128">
        <v>10.773521334853619</v>
      </c>
      <c r="Q390" s="122">
        <v>138.82180539273156</v>
      </c>
      <c r="R390" s="121">
        <v>12.885462522232777</v>
      </c>
      <c r="S390" s="121">
        <v>154.62555026679331</v>
      </c>
      <c r="T390" s="121">
        <v>15.242526957905458</v>
      </c>
      <c r="U390" s="20">
        <v>23568.841183225628</v>
      </c>
    </row>
    <row r="391" spans="2:21" x14ac:dyDescent="0.25">
      <c r="B391" s="5">
        <v>2024</v>
      </c>
      <c r="C391" s="5">
        <v>11</v>
      </c>
      <c r="D391" s="5" t="s">
        <v>75</v>
      </c>
      <c r="E391" s="127">
        <v>45617</v>
      </c>
      <c r="F391" s="5" t="s">
        <v>52</v>
      </c>
      <c r="G391" s="5" t="s">
        <v>43</v>
      </c>
      <c r="H391" s="5" t="s">
        <v>7</v>
      </c>
      <c r="I391">
        <v>2023</v>
      </c>
      <c r="J391" s="5" t="s">
        <v>283</v>
      </c>
      <c r="K391" s="5" t="s">
        <v>50</v>
      </c>
      <c r="L391" s="129">
        <v>45282</v>
      </c>
      <c r="M391" s="20">
        <v>3619.31</v>
      </c>
      <c r="N391" s="128">
        <v>23.48</v>
      </c>
      <c r="O391" s="20">
        <v>333.60306643952299</v>
      </c>
      <c r="P391" s="128">
        <v>10.967772047326783</v>
      </c>
      <c r="Q391" s="122">
        <v>154.14437819420783</v>
      </c>
      <c r="R391" s="121">
        <v>14.054301778799095</v>
      </c>
      <c r="S391" s="121">
        <v>168.65162134558915</v>
      </c>
      <c r="T391" s="121">
        <v>14.614161582616576</v>
      </c>
      <c r="U391" s="20">
        <v>24647.020455147067</v>
      </c>
    </row>
    <row r="392" spans="2:21" x14ac:dyDescent="0.25">
      <c r="B392" s="5">
        <v>2024</v>
      </c>
      <c r="C392" s="5">
        <v>11</v>
      </c>
      <c r="D392" s="5" t="s">
        <v>22</v>
      </c>
      <c r="E392" s="127">
        <v>45598</v>
      </c>
      <c r="F392" s="5" t="s">
        <v>25</v>
      </c>
      <c r="G392" s="5" t="s">
        <v>28</v>
      </c>
      <c r="H392" s="5" t="s">
        <v>8</v>
      </c>
      <c r="I392">
        <v>2022</v>
      </c>
      <c r="J392" s="5" t="s">
        <v>315</v>
      </c>
      <c r="K392" s="5" t="s">
        <v>50</v>
      </c>
      <c r="L392" s="129">
        <v>45295</v>
      </c>
      <c r="M392" s="20">
        <v>731.46</v>
      </c>
      <c r="N392" s="128">
        <v>5.1599999999999904</v>
      </c>
      <c r="O392" s="20">
        <v>302.06782945736489</v>
      </c>
      <c r="P392" s="128">
        <v>9.9309971328448725</v>
      </c>
      <c r="Q392" s="122">
        <v>141.75581395348865</v>
      </c>
      <c r="R392" s="121">
        <v>14.274076616602621</v>
      </c>
      <c r="S392" s="121">
        <v>171.28891939923145</v>
      </c>
      <c r="T392" s="121">
        <v>14.972818191097257</v>
      </c>
      <c r="U392" s="20">
        <v>25646.778483142043</v>
      </c>
    </row>
    <row r="393" spans="2:21" x14ac:dyDescent="0.25">
      <c r="B393" s="5">
        <v>2024</v>
      </c>
      <c r="C393" s="5">
        <v>11</v>
      </c>
      <c r="D393" s="5" t="s">
        <v>22</v>
      </c>
      <c r="E393" s="127">
        <v>45598</v>
      </c>
      <c r="F393" s="5" t="s">
        <v>39</v>
      </c>
      <c r="G393" s="5" t="s">
        <v>9</v>
      </c>
      <c r="H393" s="5" t="s">
        <v>4</v>
      </c>
      <c r="I393">
        <v>2023</v>
      </c>
      <c r="J393" s="5" t="s">
        <v>410</v>
      </c>
      <c r="K393" s="5" t="s">
        <v>50</v>
      </c>
      <c r="L393" s="129">
        <v>45240</v>
      </c>
      <c r="M393" s="20">
        <v>22.8</v>
      </c>
      <c r="N393" s="128">
        <v>0.25</v>
      </c>
      <c r="O393" s="20">
        <v>358</v>
      </c>
      <c r="P393" s="128">
        <v>11.769863013698631</v>
      </c>
      <c r="Q393" s="122">
        <v>91.2</v>
      </c>
      <c r="R393" s="121">
        <v>7.7486033519553077</v>
      </c>
      <c r="S393" s="121">
        <v>92.983240223463696</v>
      </c>
      <c r="T393" s="121">
        <v>0</v>
      </c>
      <c r="U393" s="20">
        <v>0</v>
      </c>
    </row>
    <row r="394" spans="2:21" x14ac:dyDescent="0.25">
      <c r="B394" s="5">
        <v>2024</v>
      </c>
      <c r="C394" s="5">
        <v>11</v>
      </c>
      <c r="D394" s="5" t="s">
        <v>22</v>
      </c>
      <c r="E394" s="127">
        <v>45599</v>
      </c>
      <c r="F394" s="5" t="s">
        <v>25</v>
      </c>
      <c r="G394" s="5" t="s">
        <v>28</v>
      </c>
      <c r="H394" s="5" t="s">
        <v>6</v>
      </c>
      <c r="I394">
        <v>2023</v>
      </c>
      <c r="J394" s="5" t="s">
        <v>315</v>
      </c>
      <c r="K394" s="5" t="s">
        <v>50</v>
      </c>
      <c r="L394" s="129">
        <v>45266</v>
      </c>
      <c r="M394" s="20">
        <v>2265.1099999999901</v>
      </c>
      <c r="N394" s="128">
        <v>16.89</v>
      </c>
      <c r="O394" s="20">
        <v>332.3741859088218</v>
      </c>
      <c r="P394" s="128">
        <v>10.927370495632498</v>
      </c>
      <c r="Q394" s="122">
        <v>134.10953226761339</v>
      </c>
      <c r="R394" s="121">
        <v>12.272809119194314</v>
      </c>
      <c r="S394" s="121">
        <v>147.27370943033176</v>
      </c>
      <c r="T394" s="121">
        <v>15.433556638167749</v>
      </c>
      <c r="U394" s="20">
        <v>22729.57135806085</v>
      </c>
    </row>
    <row r="395" spans="2:21" x14ac:dyDescent="0.25">
      <c r="B395" s="5">
        <v>2024</v>
      </c>
      <c r="C395" s="5">
        <v>11</v>
      </c>
      <c r="D395" s="5" t="s">
        <v>22</v>
      </c>
      <c r="E395" s="127">
        <v>45599</v>
      </c>
      <c r="F395" s="5" t="s">
        <v>25</v>
      </c>
      <c r="G395" s="5" t="s">
        <v>28</v>
      </c>
      <c r="H395" s="5" t="s">
        <v>7</v>
      </c>
      <c r="I395">
        <v>2023</v>
      </c>
      <c r="J395" s="5" t="s">
        <v>315</v>
      </c>
      <c r="K395" s="5" t="s">
        <v>50</v>
      </c>
      <c r="L395" s="129">
        <v>45266</v>
      </c>
      <c r="M395" s="20">
        <v>2294.19</v>
      </c>
      <c r="N395" s="128">
        <v>18.600000000000001</v>
      </c>
      <c r="O395" s="20">
        <v>331.88602150537633</v>
      </c>
      <c r="P395" s="128">
        <v>10.911321254971277</v>
      </c>
      <c r="Q395" s="122">
        <v>123.34354838709677</v>
      </c>
      <c r="R395" s="121">
        <v>11.304180814115483</v>
      </c>
      <c r="S395" s="121">
        <v>135.6501697693858</v>
      </c>
      <c r="T395" s="121">
        <v>15.703849453022636</v>
      </c>
      <c r="U395" s="20">
        <v>21302.298443353971</v>
      </c>
    </row>
    <row r="396" spans="2:21" x14ac:dyDescent="0.25">
      <c r="B396" s="5">
        <v>2024</v>
      </c>
      <c r="C396" s="5">
        <v>11</v>
      </c>
      <c r="D396" s="5" t="s">
        <v>22</v>
      </c>
      <c r="E396" s="127">
        <v>45602</v>
      </c>
      <c r="F396" s="5" t="s">
        <v>41</v>
      </c>
      <c r="G396" s="5" t="s">
        <v>42</v>
      </c>
      <c r="H396" s="5" t="s">
        <v>8</v>
      </c>
      <c r="I396">
        <v>2023</v>
      </c>
      <c r="J396" s="5" t="s">
        <v>61</v>
      </c>
      <c r="K396" s="5" t="s">
        <v>50</v>
      </c>
      <c r="L396" s="129">
        <v>45254</v>
      </c>
      <c r="M396" s="20">
        <v>855.18</v>
      </c>
      <c r="N396" s="128">
        <v>7.1099999999999897</v>
      </c>
      <c r="O396" s="20">
        <v>347.04641350211023</v>
      </c>
      <c r="P396" s="128">
        <v>11.40974510143924</v>
      </c>
      <c r="Q396" s="122">
        <v>120.27848101265839</v>
      </c>
      <c r="R396" s="121">
        <v>10.54173252279635</v>
      </c>
      <c r="S396" s="121">
        <v>126.50079027355621</v>
      </c>
      <c r="T396" s="121">
        <v>15.813831655791764</v>
      </c>
      <c r="U396" s="20">
        <v>20004.62201710638</v>
      </c>
    </row>
    <row r="397" spans="2:21" x14ac:dyDescent="0.25">
      <c r="B397" s="5">
        <v>2024</v>
      </c>
      <c r="C397" s="5">
        <v>11</v>
      </c>
      <c r="D397" s="5" t="s">
        <v>22</v>
      </c>
      <c r="E397" s="127">
        <v>45603</v>
      </c>
      <c r="F397" s="5" t="s">
        <v>23</v>
      </c>
      <c r="G397" s="5" t="s">
        <v>10</v>
      </c>
      <c r="H397" s="5" t="s">
        <v>4</v>
      </c>
      <c r="I397">
        <v>2023</v>
      </c>
      <c r="J397" s="5" t="s">
        <v>304</v>
      </c>
      <c r="K397" s="5" t="s">
        <v>50</v>
      </c>
      <c r="L397" s="129">
        <v>45273</v>
      </c>
      <c r="M397" s="20">
        <v>2145.0299999999902</v>
      </c>
      <c r="N397" s="128">
        <v>17.04</v>
      </c>
      <c r="O397" s="20">
        <v>327.89377934272306</v>
      </c>
      <c r="P397" s="128">
        <v>10.78006945784295</v>
      </c>
      <c r="Q397" s="122">
        <v>125.88204225352055</v>
      </c>
      <c r="R397" s="121">
        <v>11.677294171971788</v>
      </c>
      <c r="S397" s="121">
        <v>140.12753006366145</v>
      </c>
      <c r="T397" s="121">
        <v>15.415217724931658</v>
      </c>
      <c r="U397" s="20">
        <v>21600.96385188248</v>
      </c>
    </row>
    <row r="398" spans="2:21" x14ac:dyDescent="0.25">
      <c r="B398" s="5">
        <v>2024</v>
      </c>
      <c r="C398" s="5">
        <v>11</v>
      </c>
      <c r="D398" s="5" t="s">
        <v>22</v>
      </c>
      <c r="E398" s="127">
        <v>45603</v>
      </c>
      <c r="F398" s="5" t="s">
        <v>23</v>
      </c>
      <c r="G398" s="5" t="s">
        <v>10</v>
      </c>
      <c r="H398" s="5" t="s">
        <v>5</v>
      </c>
      <c r="I398">
        <v>2023</v>
      </c>
      <c r="J398" s="5" t="s">
        <v>304</v>
      </c>
      <c r="K398" s="5" t="s">
        <v>50</v>
      </c>
      <c r="L398" s="129">
        <v>45278</v>
      </c>
      <c r="M398" s="20">
        <v>2401.38</v>
      </c>
      <c r="N398" s="128">
        <v>19.36</v>
      </c>
      <c r="O398" s="20">
        <v>323.99586776859508</v>
      </c>
      <c r="P398" s="128">
        <v>10.651918940337373</v>
      </c>
      <c r="Q398" s="122">
        <v>124.03822314049587</v>
      </c>
      <c r="R398" s="121">
        <v>11.644683350976315</v>
      </c>
      <c r="S398" s="121">
        <v>139.73620021171578</v>
      </c>
      <c r="T398" s="121">
        <v>14.799525513175757</v>
      </c>
      <c r="U398" s="20">
        <v>20680.294601475234</v>
      </c>
    </row>
    <row r="399" spans="2:21" x14ac:dyDescent="0.25">
      <c r="B399" s="5">
        <v>2024</v>
      </c>
      <c r="C399" s="5">
        <v>11</v>
      </c>
      <c r="D399" s="5" t="s">
        <v>22</v>
      </c>
      <c r="E399" s="127">
        <v>45604</v>
      </c>
      <c r="F399" s="5" t="s">
        <v>24</v>
      </c>
      <c r="G399" s="5" t="s">
        <v>14</v>
      </c>
      <c r="H399" s="5" t="s">
        <v>3</v>
      </c>
      <c r="I399">
        <v>2023</v>
      </c>
      <c r="J399" s="5" t="s">
        <v>304</v>
      </c>
      <c r="K399" s="5" t="s">
        <v>50</v>
      </c>
      <c r="L399" s="129">
        <v>45295</v>
      </c>
      <c r="M399" s="20">
        <v>2584.88</v>
      </c>
      <c r="N399" s="128">
        <v>17.909999999999901</v>
      </c>
      <c r="O399" s="20">
        <v>308.19486320491461</v>
      </c>
      <c r="P399" s="128">
        <v>10.132433858791714</v>
      </c>
      <c r="Q399" s="122">
        <v>144.32607481853793</v>
      </c>
      <c r="R399" s="121">
        <v>14.243969102577367</v>
      </c>
      <c r="S399" s="121">
        <v>170.9276292309284</v>
      </c>
      <c r="T399" s="121">
        <v>14.987576238200612</v>
      </c>
      <c r="U399" s="20">
        <v>25617.908743134267</v>
      </c>
    </row>
    <row r="400" spans="2:21" x14ac:dyDescent="0.25">
      <c r="B400" s="5">
        <v>2024</v>
      </c>
      <c r="C400" s="5">
        <v>11</v>
      </c>
      <c r="D400" s="5" t="s">
        <v>22</v>
      </c>
      <c r="E400" s="127">
        <v>45606</v>
      </c>
      <c r="F400" s="5" t="s">
        <v>24</v>
      </c>
      <c r="G400" s="5" t="s">
        <v>14</v>
      </c>
      <c r="H400" s="5" t="s">
        <v>4</v>
      </c>
      <c r="I400">
        <v>2023</v>
      </c>
      <c r="J400" s="5" t="s">
        <v>315</v>
      </c>
      <c r="K400" s="5" t="s">
        <v>50</v>
      </c>
      <c r="L400" s="129">
        <v>45295</v>
      </c>
      <c r="M400" s="20">
        <v>3143.68</v>
      </c>
      <c r="N400" s="128">
        <v>20.36</v>
      </c>
      <c r="O400" s="20">
        <v>309.50834970530406</v>
      </c>
      <c r="P400" s="128">
        <v>10.175616976612737</v>
      </c>
      <c r="Q400" s="122">
        <v>154.40471512770137</v>
      </c>
      <c r="R400" s="121">
        <v>15.173990479651453</v>
      </c>
      <c r="S400" s="121">
        <v>182.08788575581744</v>
      </c>
      <c r="T400" s="121">
        <v>15.068713412748755</v>
      </c>
      <c r="U400" s="20">
        <v>27438.301663877493</v>
      </c>
    </row>
    <row r="401" spans="2:21" x14ac:dyDescent="0.25">
      <c r="B401" s="5">
        <v>2024</v>
      </c>
      <c r="C401" s="5">
        <v>11</v>
      </c>
      <c r="D401" s="5" t="s">
        <v>22</v>
      </c>
      <c r="E401" s="127">
        <v>45607</v>
      </c>
      <c r="F401" s="5" t="s">
        <v>41</v>
      </c>
      <c r="G401" s="5" t="s">
        <v>43</v>
      </c>
      <c r="H401" s="5" t="s">
        <v>37</v>
      </c>
      <c r="I401">
        <v>2023</v>
      </c>
      <c r="J401" s="5" t="s">
        <v>61</v>
      </c>
      <c r="K401" s="5" t="s">
        <v>50</v>
      </c>
      <c r="L401" s="129">
        <v>45258</v>
      </c>
      <c r="M401" s="20">
        <v>281.95999999999998</v>
      </c>
      <c r="N401" s="128">
        <v>1.96999999999999</v>
      </c>
      <c r="O401" s="20">
        <v>348.70050761421447</v>
      </c>
      <c r="P401" s="128">
        <v>11.464126277727598</v>
      </c>
      <c r="Q401" s="122">
        <v>143.12690355330022</v>
      </c>
      <c r="R401" s="121">
        <v>12.48476334662903</v>
      </c>
      <c r="S401" s="121">
        <v>149.81716015954837</v>
      </c>
      <c r="T401" s="121">
        <v>15.759172932330829</v>
      </c>
      <c r="U401" s="20">
        <v>23609.945351850274</v>
      </c>
    </row>
    <row r="402" spans="2:21" x14ac:dyDescent="0.25">
      <c r="B402" s="5">
        <v>2024</v>
      </c>
      <c r="C402" s="5">
        <v>11</v>
      </c>
      <c r="D402" s="5" t="s">
        <v>22</v>
      </c>
      <c r="E402" s="127">
        <v>45607</v>
      </c>
      <c r="F402" s="5" t="s">
        <v>41</v>
      </c>
      <c r="G402" s="5" t="s">
        <v>44</v>
      </c>
      <c r="H402" s="5" t="s">
        <v>5</v>
      </c>
      <c r="I402">
        <v>2023</v>
      </c>
      <c r="J402" s="5" t="s">
        <v>61</v>
      </c>
      <c r="K402" s="5" t="s">
        <v>50</v>
      </c>
      <c r="L402" s="129">
        <v>45288</v>
      </c>
      <c r="M402" s="20">
        <v>1706.11</v>
      </c>
      <c r="N402" s="128">
        <v>13.82</v>
      </c>
      <c r="O402" s="20">
        <v>318.10202604920403</v>
      </c>
      <c r="P402" s="128">
        <v>10.458148801617666</v>
      </c>
      <c r="Q402" s="122">
        <v>123.45224312590447</v>
      </c>
      <c r="R402" s="121">
        <v>11.804406828368025</v>
      </c>
      <c r="S402" s="121">
        <v>141.65288194041631</v>
      </c>
      <c r="T402" s="121">
        <v>15.434435855964681</v>
      </c>
      <c r="U402" s="20">
        <v>21863.323201218933</v>
      </c>
    </row>
    <row r="403" spans="2:21" x14ac:dyDescent="0.25">
      <c r="B403" s="5">
        <v>2024</v>
      </c>
      <c r="C403" s="5">
        <v>11</v>
      </c>
      <c r="D403" s="5" t="s">
        <v>22</v>
      </c>
      <c r="E403" s="127">
        <v>45608</v>
      </c>
      <c r="F403" s="5" t="s">
        <v>41</v>
      </c>
      <c r="G403" s="5" t="s">
        <v>44</v>
      </c>
      <c r="H403" s="5" t="s">
        <v>6</v>
      </c>
      <c r="I403">
        <v>2023</v>
      </c>
      <c r="J403" s="5" t="s">
        <v>61</v>
      </c>
      <c r="K403" s="5" t="s">
        <v>50</v>
      </c>
      <c r="L403" s="129">
        <v>45295</v>
      </c>
      <c r="M403" s="20">
        <v>1364.8229999999901</v>
      </c>
      <c r="N403" s="128">
        <v>11.19</v>
      </c>
      <c r="O403" s="20">
        <v>311.64253798033963</v>
      </c>
      <c r="P403" s="128">
        <v>10.245782070586507</v>
      </c>
      <c r="Q403" s="122">
        <v>121.96809651474443</v>
      </c>
      <c r="R403" s="121">
        <v>11.904225141084083</v>
      </c>
      <c r="S403" s="121">
        <v>142.850701693009</v>
      </c>
      <c r="T403" s="121">
        <v>15.374836011849267</v>
      </c>
      <c r="U403" s="20">
        <v>21963.061127076115</v>
      </c>
    </row>
    <row r="404" spans="2:21" x14ac:dyDescent="0.25">
      <c r="B404" s="5">
        <v>2024</v>
      </c>
      <c r="C404" s="5">
        <v>11</v>
      </c>
      <c r="D404" s="5" t="s">
        <v>22</v>
      </c>
      <c r="E404" s="127">
        <v>45609</v>
      </c>
      <c r="F404" s="5" t="s">
        <v>41</v>
      </c>
      <c r="G404" s="5" t="s">
        <v>43</v>
      </c>
      <c r="H404" s="5" t="s">
        <v>7</v>
      </c>
      <c r="I404">
        <v>2023</v>
      </c>
      <c r="J404" s="5" t="s">
        <v>61</v>
      </c>
      <c r="K404" s="5" t="s">
        <v>50</v>
      </c>
      <c r="L404" s="129">
        <v>45296</v>
      </c>
      <c r="M404" s="20">
        <v>2344.5739999999901</v>
      </c>
      <c r="N404" s="128">
        <v>18.16</v>
      </c>
      <c r="O404" s="20">
        <v>311.78248898678413</v>
      </c>
      <c r="P404" s="128">
        <v>10.250383199565507</v>
      </c>
      <c r="Q404" s="122">
        <v>129.10649779735627</v>
      </c>
      <c r="R404" s="121">
        <v>12.595285003864914</v>
      </c>
      <c r="S404" s="121">
        <v>151.14342004637896</v>
      </c>
      <c r="T404" s="121">
        <v>15.158521855465917</v>
      </c>
      <c r="U404" s="20">
        <v>22911.108360829006</v>
      </c>
    </row>
    <row r="405" spans="2:21" x14ac:dyDescent="0.25">
      <c r="B405" s="5">
        <v>2024</v>
      </c>
      <c r="C405" s="5">
        <v>11</v>
      </c>
      <c r="D405" s="5" t="s">
        <v>22</v>
      </c>
      <c r="E405" s="127">
        <v>45611</v>
      </c>
      <c r="F405" s="5" t="s">
        <v>41</v>
      </c>
      <c r="G405" s="5" t="s">
        <v>44</v>
      </c>
      <c r="H405" s="5" t="s">
        <v>4</v>
      </c>
      <c r="I405">
        <v>2023</v>
      </c>
      <c r="J405" s="5" t="s">
        <v>61</v>
      </c>
      <c r="K405" s="5" t="s">
        <v>50</v>
      </c>
      <c r="L405" s="129">
        <v>45286</v>
      </c>
      <c r="M405" s="20">
        <v>2085.14</v>
      </c>
      <c r="N405" s="128">
        <v>15.4199999999999</v>
      </c>
      <c r="O405" s="20">
        <v>320.52399481193459</v>
      </c>
      <c r="P405" s="128">
        <v>10.53777517189922</v>
      </c>
      <c r="Q405" s="122">
        <v>135.22308690013057</v>
      </c>
      <c r="R405" s="121">
        <v>12.832223566576564</v>
      </c>
      <c r="S405" s="121">
        <v>153.98668279891876</v>
      </c>
      <c r="T405" s="121">
        <v>15.320692920254755</v>
      </c>
      <c r="U405" s="20">
        <v>23591.826809709095</v>
      </c>
    </row>
    <row r="406" spans="2:21" x14ac:dyDescent="0.25">
      <c r="B406" s="5">
        <v>2024</v>
      </c>
      <c r="C406" s="5">
        <v>11</v>
      </c>
      <c r="D406" s="5" t="s">
        <v>22</v>
      </c>
      <c r="E406" s="127">
        <v>45611</v>
      </c>
      <c r="F406" s="5" t="s">
        <v>32</v>
      </c>
      <c r="G406" s="5" t="s">
        <v>34</v>
      </c>
      <c r="H406" s="5" t="s">
        <v>3</v>
      </c>
      <c r="I406">
        <v>2023</v>
      </c>
      <c r="J406" s="5" t="s">
        <v>351</v>
      </c>
      <c r="K406" s="5" t="s">
        <v>50</v>
      </c>
      <c r="L406" s="129">
        <v>45295</v>
      </c>
      <c r="M406" s="20">
        <v>2219.2579999999998</v>
      </c>
      <c r="N406" s="128">
        <v>15.3</v>
      </c>
      <c r="O406" s="20">
        <v>314.23660130718952</v>
      </c>
      <c r="P406" s="128">
        <v>10.331066344345956</v>
      </c>
      <c r="Q406" s="122">
        <v>145.0495424836601</v>
      </c>
      <c r="R406" s="121">
        <v>14.040132707408622</v>
      </c>
      <c r="S406" s="121">
        <v>168.48159248890346</v>
      </c>
      <c r="T406" s="121">
        <v>15.501247223801832</v>
      </c>
      <c r="U406" s="20">
        <v>26116.748178303264</v>
      </c>
    </row>
    <row r="407" spans="2:21" x14ac:dyDescent="0.25">
      <c r="B407" s="5">
        <v>2024</v>
      </c>
      <c r="C407" s="5">
        <v>11</v>
      </c>
      <c r="D407" s="5" t="s">
        <v>22</v>
      </c>
      <c r="E407" s="127">
        <v>45612</v>
      </c>
      <c r="F407" s="5" t="s">
        <v>32</v>
      </c>
      <c r="G407" s="5" t="s">
        <v>34</v>
      </c>
      <c r="H407" s="5" t="s">
        <v>4</v>
      </c>
      <c r="I407">
        <v>2023</v>
      </c>
      <c r="J407" s="5" t="s">
        <v>351</v>
      </c>
      <c r="K407" s="5" t="s">
        <v>50</v>
      </c>
      <c r="L407" s="129">
        <v>45292</v>
      </c>
      <c r="M407" s="20">
        <v>1884.355</v>
      </c>
      <c r="N407" s="128">
        <v>12.059999999999899</v>
      </c>
      <c r="O407" s="20">
        <v>317.79353233831029</v>
      </c>
      <c r="P407" s="128">
        <v>10.448006542629379</v>
      </c>
      <c r="Q407" s="122">
        <v>156.24834162520861</v>
      </c>
      <c r="R407" s="121">
        <v>14.954847222548411</v>
      </c>
      <c r="S407" s="121">
        <v>179.45816667058094</v>
      </c>
      <c r="T407" s="121">
        <v>15.634371090521158</v>
      </c>
      <c r="U407" s="20">
        <v>28057.155729524584</v>
      </c>
    </row>
    <row r="408" spans="2:21" x14ac:dyDescent="0.25">
      <c r="B408" s="5">
        <v>2024</v>
      </c>
      <c r="C408" s="5">
        <v>11</v>
      </c>
      <c r="D408" s="5" t="s">
        <v>22</v>
      </c>
      <c r="E408" s="127">
        <v>45612</v>
      </c>
      <c r="F408" s="5" t="s">
        <v>32</v>
      </c>
      <c r="G408" s="5" t="s">
        <v>34</v>
      </c>
      <c r="H408" s="5" t="s">
        <v>5</v>
      </c>
      <c r="I408">
        <v>2023</v>
      </c>
      <c r="J408" s="5" t="s">
        <v>351</v>
      </c>
      <c r="K408" s="5" t="s">
        <v>50</v>
      </c>
      <c r="L408" s="129">
        <v>45292</v>
      </c>
      <c r="M408" s="20">
        <v>2247.86</v>
      </c>
      <c r="N408" s="128">
        <v>17.21</v>
      </c>
      <c r="O408" s="20">
        <v>318.87042417199302</v>
      </c>
      <c r="P408" s="128">
        <v>10.483411205654566</v>
      </c>
      <c r="Q408" s="122">
        <v>130.61359674607786</v>
      </c>
      <c r="R408" s="121">
        <v>12.459074072724269</v>
      </c>
      <c r="S408" s="121">
        <v>149.50888887269122</v>
      </c>
      <c r="T408" s="121">
        <v>15.748921471297143</v>
      </c>
      <c r="U408" s="20">
        <v>23546.037501169052</v>
      </c>
    </row>
    <row r="409" spans="2:21" x14ac:dyDescent="0.25">
      <c r="B409" s="5">
        <v>2024</v>
      </c>
      <c r="C409" s="5">
        <v>11</v>
      </c>
      <c r="D409" s="5" t="s">
        <v>22</v>
      </c>
      <c r="E409" s="127">
        <v>45614</v>
      </c>
      <c r="F409" s="5" t="s">
        <v>23</v>
      </c>
      <c r="G409" s="5" t="s">
        <v>10</v>
      </c>
      <c r="H409" s="5" t="s">
        <v>3</v>
      </c>
      <c r="I409">
        <v>2023</v>
      </c>
      <c r="J409" s="5" t="s">
        <v>351</v>
      </c>
      <c r="K409" s="5" t="s">
        <v>50</v>
      </c>
      <c r="L409" s="129">
        <v>45272</v>
      </c>
      <c r="M409" s="20">
        <v>2251.4969999999998</v>
      </c>
      <c r="N409" s="128">
        <v>17.259999999999899</v>
      </c>
      <c r="O409" s="20">
        <v>328.497103128623</v>
      </c>
      <c r="P409" s="128">
        <v>10.799904760393085</v>
      </c>
      <c r="Q409" s="122">
        <v>130.44594438007027</v>
      </c>
      <c r="R409" s="121">
        <v>12.078434696800272</v>
      </c>
      <c r="S409" s="121">
        <v>144.94121636160327</v>
      </c>
      <c r="T409" s="121">
        <v>14.81832504881419</v>
      </c>
      <c r="U409" s="20">
        <v>21477.860570167428</v>
      </c>
    </row>
    <row r="410" spans="2:21" x14ac:dyDescent="0.25">
      <c r="B410" s="5">
        <v>2024</v>
      </c>
      <c r="C410" s="5">
        <v>11</v>
      </c>
      <c r="D410" s="5" t="s">
        <v>22</v>
      </c>
      <c r="E410" s="127">
        <v>45614</v>
      </c>
      <c r="F410" s="5" t="s">
        <v>29</v>
      </c>
      <c r="G410" s="5" t="s">
        <v>30</v>
      </c>
      <c r="H410" s="5" t="s">
        <v>6</v>
      </c>
      <c r="I410">
        <v>2023</v>
      </c>
      <c r="J410" s="5" t="s">
        <v>381</v>
      </c>
      <c r="K410" s="5" t="s">
        <v>50</v>
      </c>
      <c r="L410" s="129">
        <v>45307</v>
      </c>
      <c r="M410" s="20">
        <v>2299.5300000000002</v>
      </c>
      <c r="N410" s="128">
        <v>18.45</v>
      </c>
      <c r="O410" s="20">
        <v>306.10352303523035</v>
      </c>
      <c r="P410" s="128">
        <v>10.063677469651408</v>
      </c>
      <c r="Q410" s="122">
        <v>124.6357723577236</v>
      </c>
      <c r="R410" s="121">
        <v>12.384714507552756</v>
      </c>
      <c r="S410" s="121">
        <v>148.61657409063307</v>
      </c>
      <c r="T410" s="121">
        <v>15.230914716989991</v>
      </c>
      <c r="U410" s="20">
        <v>22635.663655056564</v>
      </c>
    </row>
    <row r="411" spans="2:21" x14ac:dyDescent="0.25">
      <c r="B411" s="5">
        <v>2024</v>
      </c>
      <c r="C411" s="5">
        <v>11</v>
      </c>
      <c r="D411" s="5" t="s">
        <v>22</v>
      </c>
      <c r="E411" s="127">
        <v>45616</v>
      </c>
      <c r="F411" s="5" t="s">
        <v>29</v>
      </c>
      <c r="G411" s="5" t="s">
        <v>30</v>
      </c>
      <c r="H411" s="5" t="s">
        <v>4</v>
      </c>
      <c r="I411">
        <v>2024</v>
      </c>
      <c r="J411" s="5" t="s">
        <v>381</v>
      </c>
      <c r="K411" s="5" t="s">
        <v>50</v>
      </c>
      <c r="L411" s="129">
        <v>45305</v>
      </c>
      <c r="M411" s="20">
        <v>2497.9229999999998</v>
      </c>
      <c r="N411" s="128">
        <v>18.939999999999898</v>
      </c>
      <c r="O411" s="20">
        <v>309.06441393875565</v>
      </c>
      <c r="P411" s="128">
        <v>10.161021828123474</v>
      </c>
      <c r="Q411" s="122">
        <v>131.88611404435127</v>
      </c>
      <c r="R411" s="121">
        <v>12.979611329966787</v>
      </c>
      <c r="S411" s="121">
        <v>155.75533595960144</v>
      </c>
      <c r="T411" s="121">
        <v>15.316386044399287</v>
      </c>
      <c r="U411" s="20">
        <v>23856.088540323621</v>
      </c>
    </row>
    <row r="412" spans="2:21" x14ac:dyDescent="0.25">
      <c r="B412" s="5">
        <v>2024</v>
      </c>
      <c r="C412" s="5">
        <v>11</v>
      </c>
      <c r="D412" s="5" t="s">
        <v>22</v>
      </c>
      <c r="E412" s="127">
        <v>45619</v>
      </c>
      <c r="F412" s="5" t="s">
        <v>29</v>
      </c>
      <c r="G412" s="5" t="s">
        <v>30</v>
      </c>
      <c r="H412" s="5" t="s">
        <v>3</v>
      </c>
      <c r="I412">
        <v>2023</v>
      </c>
      <c r="J412" s="5" t="s">
        <v>304</v>
      </c>
      <c r="K412" s="5" t="s">
        <v>50</v>
      </c>
      <c r="L412" s="129">
        <v>45299</v>
      </c>
      <c r="M412" s="20">
        <v>2468.7399999999998</v>
      </c>
      <c r="N412" s="128">
        <v>18.22</v>
      </c>
      <c r="O412" s="20">
        <v>313.14544456640999</v>
      </c>
      <c r="P412" s="128">
        <v>10.295192698073754</v>
      </c>
      <c r="Q412" s="122">
        <v>135.49615806805707</v>
      </c>
      <c r="R412" s="121">
        <v>13.161109465528375</v>
      </c>
      <c r="S412" s="121">
        <v>157.93331358634049</v>
      </c>
      <c r="T412" s="121">
        <v>14.711462590532014</v>
      </c>
      <c r="U412" s="20">
        <v>23234.300346242093</v>
      </c>
    </row>
    <row r="413" spans="2:21" x14ac:dyDescent="0.25">
      <c r="B413" s="5">
        <v>2024</v>
      </c>
      <c r="C413" s="5">
        <v>11</v>
      </c>
      <c r="D413" s="5" t="s">
        <v>22</v>
      </c>
      <c r="E413" s="127">
        <v>45622</v>
      </c>
      <c r="F413" s="5" t="s">
        <v>25</v>
      </c>
      <c r="G413" s="5" t="s">
        <v>21</v>
      </c>
      <c r="H413" s="5" t="s">
        <v>3</v>
      </c>
      <c r="I413">
        <v>2023</v>
      </c>
      <c r="J413" s="5" t="s">
        <v>315</v>
      </c>
      <c r="K413" s="5" t="s">
        <v>50</v>
      </c>
      <c r="L413" s="129">
        <v>45309</v>
      </c>
      <c r="M413" s="20">
        <v>1956.1799999999901</v>
      </c>
      <c r="N413" s="128">
        <v>15.6</v>
      </c>
      <c r="O413" s="20">
        <v>311.63205128205067</v>
      </c>
      <c r="P413" s="128">
        <v>10.245437302423584</v>
      </c>
      <c r="Q413" s="122">
        <v>125.39615384615321</v>
      </c>
      <c r="R413" s="121">
        <v>12.239219288032777</v>
      </c>
      <c r="S413" s="121">
        <v>146.87063145639331</v>
      </c>
      <c r="T413" s="121">
        <v>15.232989328180512</v>
      </c>
      <c r="U413" s="20">
        <v>22372.787615983725</v>
      </c>
    </row>
    <row r="414" spans="2:21" x14ac:dyDescent="0.25">
      <c r="B414" s="5">
        <v>2024</v>
      </c>
      <c r="C414" s="5">
        <v>11</v>
      </c>
      <c r="D414" s="5" t="s">
        <v>22</v>
      </c>
      <c r="E414" s="127">
        <v>45626</v>
      </c>
      <c r="F414" s="5" t="s">
        <v>23</v>
      </c>
      <c r="G414" s="5" t="s">
        <v>11</v>
      </c>
      <c r="H414" s="5" t="s">
        <v>6</v>
      </c>
      <c r="I414">
        <v>2024</v>
      </c>
      <c r="J414" s="5" t="s">
        <v>304</v>
      </c>
      <c r="K414" s="5" t="s">
        <v>50</v>
      </c>
      <c r="L414" s="129">
        <v>45332</v>
      </c>
      <c r="M414" s="20">
        <v>2701.2999999999902</v>
      </c>
      <c r="N414" s="128">
        <v>19.850000000000001</v>
      </c>
      <c r="O414" s="20">
        <v>292.11738035264483</v>
      </c>
      <c r="P414" s="128">
        <v>9.6038590800869521</v>
      </c>
      <c r="Q414" s="122">
        <v>136.08564231737984</v>
      </c>
      <c r="R414" s="121">
        <v>14.169891621957007</v>
      </c>
      <c r="S414" s="121">
        <v>170.03869946348408</v>
      </c>
      <c r="T414" s="121">
        <v>15.633428546777534</v>
      </c>
      <c r="U414" s="20">
        <v>26582.878582493577</v>
      </c>
    </row>
    <row r="415" spans="2:21" x14ac:dyDescent="0.25">
      <c r="B415" s="5">
        <v>2024</v>
      </c>
      <c r="C415" s="5">
        <v>11</v>
      </c>
      <c r="D415" s="5" t="s">
        <v>22</v>
      </c>
      <c r="E415" s="127">
        <v>45626</v>
      </c>
      <c r="F415" s="5" t="s">
        <v>23</v>
      </c>
      <c r="G415" s="5" t="s">
        <v>11</v>
      </c>
      <c r="H415" s="5" t="s">
        <v>7</v>
      </c>
      <c r="I415">
        <v>2023</v>
      </c>
      <c r="J415" s="5" t="s">
        <v>304</v>
      </c>
      <c r="K415" s="5" t="s">
        <v>50</v>
      </c>
      <c r="L415" s="129">
        <v>45322</v>
      </c>
      <c r="M415" s="20">
        <v>2477.41</v>
      </c>
      <c r="N415" s="128">
        <v>17.12</v>
      </c>
      <c r="O415" s="20">
        <v>302.61331775700933</v>
      </c>
      <c r="P415" s="128">
        <v>9.9489309947509916</v>
      </c>
      <c r="Q415" s="122">
        <v>144.70852803738316</v>
      </c>
      <c r="R415" s="121">
        <v>14.545133352892956</v>
      </c>
      <c r="S415" s="121">
        <v>174.54160023471547</v>
      </c>
      <c r="T415" s="121">
        <v>15.800573795286207</v>
      </c>
      <c r="U415" s="20">
        <v>27578.574348559661</v>
      </c>
    </row>
    <row r="416" spans="2:21" x14ac:dyDescent="0.25">
      <c r="B416" s="5">
        <v>2024</v>
      </c>
      <c r="C416" s="5">
        <v>11</v>
      </c>
      <c r="D416" s="5" t="s">
        <v>22</v>
      </c>
      <c r="E416" s="127">
        <v>45626</v>
      </c>
      <c r="F416" s="5" t="s">
        <v>23</v>
      </c>
      <c r="G416" s="5" t="s">
        <v>11</v>
      </c>
      <c r="H416" s="5" t="s">
        <v>8</v>
      </c>
      <c r="I416">
        <v>2023</v>
      </c>
      <c r="J416" s="5" t="s">
        <v>304</v>
      </c>
      <c r="K416" s="5" t="s">
        <v>50</v>
      </c>
      <c r="L416" s="129">
        <v>45318</v>
      </c>
      <c r="M416" s="20">
        <v>1582.08</v>
      </c>
      <c r="N416" s="128">
        <v>14.1</v>
      </c>
      <c r="O416" s="20">
        <v>307.89645390070922</v>
      </c>
      <c r="P416" s="128">
        <v>10.122623141941125</v>
      </c>
      <c r="Q416" s="122">
        <v>112.20425531914893</v>
      </c>
      <c r="R416" s="121">
        <v>11.084503862862618</v>
      </c>
      <c r="S416" s="121">
        <v>133.01404635435142</v>
      </c>
      <c r="T416" s="121">
        <v>16.185716706917479</v>
      </c>
      <c r="U416" s="20">
        <v>21529.276723323219</v>
      </c>
    </row>
    <row r="417" spans="2:21" x14ac:dyDescent="0.25">
      <c r="B417" s="5">
        <v>2024</v>
      </c>
      <c r="C417" s="5">
        <v>11</v>
      </c>
      <c r="D417" s="5" t="s">
        <v>22</v>
      </c>
      <c r="E417" s="127">
        <v>45626</v>
      </c>
      <c r="F417" s="5" t="s">
        <v>24</v>
      </c>
      <c r="G417" s="5" t="s">
        <v>12</v>
      </c>
      <c r="H417" s="5" t="s">
        <v>4</v>
      </c>
      <c r="I417">
        <v>2023</v>
      </c>
      <c r="J417" s="5" t="s">
        <v>304</v>
      </c>
      <c r="K417" s="5" t="s">
        <v>50</v>
      </c>
      <c r="L417" s="129">
        <v>45290</v>
      </c>
      <c r="M417" s="20">
        <v>120.48</v>
      </c>
      <c r="N417" s="128">
        <v>0.95</v>
      </c>
      <c r="O417" s="20">
        <v>336</v>
      </c>
      <c r="P417" s="128">
        <v>11.046575342465754</v>
      </c>
      <c r="Q417" s="122">
        <v>126.82105263157895</v>
      </c>
      <c r="R417" s="121">
        <v>11.480576441102757</v>
      </c>
      <c r="S417" s="121">
        <v>137.76691729323309</v>
      </c>
      <c r="T417" s="121">
        <v>16.05425</v>
      </c>
      <c r="U417" s="20">
        <v>22117.445319548875</v>
      </c>
    </row>
    <row r="418" spans="2:21" x14ac:dyDescent="0.25">
      <c r="B418" s="5">
        <v>2024</v>
      </c>
      <c r="C418" s="5">
        <v>11</v>
      </c>
      <c r="D418" s="5" t="s">
        <v>19</v>
      </c>
      <c r="E418" s="127">
        <v>45597</v>
      </c>
      <c r="F418" s="5" t="s">
        <v>20</v>
      </c>
      <c r="G418" s="5" t="s">
        <v>26</v>
      </c>
      <c r="H418" s="5" t="s">
        <v>7</v>
      </c>
      <c r="I418">
        <v>2022</v>
      </c>
      <c r="J418" s="5" t="s">
        <v>283</v>
      </c>
      <c r="K418" s="5" t="s">
        <v>50</v>
      </c>
      <c r="L418" s="129">
        <v>45129</v>
      </c>
      <c r="M418" s="20">
        <v>199.15</v>
      </c>
      <c r="N418" s="128">
        <v>2.08</v>
      </c>
      <c r="O418" s="20">
        <v>468</v>
      </c>
      <c r="P418" s="128">
        <v>15.386301369863014</v>
      </c>
      <c r="Q418" s="122">
        <v>95.745192307692307</v>
      </c>
      <c r="R418" s="121">
        <v>6.2227555541858424</v>
      </c>
      <c r="S418" s="121">
        <v>74.673066650230112</v>
      </c>
      <c r="T418" s="121">
        <v>14.506625</v>
      </c>
      <c r="U418" s="20">
        <v>10832.541754948943</v>
      </c>
    </row>
    <row r="419" spans="2:21" x14ac:dyDescent="0.25">
      <c r="B419" s="5">
        <v>2024</v>
      </c>
      <c r="C419" s="5">
        <v>11</v>
      </c>
      <c r="D419" s="5" t="s">
        <v>19</v>
      </c>
      <c r="E419" s="127">
        <v>45598</v>
      </c>
      <c r="F419" s="5" t="s">
        <v>20</v>
      </c>
      <c r="G419" s="5" t="s">
        <v>9</v>
      </c>
      <c r="H419" s="5" t="s">
        <v>37</v>
      </c>
      <c r="I419">
        <v>2022</v>
      </c>
      <c r="J419" s="5" t="s">
        <v>283</v>
      </c>
      <c r="K419" s="5" t="s">
        <v>50</v>
      </c>
      <c r="L419" s="129">
        <v>45167</v>
      </c>
      <c r="M419" s="20">
        <v>604.41999999999996</v>
      </c>
      <c r="N419" s="128">
        <v>4.76</v>
      </c>
      <c r="O419" s="20">
        <v>430.14285714285717</v>
      </c>
      <c r="P419" s="128">
        <v>14.141682974559687</v>
      </c>
      <c r="Q419" s="122">
        <v>126.97899159663865</v>
      </c>
      <c r="R419" s="121">
        <v>8.979057996496504</v>
      </c>
      <c r="S419" s="121">
        <v>107.74869595795805</v>
      </c>
      <c r="T419" s="121">
        <v>14.651403129909667</v>
      </c>
      <c r="U419" s="20">
        <v>15786.695812021117</v>
      </c>
    </row>
    <row r="420" spans="2:21" x14ac:dyDescent="0.25">
      <c r="B420" s="5">
        <v>2024</v>
      </c>
      <c r="C420" s="5">
        <v>11</v>
      </c>
      <c r="D420" s="5" t="s">
        <v>19</v>
      </c>
      <c r="E420" s="127">
        <v>45599</v>
      </c>
      <c r="F420" s="5" t="s">
        <v>20</v>
      </c>
      <c r="G420" s="5" t="s">
        <v>10</v>
      </c>
      <c r="H420" s="5" t="s">
        <v>8</v>
      </c>
      <c r="I420">
        <v>2022</v>
      </c>
      <c r="J420" s="5" t="s">
        <v>64</v>
      </c>
      <c r="K420" s="5" t="s">
        <v>50</v>
      </c>
      <c r="L420" s="129">
        <v>45174</v>
      </c>
      <c r="M420" s="20">
        <v>35.15</v>
      </c>
      <c r="N420" s="128">
        <v>0.26</v>
      </c>
      <c r="O420" s="20">
        <v>424.19230769230381</v>
      </c>
      <c r="P420" s="128">
        <v>13.946048472075743</v>
      </c>
      <c r="Q420" s="122">
        <v>135.19230769230768</v>
      </c>
      <c r="R420" s="121">
        <v>9.6939507963853746</v>
      </c>
      <c r="S420" s="121">
        <v>116.3274095566245</v>
      </c>
      <c r="T420" s="121">
        <v>14.455944523470839</v>
      </c>
      <c r="U420" s="20">
        <v>16816.225791096353</v>
      </c>
    </row>
    <row r="421" spans="2:21" x14ac:dyDescent="0.25">
      <c r="B421" s="5">
        <v>2024</v>
      </c>
      <c r="C421" s="5">
        <v>11</v>
      </c>
      <c r="D421" s="5" t="s">
        <v>19</v>
      </c>
      <c r="E421" s="127">
        <v>45619</v>
      </c>
      <c r="F421" s="5" t="s">
        <v>20</v>
      </c>
      <c r="G421" s="5" t="s">
        <v>14</v>
      </c>
      <c r="H421" s="5" t="s">
        <v>4</v>
      </c>
      <c r="I421">
        <v>2023</v>
      </c>
      <c r="J421" s="5" t="s">
        <v>283</v>
      </c>
      <c r="K421" s="5" t="s">
        <v>50</v>
      </c>
      <c r="L421" s="129">
        <v>45185</v>
      </c>
      <c r="M421" s="20">
        <v>4526.2700000000004</v>
      </c>
      <c r="N421" s="128">
        <v>38.57</v>
      </c>
      <c r="O421" s="20">
        <v>432.19108115115375</v>
      </c>
      <c r="P421" s="128">
        <v>14.209021846065328</v>
      </c>
      <c r="Q421" s="122">
        <v>117.35208711433758</v>
      </c>
      <c r="R421" s="121">
        <v>8.258984213387917</v>
      </c>
      <c r="S421" s="121">
        <v>99.107810560654997</v>
      </c>
      <c r="T421" s="121">
        <v>15.578670699151839</v>
      </c>
      <c r="U421" s="20">
        <v>15439.679444383672</v>
      </c>
    </row>
    <row r="422" spans="2:21" x14ac:dyDescent="0.25">
      <c r="B422" s="5">
        <v>2024</v>
      </c>
      <c r="C422" s="5">
        <v>11</v>
      </c>
      <c r="D422" s="5" t="s">
        <v>19</v>
      </c>
      <c r="E422" s="127">
        <v>45620</v>
      </c>
      <c r="F422" s="5" t="s">
        <v>20</v>
      </c>
      <c r="G422" s="5" t="s">
        <v>14</v>
      </c>
      <c r="H422" s="5" t="s">
        <v>3</v>
      </c>
      <c r="I422">
        <v>2023</v>
      </c>
      <c r="J422" s="5" t="s">
        <v>283</v>
      </c>
      <c r="K422" s="5" t="s">
        <v>50</v>
      </c>
      <c r="L422" s="129">
        <v>45183</v>
      </c>
      <c r="M422" s="20">
        <v>4161.5499999999902</v>
      </c>
      <c r="N422" s="128">
        <v>37.94</v>
      </c>
      <c r="O422" s="20">
        <v>435.96494464944647</v>
      </c>
      <c r="P422" s="128">
        <v>14.333094070666734</v>
      </c>
      <c r="Q422" s="122">
        <v>109.68766473378994</v>
      </c>
      <c r="R422" s="121">
        <v>7.6527555176150175</v>
      </c>
      <c r="S422" s="121">
        <v>91.833066211380213</v>
      </c>
      <c r="T422" s="121">
        <v>15.876639136319437</v>
      </c>
      <c r="U422" s="20">
        <v>14580.004530198132</v>
      </c>
    </row>
    <row r="423" spans="2:21" x14ac:dyDescent="0.25">
      <c r="B423" s="5">
        <v>2024</v>
      </c>
      <c r="C423" s="5">
        <v>11</v>
      </c>
      <c r="D423" s="5" t="s">
        <v>19</v>
      </c>
      <c r="E423" s="127">
        <v>45623</v>
      </c>
      <c r="F423" s="5" t="s">
        <v>20</v>
      </c>
      <c r="G423" s="5" t="s">
        <v>13</v>
      </c>
      <c r="H423" s="5" t="s">
        <v>7</v>
      </c>
      <c r="I423">
        <v>2023</v>
      </c>
      <c r="J423" s="5" t="s">
        <v>68</v>
      </c>
      <c r="K423" s="5" t="s">
        <v>50</v>
      </c>
      <c r="L423" s="129">
        <v>45180</v>
      </c>
      <c r="M423" s="20">
        <v>4025.83</v>
      </c>
      <c r="N423" s="128">
        <v>38.61</v>
      </c>
      <c r="O423" s="20">
        <v>441.24035224035225</v>
      </c>
      <c r="P423" s="128">
        <v>14.506532128449937</v>
      </c>
      <c r="Q423" s="122">
        <v>104.26910126910127</v>
      </c>
      <c r="R423" s="121">
        <v>7.1877344871839268</v>
      </c>
      <c r="S423" s="121">
        <v>86.252813846207118</v>
      </c>
      <c r="T423" s="121">
        <v>15.601348517071013</v>
      </c>
      <c r="U423" s="20">
        <v>13456.602093927257</v>
      </c>
    </row>
    <row r="424" spans="2:21" x14ac:dyDescent="0.25">
      <c r="B424" s="5">
        <v>2024</v>
      </c>
      <c r="C424" s="5">
        <v>11</v>
      </c>
      <c r="D424" s="5" t="s">
        <v>19</v>
      </c>
      <c r="E424" s="127">
        <v>45624</v>
      </c>
      <c r="F424" s="5" t="s">
        <v>20</v>
      </c>
      <c r="G424" s="5" t="s">
        <v>13</v>
      </c>
      <c r="H424" s="5" t="s">
        <v>6</v>
      </c>
      <c r="I424">
        <v>2023</v>
      </c>
      <c r="J424" s="5" t="s">
        <v>68</v>
      </c>
      <c r="K424" s="5" t="s">
        <v>50</v>
      </c>
      <c r="L424" s="129">
        <v>45177</v>
      </c>
      <c r="M424" s="20">
        <v>2862.85</v>
      </c>
      <c r="N424" s="128">
        <v>33.17</v>
      </c>
      <c r="O424" s="20">
        <v>446.24027735905639</v>
      </c>
      <c r="P424" s="128">
        <v>14.67091322824295</v>
      </c>
      <c r="Q424" s="122">
        <v>86.308411214953267</v>
      </c>
      <c r="R424" s="121">
        <v>5.8829610585386796</v>
      </c>
      <c r="S424" s="121">
        <v>70.595532702464155</v>
      </c>
      <c r="T424" s="121">
        <v>15.978623537158775</v>
      </c>
      <c r="U424" s="20">
        <v>11280.194404578559</v>
      </c>
    </row>
    <row r="425" spans="2:21" x14ac:dyDescent="0.25">
      <c r="B425" s="5">
        <v>2024</v>
      </c>
      <c r="C425" s="134" t="s">
        <v>300</v>
      </c>
      <c r="D425" s="134"/>
      <c r="E425" s="134"/>
      <c r="F425" s="134"/>
      <c r="G425" s="134"/>
      <c r="H425" s="134"/>
      <c r="I425" s="134"/>
      <c r="J425" s="134"/>
      <c r="K425" s="134"/>
      <c r="L425" s="134"/>
      <c r="M425" s="130">
        <v>115248.67299999992</v>
      </c>
      <c r="N425" s="131">
        <v>999.50999999999954</v>
      </c>
      <c r="O425" s="130">
        <v>346.52498724374925</v>
      </c>
      <c r="P425" s="131">
        <v>11.392602320342441</v>
      </c>
      <c r="Q425" s="132">
        <v>115.3051725345419</v>
      </c>
      <c r="R425" s="133">
        <v>10.121056567440689</v>
      </c>
      <c r="S425" s="133">
        <v>121.45267880928827</v>
      </c>
      <c r="T425" s="133">
        <v>15.32970813372954</v>
      </c>
      <c r="U425" s="130">
        <v>18618.341182059878</v>
      </c>
    </row>
    <row r="426" spans="2:21" x14ac:dyDescent="0.25">
      <c r="B426" s="5">
        <v>2024</v>
      </c>
      <c r="C426" s="5">
        <v>12</v>
      </c>
      <c r="D426" s="5" t="s">
        <v>17</v>
      </c>
      <c r="E426" s="127">
        <v>45627</v>
      </c>
      <c r="F426" s="5" t="s">
        <v>18</v>
      </c>
      <c r="G426" s="5" t="s">
        <v>2</v>
      </c>
      <c r="H426" s="5" t="s">
        <v>4</v>
      </c>
      <c r="I426">
        <v>2023</v>
      </c>
      <c r="J426" s="5" t="s">
        <v>410</v>
      </c>
      <c r="K426" s="5" t="s">
        <v>50</v>
      </c>
      <c r="L426" s="129">
        <v>45255</v>
      </c>
      <c r="M426" s="20">
        <v>2664.09</v>
      </c>
      <c r="N426" s="128">
        <v>22.77</v>
      </c>
      <c r="O426" s="20">
        <v>372.00000000000006</v>
      </c>
      <c r="P426" s="128">
        <v>12.230136986301373</v>
      </c>
      <c r="Q426" s="122">
        <v>117.00000000000001</v>
      </c>
      <c r="R426" s="121">
        <v>9.566532258064516</v>
      </c>
      <c r="S426" s="121">
        <v>114.79838709677419</v>
      </c>
      <c r="T426" s="121">
        <v>15.28</v>
      </c>
      <c r="U426" s="20">
        <v>17541.193548387095</v>
      </c>
    </row>
    <row r="427" spans="2:21" x14ac:dyDescent="0.25">
      <c r="B427" s="5">
        <v>2024</v>
      </c>
      <c r="C427" s="5">
        <v>12</v>
      </c>
      <c r="D427" s="5" t="s">
        <v>17</v>
      </c>
      <c r="E427" s="127">
        <v>45627</v>
      </c>
      <c r="F427" s="5" t="s">
        <v>18</v>
      </c>
      <c r="G427" s="5" t="s">
        <v>9</v>
      </c>
      <c r="H427" s="5" t="s">
        <v>5</v>
      </c>
      <c r="I427">
        <v>2023</v>
      </c>
      <c r="J427" s="5" t="s">
        <v>61</v>
      </c>
      <c r="K427" s="5" t="s">
        <v>50</v>
      </c>
      <c r="L427" s="129">
        <v>45290</v>
      </c>
      <c r="M427" s="20">
        <v>36.72</v>
      </c>
      <c r="N427" s="128">
        <v>0.35</v>
      </c>
      <c r="O427" s="20">
        <v>337.00000000000006</v>
      </c>
      <c r="P427" s="128">
        <v>11.079452054794523</v>
      </c>
      <c r="Q427" s="122">
        <v>104.91428571428571</v>
      </c>
      <c r="R427" s="121">
        <v>9.4692666384061024</v>
      </c>
      <c r="S427" s="121">
        <v>113.63119966087324</v>
      </c>
      <c r="T427" s="121">
        <v>15.28</v>
      </c>
      <c r="U427" s="20">
        <v>17362.84730818143</v>
      </c>
    </row>
    <row r="428" spans="2:21" x14ac:dyDescent="0.25">
      <c r="B428" s="5">
        <v>2024</v>
      </c>
      <c r="C428" s="5">
        <v>12</v>
      </c>
      <c r="D428" s="5" t="s">
        <v>17</v>
      </c>
      <c r="E428" s="127">
        <v>45627</v>
      </c>
      <c r="F428" s="5" t="s">
        <v>18</v>
      </c>
      <c r="G428" s="5" t="s">
        <v>11</v>
      </c>
      <c r="H428" s="5" t="s">
        <v>3</v>
      </c>
      <c r="I428">
        <v>2023</v>
      </c>
      <c r="J428" s="5" t="s">
        <v>62</v>
      </c>
      <c r="K428" s="5" t="s">
        <v>50</v>
      </c>
      <c r="L428" s="129">
        <v>45288</v>
      </c>
      <c r="M428" s="20">
        <v>56.1</v>
      </c>
      <c r="N428" s="128">
        <v>0.66</v>
      </c>
      <c r="O428" s="20">
        <v>339</v>
      </c>
      <c r="P428" s="128">
        <v>11.145205479452056</v>
      </c>
      <c r="Q428" s="122">
        <v>85</v>
      </c>
      <c r="R428" s="121">
        <v>7.6265978367748275</v>
      </c>
      <c r="S428" s="121">
        <v>91.51917404129793</v>
      </c>
      <c r="T428" s="121">
        <v>15.23</v>
      </c>
      <c r="U428" s="20">
        <v>13938.370206489675</v>
      </c>
    </row>
    <row r="429" spans="2:21" x14ac:dyDescent="0.25">
      <c r="B429" s="5">
        <v>2024</v>
      </c>
      <c r="C429" s="5">
        <v>12</v>
      </c>
      <c r="D429" s="5" t="s">
        <v>17</v>
      </c>
      <c r="E429" s="127">
        <v>45627</v>
      </c>
      <c r="F429" s="5" t="s">
        <v>18</v>
      </c>
      <c r="G429" s="5" t="s">
        <v>11</v>
      </c>
      <c r="H429" s="5" t="s">
        <v>5</v>
      </c>
      <c r="I429">
        <v>2023</v>
      </c>
      <c r="J429" s="5" t="s">
        <v>62</v>
      </c>
      <c r="K429" s="5" t="s">
        <v>50</v>
      </c>
      <c r="L429" s="129">
        <v>45304</v>
      </c>
      <c r="M429" s="20">
        <v>37.799999999999997</v>
      </c>
      <c r="N429" s="128">
        <v>0.42</v>
      </c>
      <c r="O429" s="20">
        <v>323</v>
      </c>
      <c r="P429" s="128">
        <v>10.61917808219178</v>
      </c>
      <c r="Q429" s="122">
        <v>90</v>
      </c>
      <c r="R429" s="121">
        <v>8.4752321981424146</v>
      </c>
      <c r="S429" s="121">
        <v>101.70278637770897</v>
      </c>
      <c r="T429" s="121">
        <v>14.91</v>
      </c>
      <c r="U429" s="20">
        <v>15163.885448916408</v>
      </c>
    </row>
    <row r="430" spans="2:21" x14ac:dyDescent="0.25">
      <c r="B430" s="5">
        <v>2024</v>
      </c>
      <c r="C430" s="5">
        <v>12</v>
      </c>
      <c r="D430" s="5" t="s">
        <v>17</v>
      </c>
      <c r="E430" s="127">
        <v>45627</v>
      </c>
      <c r="F430" s="5" t="s">
        <v>18</v>
      </c>
      <c r="G430" s="5" t="s">
        <v>11</v>
      </c>
      <c r="H430" s="5" t="s">
        <v>6</v>
      </c>
      <c r="I430">
        <v>2023</v>
      </c>
      <c r="J430" s="5" t="s">
        <v>62</v>
      </c>
      <c r="K430" s="5" t="s">
        <v>50</v>
      </c>
      <c r="L430" s="129">
        <v>45287</v>
      </c>
      <c r="M430" s="20">
        <v>394.9</v>
      </c>
      <c r="N430" s="128">
        <v>3.59</v>
      </c>
      <c r="O430" s="20">
        <v>340</v>
      </c>
      <c r="P430" s="128">
        <v>11.178082191780822</v>
      </c>
      <c r="Q430" s="122">
        <v>110</v>
      </c>
      <c r="R430" s="121">
        <v>9.8406862745098049</v>
      </c>
      <c r="S430" s="121">
        <v>118.08823529411765</v>
      </c>
      <c r="T430" s="121">
        <v>14.91</v>
      </c>
      <c r="U430" s="20">
        <v>17606.955882352944</v>
      </c>
    </row>
    <row r="431" spans="2:21" x14ac:dyDescent="0.25">
      <c r="B431" s="5">
        <v>2024</v>
      </c>
      <c r="C431" s="5">
        <v>12</v>
      </c>
      <c r="D431" s="5" t="s">
        <v>17</v>
      </c>
      <c r="E431" s="127">
        <v>45627</v>
      </c>
      <c r="F431" s="5" t="s">
        <v>18</v>
      </c>
      <c r="G431" s="5" t="s">
        <v>12</v>
      </c>
      <c r="H431" s="5" t="s">
        <v>4</v>
      </c>
      <c r="I431">
        <v>2022</v>
      </c>
      <c r="J431" s="5" t="s">
        <v>410</v>
      </c>
      <c r="K431" s="5" t="s">
        <v>50</v>
      </c>
      <c r="L431" s="129">
        <v>45244</v>
      </c>
      <c r="M431" s="20">
        <v>202.95</v>
      </c>
      <c r="N431" s="128">
        <v>1.65</v>
      </c>
      <c r="O431" s="20">
        <v>383.00000000000006</v>
      </c>
      <c r="P431" s="128">
        <v>12.59178082191781</v>
      </c>
      <c r="Q431" s="122">
        <v>123</v>
      </c>
      <c r="R431" s="121">
        <v>9.7682767624020865</v>
      </c>
      <c r="S431" s="121">
        <v>117.21932114882505</v>
      </c>
      <c r="T431" s="121">
        <v>15.280000000000001</v>
      </c>
      <c r="U431" s="20">
        <v>17911.112271540471</v>
      </c>
    </row>
    <row r="432" spans="2:21" x14ac:dyDescent="0.25">
      <c r="B432" s="5">
        <v>2024</v>
      </c>
      <c r="C432" s="5">
        <v>12</v>
      </c>
      <c r="D432" s="5" t="s">
        <v>17</v>
      </c>
      <c r="E432" s="127">
        <v>45627</v>
      </c>
      <c r="F432" s="5" t="s">
        <v>18</v>
      </c>
      <c r="G432" s="5" t="s">
        <v>13</v>
      </c>
      <c r="H432" s="5" t="s">
        <v>4</v>
      </c>
      <c r="I432">
        <v>2022</v>
      </c>
      <c r="J432" s="5" t="s">
        <v>68</v>
      </c>
      <c r="K432" s="5" t="s">
        <v>50</v>
      </c>
      <c r="L432" s="129">
        <v>45237</v>
      </c>
      <c r="M432" s="20">
        <v>111.24</v>
      </c>
      <c r="N432" s="128">
        <v>1.08</v>
      </c>
      <c r="O432" s="20">
        <v>389.99999999999994</v>
      </c>
      <c r="P432" s="128">
        <v>12.821917808219176</v>
      </c>
      <c r="Q432" s="122">
        <v>102.99999999999999</v>
      </c>
      <c r="R432" s="121">
        <v>8.0331196581196576</v>
      </c>
      <c r="S432" s="121">
        <v>96.397435897435898</v>
      </c>
      <c r="T432" s="121">
        <v>14.96</v>
      </c>
      <c r="U432" s="20">
        <v>14421.056410256409</v>
      </c>
    </row>
    <row r="433" spans="2:21" x14ac:dyDescent="0.25">
      <c r="B433" s="5">
        <v>2024</v>
      </c>
      <c r="C433" s="5">
        <v>12</v>
      </c>
      <c r="D433" s="5" t="s">
        <v>17</v>
      </c>
      <c r="E433" s="127">
        <v>45629</v>
      </c>
      <c r="F433" s="5" t="s">
        <v>18</v>
      </c>
      <c r="G433" s="5" t="s">
        <v>9</v>
      </c>
      <c r="H433" s="5" t="s">
        <v>3</v>
      </c>
      <c r="I433">
        <v>2023</v>
      </c>
      <c r="J433" s="5" t="s">
        <v>351</v>
      </c>
      <c r="K433" s="5" t="s">
        <v>50</v>
      </c>
      <c r="L433" s="129">
        <v>45257</v>
      </c>
      <c r="M433" s="20">
        <v>971.52</v>
      </c>
      <c r="N433" s="128">
        <v>10.56</v>
      </c>
      <c r="O433" s="20">
        <v>372</v>
      </c>
      <c r="P433" s="128">
        <v>12.230136986301369</v>
      </c>
      <c r="Q433" s="122">
        <v>92</v>
      </c>
      <c r="R433" s="121">
        <v>7.5224014336917557</v>
      </c>
      <c r="S433" s="121">
        <v>90.268817204301072</v>
      </c>
      <c r="T433" s="121">
        <v>14.91</v>
      </c>
      <c r="U433" s="20">
        <v>13459.080645161288</v>
      </c>
    </row>
    <row r="434" spans="2:21" x14ac:dyDescent="0.25">
      <c r="B434" s="5">
        <v>2024</v>
      </c>
      <c r="C434" s="5">
        <v>12</v>
      </c>
      <c r="D434" s="5" t="s">
        <v>17</v>
      </c>
      <c r="E434" s="127">
        <v>45629</v>
      </c>
      <c r="F434" s="5" t="s">
        <v>18</v>
      </c>
      <c r="G434" s="5" t="s">
        <v>9</v>
      </c>
      <c r="H434" s="5" t="s">
        <v>4</v>
      </c>
      <c r="I434">
        <v>2023</v>
      </c>
      <c r="J434" s="5" t="s">
        <v>315</v>
      </c>
      <c r="K434" s="5" t="s">
        <v>50</v>
      </c>
      <c r="L434" s="129">
        <v>45306</v>
      </c>
      <c r="M434" s="20">
        <v>1650.84</v>
      </c>
      <c r="N434" s="128">
        <v>18.190000000000001</v>
      </c>
      <c r="O434" s="20">
        <v>322.99999999999994</v>
      </c>
      <c r="P434" s="128">
        <v>10.619178082191779</v>
      </c>
      <c r="Q434" s="122">
        <v>90.755360087960412</v>
      </c>
      <c r="R434" s="121">
        <v>8.5463638885721256</v>
      </c>
      <c r="S434" s="121">
        <v>102.5563666628655</v>
      </c>
      <c r="T434" s="121">
        <v>14.91</v>
      </c>
      <c r="U434" s="20">
        <v>15291.154269433246</v>
      </c>
    </row>
    <row r="435" spans="2:21" x14ac:dyDescent="0.25">
      <c r="B435" s="5">
        <v>2024</v>
      </c>
      <c r="C435" s="5">
        <v>12</v>
      </c>
      <c r="D435" s="5" t="s">
        <v>17</v>
      </c>
      <c r="E435" s="127">
        <v>45630</v>
      </c>
      <c r="F435" s="5" t="s">
        <v>18</v>
      </c>
      <c r="G435" s="5" t="s">
        <v>12</v>
      </c>
      <c r="H435" s="5" t="s">
        <v>5</v>
      </c>
      <c r="I435">
        <v>2022</v>
      </c>
      <c r="J435" s="5" t="s">
        <v>410</v>
      </c>
      <c r="K435" s="5" t="s">
        <v>50</v>
      </c>
      <c r="L435" s="129">
        <v>45248</v>
      </c>
      <c r="M435" s="20">
        <v>471.6</v>
      </c>
      <c r="N435" s="128">
        <v>3.93</v>
      </c>
      <c r="O435" s="20">
        <v>382</v>
      </c>
      <c r="P435" s="128">
        <v>12.558904109589042</v>
      </c>
      <c r="Q435" s="122">
        <v>120</v>
      </c>
      <c r="R435" s="121">
        <v>9.5549738219895293</v>
      </c>
      <c r="S435" s="121">
        <v>114.65968586387434</v>
      </c>
      <c r="T435" s="121">
        <v>15.28</v>
      </c>
      <c r="U435" s="20">
        <v>17520</v>
      </c>
    </row>
    <row r="436" spans="2:21" x14ac:dyDescent="0.25">
      <c r="B436" s="5">
        <v>2024</v>
      </c>
      <c r="C436" s="5">
        <v>12</v>
      </c>
      <c r="D436" s="5" t="s">
        <v>0</v>
      </c>
      <c r="E436" s="127">
        <v>45630</v>
      </c>
      <c r="F436" s="5" t="s">
        <v>1</v>
      </c>
      <c r="G436" s="5" t="s">
        <v>11</v>
      </c>
      <c r="H436" s="5" t="s">
        <v>3</v>
      </c>
      <c r="I436">
        <v>2023</v>
      </c>
      <c r="J436" s="5" t="s">
        <v>62</v>
      </c>
      <c r="K436" s="5" t="s">
        <v>50</v>
      </c>
      <c r="L436" s="129">
        <v>45275</v>
      </c>
      <c r="M436" s="20">
        <v>6.3</v>
      </c>
      <c r="N436" s="128">
        <v>0.1</v>
      </c>
      <c r="O436" s="20">
        <v>355</v>
      </c>
      <c r="P436" s="128">
        <v>11.671232876712329</v>
      </c>
      <c r="Q436" s="122">
        <v>62.999999999999993</v>
      </c>
      <c r="R436" s="121">
        <v>5.3978873239436611</v>
      </c>
      <c r="S436" s="121">
        <v>64.774647887323937</v>
      </c>
      <c r="T436" s="121">
        <v>15.38</v>
      </c>
      <c r="U436" s="20">
        <v>9962.3408450704228</v>
      </c>
    </row>
    <row r="437" spans="2:21" x14ac:dyDescent="0.25">
      <c r="B437" s="5">
        <v>2024</v>
      </c>
      <c r="C437" s="5">
        <v>12</v>
      </c>
      <c r="D437" s="5" t="s">
        <v>0</v>
      </c>
      <c r="E437" s="127">
        <v>45639</v>
      </c>
      <c r="F437" s="5" t="s">
        <v>1</v>
      </c>
      <c r="G437" s="5" t="s">
        <v>2</v>
      </c>
      <c r="H437" s="5" t="s">
        <v>3</v>
      </c>
      <c r="I437">
        <v>2023</v>
      </c>
      <c r="J437" s="5" t="s">
        <v>60</v>
      </c>
      <c r="K437" s="5" t="s">
        <v>50</v>
      </c>
      <c r="L437" s="129">
        <v>45274</v>
      </c>
      <c r="M437" s="20">
        <v>5946.96</v>
      </c>
      <c r="N437" s="128">
        <v>41.88</v>
      </c>
      <c r="O437" s="20">
        <v>365</v>
      </c>
      <c r="P437" s="128">
        <v>12</v>
      </c>
      <c r="Q437" s="122">
        <v>142</v>
      </c>
      <c r="R437" s="121">
        <v>11.833333333333334</v>
      </c>
      <c r="S437" s="121">
        <v>142</v>
      </c>
      <c r="T437" s="121">
        <v>15.07</v>
      </c>
      <c r="U437" s="20">
        <v>21399.4</v>
      </c>
    </row>
    <row r="438" spans="2:21" x14ac:dyDescent="0.25">
      <c r="B438" s="5">
        <v>2024</v>
      </c>
      <c r="C438" s="5">
        <v>12</v>
      </c>
      <c r="D438" s="5" t="s">
        <v>0</v>
      </c>
      <c r="E438" s="127">
        <v>45642</v>
      </c>
      <c r="F438" s="5" t="s">
        <v>1</v>
      </c>
      <c r="G438" s="5" t="s">
        <v>10</v>
      </c>
      <c r="H438" s="5" t="s">
        <v>4</v>
      </c>
      <c r="I438">
        <v>2023</v>
      </c>
      <c r="J438" s="5" t="s">
        <v>60</v>
      </c>
      <c r="K438" s="5" t="s">
        <v>50</v>
      </c>
      <c r="L438" s="129">
        <v>45272</v>
      </c>
      <c r="M438" s="20">
        <v>4791.1499999999996</v>
      </c>
      <c r="N438" s="128">
        <v>40.950000000000003</v>
      </c>
      <c r="O438" s="20">
        <v>370</v>
      </c>
      <c r="P438" s="128">
        <v>12.164383561643836</v>
      </c>
      <c r="Q438" s="122">
        <v>116.99999999999999</v>
      </c>
      <c r="R438" s="121">
        <v>9.6182432432432403</v>
      </c>
      <c r="S438" s="121">
        <v>115.41891891891889</v>
      </c>
      <c r="T438" s="121">
        <v>15.370000000000001</v>
      </c>
      <c r="U438" s="20">
        <v>17739.887837837836</v>
      </c>
    </row>
    <row r="439" spans="2:21" x14ac:dyDescent="0.25">
      <c r="B439" s="5">
        <v>2024</v>
      </c>
      <c r="C439" s="5">
        <v>12</v>
      </c>
      <c r="D439" s="5" t="s">
        <v>0</v>
      </c>
      <c r="E439" s="127">
        <v>45644</v>
      </c>
      <c r="F439" s="5" t="s">
        <v>1</v>
      </c>
      <c r="G439" s="5" t="s">
        <v>9</v>
      </c>
      <c r="H439" s="5" t="s">
        <v>7</v>
      </c>
      <c r="I439">
        <v>2023</v>
      </c>
      <c r="J439" s="5" t="s">
        <v>68</v>
      </c>
      <c r="K439" s="5" t="s">
        <v>50</v>
      </c>
      <c r="L439" s="129">
        <v>45276</v>
      </c>
      <c r="M439" s="20">
        <v>4397.3999999999996</v>
      </c>
      <c r="N439" s="128">
        <v>41.88</v>
      </c>
      <c r="O439" s="20">
        <v>368</v>
      </c>
      <c r="P439" s="128">
        <v>12.098630136986301</v>
      </c>
      <c r="Q439" s="122">
        <v>104.99999999999999</v>
      </c>
      <c r="R439" s="121">
        <v>8.6786684782608674</v>
      </c>
      <c r="S439" s="121">
        <v>104.14402173913041</v>
      </c>
      <c r="T439" s="121">
        <v>15.380000000000003</v>
      </c>
      <c r="U439" s="20">
        <v>16017.35054347826</v>
      </c>
    </row>
    <row r="440" spans="2:21" x14ac:dyDescent="0.25">
      <c r="B440" s="5">
        <v>2024</v>
      </c>
      <c r="C440" s="5">
        <v>12</v>
      </c>
      <c r="D440" s="5" t="s">
        <v>0</v>
      </c>
      <c r="E440" s="127">
        <v>45646</v>
      </c>
      <c r="F440" s="5" t="s">
        <v>1</v>
      </c>
      <c r="G440" s="5" t="s">
        <v>12</v>
      </c>
      <c r="H440" s="5" t="s">
        <v>5</v>
      </c>
      <c r="I440">
        <v>2024</v>
      </c>
      <c r="J440" s="5" t="s">
        <v>289</v>
      </c>
      <c r="K440" s="5" t="s">
        <v>403</v>
      </c>
      <c r="L440" s="129">
        <v>45328</v>
      </c>
      <c r="M440" s="20">
        <v>1717.08</v>
      </c>
      <c r="N440" s="128">
        <v>41.88</v>
      </c>
      <c r="O440" s="20">
        <v>318</v>
      </c>
      <c r="P440" s="128">
        <v>10.454794520547946</v>
      </c>
      <c r="Q440" s="122">
        <v>40.999999999999993</v>
      </c>
      <c r="R440" s="121">
        <v>3.9216457023060785</v>
      </c>
      <c r="S440" s="121">
        <v>47.059748427672943</v>
      </c>
      <c r="T440" s="121">
        <v>15.72</v>
      </c>
      <c r="U440" s="20">
        <v>7397.7924528301864</v>
      </c>
    </row>
    <row r="441" spans="2:21" x14ac:dyDescent="0.25">
      <c r="B441" s="5">
        <v>2024</v>
      </c>
      <c r="C441" s="5">
        <v>12</v>
      </c>
      <c r="D441" s="5" t="s">
        <v>75</v>
      </c>
      <c r="E441" s="127">
        <v>45630</v>
      </c>
      <c r="F441" s="5" t="s">
        <v>52</v>
      </c>
      <c r="G441" s="5" t="s">
        <v>43</v>
      </c>
      <c r="H441" s="5" t="s">
        <v>3</v>
      </c>
      <c r="I441">
        <v>2022</v>
      </c>
      <c r="J441" s="5" t="s">
        <v>68</v>
      </c>
      <c r="K441" s="5" t="s">
        <v>50</v>
      </c>
      <c r="L441" s="129">
        <v>45286</v>
      </c>
      <c r="M441" s="20">
        <v>3652.95</v>
      </c>
      <c r="N441" s="128">
        <v>34.79</v>
      </c>
      <c r="O441" s="20">
        <v>344</v>
      </c>
      <c r="P441" s="128">
        <v>11.30958904109589</v>
      </c>
      <c r="Q441" s="122">
        <v>105</v>
      </c>
      <c r="R441" s="121">
        <v>9.2841569767441854</v>
      </c>
      <c r="S441" s="121">
        <v>111.40988372093022</v>
      </c>
      <c r="T441" s="121">
        <v>15.27</v>
      </c>
      <c r="U441" s="20">
        <v>17012.289244186046</v>
      </c>
    </row>
    <row r="442" spans="2:21" x14ac:dyDescent="0.25">
      <c r="B442" s="5">
        <v>2024</v>
      </c>
      <c r="C442" s="5">
        <v>12</v>
      </c>
      <c r="D442" s="5" t="s">
        <v>75</v>
      </c>
      <c r="E442" s="127">
        <v>45632</v>
      </c>
      <c r="F442" s="5" t="s">
        <v>52</v>
      </c>
      <c r="G442" s="5" t="s">
        <v>28</v>
      </c>
      <c r="H442" s="5" t="s">
        <v>7</v>
      </c>
      <c r="I442">
        <v>2024</v>
      </c>
      <c r="J442" s="5" t="s">
        <v>68</v>
      </c>
      <c r="K442" s="5" t="s">
        <v>50</v>
      </c>
      <c r="L442" s="129">
        <v>45295</v>
      </c>
      <c r="M442" s="20">
        <v>4210.22</v>
      </c>
      <c r="N442" s="128">
        <v>34.51</v>
      </c>
      <c r="O442" s="20">
        <v>337.00000000000006</v>
      </c>
      <c r="P442" s="128">
        <v>11.079452054794523</v>
      </c>
      <c r="Q442" s="122">
        <v>122.00000000000001</v>
      </c>
      <c r="R442" s="121">
        <v>11.011374876360039</v>
      </c>
      <c r="S442" s="121">
        <v>132.13649851632047</v>
      </c>
      <c r="T442" s="121">
        <v>15.379999999999999</v>
      </c>
      <c r="U442" s="20">
        <v>20322.593471810087</v>
      </c>
    </row>
    <row r="443" spans="2:21" x14ac:dyDescent="0.25">
      <c r="B443" s="5">
        <v>2024</v>
      </c>
      <c r="C443" s="5">
        <v>12</v>
      </c>
      <c r="D443" s="5" t="s">
        <v>75</v>
      </c>
      <c r="E443" s="127">
        <v>45634</v>
      </c>
      <c r="F443" s="5" t="s">
        <v>52</v>
      </c>
      <c r="G443" s="5" t="s">
        <v>27</v>
      </c>
      <c r="H443" s="5" t="s">
        <v>4</v>
      </c>
      <c r="I443">
        <v>2023</v>
      </c>
      <c r="J443" s="5" t="s">
        <v>60</v>
      </c>
      <c r="K443" s="5" t="s">
        <v>50</v>
      </c>
      <c r="L443" s="129">
        <v>45293</v>
      </c>
      <c r="M443" s="20">
        <v>5126.72</v>
      </c>
      <c r="N443" s="128">
        <v>34.64</v>
      </c>
      <c r="O443" s="20">
        <v>341</v>
      </c>
      <c r="P443" s="128">
        <v>11.210958904109589</v>
      </c>
      <c r="Q443" s="122">
        <v>148</v>
      </c>
      <c r="R443" s="121">
        <v>13.201368523949169</v>
      </c>
      <c r="S443" s="121">
        <v>158.41642228739002</v>
      </c>
      <c r="T443" s="121">
        <v>15.2</v>
      </c>
      <c r="U443" s="20">
        <v>24079.296187683281</v>
      </c>
    </row>
    <row r="444" spans="2:21" x14ac:dyDescent="0.25">
      <c r="B444" s="5">
        <v>2024</v>
      </c>
      <c r="C444" s="5">
        <v>12</v>
      </c>
      <c r="D444" s="5" t="s">
        <v>75</v>
      </c>
      <c r="E444" s="127">
        <v>45637</v>
      </c>
      <c r="F444" s="5" t="s">
        <v>52</v>
      </c>
      <c r="G444" s="5" t="s">
        <v>27</v>
      </c>
      <c r="H444" s="5" t="s">
        <v>6</v>
      </c>
      <c r="I444">
        <v>2023</v>
      </c>
      <c r="J444" s="5" t="s">
        <v>60</v>
      </c>
      <c r="K444" s="5" t="s">
        <v>50</v>
      </c>
      <c r="L444" s="129">
        <v>45276</v>
      </c>
      <c r="M444" s="20">
        <v>5369.2</v>
      </c>
      <c r="N444" s="128">
        <v>34.64</v>
      </c>
      <c r="O444" s="20">
        <v>361</v>
      </c>
      <c r="P444" s="128">
        <v>11.868493150684932</v>
      </c>
      <c r="Q444" s="122">
        <v>155</v>
      </c>
      <c r="R444" s="121">
        <v>13.059787626962143</v>
      </c>
      <c r="S444" s="121">
        <v>156.71745152354572</v>
      </c>
      <c r="T444" s="121">
        <v>14.72</v>
      </c>
      <c r="U444" s="20">
        <v>23068.808864265928</v>
      </c>
    </row>
    <row r="445" spans="2:21" x14ac:dyDescent="0.25">
      <c r="B445" s="5">
        <v>2024</v>
      </c>
      <c r="C445" s="5">
        <v>12</v>
      </c>
      <c r="D445" s="5" t="s">
        <v>22</v>
      </c>
      <c r="E445" s="127">
        <v>45627</v>
      </c>
      <c r="F445" s="5" t="s">
        <v>23</v>
      </c>
      <c r="G445" s="5" t="s">
        <v>11</v>
      </c>
      <c r="H445" s="5" t="s">
        <v>8</v>
      </c>
      <c r="I445">
        <v>2023</v>
      </c>
      <c r="J445" s="5" t="s">
        <v>304</v>
      </c>
      <c r="K445" s="5" t="s">
        <v>50</v>
      </c>
      <c r="L445" s="129">
        <v>45318</v>
      </c>
      <c r="M445" s="20">
        <v>514.87</v>
      </c>
      <c r="N445" s="128">
        <v>4.3099999999999996</v>
      </c>
      <c r="O445" s="20">
        <v>309</v>
      </c>
      <c r="P445" s="128">
        <v>10.158904109589042</v>
      </c>
      <c r="Q445" s="122">
        <v>119.45939675174016</v>
      </c>
      <c r="R445" s="121">
        <v>11.759083013588231</v>
      </c>
      <c r="S445" s="121">
        <v>141.10899616305878</v>
      </c>
      <c r="T445" s="121">
        <v>15.49</v>
      </c>
      <c r="U445" s="20">
        <v>21857.783505657804</v>
      </c>
    </row>
    <row r="446" spans="2:21" x14ac:dyDescent="0.25">
      <c r="B446" s="5">
        <v>2024</v>
      </c>
      <c r="C446" s="5">
        <v>12</v>
      </c>
      <c r="D446" s="5" t="s">
        <v>22</v>
      </c>
      <c r="E446" s="127">
        <v>45627</v>
      </c>
      <c r="F446" s="5" t="s">
        <v>25</v>
      </c>
      <c r="G446" s="5" t="s">
        <v>21</v>
      </c>
      <c r="H446" s="5" t="s">
        <v>3</v>
      </c>
      <c r="I446">
        <v>2023</v>
      </c>
      <c r="J446" s="5" t="s">
        <v>315</v>
      </c>
      <c r="K446" s="5" t="s">
        <v>50</v>
      </c>
      <c r="L446" s="129">
        <v>45309</v>
      </c>
      <c r="M446" s="20">
        <v>460.74</v>
      </c>
      <c r="N446" s="128">
        <v>3.57</v>
      </c>
      <c r="O446" s="20">
        <v>318</v>
      </c>
      <c r="P446" s="128">
        <v>10.454794520547946</v>
      </c>
      <c r="Q446" s="122">
        <v>129.05882352941177</v>
      </c>
      <c r="R446" s="121">
        <v>12.344462942409669</v>
      </c>
      <c r="S446" s="121">
        <v>148.13355530891602</v>
      </c>
      <c r="T446" s="121">
        <v>15.49</v>
      </c>
      <c r="U446" s="20">
        <v>22945.887717351092</v>
      </c>
    </row>
    <row r="447" spans="2:21" x14ac:dyDescent="0.25">
      <c r="B447" s="5">
        <v>2024</v>
      </c>
      <c r="C447" s="5">
        <v>12</v>
      </c>
      <c r="D447" s="5" t="s">
        <v>22</v>
      </c>
      <c r="E447" s="127">
        <v>45627</v>
      </c>
      <c r="F447" s="5" t="s">
        <v>41</v>
      </c>
      <c r="G447" s="5" t="s">
        <v>43</v>
      </c>
      <c r="H447" s="5" t="s">
        <v>3</v>
      </c>
      <c r="I447">
        <v>2023</v>
      </c>
      <c r="J447" s="5" t="s">
        <v>61</v>
      </c>
      <c r="K447" s="5" t="s">
        <v>50</v>
      </c>
      <c r="L447" s="129">
        <v>45297</v>
      </c>
      <c r="M447" s="20">
        <v>2516.8000000000002</v>
      </c>
      <c r="N447" s="128">
        <v>19.36</v>
      </c>
      <c r="O447" s="20">
        <v>330</v>
      </c>
      <c r="P447" s="128">
        <v>10.849315068493151</v>
      </c>
      <c r="Q447" s="122">
        <v>130</v>
      </c>
      <c r="R447" s="121">
        <v>11.982323232323232</v>
      </c>
      <c r="S447" s="121">
        <v>143.78787878787878</v>
      </c>
      <c r="T447" s="121">
        <v>15.629999999999997</v>
      </c>
      <c r="U447" s="20">
        <v>22474.045454545449</v>
      </c>
    </row>
    <row r="448" spans="2:21" x14ac:dyDescent="0.25">
      <c r="B448" s="5">
        <v>2024</v>
      </c>
      <c r="C448" s="5">
        <v>12</v>
      </c>
      <c r="D448" s="5" t="s">
        <v>22</v>
      </c>
      <c r="E448" s="127">
        <v>45629</v>
      </c>
      <c r="F448" s="5" t="s">
        <v>41</v>
      </c>
      <c r="G448" s="5" t="s">
        <v>44</v>
      </c>
      <c r="H448" s="5" t="s">
        <v>3</v>
      </c>
      <c r="I448">
        <v>2023</v>
      </c>
      <c r="J448" s="5" t="s">
        <v>61</v>
      </c>
      <c r="K448" s="5" t="s">
        <v>50</v>
      </c>
      <c r="L448" s="129">
        <v>45287</v>
      </c>
      <c r="M448" s="20">
        <v>1548.2</v>
      </c>
      <c r="N448" s="128">
        <v>13.35</v>
      </c>
      <c r="O448" s="20">
        <v>342</v>
      </c>
      <c r="P448" s="128">
        <v>11.243835616438357</v>
      </c>
      <c r="Q448" s="122">
        <v>115.97003745318352</v>
      </c>
      <c r="R448" s="121">
        <v>10.314099334895708</v>
      </c>
      <c r="S448" s="121">
        <v>123.7691920187485</v>
      </c>
      <c r="T448" s="121">
        <v>15.049999999999999</v>
      </c>
      <c r="U448" s="20">
        <v>18627.263398821648</v>
      </c>
    </row>
    <row r="449" spans="2:21" x14ac:dyDescent="0.25">
      <c r="B449" s="5">
        <v>2024</v>
      </c>
      <c r="C449" s="5">
        <v>12</v>
      </c>
      <c r="D449" s="5" t="s">
        <v>22</v>
      </c>
      <c r="E449" s="127">
        <v>45630</v>
      </c>
      <c r="F449" s="5" t="s">
        <v>41</v>
      </c>
      <c r="G449" s="5" t="s">
        <v>44</v>
      </c>
      <c r="H449" s="5" t="s">
        <v>37</v>
      </c>
      <c r="I449">
        <v>2023</v>
      </c>
      <c r="J449" s="5" t="s">
        <v>61</v>
      </c>
      <c r="K449" s="5" t="s">
        <v>50</v>
      </c>
      <c r="L449" s="129">
        <v>45293</v>
      </c>
      <c r="M449" s="20">
        <v>1907.3371999999999</v>
      </c>
      <c r="N449" s="128">
        <v>15.14</v>
      </c>
      <c r="O449" s="20">
        <v>337</v>
      </c>
      <c r="P449" s="128">
        <v>11.079452054794521</v>
      </c>
      <c r="Q449" s="122">
        <v>125.97999999999999</v>
      </c>
      <c r="R449" s="121">
        <v>11.370598417408504</v>
      </c>
      <c r="S449" s="121">
        <v>136.44718100890205</v>
      </c>
      <c r="T449" s="121">
        <v>15.540000000000001</v>
      </c>
      <c r="U449" s="20">
        <v>21203.891928783378</v>
      </c>
    </row>
    <row r="450" spans="2:21" x14ac:dyDescent="0.25">
      <c r="B450" s="5">
        <v>2024</v>
      </c>
      <c r="C450" s="5">
        <v>12</v>
      </c>
      <c r="D450" s="5" t="s">
        <v>22</v>
      </c>
      <c r="E450" s="127">
        <v>45631</v>
      </c>
      <c r="F450" s="5" t="s">
        <v>25</v>
      </c>
      <c r="G450" s="5" t="s">
        <v>26</v>
      </c>
      <c r="H450" s="5" t="s">
        <v>3</v>
      </c>
      <c r="I450">
        <v>2023</v>
      </c>
      <c r="J450" s="5" t="s">
        <v>289</v>
      </c>
      <c r="K450" s="5" t="s">
        <v>50</v>
      </c>
      <c r="L450" s="129">
        <v>45316</v>
      </c>
      <c r="M450" s="20">
        <v>2293.6485000000002</v>
      </c>
      <c r="N450" s="128">
        <v>18.869999999999997</v>
      </c>
      <c r="O450" s="20">
        <v>315.00000000000011</v>
      </c>
      <c r="P450" s="128">
        <v>10.356164383561648</v>
      </c>
      <c r="Q450" s="122">
        <v>121.55000000000003</v>
      </c>
      <c r="R450" s="121">
        <v>11.736970899470897</v>
      </c>
      <c r="S450" s="121">
        <v>140.84365079365077</v>
      </c>
      <c r="T450" s="121">
        <v>15.539999999999997</v>
      </c>
      <c r="U450" s="20">
        <v>21887.103333333325</v>
      </c>
    </row>
    <row r="451" spans="2:21" x14ac:dyDescent="0.25">
      <c r="B451" s="5">
        <v>2024</v>
      </c>
      <c r="C451" s="5">
        <v>12</v>
      </c>
      <c r="D451" s="5" t="s">
        <v>22</v>
      </c>
      <c r="E451" s="127">
        <v>45633</v>
      </c>
      <c r="F451" s="5" t="s">
        <v>25</v>
      </c>
      <c r="G451" s="5" t="s">
        <v>26</v>
      </c>
      <c r="H451" s="5" t="s">
        <v>4</v>
      </c>
      <c r="I451">
        <v>2023</v>
      </c>
      <c r="J451" s="5" t="s">
        <v>289</v>
      </c>
      <c r="K451" s="5" t="s">
        <v>50</v>
      </c>
      <c r="L451" s="129">
        <v>45317</v>
      </c>
      <c r="M451" s="20">
        <v>2101.06</v>
      </c>
      <c r="N451" s="128">
        <v>16.97</v>
      </c>
      <c r="O451" s="20">
        <v>316.00000000000006</v>
      </c>
      <c r="P451" s="128">
        <v>10.389041095890413</v>
      </c>
      <c r="Q451" s="122">
        <v>123.81025338833236</v>
      </c>
      <c r="R451" s="121">
        <v>11.917389896292535</v>
      </c>
      <c r="S451" s="121">
        <v>143.00867875551043</v>
      </c>
      <c r="T451" s="121">
        <v>15.54</v>
      </c>
      <c r="U451" s="20">
        <v>22223.548678606319</v>
      </c>
    </row>
    <row r="452" spans="2:21" x14ac:dyDescent="0.25">
      <c r="B452" s="5">
        <v>2024</v>
      </c>
      <c r="C452" s="5">
        <v>12</v>
      </c>
      <c r="D452" s="5" t="s">
        <v>22</v>
      </c>
      <c r="E452" s="127">
        <v>45635</v>
      </c>
      <c r="F452" s="5" t="s">
        <v>25</v>
      </c>
      <c r="G452" s="5" t="s">
        <v>21</v>
      </c>
      <c r="H452" s="5" t="s">
        <v>4</v>
      </c>
      <c r="I452">
        <v>2023</v>
      </c>
      <c r="J452" s="5" t="s">
        <v>315</v>
      </c>
      <c r="K452" s="5" t="s">
        <v>50</v>
      </c>
      <c r="L452" s="129">
        <v>45315</v>
      </c>
      <c r="M452" s="20">
        <v>2188.2199999999998</v>
      </c>
      <c r="N452" s="128">
        <v>18.62</v>
      </c>
      <c r="O452" s="20">
        <v>319.99999999999994</v>
      </c>
      <c r="P452" s="128">
        <v>10.520547945205477</v>
      </c>
      <c r="Q452" s="122">
        <v>117.51987110633725</v>
      </c>
      <c r="R452" s="121">
        <v>11.170508581722162</v>
      </c>
      <c r="S452" s="121">
        <v>134.04610298066595</v>
      </c>
      <c r="T452" s="121">
        <v>15.490000000000004</v>
      </c>
      <c r="U452" s="20">
        <v>20763.741351705161</v>
      </c>
    </row>
    <row r="453" spans="2:21" x14ac:dyDescent="0.25">
      <c r="B453" s="5">
        <v>2024</v>
      </c>
      <c r="C453" s="5">
        <v>12</v>
      </c>
      <c r="D453" s="5" t="s">
        <v>22</v>
      </c>
      <c r="E453" s="127">
        <v>45636</v>
      </c>
      <c r="F453" s="5" t="s">
        <v>24</v>
      </c>
      <c r="G453" s="5" t="s">
        <v>12</v>
      </c>
      <c r="H453" s="5" t="s">
        <v>4</v>
      </c>
      <c r="I453">
        <v>2023</v>
      </c>
      <c r="J453" s="5" t="s">
        <v>304</v>
      </c>
      <c r="K453" s="5" t="s">
        <v>50</v>
      </c>
      <c r="L453" s="129">
        <v>45290</v>
      </c>
      <c r="M453" s="20">
        <v>2026.9143999999999</v>
      </c>
      <c r="N453" s="128">
        <v>16.240000000000002</v>
      </c>
      <c r="O453" s="20">
        <v>345.99999999999994</v>
      </c>
      <c r="P453" s="128">
        <v>11.375342465753421</v>
      </c>
      <c r="Q453" s="122">
        <v>124.80999999999997</v>
      </c>
      <c r="R453" s="121">
        <v>10.971977360308285</v>
      </c>
      <c r="S453" s="121">
        <v>131.66372832369942</v>
      </c>
      <c r="T453" s="121">
        <v>15.49</v>
      </c>
      <c r="U453" s="20">
        <v>20394.711517341042</v>
      </c>
    </row>
    <row r="454" spans="2:21" x14ac:dyDescent="0.25">
      <c r="B454" s="5">
        <v>2024</v>
      </c>
      <c r="C454" s="5">
        <v>12</v>
      </c>
      <c r="D454" s="5" t="s">
        <v>22</v>
      </c>
      <c r="E454" s="127">
        <v>45638</v>
      </c>
      <c r="F454" s="5" t="s">
        <v>24</v>
      </c>
      <c r="G454" s="5" t="s">
        <v>12</v>
      </c>
      <c r="H454" s="5" t="s">
        <v>3</v>
      </c>
      <c r="I454">
        <v>2023</v>
      </c>
      <c r="J454" s="5" t="s">
        <v>315</v>
      </c>
      <c r="K454" s="5" t="s">
        <v>50</v>
      </c>
      <c r="L454" s="129">
        <v>45288</v>
      </c>
      <c r="M454" s="20">
        <v>2019.7485000000001</v>
      </c>
      <c r="N454" s="128">
        <v>15.95</v>
      </c>
      <c r="O454" s="20">
        <v>350</v>
      </c>
      <c r="P454" s="128">
        <v>11.506849315068493</v>
      </c>
      <c r="Q454" s="122">
        <v>126.63000000000001</v>
      </c>
      <c r="R454" s="121">
        <v>11.004750000000001</v>
      </c>
      <c r="S454" s="121">
        <v>132.05700000000002</v>
      </c>
      <c r="T454" s="121">
        <v>15.489999999999998</v>
      </c>
      <c r="U454" s="20">
        <v>20455.629300000001</v>
      </c>
    </row>
    <row r="455" spans="2:21" x14ac:dyDescent="0.25">
      <c r="B455" s="5">
        <v>2024</v>
      </c>
      <c r="C455" s="5">
        <v>12</v>
      </c>
      <c r="D455" s="5" t="s">
        <v>22</v>
      </c>
      <c r="E455" s="127">
        <v>45639</v>
      </c>
      <c r="F455" s="5" t="s">
        <v>24</v>
      </c>
      <c r="G455" s="5" t="s">
        <v>12</v>
      </c>
      <c r="H455" s="5" t="s">
        <v>5</v>
      </c>
      <c r="I455">
        <v>2023</v>
      </c>
      <c r="J455" s="5" t="s">
        <v>315</v>
      </c>
      <c r="K455" s="5" t="s">
        <v>50</v>
      </c>
      <c r="L455" s="129">
        <v>45294</v>
      </c>
      <c r="M455" s="20">
        <v>1935.6895999999999</v>
      </c>
      <c r="N455" s="128">
        <v>16.12</v>
      </c>
      <c r="O455" s="20">
        <v>344.99999999999994</v>
      </c>
      <c r="P455" s="128">
        <v>11.342465753424655</v>
      </c>
      <c r="Q455" s="122">
        <v>120.07999999999998</v>
      </c>
      <c r="R455" s="121">
        <v>10.586763285024155</v>
      </c>
      <c r="S455" s="121">
        <v>127.04115942028986</v>
      </c>
      <c r="T455" s="121">
        <v>15.49</v>
      </c>
      <c r="U455" s="20">
        <v>19678.675594202901</v>
      </c>
    </row>
    <row r="456" spans="2:21" x14ac:dyDescent="0.25">
      <c r="B456" s="5">
        <v>2024</v>
      </c>
      <c r="C456" s="5">
        <v>12</v>
      </c>
      <c r="D456" s="5" t="s">
        <v>22</v>
      </c>
      <c r="E456" s="127">
        <v>45641</v>
      </c>
      <c r="F456" s="5" t="s">
        <v>29</v>
      </c>
      <c r="G456" s="5" t="s">
        <v>30</v>
      </c>
      <c r="H456" s="5" t="s">
        <v>8</v>
      </c>
      <c r="I456">
        <v>2023</v>
      </c>
      <c r="J456" s="5" t="s">
        <v>381</v>
      </c>
      <c r="K456" s="5" t="s">
        <v>50</v>
      </c>
      <c r="L456" s="129">
        <v>45311</v>
      </c>
      <c r="M456" s="20">
        <v>1542.4204</v>
      </c>
      <c r="N456" s="128">
        <v>17.179999999999996</v>
      </c>
      <c r="O456" s="20">
        <v>330.00000000000006</v>
      </c>
      <c r="P456" s="128">
        <v>10.849315068493153</v>
      </c>
      <c r="Q456" s="122">
        <v>89.780000000000015</v>
      </c>
      <c r="R456" s="121">
        <v>8.2751767676767667</v>
      </c>
      <c r="S456" s="121">
        <v>99.302121212121207</v>
      </c>
      <c r="T456" s="121">
        <v>15.63</v>
      </c>
      <c r="U456" s="20">
        <v>15520.921545454547</v>
      </c>
    </row>
    <row r="457" spans="2:21" x14ac:dyDescent="0.25">
      <c r="B457" s="5">
        <v>2024</v>
      </c>
      <c r="C457" s="5">
        <v>12</v>
      </c>
      <c r="D457" s="5" t="s">
        <v>22</v>
      </c>
      <c r="E457" s="127">
        <v>45647</v>
      </c>
      <c r="F457" s="5" t="s">
        <v>23</v>
      </c>
      <c r="G457" s="5" t="s">
        <v>2</v>
      </c>
      <c r="H457" s="5" t="s">
        <v>3</v>
      </c>
      <c r="I457">
        <v>2023</v>
      </c>
      <c r="J457" s="5" t="s">
        <v>315</v>
      </c>
      <c r="K457" s="5" t="s">
        <v>50</v>
      </c>
      <c r="L457" s="129">
        <v>45302</v>
      </c>
      <c r="M457" s="20">
        <v>2319.5500000000002</v>
      </c>
      <c r="N457" s="128">
        <v>20.170000000000002</v>
      </c>
      <c r="O457" s="20">
        <v>344.99999999999994</v>
      </c>
      <c r="P457" s="128">
        <v>11.342465753424655</v>
      </c>
      <c r="Q457" s="122">
        <v>115</v>
      </c>
      <c r="R457" s="121">
        <v>10.138888888888891</v>
      </c>
      <c r="S457" s="121">
        <v>121.66666666666669</v>
      </c>
      <c r="T457" s="121">
        <v>15.629999999999999</v>
      </c>
      <c r="U457" s="20">
        <v>19016.5</v>
      </c>
    </row>
    <row r="458" spans="2:21" x14ac:dyDescent="0.25">
      <c r="B458" s="5">
        <v>2024</v>
      </c>
      <c r="C458" s="5">
        <v>12</v>
      </c>
      <c r="D458" s="5" t="s">
        <v>22</v>
      </c>
      <c r="E458" s="127">
        <v>45648</v>
      </c>
      <c r="F458" s="5" t="s">
        <v>23</v>
      </c>
      <c r="G458" s="5" t="s">
        <v>2</v>
      </c>
      <c r="H458" s="5" t="s">
        <v>5</v>
      </c>
      <c r="I458">
        <v>2023</v>
      </c>
      <c r="J458" s="5" t="s">
        <v>315</v>
      </c>
      <c r="K458" s="5" t="s">
        <v>50</v>
      </c>
      <c r="L458" s="129">
        <v>45304</v>
      </c>
      <c r="M458" s="20">
        <v>2081.1999999999998</v>
      </c>
      <c r="N458" s="128">
        <v>18.920000000000002</v>
      </c>
      <c r="O458" s="20">
        <v>343.99999999999994</v>
      </c>
      <c r="P458" s="128">
        <v>11.309589041095888</v>
      </c>
      <c r="Q458" s="122">
        <v>109.99999999999999</v>
      </c>
      <c r="R458" s="121">
        <v>9.7262596899224807</v>
      </c>
      <c r="S458" s="121">
        <v>116.71511627906978</v>
      </c>
      <c r="T458" s="121">
        <v>15.63</v>
      </c>
      <c r="U458" s="20">
        <v>18242.572674418607</v>
      </c>
    </row>
    <row r="459" spans="2:21" x14ac:dyDescent="0.25">
      <c r="B459" s="5">
        <v>2024</v>
      </c>
      <c r="C459" s="5">
        <v>12</v>
      </c>
      <c r="D459" s="5" t="s">
        <v>22</v>
      </c>
      <c r="E459" s="127">
        <v>45649</v>
      </c>
      <c r="F459" s="5" t="s">
        <v>23</v>
      </c>
      <c r="G459" s="5" t="s">
        <v>9</v>
      </c>
      <c r="H459" s="5" t="s">
        <v>3</v>
      </c>
      <c r="I459">
        <v>2024</v>
      </c>
      <c r="J459" s="5" t="s">
        <v>843</v>
      </c>
      <c r="K459" s="5" t="s">
        <v>50</v>
      </c>
      <c r="L459" s="129">
        <v>45319</v>
      </c>
      <c r="M459" s="20">
        <v>2578.5</v>
      </c>
      <c r="N459" s="128">
        <v>19.100000000000001</v>
      </c>
      <c r="O459" s="20">
        <v>330</v>
      </c>
      <c r="P459" s="128">
        <v>10.849315068493151</v>
      </c>
      <c r="Q459" s="122">
        <v>135</v>
      </c>
      <c r="R459" s="121">
        <v>12.44318181818182</v>
      </c>
      <c r="S459" s="121">
        <v>149.31818181818184</v>
      </c>
      <c r="T459" s="121">
        <v>15.489999999999998</v>
      </c>
      <c r="U459" s="20">
        <v>23129.386363636364</v>
      </c>
    </row>
    <row r="460" spans="2:21" x14ac:dyDescent="0.25">
      <c r="B460" s="5">
        <v>2024</v>
      </c>
      <c r="C460" s="5">
        <v>12</v>
      </c>
      <c r="D460" s="5" t="s">
        <v>22</v>
      </c>
      <c r="E460" s="127">
        <v>45650</v>
      </c>
      <c r="F460" s="5" t="s">
        <v>24</v>
      </c>
      <c r="G460" s="5" t="s">
        <v>15</v>
      </c>
      <c r="H460" s="5" t="s">
        <v>7</v>
      </c>
      <c r="I460">
        <v>2023</v>
      </c>
      <c r="J460" s="5" t="s">
        <v>289</v>
      </c>
      <c r="K460" s="5" t="s">
        <v>50</v>
      </c>
      <c r="L460" s="129">
        <v>45323</v>
      </c>
      <c r="M460" s="20">
        <v>2230.1999999999998</v>
      </c>
      <c r="N460" s="128">
        <v>18.899999999999999</v>
      </c>
      <c r="O460" s="20">
        <v>327.00000000000006</v>
      </c>
      <c r="P460" s="128">
        <v>10.750684931506852</v>
      </c>
      <c r="Q460" s="122">
        <v>118</v>
      </c>
      <c r="R460" s="121">
        <v>10.97604485219164</v>
      </c>
      <c r="S460" s="121">
        <v>131.71253822629967</v>
      </c>
      <c r="T460" s="121">
        <v>15.39</v>
      </c>
      <c r="U460" s="20">
        <v>20270.559633027518</v>
      </c>
    </row>
    <row r="461" spans="2:21" x14ac:dyDescent="0.25">
      <c r="B461" s="5">
        <v>2024</v>
      </c>
      <c r="C461" s="5">
        <v>12</v>
      </c>
      <c r="D461" s="5" t="s">
        <v>22</v>
      </c>
      <c r="E461" s="127">
        <v>45651</v>
      </c>
      <c r="F461" s="5" t="s">
        <v>24</v>
      </c>
      <c r="G461" s="5" t="s">
        <v>15</v>
      </c>
      <c r="H461" s="5" t="s">
        <v>8</v>
      </c>
      <c r="I461">
        <v>2023</v>
      </c>
      <c r="J461" s="5" t="s">
        <v>289</v>
      </c>
      <c r="K461" s="5" t="s">
        <v>50</v>
      </c>
      <c r="L461" s="129">
        <v>45325</v>
      </c>
      <c r="M461" s="20">
        <v>2102.98</v>
      </c>
      <c r="N461" s="128">
        <v>17.38</v>
      </c>
      <c r="O461" s="20">
        <v>326</v>
      </c>
      <c r="P461" s="128">
        <v>10.717808219178082</v>
      </c>
      <c r="Q461" s="122">
        <v>121.00000000000001</v>
      </c>
      <c r="R461" s="121">
        <v>11.289621676891615</v>
      </c>
      <c r="S461" s="121">
        <v>135.47546012269939</v>
      </c>
      <c r="T461" s="121">
        <v>15.389999999999999</v>
      </c>
      <c r="U461" s="20">
        <v>20849.673312883431</v>
      </c>
    </row>
    <row r="462" spans="2:21" x14ac:dyDescent="0.25">
      <c r="B462" s="5">
        <v>2024</v>
      </c>
      <c r="C462" s="5">
        <v>12</v>
      </c>
      <c r="D462" s="5" t="s">
        <v>22</v>
      </c>
      <c r="E462" s="127">
        <v>45652</v>
      </c>
      <c r="F462" s="5" t="s">
        <v>23</v>
      </c>
      <c r="G462" s="5" t="s">
        <v>2</v>
      </c>
      <c r="H462" s="5" t="s">
        <v>6</v>
      </c>
      <c r="I462">
        <v>2024</v>
      </c>
      <c r="J462" s="5" t="s">
        <v>80</v>
      </c>
      <c r="K462" s="5" t="s">
        <v>79</v>
      </c>
      <c r="L462" s="129">
        <v>45329</v>
      </c>
      <c r="M462" s="20">
        <v>2121.75</v>
      </c>
      <c r="N462" s="128">
        <v>18.45</v>
      </c>
      <c r="O462" s="20">
        <v>323.00000000000006</v>
      </c>
      <c r="P462" s="128">
        <v>10.619178082191784</v>
      </c>
      <c r="Q462" s="122">
        <v>115</v>
      </c>
      <c r="R462" s="121">
        <v>10.829463364293083</v>
      </c>
      <c r="S462" s="121">
        <v>129.953560371517</v>
      </c>
      <c r="T462" s="121">
        <v>15.629999999999999</v>
      </c>
      <c r="U462" s="20">
        <v>20311.741486068106</v>
      </c>
    </row>
    <row r="463" spans="2:21" x14ac:dyDescent="0.25">
      <c r="B463" s="5">
        <v>2024</v>
      </c>
      <c r="C463" s="5">
        <v>12</v>
      </c>
      <c r="D463" s="5" t="s">
        <v>22</v>
      </c>
      <c r="E463" s="127">
        <v>45653</v>
      </c>
      <c r="F463" s="5" t="s">
        <v>23</v>
      </c>
      <c r="G463" s="5" t="s">
        <v>9</v>
      </c>
      <c r="H463" s="5" t="s">
        <v>5</v>
      </c>
      <c r="I463">
        <v>2024</v>
      </c>
      <c r="J463" s="5" t="s">
        <v>843</v>
      </c>
      <c r="K463" s="5" t="s">
        <v>50</v>
      </c>
      <c r="L463" s="129">
        <v>45334</v>
      </c>
      <c r="M463" s="20">
        <v>2545</v>
      </c>
      <c r="N463" s="128">
        <v>20.36</v>
      </c>
      <c r="O463" s="20">
        <v>319</v>
      </c>
      <c r="P463" s="128">
        <v>10.487671232876712</v>
      </c>
      <c r="Q463" s="122">
        <v>125</v>
      </c>
      <c r="R463" s="121">
        <v>11.918756530825496</v>
      </c>
      <c r="S463" s="121">
        <v>143.02507836990594</v>
      </c>
      <c r="T463" s="121">
        <v>15.540000000000001</v>
      </c>
      <c r="U463" s="20">
        <v>22226.097178683383</v>
      </c>
    </row>
    <row r="464" spans="2:21" x14ac:dyDescent="0.25">
      <c r="B464" s="5">
        <v>2024</v>
      </c>
      <c r="C464" s="5">
        <v>12</v>
      </c>
      <c r="D464" s="5" t="s">
        <v>22</v>
      </c>
      <c r="E464" s="127">
        <v>45654</v>
      </c>
      <c r="F464" s="5" t="s">
        <v>32</v>
      </c>
      <c r="G464" s="5" t="s">
        <v>36</v>
      </c>
      <c r="H464" s="5" t="s">
        <v>4</v>
      </c>
      <c r="I464">
        <v>2023</v>
      </c>
      <c r="J464" s="5" t="s">
        <v>351</v>
      </c>
      <c r="K464" s="5" t="s">
        <v>50</v>
      </c>
      <c r="L464" s="129">
        <v>45334</v>
      </c>
      <c r="M464" s="20">
        <v>2350</v>
      </c>
      <c r="N464" s="128">
        <v>18.8</v>
      </c>
      <c r="O464" s="20">
        <v>320</v>
      </c>
      <c r="P464" s="128">
        <v>10.520547945205479</v>
      </c>
      <c r="Q464" s="122">
        <v>125</v>
      </c>
      <c r="R464" s="121">
        <v>11.881510416666666</v>
      </c>
      <c r="S464" s="121">
        <v>142.578125</v>
      </c>
      <c r="T464" s="121">
        <v>15.68</v>
      </c>
      <c r="U464" s="20">
        <v>22356.25</v>
      </c>
    </row>
    <row r="465" spans="2:21" x14ac:dyDescent="0.25">
      <c r="B465" s="5">
        <v>2024</v>
      </c>
      <c r="C465" s="5">
        <v>12</v>
      </c>
      <c r="D465" s="5" t="s">
        <v>22</v>
      </c>
      <c r="E465" s="127">
        <v>45655</v>
      </c>
      <c r="F465" s="5" t="s">
        <v>32</v>
      </c>
      <c r="G465" s="5" t="s">
        <v>36</v>
      </c>
      <c r="H465" s="5" t="s">
        <v>6</v>
      </c>
      <c r="I465">
        <v>2023</v>
      </c>
      <c r="J465" s="5" t="s">
        <v>351</v>
      </c>
      <c r="K465" s="5" t="s">
        <v>50</v>
      </c>
      <c r="L465" s="129">
        <v>45334</v>
      </c>
      <c r="M465" s="20">
        <v>2320</v>
      </c>
      <c r="N465" s="128">
        <v>18.559999999999999</v>
      </c>
      <c r="O465" s="20">
        <v>321.00000000000006</v>
      </c>
      <c r="P465" s="128">
        <v>10.553424657534249</v>
      </c>
      <c r="Q465" s="122">
        <v>125.00000000000001</v>
      </c>
      <c r="R465" s="121">
        <v>11.844496365524401</v>
      </c>
      <c r="S465" s="121">
        <v>142.13395638629282</v>
      </c>
      <c r="T465" s="121">
        <v>15.68</v>
      </c>
      <c r="U465" s="20">
        <v>22286.604361370715</v>
      </c>
    </row>
    <row r="466" spans="2:21" x14ac:dyDescent="0.25">
      <c r="B466" s="5">
        <v>2024</v>
      </c>
      <c r="C466" s="5">
        <v>12</v>
      </c>
      <c r="D466" s="5" t="s">
        <v>22</v>
      </c>
      <c r="E466" s="127">
        <v>45656</v>
      </c>
      <c r="F466" s="5" t="s">
        <v>32</v>
      </c>
      <c r="G466" s="5" t="s">
        <v>36</v>
      </c>
      <c r="H466" s="5" t="s">
        <v>7</v>
      </c>
      <c r="I466">
        <v>2023</v>
      </c>
      <c r="J466" s="5" t="s">
        <v>351</v>
      </c>
      <c r="K466" s="5" t="s">
        <v>50</v>
      </c>
      <c r="L466" s="129">
        <v>45334</v>
      </c>
      <c r="M466" s="20">
        <v>2258.4</v>
      </c>
      <c r="N466" s="128">
        <v>18.82</v>
      </c>
      <c r="O466" s="20">
        <v>322</v>
      </c>
      <c r="P466" s="128">
        <v>10.586301369863014</v>
      </c>
      <c r="Q466" s="122">
        <v>120</v>
      </c>
      <c r="R466" s="121">
        <v>11.335403726708075</v>
      </c>
      <c r="S466" s="121">
        <v>136.0248447204969</v>
      </c>
      <c r="T466" s="121">
        <v>15.68</v>
      </c>
      <c r="U466" s="20">
        <v>21328.695652173916</v>
      </c>
    </row>
    <row r="467" spans="2:21" x14ac:dyDescent="0.25">
      <c r="B467" s="5">
        <v>2024</v>
      </c>
      <c r="C467" s="5">
        <v>12</v>
      </c>
      <c r="D467" s="5" t="s">
        <v>19</v>
      </c>
      <c r="E467" s="127">
        <v>45641</v>
      </c>
      <c r="F467" s="5" t="s">
        <v>20</v>
      </c>
      <c r="G467" s="5" t="s">
        <v>26</v>
      </c>
      <c r="H467" s="5" t="s">
        <v>6</v>
      </c>
      <c r="I467">
        <v>2022</v>
      </c>
      <c r="J467" s="5" t="s">
        <v>60</v>
      </c>
      <c r="K467" s="5" t="s">
        <v>50</v>
      </c>
      <c r="L467" s="129">
        <v>45262</v>
      </c>
      <c r="M467" s="20">
        <v>1791</v>
      </c>
      <c r="N467" s="128">
        <v>23.88</v>
      </c>
      <c r="O467" s="20">
        <v>379.00000000000006</v>
      </c>
      <c r="P467" s="128">
        <v>12.460273972602742</v>
      </c>
      <c r="Q467" s="122">
        <v>75</v>
      </c>
      <c r="R467" s="121">
        <v>6.0191292875989433</v>
      </c>
      <c r="S467" s="121">
        <v>72.229551451187319</v>
      </c>
      <c r="T467" s="121">
        <v>14.82</v>
      </c>
      <c r="U467" s="20">
        <v>10704.419525065961</v>
      </c>
    </row>
    <row r="468" spans="2:21" x14ac:dyDescent="0.25">
      <c r="B468" s="5">
        <v>2024</v>
      </c>
      <c r="C468" s="5">
        <v>12</v>
      </c>
      <c r="D468" s="5" t="s">
        <v>19</v>
      </c>
      <c r="E468" s="127">
        <v>45642</v>
      </c>
      <c r="F468" s="5" t="s">
        <v>20</v>
      </c>
      <c r="G468" s="5" t="s">
        <v>13</v>
      </c>
      <c r="H468" s="5" t="s">
        <v>3</v>
      </c>
      <c r="I468">
        <v>2023</v>
      </c>
      <c r="J468" s="5" t="s">
        <v>68</v>
      </c>
      <c r="K468" s="5" t="s">
        <v>50</v>
      </c>
      <c r="L468" s="129">
        <v>45237</v>
      </c>
      <c r="M468" s="20">
        <v>4083</v>
      </c>
      <c r="N468" s="128">
        <v>40.83</v>
      </c>
      <c r="O468" s="20">
        <v>405.00000000000006</v>
      </c>
      <c r="P468" s="128">
        <v>13.315068493150687</v>
      </c>
      <c r="Q468" s="122">
        <v>100</v>
      </c>
      <c r="R468" s="121">
        <v>7.5102880658436204</v>
      </c>
      <c r="S468" s="121">
        <v>90.123456790123441</v>
      </c>
      <c r="T468" s="121">
        <v>14.92</v>
      </c>
      <c r="U468" s="20">
        <v>13446.419753086418</v>
      </c>
    </row>
    <row r="469" spans="2:21" x14ac:dyDescent="0.25">
      <c r="B469" s="5">
        <v>2024</v>
      </c>
      <c r="C469" s="5">
        <v>12</v>
      </c>
      <c r="D469" s="5" t="s">
        <v>19</v>
      </c>
      <c r="E469" s="127">
        <v>45645</v>
      </c>
      <c r="F469" s="5" t="s">
        <v>20</v>
      </c>
      <c r="G469" s="5" t="s">
        <v>13</v>
      </c>
      <c r="H469" s="5" t="s">
        <v>4</v>
      </c>
      <c r="I469">
        <v>2023</v>
      </c>
      <c r="J469" s="5" t="s">
        <v>68</v>
      </c>
      <c r="K469" s="5" t="s">
        <v>50</v>
      </c>
      <c r="L469" s="129">
        <v>45301</v>
      </c>
      <c r="M469" s="20">
        <v>3321.82</v>
      </c>
      <c r="N469" s="128">
        <v>40.51</v>
      </c>
      <c r="O469" s="20">
        <v>344.00000000000006</v>
      </c>
      <c r="P469" s="128">
        <v>11.309589041095894</v>
      </c>
      <c r="Q469" s="122">
        <v>82.000000000000014</v>
      </c>
      <c r="R469" s="121">
        <v>7.2504844961240309</v>
      </c>
      <c r="S469" s="121">
        <v>87.005813953488371</v>
      </c>
      <c r="T469" s="121">
        <v>15.27</v>
      </c>
      <c r="U469" s="20">
        <v>13285.787790697672</v>
      </c>
    </row>
    <row r="470" spans="2:21" x14ac:dyDescent="0.25">
      <c r="B470" s="5">
        <v>2024</v>
      </c>
      <c r="C470" s="5">
        <v>12</v>
      </c>
      <c r="D470" s="5" t="s">
        <v>19</v>
      </c>
      <c r="E470" s="127">
        <v>45648</v>
      </c>
      <c r="F470" s="5" t="s">
        <v>20</v>
      </c>
      <c r="G470" s="5" t="s">
        <v>15</v>
      </c>
      <c r="H470" s="5" t="s">
        <v>5</v>
      </c>
      <c r="I470">
        <v>2023</v>
      </c>
      <c r="J470" s="5" t="s">
        <v>68</v>
      </c>
      <c r="K470" s="5" t="s">
        <v>50</v>
      </c>
      <c r="L470" s="129">
        <v>45304</v>
      </c>
      <c r="M470" s="20">
        <v>2643.55</v>
      </c>
      <c r="N470" s="128">
        <v>40.67</v>
      </c>
      <c r="O470" s="20">
        <v>344</v>
      </c>
      <c r="P470" s="128">
        <v>11.30958904109589</v>
      </c>
      <c r="Q470" s="122">
        <v>65</v>
      </c>
      <c r="R470" s="121">
        <v>5.7473352713178301</v>
      </c>
      <c r="S470" s="121">
        <v>68.968023255813961</v>
      </c>
      <c r="T470" s="121">
        <v>15.27</v>
      </c>
      <c r="U470" s="20">
        <v>10531.41715116279</v>
      </c>
    </row>
    <row r="471" spans="2:21" x14ac:dyDescent="0.25">
      <c r="B471" s="5">
        <v>2024</v>
      </c>
      <c r="C471" s="5">
        <v>12</v>
      </c>
      <c r="D471" s="5" t="s">
        <v>19</v>
      </c>
      <c r="E471" s="127">
        <v>45650</v>
      </c>
      <c r="F471" s="5" t="s">
        <v>20</v>
      </c>
      <c r="G471" s="5" t="s">
        <v>10</v>
      </c>
      <c r="H471" s="5" t="s">
        <v>3</v>
      </c>
      <c r="I471">
        <v>2021</v>
      </c>
      <c r="J471" s="5" t="s">
        <v>60</v>
      </c>
      <c r="K471" s="5" t="s">
        <v>50</v>
      </c>
      <c r="L471" s="129">
        <v>45242</v>
      </c>
      <c r="M471" s="20">
        <v>1953.75</v>
      </c>
      <c r="N471" s="128">
        <v>26.05</v>
      </c>
      <c r="O471" s="20">
        <v>408</v>
      </c>
      <c r="P471" s="128">
        <v>13.413698630136986</v>
      </c>
      <c r="Q471" s="122">
        <v>75</v>
      </c>
      <c r="R471" s="121">
        <v>5.5912990196078427</v>
      </c>
      <c r="S471" s="121">
        <v>67.095588235294116</v>
      </c>
      <c r="T471" s="121">
        <v>15.02</v>
      </c>
      <c r="U471" s="20">
        <v>10077.757352941175</v>
      </c>
    </row>
    <row r="472" spans="2:21" x14ac:dyDescent="0.25">
      <c r="B472" s="5">
        <v>2024</v>
      </c>
      <c r="C472" s="5">
        <v>12</v>
      </c>
      <c r="D472" s="5" t="s">
        <v>19</v>
      </c>
      <c r="E472" s="127">
        <v>45651</v>
      </c>
      <c r="F472" s="5" t="s">
        <v>20</v>
      </c>
      <c r="G472" s="5" t="s">
        <v>21</v>
      </c>
      <c r="H472" s="5" t="s">
        <v>6</v>
      </c>
      <c r="I472">
        <v>2023</v>
      </c>
      <c r="J472" s="5" t="s">
        <v>289</v>
      </c>
      <c r="K472" s="5" t="s">
        <v>50</v>
      </c>
      <c r="L472" s="129">
        <v>45240</v>
      </c>
      <c r="M472" s="20">
        <v>4619.57</v>
      </c>
      <c r="N472" s="128">
        <v>47.32</v>
      </c>
      <c r="O472" s="20">
        <v>411</v>
      </c>
      <c r="P472" s="128">
        <v>13.512328767123288</v>
      </c>
      <c r="Q472" s="122">
        <v>97.624049027895168</v>
      </c>
      <c r="R472" s="121">
        <v>7.2248130363304419</v>
      </c>
      <c r="S472" s="121">
        <v>86.697756435965303</v>
      </c>
      <c r="T472" s="121">
        <v>15.330000000000002</v>
      </c>
      <c r="U472" s="20">
        <v>13290.766061633483</v>
      </c>
    </row>
    <row r="473" spans="2:21" x14ac:dyDescent="0.25">
      <c r="B473" s="5">
        <v>2024</v>
      </c>
      <c r="C473" s="5">
        <v>12</v>
      </c>
      <c r="D473" s="5" t="s">
        <v>19</v>
      </c>
      <c r="E473" s="127">
        <v>45654</v>
      </c>
      <c r="F473" s="5" t="s">
        <v>20</v>
      </c>
      <c r="G473" s="5" t="s">
        <v>14</v>
      </c>
      <c r="H473" s="5" t="s">
        <v>5</v>
      </c>
      <c r="I473">
        <v>2023</v>
      </c>
      <c r="J473" s="5" t="s">
        <v>60</v>
      </c>
      <c r="K473" s="5" t="s">
        <v>50</v>
      </c>
      <c r="L473" s="129">
        <v>45314</v>
      </c>
      <c r="M473" s="20">
        <v>3638.24</v>
      </c>
      <c r="N473" s="128">
        <v>32.909999999999997</v>
      </c>
      <c r="O473" s="20">
        <v>340</v>
      </c>
      <c r="P473" s="128">
        <v>11.178082191780822</v>
      </c>
      <c r="Q473" s="122">
        <v>110.55120024308721</v>
      </c>
      <c r="R473" s="121">
        <v>9.8899970805703017</v>
      </c>
      <c r="S473" s="121">
        <v>118.67996496684363</v>
      </c>
      <c r="T473" s="121">
        <v>14.83</v>
      </c>
      <c r="U473" s="20">
        <v>17600.23880458291</v>
      </c>
    </row>
    <row r="474" spans="2:21" x14ac:dyDescent="0.25">
      <c r="B474" s="5">
        <v>2024</v>
      </c>
      <c r="C474" s="134" t="s">
        <v>310</v>
      </c>
      <c r="D474" s="134"/>
      <c r="E474" s="134"/>
      <c r="F474" s="134"/>
      <c r="G474" s="134"/>
      <c r="H474" s="134"/>
      <c r="I474" s="134"/>
      <c r="J474" s="134"/>
      <c r="K474" s="134"/>
      <c r="L474" s="134"/>
      <c r="M474" s="130">
        <v>107829.8986</v>
      </c>
      <c r="N474" s="131">
        <v>985.77999999999975</v>
      </c>
      <c r="O474" s="130">
        <v>349.72157073586408</v>
      </c>
      <c r="P474" s="131">
        <v>11.497695476247586</v>
      </c>
      <c r="Q474" s="132">
        <v>109.38535839639678</v>
      </c>
      <c r="R474" s="133">
        <v>9.5136767730863614</v>
      </c>
      <c r="S474" s="133">
        <v>114.16412127703633</v>
      </c>
      <c r="T474" s="133">
        <v>15.310301419081551</v>
      </c>
      <c r="U474" s="130">
        <v>17478.871079960078</v>
      </c>
    </row>
    <row r="475" spans="2:21" x14ac:dyDescent="0.25">
      <c r="B475" s="5" t="s">
        <v>46</v>
      </c>
      <c r="J475" s="5"/>
      <c r="K475" s="5"/>
      <c r="L475" s="5"/>
      <c r="M475" s="20">
        <v>1129307.2375999994</v>
      </c>
      <c r="N475" s="128">
        <v>8749.4799999999959</v>
      </c>
      <c r="O475" s="20">
        <v>375.00054517525547</v>
      </c>
      <c r="P475" s="128">
        <v>12.328785046857714</v>
      </c>
      <c r="Q475" s="122">
        <v>129.07135482337245</v>
      </c>
      <c r="R475" s="121">
        <v>10.469105782347091</v>
      </c>
      <c r="S475" s="121">
        <v>125.6292693881651</v>
      </c>
      <c r="T475" s="121">
        <v>14.741299920022376</v>
      </c>
      <c r="U475" s="20">
        <v>18519.387387842278</v>
      </c>
    </row>
    <row r="476" spans="2:21" x14ac:dyDescent="0.25">
      <c r="B476"/>
      <c r="C476"/>
      <c r="D476"/>
      <c r="E476"/>
      <c r="F476"/>
      <c r="G476"/>
      <c r="H476"/>
      <c r="I476"/>
    </row>
    <row r="477" spans="2:21" x14ac:dyDescent="0.25">
      <c r="B477"/>
      <c r="C477"/>
      <c r="D477"/>
      <c r="E477"/>
      <c r="F477"/>
      <c r="G477"/>
      <c r="H477"/>
      <c r="I477"/>
    </row>
    <row r="478" spans="2:21" x14ac:dyDescent="0.25">
      <c r="B478"/>
      <c r="C478"/>
      <c r="D478"/>
      <c r="E478"/>
      <c r="F478"/>
      <c r="G478"/>
      <c r="H478"/>
      <c r="I478"/>
    </row>
    <row r="479" spans="2:21" x14ac:dyDescent="0.25">
      <c r="B479"/>
      <c r="C479"/>
      <c r="D479"/>
      <c r="E479"/>
      <c r="F479"/>
      <c r="G479"/>
      <c r="H479"/>
      <c r="I479"/>
    </row>
    <row r="480" spans="2:21" x14ac:dyDescent="0.25">
      <c r="B480"/>
      <c r="C480"/>
      <c r="D480"/>
      <c r="E480"/>
      <c r="F480"/>
      <c r="G480"/>
      <c r="H480"/>
      <c r="I480"/>
    </row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</sheetData>
  <mergeCells count="1">
    <mergeCell ref="B2:U2"/>
  </mergeCells>
  <pageMargins left="0.78740157480314965" right="0.78740157480314965" top="0.78740157480314965" bottom="0.78740157480314965" header="0.31496062992125984" footer="0.31496062992125984"/>
  <pageSetup paperSize="9" scale="63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1">
    <tabColor theme="1"/>
  </sheetPr>
  <dimension ref="B1:AP469"/>
  <sheetViews>
    <sheetView showGridLines="0" zoomScaleNormal="100" workbookViewId="0">
      <pane ySplit="3" topLeftCell="A435" activePane="bottomLeft" state="frozen"/>
      <selection activeCell="E9" sqref="E9"/>
      <selection pane="bottomLeft" activeCell="C4" sqref="C4:AP469"/>
    </sheetView>
  </sheetViews>
  <sheetFormatPr baseColWidth="10" defaultColWidth="11.42578125" defaultRowHeight="12" x14ac:dyDescent="0.2"/>
  <cols>
    <col min="1" max="1" width="4.85546875" style="21" customWidth="1"/>
    <col min="2" max="2" width="6.28515625" style="23" bestFit="1" customWidth="1"/>
    <col min="3" max="3" width="24.5703125" style="23" bestFit="1" customWidth="1"/>
    <col min="4" max="4" width="10.28515625" style="23" bestFit="1" customWidth="1"/>
    <col min="5" max="5" width="12" style="23" bestFit="1" customWidth="1"/>
    <col min="6" max="6" width="15" style="23" bestFit="1" customWidth="1"/>
    <col min="7" max="7" width="4.140625" style="23" bestFit="1" customWidth="1"/>
    <col min="8" max="8" width="5.5703125" style="23" bestFit="1" customWidth="1"/>
    <col min="9" max="9" width="5.42578125" style="23" bestFit="1" customWidth="1"/>
    <col min="10" max="10" width="6.28515625" style="23" bestFit="1" customWidth="1"/>
    <col min="11" max="11" width="10.7109375" style="23" bestFit="1" customWidth="1"/>
    <col min="12" max="12" width="5.42578125" style="23" bestFit="1" customWidth="1"/>
    <col min="13" max="13" width="6.5703125" style="24" bestFit="1" customWidth="1"/>
    <col min="14" max="14" width="9.85546875" style="23" bestFit="1" customWidth="1"/>
    <col min="15" max="15" width="5.28515625" style="23" bestFit="1" customWidth="1"/>
    <col min="16" max="16" width="5.85546875" style="25" bestFit="1" customWidth="1"/>
    <col min="17" max="17" width="10.7109375" style="25" bestFit="1" customWidth="1"/>
    <col min="18" max="18" width="13.85546875" style="25" bestFit="1" customWidth="1"/>
    <col min="19" max="19" width="8.7109375" style="25" bestFit="1" customWidth="1"/>
    <col min="20" max="20" width="10.28515625" style="25" bestFit="1" customWidth="1"/>
    <col min="21" max="21" width="6.42578125" style="25" bestFit="1" customWidth="1"/>
    <col min="22" max="22" width="6.5703125" style="30" bestFit="1" customWidth="1"/>
    <col min="23" max="23" width="8.7109375" style="23" bestFit="1" customWidth="1"/>
    <col min="24" max="24" width="12.140625" style="23" bestFit="1" customWidth="1"/>
    <col min="25" max="25" width="9.85546875" style="25" bestFit="1" customWidth="1"/>
    <col min="26" max="26" width="6.28515625" style="25" bestFit="1" customWidth="1"/>
    <col min="27" max="27" width="6.5703125" style="25" bestFit="1" customWidth="1"/>
    <col min="28" max="28" width="10.7109375" style="26" bestFit="1" customWidth="1"/>
    <col min="29" max="29" width="9.7109375" style="26" bestFit="1" customWidth="1"/>
    <col min="30" max="30" width="11.7109375" style="21" bestFit="1" customWidth="1"/>
    <col min="31" max="31" width="16.42578125" style="21" bestFit="1" customWidth="1"/>
    <col min="32" max="32" width="10.85546875" style="21" bestFit="1" customWidth="1"/>
    <col min="33" max="33" width="17.28515625" style="21" bestFit="1" customWidth="1"/>
    <col min="34" max="34" width="6.5703125" style="21" bestFit="1" customWidth="1"/>
    <col min="35" max="35" width="6.7109375" style="21" bestFit="1" customWidth="1"/>
    <col min="36" max="36" width="7" style="21" bestFit="1" customWidth="1"/>
    <col min="37" max="37" width="8.140625" style="21" bestFit="1" customWidth="1"/>
    <col min="38" max="38" width="7.85546875" style="21" bestFit="1" customWidth="1"/>
    <col min="39" max="39" width="11.42578125" style="21" bestFit="1" customWidth="1"/>
    <col min="40" max="40" width="14.5703125" style="21" bestFit="1" customWidth="1"/>
    <col min="41" max="41" width="11.28515625" style="21" bestFit="1" customWidth="1"/>
    <col min="42" max="42" width="11" style="21" bestFit="1" customWidth="1"/>
    <col min="43" max="16384" width="11.42578125" style="21"/>
  </cols>
  <sheetData>
    <row r="1" spans="2:42" ht="15.75" thickBot="1" x14ac:dyDescent="0.3">
      <c r="B1" s="33">
        <v>1</v>
      </c>
      <c r="J1" s="22"/>
      <c r="K1" s="22"/>
      <c r="L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2:42" ht="15.75" thickBot="1" x14ac:dyDescent="0.3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7"/>
      <c r="P2" s="22"/>
      <c r="Q2" s="22"/>
      <c r="R2" s="22"/>
      <c r="S2" s="22"/>
      <c r="T2" s="22"/>
      <c r="U2" s="35"/>
      <c r="V2" s="22"/>
      <c r="W2" s="22"/>
      <c r="X2" s="22"/>
      <c r="Y2" s="22"/>
      <c r="AC2" s="28" t="s">
        <v>65</v>
      </c>
      <c r="AD2" s="28" t="s">
        <v>66</v>
      </c>
      <c r="AH2" s="147" t="s">
        <v>342</v>
      </c>
      <c r="AI2" s="148"/>
      <c r="AJ2" s="148"/>
      <c r="AK2" s="148"/>
      <c r="AL2" s="148"/>
      <c r="AM2" s="148"/>
      <c r="AN2" s="148"/>
      <c r="AO2" s="148"/>
      <c r="AP2" s="149"/>
    </row>
    <row r="3" spans="2:42" s="29" customFormat="1" x14ac:dyDescent="0.2">
      <c r="B3" s="43" t="s">
        <v>290</v>
      </c>
      <c r="C3" s="44" t="s">
        <v>102</v>
      </c>
      <c r="D3" s="45" t="s">
        <v>324</v>
      </c>
      <c r="E3" s="45" t="s">
        <v>325</v>
      </c>
      <c r="F3" s="45" t="s">
        <v>327</v>
      </c>
      <c r="G3" s="43" t="s">
        <v>81</v>
      </c>
      <c r="H3" s="43" t="s">
        <v>82</v>
      </c>
      <c r="I3" s="43" t="s">
        <v>83</v>
      </c>
      <c r="J3" s="43" t="s">
        <v>84</v>
      </c>
      <c r="K3" s="43" t="s">
        <v>326</v>
      </c>
      <c r="L3" s="43" t="s">
        <v>302</v>
      </c>
      <c r="M3" s="43" t="s">
        <v>269</v>
      </c>
      <c r="N3" s="46" t="s">
        <v>270</v>
      </c>
      <c r="O3" s="43" t="s">
        <v>271</v>
      </c>
      <c r="P3" s="47" t="s">
        <v>272</v>
      </c>
      <c r="Q3" s="47" t="s">
        <v>306</v>
      </c>
      <c r="R3" s="48" t="s">
        <v>273</v>
      </c>
      <c r="S3" s="48" t="s">
        <v>274</v>
      </c>
      <c r="T3" s="48" t="s">
        <v>275</v>
      </c>
      <c r="U3" s="48" t="s">
        <v>85</v>
      </c>
      <c r="V3" s="48" t="s">
        <v>307</v>
      </c>
      <c r="W3" s="48" t="s">
        <v>276</v>
      </c>
      <c r="X3" s="49" t="s">
        <v>277</v>
      </c>
      <c r="Y3" s="50" t="s">
        <v>278</v>
      </c>
      <c r="Z3" s="45" t="s">
        <v>279</v>
      </c>
      <c r="AA3" s="45" t="s">
        <v>280</v>
      </c>
      <c r="AB3" s="49" t="s">
        <v>86</v>
      </c>
      <c r="AC3" s="49" t="s">
        <v>308</v>
      </c>
      <c r="AD3" s="49" t="s">
        <v>87</v>
      </c>
      <c r="AE3" s="49" t="s">
        <v>88</v>
      </c>
      <c r="AF3" s="51" t="s">
        <v>66</v>
      </c>
      <c r="AG3" s="51" t="s">
        <v>67</v>
      </c>
      <c r="AH3" s="52" t="s">
        <v>333</v>
      </c>
      <c r="AI3" s="52" t="s">
        <v>334</v>
      </c>
      <c r="AJ3" s="52" t="s">
        <v>335</v>
      </c>
      <c r="AK3" s="52" t="s">
        <v>336</v>
      </c>
      <c r="AL3" s="52" t="s">
        <v>337</v>
      </c>
      <c r="AM3" s="52" t="s">
        <v>338</v>
      </c>
      <c r="AN3" s="52" t="s">
        <v>339</v>
      </c>
      <c r="AO3" s="52" t="s">
        <v>340</v>
      </c>
      <c r="AP3" s="52" t="s">
        <v>341</v>
      </c>
    </row>
    <row r="4" spans="2:42" x14ac:dyDescent="0.2">
      <c r="B4" s="34">
        <f>CHOOSE(B$1,Tabla2[[#This Row],[Edad]]*12/365,Tabla2[[#This Row],[Tn/Ha]],Tabla2[[#This Row],[Tn]],Tabla2[[#This Row],[Area_Cosecha]])</f>
        <v>10.849315068493151</v>
      </c>
      <c r="C4" s="87" t="s">
        <v>879</v>
      </c>
      <c r="D4" s="23" t="s">
        <v>319</v>
      </c>
      <c r="E4" s="23" t="s">
        <v>320</v>
      </c>
      <c r="F4" s="23" t="s">
        <v>534</v>
      </c>
      <c r="G4" s="23" t="s">
        <v>22</v>
      </c>
      <c r="H4" s="23" t="s">
        <v>29</v>
      </c>
      <c r="I4" s="23" t="s">
        <v>30</v>
      </c>
      <c r="J4" s="23" t="s">
        <v>8</v>
      </c>
      <c r="K4" s="23" t="s">
        <v>344</v>
      </c>
      <c r="L4" s="23">
        <v>2023</v>
      </c>
      <c r="M4" s="24" t="s">
        <v>381</v>
      </c>
      <c r="N4" s="24">
        <v>45311</v>
      </c>
      <c r="O4" s="24" t="s">
        <v>50</v>
      </c>
      <c r="P4" s="86">
        <v>330</v>
      </c>
      <c r="Q4" s="86">
        <v>17.18</v>
      </c>
      <c r="R4" s="25">
        <v>16.149999999999999</v>
      </c>
      <c r="S4" s="25">
        <v>89.78</v>
      </c>
      <c r="T4" s="25">
        <v>8.2799999999999994</v>
      </c>
      <c r="U4" s="25">
        <v>15.63</v>
      </c>
      <c r="V4" s="25">
        <v>14.08</v>
      </c>
      <c r="W4" s="25">
        <v>1449.9469999999999</v>
      </c>
      <c r="X4" s="34">
        <v>14032.614</v>
      </c>
      <c r="Y4" s="30">
        <v>45641</v>
      </c>
      <c r="Z4" s="85">
        <v>2024</v>
      </c>
      <c r="AA4" s="28">
        <v>12</v>
      </c>
      <c r="AB4" s="84">
        <v>22662.671610000001</v>
      </c>
      <c r="AC4" s="84">
        <v>20415.25376</v>
      </c>
      <c r="AD4" s="84">
        <v>5329.5</v>
      </c>
      <c r="AE4" s="34">
        <v>226626.71609999999</v>
      </c>
      <c r="AF4" s="28" t="s">
        <v>65</v>
      </c>
      <c r="AG4" s="28" t="s">
        <v>66</v>
      </c>
      <c r="AH4" s="21">
        <v>14.3</v>
      </c>
      <c r="AI4" s="21">
        <v>12.9</v>
      </c>
      <c r="AJ4" s="21">
        <v>83.3</v>
      </c>
      <c r="AK4" s="21">
        <v>14</v>
      </c>
      <c r="AL4" s="21">
        <v>67.7</v>
      </c>
    </row>
    <row r="5" spans="2:42" x14ac:dyDescent="0.2">
      <c r="B5" s="34">
        <f>CHOOSE(B$1,Tabla2[[#This Row],[Edad]]*12/365,Tabla2[[#This Row],[Tn/Ha]],Tabla2[[#This Row],[Tn]],Tabla2[[#This Row],[Area_Cosecha]])</f>
        <v>10.849315068493151</v>
      </c>
      <c r="C5" s="87" t="s">
        <v>879</v>
      </c>
      <c r="D5" s="23" t="s">
        <v>318</v>
      </c>
      <c r="E5" s="23" t="s">
        <v>317</v>
      </c>
      <c r="F5" s="23" t="s">
        <v>534</v>
      </c>
      <c r="G5" s="23" t="s">
        <v>22</v>
      </c>
      <c r="H5" s="23" t="s">
        <v>29</v>
      </c>
      <c r="I5" s="23" t="s">
        <v>30</v>
      </c>
      <c r="J5" s="23" t="s">
        <v>8</v>
      </c>
      <c r="K5" s="23">
        <v>42</v>
      </c>
      <c r="L5" s="23">
        <v>2023</v>
      </c>
      <c r="M5" s="24" t="s">
        <v>381</v>
      </c>
      <c r="N5" s="24">
        <v>45311</v>
      </c>
      <c r="O5" s="24" t="s">
        <v>50</v>
      </c>
      <c r="P5" s="86">
        <v>330</v>
      </c>
      <c r="Q5" s="86">
        <v>17.18</v>
      </c>
      <c r="R5" s="25">
        <v>0.63</v>
      </c>
      <c r="S5" s="25">
        <v>89.78</v>
      </c>
      <c r="T5" s="25">
        <v>8.2799999999999994</v>
      </c>
      <c r="U5" s="25">
        <v>15.63</v>
      </c>
      <c r="V5" s="25">
        <v>14.08</v>
      </c>
      <c r="W5" s="25">
        <v>56.561399999999999</v>
      </c>
      <c r="X5" s="34">
        <v>14032.614</v>
      </c>
      <c r="Y5" s="30">
        <v>45641</v>
      </c>
      <c r="Z5" s="85">
        <v>2024</v>
      </c>
      <c r="AA5" s="28">
        <v>12</v>
      </c>
      <c r="AB5" s="84">
        <v>884.05468199999996</v>
      </c>
      <c r="AC5" s="84">
        <v>796.38451199999997</v>
      </c>
      <c r="AD5" s="84">
        <v>207.9</v>
      </c>
      <c r="AE5" s="34">
        <v>8840.5468199999996</v>
      </c>
      <c r="AF5" s="28" t="s">
        <v>65</v>
      </c>
      <c r="AG5" s="28" t="s">
        <v>66</v>
      </c>
      <c r="AH5" s="21">
        <v>14.3</v>
      </c>
      <c r="AI5" s="21">
        <v>12.9</v>
      </c>
      <c r="AJ5" s="21">
        <v>83.3</v>
      </c>
      <c r="AK5" s="21">
        <v>14</v>
      </c>
      <c r="AL5" s="21">
        <v>67.7</v>
      </c>
    </row>
    <row r="6" spans="2:42" x14ac:dyDescent="0.2">
      <c r="B6" s="34">
        <f>CHOOSE(B$1,Tabla2[[#This Row],[Edad]]*12/365,Tabla2[[#This Row],[Tn/Ha]],Tabla2[[#This Row],[Tn]],Tabla2[[#This Row],[Area_Cosecha]])</f>
        <v>10.849315068493151</v>
      </c>
      <c r="C6" s="87" t="s">
        <v>879</v>
      </c>
      <c r="D6" s="23" t="s">
        <v>318</v>
      </c>
      <c r="E6" s="23" t="s">
        <v>317</v>
      </c>
      <c r="F6" s="23" t="s">
        <v>534</v>
      </c>
      <c r="G6" s="23" t="s">
        <v>22</v>
      </c>
      <c r="H6" s="23" t="s">
        <v>29</v>
      </c>
      <c r="I6" s="23" t="s">
        <v>30</v>
      </c>
      <c r="J6" s="23" t="s">
        <v>8</v>
      </c>
      <c r="K6" s="23">
        <v>48</v>
      </c>
      <c r="L6" s="23">
        <v>2023</v>
      </c>
      <c r="M6" s="24" t="s">
        <v>381</v>
      </c>
      <c r="N6" s="24">
        <v>45311</v>
      </c>
      <c r="O6" s="24" t="s">
        <v>50</v>
      </c>
      <c r="P6" s="86">
        <v>330</v>
      </c>
      <c r="Q6" s="86">
        <v>17.18</v>
      </c>
      <c r="R6" s="25">
        <v>0.4</v>
      </c>
      <c r="S6" s="25">
        <v>89.78</v>
      </c>
      <c r="T6" s="25">
        <v>8.2799999999999994</v>
      </c>
      <c r="U6" s="25">
        <v>15.63</v>
      </c>
      <c r="V6" s="25">
        <v>14.08</v>
      </c>
      <c r="W6" s="25">
        <v>35.911999999999999</v>
      </c>
      <c r="X6" s="34">
        <v>14032.614</v>
      </c>
      <c r="Y6" s="30">
        <v>45641</v>
      </c>
      <c r="Z6" s="85">
        <v>2024</v>
      </c>
      <c r="AA6" s="28">
        <v>12</v>
      </c>
      <c r="AB6" s="84">
        <v>561.30456000000004</v>
      </c>
      <c r="AC6" s="84">
        <v>505.64096000000001</v>
      </c>
      <c r="AD6" s="84">
        <v>132</v>
      </c>
      <c r="AE6" s="34">
        <v>5613.0456000000004</v>
      </c>
      <c r="AF6" s="28" t="s">
        <v>65</v>
      </c>
      <c r="AG6" s="28" t="s">
        <v>66</v>
      </c>
      <c r="AH6" s="21">
        <v>14.3</v>
      </c>
      <c r="AI6" s="21">
        <v>12.9</v>
      </c>
      <c r="AJ6" s="21">
        <v>83.3</v>
      </c>
      <c r="AK6" s="21">
        <v>14</v>
      </c>
      <c r="AL6" s="21">
        <v>67.7</v>
      </c>
    </row>
    <row r="7" spans="2:42" x14ac:dyDescent="0.2">
      <c r="B7" s="34">
        <f>CHOOSE(B$1,Tabla2[[#This Row],[Edad]]*12/365,Tabla2[[#This Row],[Tn/Ha]],Tabla2[[#This Row],[Tn]],Tabla2[[#This Row],[Area_Cosecha]])</f>
        <v>10.158904109589042</v>
      </c>
      <c r="C7" s="87" t="s">
        <v>879</v>
      </c>
      <c r="D7" s="23" t="s">
        <v>319</v>
      </c>
      <c r="E7" s="23" t="s">
        <v>320</v>
      </c>
      <c r="F7" s="23" t="s">
        <v>521</v>
      </c>
      <c r="G7" s="23" t="s">
        <v>22</v>
      </c>
      <c r="H7" s="23" t="s">
        <v>23</v>
      </c>
      <c r="I7" s="23" t="s">
        <v>11</v>
      </c>
      <c r="J7" s="23" t="s">
        <v>8</v>
      </c>
      <c r="K7" s="23" t="s">
        <v>321</v>
      </c>
      <c r="L7" s="23">
        <v>2023</v>
      </c>
      <c r="M7" s="24" t="s">
        <v>304</v>
      </c>
      <c r="N7" s="24">
        <v>45318</v>
      </c>
      <c r="O7" s="24" t="s">
        <v>50</v>
      </c>
      <c r="P7" s="86">
        <v>309</v>
      </c>
      <c r="Q7" s="86">
        <v>18.41</v>
      </c>
      <c r="R7" s="25">
        <v>4.3099999999999996</v>
      </c>
      <c r="S7" s="25">
        <v>119.46</v>
      </c>
      <c r="T7" s="25">
        <v>11.76</v>
      </c>
      <c r="U7" s="25">
        <v>15.49</v>
      </c>
      <c r="V7" s="25">
        <v>13.94</v>
      </c>
      <c r="W7" s="25">
        <v>514.87</v>
      </c>
      <c r="X7" s="34">
        <v>18504.353999999999</v>
      </c>
      <c r="Y7" s="30">
        <v>45627</v>
      </c>
      <c r="Z7" s="85">
        <v>2024</v>
      </c>
      <c r="AA7" s="28">
        <v>12</v>
      </c>
      <c r="AB7" s="84">
        <v>7975.3362999999999</v>
      </c>
      <c r="AC7" s="84">
        <v>7177.2878000000001</v>
      </c>
      <c r="AD7" s="84">
        <v>1331.79</v>
      </c>
      <c r="AE7" s="34">
        <v>79753.765740000003</v>
      </c>
      <c r="AF7" s="28" t="s">
        <v>65</v>
      </c>
      <c r="AG7" s="28" t="s">
        <v>66</v>
      </c>
      <c r="AH7" s="21">
        <v>13.8</v>
      </c>
      <c r="AI7" s="21">
        <v>12.3</v>
      </c>
      <c r="AJ7" s="21">
        <v>80.7</v>
      </c>
      <c r="AK7" s="21">
        <v>13.4</v>
      </c>
      <c r="AL7" s="21">
        <v>68.7</v>
      </c>
    </row>
    <row r="8" spans="2:42" x14ac:dyDescent="0.2">
      <c r="B8" s="34">
        <f>CHOOSE(B$1,Tabla2[[#This Row],[Edad]]*12/365,Tabla2[[#This Row],[Tn/Ha]],Tabla2[[#This Row],[Tn]],Tabla2[[#This Row],[Area_Cosecha]])</f>
        <v>11.342465753424657</v>
      </c>
      <c r="C8" s="87" t="s">
        <v>879</v>
      </c>
      <c r="D8" s="23" t="s">
        <v>319</v>
      </c>
      <c r="E8" s="23" t="s">
        <v>320</v>
      </c>
      <c r="F8" s="23" t="s">
        <v>539</v>
      </c>
      <c r="G8" s="23" t="s">
        <v>22</v>
      </c>
      <c r="H8" s="23" t="s">
        <v>24</v>
      </c>
      <c r="I8" s="23" t="s">
        <v>12</v>
      </c>
      <c r="J8" s="23" t="s">
        <v>5</v>
      </c>
      <c r="K8" s="23" t="s">
        <v>344</v>
      </c>
      <c r="L8" s="23">
        <v>2023</v>
      </c>
      <c r="M8" s="24" t="s">
        <v>315</v>
      </c>
      <c r="N8" s="24">
        <v>45294</v>
      </c>
      <c r="O8" s="24" t="s">
        <v>50</v>
      </c>
      <c r="P8" s="86">
        <v>345</v>
      </c>
      <c r="Q8" s="86">
        <v>16.12</v>
      </c>
      <c r="R8" s="25">
        <v>15.77</v>
      </c>
      <c r="S8" s="25">
        <v>120.08</v>
      </c>
      <c r="T8" s="25">
        <v>10.59</v>
      </c>
      <c r="U8" s="25">
        <v>15.49</v>
      </c>
      <c r="V8" s="25">
        <v>13.94</v>
      </c>
      <c r="W8" s="25">
        <v>1893.6615999999999</v>
      </c>
      <c r="X8" s="34">
        <v>18600.392</v>
      </c>
      <c r="Y8" s="30">
        <v>45639</v>
      </c>
      <c r="Z8" s="85">
        <v>2024</v>
      </c>
      <c r="AA8" s="28">
        <v>12</v>
      </c>
      <c r="AB8" s="84">
        <v>29332.818184</v>
      </c>
      <c r="AC8" s="84">
        <v>26397.642704000002</v>
      </c>
      <c r="AD8" s="84">
        <v>5440.65</v>
      </c>
      <c r="AE8" s="34">
        <v>293328.18183999998</v>
      </c>
      <c r="AF8" s="28" t="s">
        <v>65</v>
      </c>
      <c r="AG8" s="28" t="s">
        <v>66</v>
      </c>
      <c r="AH8" s="21">
        <v>15.7</v>
      </c>
      <c r="AI8" s="21">
        <v>14.2</v>
      </c>
      <c r="AJ8" s="21">
        <v>84.7</v>
      </c>
      <c r="AK8" s="21">
        <v>13.6</v>
      </c>
      <c r="AL8" s="21">
        <v>66.7</v>
      </c>
    </row>
    <row r="9" spans="2:42" x14ac:dyDescent="0.2">
      <c r="B9" s="34">
        <f>CHOOSE(B$1,Tabla2[[#This Row],[Edad]]*12/365,Tabla2[[#This Row],[Tn/Ha]],Tabla2[[#This Row],[Tn]],Tabla2[[#This Row],[Area_Cosecha]])</f>
        <v>11.342465753424657</v>
      </c>
      <c r="C9" s="87" t="s">
        <v>879</v>
      </c>
      <c r="D9" s="23" t="s">
        <v>318</v>
      </c>
      <c r="E9" s="23" t="s">
        <v>317</v>
      </c>
      <c r="F9" s="23" t="s">
        <v>539</v>
      </c>
      <c r="G9" s="23" t="s">
        <v>22</v>
      </c>
      <c r="H9" s="23" t="s">
        <v>24</v>
      </c>
      <c r="I9" s="23" t="s">
        <v>12</v>
      </c>
      <c r="J9" s="23" t="s">
        <v>5</v>
      </c>
      <c r="K9" s="23">
        <v>26</v>
      </c>
      <c r="L9" s="23">
        <v>2023</v>
      </c>
      <c r="M9" s="24" t="s">
        <v>315</v>
      </c>
      <c r="N9" s="24">
        <v>45294</v>
      </c>
      <c r="O9" s="24" t="s">
        <v>50</v>
      </c>
      <c r="P9" s="86">
        <v>345</v>
      </c>
      <c r="Q9" s="86">
        <v>16.12</v>
      </c>
      <c r="R9" s="25">
        <v>0.35</v>
      </c>
      <c r="S9" s="25">
        <v>120.08</v>
      </c>
      <c r="T9" s="25">
        <v>10.59</v>
      </c>
      <c r="U9" s="25">
        <v>15.49</v>
      </c>
      <c r="V9" s="25">
        <v>13.94</v>
      </c>
      <c r="W9" s="25">
        <v>42.027999999999999</v>
      </c>
      <c r="X9" s="34">
        <v>18600.392</v>
      </c>
      <c r="Y9" s="30">
        <v>45639</v>
      </c>
      <c r="Z9" s="85">
        <v>2024</v>
      </c>
      <c r="AA9" s="28">
        <v>12</v>
      </c>
      <c r="AB9" s="84">
        <v>651.01372000000003</v>
      </c>
      <c r="AC9" s="84">
        <v>585.87031999999999</v>
      </c>
      <c r="AD9" s="84">
        <v>120.75</v>
      </c>
      <c r="AE9" s="34">
        <v>6510.1372000000001</v>
      </c>
      <c r="AF9" s="28" t="s">
        <v>65</v>
      </c>
      <c r="AG9" s="28" t="s">
        <v>66</v>
      </c>
      <c r="AH9" s="21">
        <v>15.7</v>
      </c>
      <c r="AI9" s="21">
        <v>14.2</v>
      </c>
      <c r="AJ9" s="21">
        <v>84.7</v>
      </c>
      <c r="AK9" s="21">
        <v>13.6</v>
      </c>
      <c r="AL9" s="21">
        <v>66.7</v>
      </c>
    </row>
    <row r="10" spans="2:42" x14ac:dyDescent="0.2">
      <c r="B10" s="34">
        <f>CHOOSE(B$1,Tabla2[[#This Row],[Edad]]*12/365,Tabla2[[#This Row],[Tn/Ha]],Tabla2[[#This Row],[Tn]],Tabla2[[#This Row],[Area_Cosecha]])</f>
        <v>11.342465753424657</v>
      </c>
      <c r="C10" s="87" t="s">
        <v>879</v>
      </c>
      <c r="D10" s="23" t="s">
        <v>319</v>
      </c>
      <c r="E10" s="23" t="s">
        <v>320</v>
      </c>
      <c r="F10" s="23" t="s">
        <v>493</v>
      </c>
      <c r="G10" s="23" t="s">
        <v>22</v>
      </c>
      <c r="H10" s="23" t="s">
        <v>23</v>
      </c>
      <c r="I10" s="23" t="s">
        <v>2</v>
      </c>
      <c r="J10" s="23" t="s">
        <v>3</v>
      </c>
      <c r="K10" s="23" t="s">
        <v>321</v>
      </c>
      <c r="L10" s="23">
        <v>2023</v>
      </c>
      <c r="M10" s="24" t="s">
        <v>315</v>
      </c>
      <c r="N10" s="24">
        <v>45302</v>
      </c>
      <c r="O10" s="24" t="s">
        <v>50</v>
      </c>
      <c r="P10" s="86">
        <v>345</v>
      </c>
      <c r="Q10" s="86">
        <v>20.170000000000002</v>
      </c>
      <c r="R10" s="25">
        <v>20.170000000000002</v>
      </c>
      <c r="S10" s="25">
        <v>115</v>
      </c>
      <c r="T10" s="25">
        <v>10.14</v>
      </c>
      <c r="U10" s="25">
        <v>15.63</v>
      </c>
      <c r="V10" s="25">
        <v>14.08</v>
      </c>
      <c r="W10" s="25">
        <v>2319.5500000000002</v>
      </c>
      <c r="X10" s="34">
        <v>17974.5</v>
      </c>
      <c r="Y10" s="30">
        <v>45647</v>
      </c>
      <c r="Z10" s="85">
        <v>2024</v>
      </c>
      <c r="AA10" s="28">
        <v>12</v>
      </c>
      <c r="AB10" s="84">
        <v>36254.566500000001</v>
      </c>
      <c r="AC10" s="84">
        <v>32659.263999999999</v>
      </c>
      <c r="AD10" s="84">
        <v>6958.65</v>
      </c>
      <c r="AE10" s="34">
        <v>362545.66499999998</v>
      </c>
      <c r="AF10" s="28" t="s">
        <v>65</v>
      </c>
      <c r="AG10" s="28" t="s">
        <v>66</v>
      </c>
      <c r="AH10" s="21">
        <v>14.5</v>
      </c>
      <c r="AI10" s="21">
        <v>13</v>
      </c>
      <c r="AJ10" s="21">
        <v>82.4</v>
      </c>
      <c r="AK10" s="21">
        <v>13.8</v>
      </c>
      <c r="AL10" s="21">
        <v>67.7</v>
      </c>
    </row>
    <row r="11" spans="2:42" x14ac:dyDescent="0.2">
      <c r="B11" s="34">
        <f>CHOOSE(B$1,Tabla2[[#This Row],[Edad]]*12/365,Tabla2[[#This Row],[Tn/Ha]],Tabla2[[#This Row],[Tn]],Tabla2[[#This Row],[Area_Cosecha]])</f>
        <v>11.30958904109589</v>
      </c>
      <c r="C11" s="87" t="s">
        <v>879</v>
      </c>
      <c r="D11" s="23" t="s">
        <v>319</v>
      </c>
      <c r="E11" s="23" t="s">
        <v>320</v>
      </c>
      <c r="F11" s="23" t="s">
        <v>531</v>
      </c>
      <c r="G11" s="23" t="s">
        <v>75</v>
      </c>
      <c r="H11" s="23" t="s">
        <v>52</v>
      </c>
      <c r="I11" s="23" t="s">
        <v>43</v>
      </c>
      <c r="J11" s="23" t="s">
        <v>3</v>
      </c>
      <c r="K11" s="23" t="s">
        <v>321</v>
      </c>
      <c r="L11" s="23">
        <v>2022</v>
      </c>
      <c r="M11" s="24" t="s">
        <v>68</v>
      </c>
      <c r="N11" s="24">
        <v>45286</v>
      </c>
      <c r="O11" s="24" t="s">
        <v>50</v>
      </c>
      <c r="P11" s="86">
        <v>344</v>
      </c>
      <c r="Q11" s="86">
        <v>34.79</v>
      </c>
      <c r="R11" s="25">
        <v>34.79</v>
      </c>
      <c r="S11" s="25">
        <v>105</v>
      </c>
      <c r="T11" s="25">
        <v>9.2799999999999994</v>
      </c>
      <c r="U11" s="25">
        <v>15.27</v>
      </c>
      <c r="V11" s="25">
        <v>13.72</v>
      </c>
      <c r="W11" s="25">
        <v>3652.95</v>
      </c>
      <c r="X11" s="34">
        <v>16033.5</v>
      </c>
      <c r="Y11" s="30">
        <v>45630</v>
      </c>
      <c r="Z11" s="85">
        <v>2024</v>
      </c>
      <c r="AA11" s="28">
        <v>12</v>
      </c>
      <c r="AB11" s="84">
        <v>55780.546499999997</v>
      </c>
      <c r="AC11" s="84">
        <v>50118.474000000002</v>
      </c>
      <c r="AD11" s="84">
        <v>11967.76</v>
      </c>
      <c r="AE11" s="34">
        <v>557805.46499999997</v>
      </c>
      <c r="AF11" s="28" t="s">
        <v>65</v>
      </c>
      <c r="AG11" s="28" t="s">
        <v>66</v>
      </c>
      <c r="AH11" s="21">
        <v>15.8</v>
      </c>
      <c r="AI11" s="21">
        <v>14.3</v>
      </c>
      <c r="AJ11" s="21">
        <v>84.9</v>
      </c>
      <c r="AK11" s="21">
        <v>13.1</v>
      </c>
      <c r="AL11" s="21">
        <v>67.3</v>
      </c>
    </row>
    <row r="12" spans="2:42" x14ac:dyDescent="0.2">
      <c r="B12" s="34">
        <f>CHOOSE(B$1,Tabla2[[#This Row],[Edad]]*12/365,Tabla2[[#This Row],[Tn/Ha]],Tabla2[[#This Row],[Tn]],Tabla2[[#This Row],[Area_Cosecha]])</f>
        <v>10.454794520547946</v>
      </c>
      <c r="C12" s="87" t="s">
        <v>879</v>
      </c>
      <c r="D12" s="23" t="s">
        <v>319</v>
      </c>
      <c r="E12" s="23" t="s">
        <v>320</v>
      </c>
      <c r="F12" s="23" t="s">
        <v>402</v>
      </c>
      <c r="G12" s="23" t="s">
        <v>0</v>
      </c>
      <c r="H12" s="23" t="s">
        <v>1</v>
      </c>
      <c r="I12" s="23" t="s">
        <v>12</v>
      </c>
      <c r="J12" s="23" t="s">
        <v>5</v>
      </c>
      <c r="K12" s="23" t="s">
        <v>321</v>
      </c>
      <c r="L12" s="23">
        <v>2024</v>
      </c>
      <c r="M12" s="24" t="s">
        <v>289</v>
      </c>
      <c r="N12" s="24">
        <v>45328</v>
      </c>
      <c r="O12" s="24" t="s">
        <v>403</v>
      </c>
      <c r="P12" s="86">
        <v>318</v>
      </c>
      <c r="Q12" s="86">
        <v>41.88</v>
      </c>
      <c r="R12" s="25">
        <v>41.88</v>
      </c>
      <c r="S12" s="25">
        <v>41</v>
      </c>
      <c r="T12" s="25">
        <v>3.92</v>
      </c>
      <c r="U12" s="25">
        <v>15.72</v>
      </c>
      <c r="V12" s="25">
        <v>14.17</v>
      </c>
      <c r="W12" s="25">
        <v>1717.08</v>
      </c>
      <c r="X12" s="34">
        <v>6445.2</v>
      </c>
      <c r="Y12" s="30">
        <v>45646</v>
      </c>
      <c r="Z12" s="85">
        <v>2024</v>
      </c>
      <c r="AA12" s="28">
        <v>12</v>
      </c>
      <c r="AB12" s="84">
        <v>26992.497599999999</v>
      </c>
      <c r="AC12" s="84">
        <v>24331.0236</v>
      </c>
      <c r="AD12" s="84">
        <v>13317.84</v>
      </c>
      <c r="AE12" s="34">
        <v>269924.97600000002</v>
      </c>
      <c r="AF12" s="28" t="s">
        <v>65</v>
      </c>
      <c r="AG12" s="28" t="s">
        <v>66</v>
      </c>
      <c r="AH12" s="21">
        <v>13.8</v>
      </c>
      <c r="AI12" s="21">
        <v>12.4</v>
      </c>
      <c r="AJ12" s="21">
        <v>81.7</v>
      </c>
      <c r="AK12" s="21">
        <v>14.2</v>
      </c>
      <c r="AL12" s="21">
        <v>68.099999999999994</v>
      </c>
    </row>
    <row r="13" spans="2:42" x14ac:dyDescent="0.2">
      <c r="B13" s="34">
        <f>CHOOSE(B$1,Tabla2[[#This Row],[Edad]]*12/365,Tabla2[[#This Row],[Tn/Ha]],Tabla2[[#This Row],[Tn]],Tabla2[[#This Row],[Area_Cosecha]])</f>
        <v>12.164383561643836</v>
      </c>
      <c r="C13" s="87" t="s">
        <v>879</v>
      </c>
      <c r="D13" s="23" t="s">
        <v>319</v>
      </c>
      <c r="E13" s="23" t="s">
        <v>320</v>
      </c>
      <c r="F13" s="23" t="s">
        <v>480</v>
      </c>
      <c r="G13" s="23" t="s">
        <v>0</v>
      </c>
      <c r="H13" s="23" t="s">
        <v>1</v>
      </c>
      <c r="I13" s="23" t="s">
        <v>10</v>
      </c>
      <c r="J13" s="23" t="s">
        <v>4</v>
      </c>
      <c r="K13" s="23" t="s">
        <v>321</v>
      </c>
      <c r="L13" s="23">
        <v>2023</v>
      </c>
      <c r="M13" s="24" t="s">
        <v>60</v>
      </c>
      <c r="N13" s="24">
        <v>45272</v>
      </c>
      <c r="O13" s="24" t="s">
        <v>50</v>
      </c>
      <c r="P13" s="86">
        <v>370</v>
      </c>
      <c r="Q13" s="86">
        <v>40.950000000000003</v>
      </c>
      <c r="R13" s="25">
        <v>40.950000000000003</v>
      </c>
      <c r="S13" s="25">
        <v>117</v>
      </c>
      <c r="T13" s="25">
        <v>9.6199999999999992</v>
      </c>
      <c r="U13" s="25">
        <v>15.37</v>
      </c>
      <c r="V13" s="25">
        <v>13.82</v>
      </c>
      <c r="W13" s="25">
        <v>4791.1499999999996</v>
      </c>
      <c r="X13" s="34">
        <v>17982.900000000001</v>
      </c>
      <c r="Y13" s="30">
        <v>45642</v>
      </c>
      <c r="Z13" s="85">
        <v>2024</v>
      </c>
      <c r="AA13" s="28">
        <v>12</v>
      </c>
      <c r="AB13" s="84">
        <v>73639.9755</v>
      </c>
      <c r="AC13" s="84">
        <v>66213.692999999999</v>
      </c>
      <c r="AD13" s="84">
        <v>15151.5</v>
      </c>
      <c r="AE13" s="34">
        <v>736399.755</v>
      </c>
      <c r="AF13" s="28" t="s">
        <v>65</v>
      </c>
      <c r="AG13" s="28" t="s">
        <v>66</v>
      </c>
      <c r="AH13" s="21">
        <v>15.2</v>
      </c>
      <c r="AI13" s="21">
        <v>13.7</v>
      </c>
      <c r="AJ13" s="21">
        <v>84.4</v>
      </c>
      <c r="AK13" s="21">
        <v>13.2</v>
      </c>
      <c r="AL13" s="21">
        <v>67.7</v>
      </c>
    </row>
    <row r="14" spans="2:42" x14ac:dyDescent="0.2">
      <c r="B14" s="34">
        <f>CHOOSE(B$1,Tabla2[[#This Row],[Edad]]*12/365,Tabla2[[#This Row],[Tn/Ha]],Tabla2[[#This Row],[Tn]],Tabla2[[#This Row],[Area_Cosecha]])</f>
        <v>11.375342465753425</v>
      </c>
      <c r="C14" s="87" t="s">
        <v>879</v>
      </c>
      <c r="D14" s="23" t="s">
        <v>319</v>
      </c>
      <c r="E14" s="23" t="s">
        <v>320</v>
      </c>
      <c r="F14" s="23" t="s">
        <v>543</v>
      </c>
      <c r="G14" s="23" t="s">
        <v>22</v>
      </c>
      <c r="H14" s="23" t="s">
        <v>24</v>
      </c>
      <c r="I14" s="23" t="s">
        <v>12</v>
      </c>
      <c r="J14" s="23" t="s">
        <v>4</v>
      </c>
      <c r="K14" s="23" t="s">
        <v>344</v>
      </c>
      <c r="L14" s="23">
        <v>2023</v>
      </c>
      <c r="M14" s="24" t="s">
        <v>304</v>
      </c>
      <c r="N14" s="24">
        <v>45290</v>
      </c>
      <c r="O14" s="24" t="s">
        <v>50</v>
      </c>
      <c r="P14" s="86">
        <v>346</v>
      </c>
      <c r="Q14" s="86">
        <v>17.190000000000001</v>
      </c>
      <c r="R14" s="25">
        <v>16.14</v>
      </c>
      <c r="S14" s="25">
        <v>124.81</v>
      </c>
      <c r="T14" s="25">
        <v>10.97</v>
      </c>
      <c r="U14" s="25">
        <v>15.49</v>
      </c>
      <c r="V14" s="25">
        <v>13.94</v>
      </c>
      <c r="W14" s="25">
        <v>2014.4333999999999</v>
      </c>
      <c r="X14" s="34">
        <v>19333.069</v>
      </c>
      <c r="Y14" s="30">
        <v>45636</v>
      </c>
      <c r="Z14" s="85">
        <v>2024</v>
      </c>
      <c r="AA14" s="28">
        <v>12</v>
      </c>
      <c r="AB14" s="84">
        <v>31203.573366000001</v>
      </c>
      <c r="AC14" s="84">
        <v>28081.201595999999</v>
      </c>
      <c r="AD14" s="84">
        <v>5584.44</v>
      </c>
      <c r="AE14" s="34">
        <v>312035.73366000003</v>
      </c>
      <c r="AF14" s="28" t="s">
        <v>65</v>
      </c>
      <c r="AG14" s="28" t="s">
        <v>66</v>
      </c>
      <c r="AH14" s="21">
        <v>15.5</v>
      </c>
      <c r="AI14" s="21">
        <v>14</v>
      </c>
      <c r="AJ14" s="21">
        <v>84.2</v>
      </c>
      <c r="AK14" s="21">
        <v>13.3</v>
      </c>
      <c r="AL14" s="21">
        <v>67.3</v>
      </c>
    </row>
    <row r="15" spans="2:42" x14ac:dyDescent="0.2">
      <c r="B15" s="34">
        <f>CHOOSE(B$1,Tabla2[[#This Row],[Edad]]*12/365,Tabla2[[#This Row],[Tn/Ha]],Tabla2[[#This Row],[Tn]],Tabla2[[#This Row],[Area_Cosecha]])</f>
        <v>11.375342465753425</v>
      </c>
      <c r="C15" s="87" t="s">
        <v>879</v>
      </c>
      <c r="D15" s="23" t="s">
        <v>318</v>
      </c>
      <c r="E15" s="23" t="s">
        <v>316</v>
      </c>
      <c r="F15" s="23" t="s">
        <v>543</v>
      </c>
      <c r="G15" s="23" t="s">
        <v>22</v>
      </c>
      <c r="H15" s="23" t="s">
        <v>24</v>
      </c>
      <c r="I15" s="23" t="s">
        <v>12</v>
      </c>
      <c r="J15" s="23" t="s">
        <v>4</v>
      </c>
      <c r="K15" s="23">
        <v>13</v>
      </c>
      <c r="L15" s="23">
        <v>2023</v>
      </c>
      <c r="M15" s="24" t="s">
        <v>304</v>
      </c>
      <c r="N15" s="24">
        <v>45290</v>
      </c>
      <c r="O15" s="24" t="s">
        <v>50</v>
      </c>
      <c r="P15" s="86">
        <v>346</v>
      </c>
      <c r="Q15" s="86">
        <v>17.190000000000001</v>
      </c>
      <c r="R15" s="25">
        <v>0.1</v>
      </c>
      <c r="S15" s="25">
        <v>124.81</v>
      </c>
      <c r="T15" s="25">
        <v>10.97</v>
      </c>
      <c r="U15" s="25">
        <v>15.49</v>
      </c>
      <c r="V15" s="25">
        <v>13.94</v>
      </c>
      <c r="W15" s="25">
        <v>12.481</v>
      </c>
      <c r="X15" s="34">
        <v>19333.069</v>
      </c>
      <c r="Y15" s="30">
        <v>45636</v>
      </c>
      <c r="Z15" s="85">
        <v>2024</v>
      </c>
      <c r="AA15" s="28">
        <v>12</v>
      </c>
      <c r="AB15" s="84">
        <v>193.33069</v>
      </c>
      <c r="AC15" s="84">
        <v>173.98514</v>
      </c>
      <c r="AD15" s="84">
        <v>34.6</v>
      </c>
      <c r="AE15" s="34">
        <v>1933.3069</v>
      </c>
      <c r="AF15" s="28" t="s">
        <v>65</v>
      </c>
      <c r="AG15" s="28" t="s">
        <v>66</v>
      </c>
      <c r="AH15" s="21">
        <v>15.5</v>
      </c>
      <c r="AI15" s="21">
        <v>14</v>
      </c>
      <c r="AJ15" s="21">
        <v>84.2</v>
      </c>
      <c r="AK15" s="21">
        <v>13.3</v>
      </c>
      <c r="AL15" s="21">
        <v>67.3</v>
      </c>
    </row>
    <row r="16" spans="2:42" x14ac:dyDescent="0.2">
      <c r="B16" s="34">
        <f>CHOOSE(B$1,Tabla2[[#This Row],[Edad]]*12/365,Tabla2[[#This Row],[Tn/Ha]],Tabla2[[#This Row],[Tn]],Tabla2[[#This Row],[Area_Cosecha]])</f>
        <v>10.717808219178082</v>
      </c>
      <c r="C16" s="87" t="s">
        <v>879</v>
      </c>
      <c r="D16" s="23" t="s">
        <v>318</v>
      </c>
      <c r="E16" s="23" t="s">
        <v>317</v>
      </c>
      <c r="F16" s="23" t="s">
        <v>448</v>
      </c>
      <c r="G16" s="23" t="s">
        <v>22</v>
      </c>
      <c r="H16" s="23" t="s">
        <v>24</v>
      </c>
      <c r="I16" s="23" t="s">
        <v>15</v>
      </c>
      <c r="J16" s="23" t="s">
        <v>8</v>
      </c>
      <c r="K16" s="23">
        <v>36</v>
      </c>
      <c r="L16" s="23">
        <v>2023</v>
      </c>
      <c r="M16" s="24" t="s">
        <v>289</v>
      </c>
      <c r="N16" s="24">
        <v>45325</v>
      </c>
      <c r="O16" s="24" t="s">
        <v>50</v>
      </c>
      <c r="P16" s="86">
        <v>326</v>
      </c>
      <c r="Q16" s="86">
        <v>17.38</v>
      </c>
      <c r="R16" s="25">
        <v>0.4</v>
      </c>
      <c r="S16" s="25">
        <v>121</v>
      </c>
      <c r="T16" s="25">
        <v>11.29</v>
      </c>
      <c r="U16" s="25">
        <v>15.39</v>
      </c>
      <c r="V16" s="25">
        <v>13.84</v>
      </c>
      <c r="W16" s="25">
        <v>48.4</v>
      </c>
      <c r="X16" s="34">
        <v>18621.900000000001</v>
      </c>
      <c r="Y16" s="30">
        <v>45651</v>
      </c>
      <c r="Z16" s="85">
        <v>2024</v>
      </c>
      <c r="AA16" s="28">
        <v>12</v>
      </c>
      <c r="AB16" s="84">
        <v>744.87599999999998</v>
      </c>
      <c r="AC16" s="84">
        <v>669.85599999999999</v>
      </c>
      <c r="AD16" s="84">
        <v>130.4</v>
      </c>
      <c r="AE16" s="34">
        <v>7448.76</v>
      </c>
      <c r="AF16" s="28" t="s">
        <v>65</v>
      </c>
      <c r="AG16" s="28" t="s">
        <v>66</v>
      </c>
      <c r="AH16" s="21">
        <v>14</v>
      </c>
      <c r="AI16" s="21">
        <v>12.5</v>
      </c>
      <c r="AJ16" s="21">
        <v>80.400000000000006</v>
      </c>
      <c r="AK16" s="21">
        <v>13.4</v>
      </c>
      <c r="AL16" s="21">
        <v>68.400000000000006</v>
      </c>
    </row>
    <row r="17" spans="2:40" x14ac:dyDescent="0.2">
      <c r="B17" s="34">
        <f>CHOOSE(B$1,Tabla2[[#This Row],[Edad]]*12/365,Tabla2[[#This Row],[Tn/Ha]],Tabla2[[#This Row],[Tn]],Tabla2[[#This Row],[Area_Cosecha]])</f>
        <v>10.717808219178082</v>
      </c>
      <c r="C17" s="87" t="s">
        <v>879</v>
      </c>
      <c r="D17" s="23" t="s">
        <v>319</v>
      </c>
      <c r="E17" s="23" t="s">
        <v>320</v>
      </c>
      <c r="F17" s="23" t="s">
        <v>448</v>
      </c>
      <c r="G17" s="23" t="s">
        <v>22</v>
      </c>
      <c r="H17" s="23" t="s">
        <v>24</v>
      </c>
      <c r="I17" s="23" t="s">
        <v>15</v>
      </c>
      <c r="J17" s="23" t="s">
        <v>8</v>
      </c>
      <c r="K17" s="23" t="s">
        <v>344</v>
      </c>
      <c r="L17" s="23">
        <v>2023</v>
      </c>
      <c r="M17" s="24" t="s">
        <v>289</v>
      </c>
      <c r="N17" s="24">
        <v>45325</v>
      </c>
      <c r="O17" s="24" t="s">
        <v>50</v>
      </c>
      <c r="P17" s="86">
        <v>326</v>
      </c>
      <c r="Q17" s="86">
        <v>17.38</v>
      </c>
      <c r="R17" s="25">
        <v>16.98</v>
      </c>
      <c r="S17" s="25">
        <v>121</v>
      </c>
      <c r="T17" s="25">
        <v>11.29</v>
      </c>
      <c r="U17" s="25">
        <v>15.39</v>
      </c>
      <c r="V17" s="25">
        <v>13.84</v>
      </c>
      <c r="W17" s="25">
        <v>2054.58</v>
      </c>
      <c r="X17" s="34">
        <v>18621.900000000001</v>
      </c>
      <c r="Y17" s="30">
        <v>45651</v>
      </c>
      <c r="Z17" s="85">
        <v>2024</v>
      </c>
      <c r="AA17" s="28">
        <v>12</v>
      </c>
      <c r="AB17" s="84">
        <v>31619.986199999999</v>
      </c>
      <c r="AC17" s="84">
        <v>28435.387200000001</v>
      </c>
      <c r="AD17" s="84">
        <v>5535.48</v>
      </c>
      <c r="AE17" s="34">
        <v>316199.86200000002</v>
      </c>
      <c r="AF17" s="28" t="s">
        <v>65</v>
      </c>
      <c r="AG17" s="28" t="s">
        <v>66</v>
      </c>
      <c r="AH17" s="21">
        <v>14</v>
      </c>
      <c r="AI17" s="21">
        <v>12.5</v>
      </c>
      <c r="AJ17" s="21">
        <v>80.400000000000006</v>
      </c>
      <c r="AK17" s="21">
        <v>13.4</v>
      </c>
      <c r="AL17" s="21">
        <v>68.400000000000006</v>
      </c>
    </row>
    <row r="18" spans="2:40" x14ac:dyDescent="0.2">
      <c r="B18" s="34">
        <f>CHOOSE(B$1,Tabla2[[#This Row],[Edad]]*12/365,Tabla2[[#This Row],[Tn/Ha]],Tabla2[[#This Row],[Tn]],Tabla2[[#This Row],[Area_Cosecha]])</f>
        <v>10.61917808219178</v>
      </c>
      <c r="C18" s="87" t="s">
        <v>879</v>
      </c>
      <c r="D18" s="23" t="s">
        <v>319</v>
      </c>
      <c r="E18" s="23" t="s">
        <v>320</v>
      </c>
      <c r="F18" s="23" t="s">
        <v>398</v>
      </c>
      <c r="G18" s="23" t="s">
        <v>22</v>
      </c>
      <c r="H18" s="23" t="s">
        <v>23</v>
      </c>
      <c r="I18" s="23" t="s">
        <v>2</v>
      </c>
      <c r="J18" s="23" t="s">
        <v>6</v>
      </c>
      <c r="K18" s="23" t="s">
        <v>321</v>
      </c>
      <c r="L18" s="23">
        <v>2024</v>
      </c>
      <c r="M18" s="24" t="s">
        <v>80</v>
      </c>
      <c r="N18" s="24">
        <v>45329</v>
      </c>
      <c r="O18" s="24" t="s">
        <v>79</v>
      </c>
      <c r="P18" s="86">
        <v>323</v>
      </c>
      <c r="Q18" s="86">
        <v>18.45</v>
      </c>
      <c r="R18" s="25">
        <v>18.45</v>
      </c>
      <c r="S18" s="25">
        <v>115</v>
      </c>
      <c r="T18" s="25">
        <v>10.83</v>
      </c>
      <c r="U18" s="25">
        <v>15.63</v>
      </c>
      <c r="V18" s="25">
        <v>14.08</v>
      </c>
      <c r="W18" s="25">
        <v>2121.75</v>
      </c>
      <c r="X18" s="34">
        <v>17974.5</v>
      </c>
      <c r="Y18" s="30">
        <v>45652</v>
      </c>
      <c r="Z18" s="85">
        <v>2024</v>
      </c>
      <c r="AA18" s="28">
        <v>12</v>
      </c>
      <c r="AB18" s="84">
        <v>33162.952499999999</v>
      </c>
      <c r="AC18" s="84">
        <v>29874.240000000002</v>
      </c>
      <c r="AD18" s="84">
        <v>5959.35</v>
      </c>
      <c r="AE18" s="34">
        <v>331629.52500000002</v>
      </c>
      <c r="AF18" s="28" t="s">
        <v>65</v>
      </c>
      <c r="AG18" s="28" t="s">
        <v>66</v>
      </c>
      <c r="AH18" s="21">
        <v>14</v>
      </c>
      <c r="AI18" s="21">
        <v>12.6</v>
      </c>
      <c r="AJ18" s="21">
        <v>81.7</v>
      </c>
      <c r="AK18" s="21">
        <v>14.2</v>
      </c>
      <c r="AL18" s="21">
        <v>67.599999999999994</v>
      </c>
    </row>
    <row r="19" spans="2:40" x14ac:dyDescent="0.2">
      <c r="B19" s="34">
        <f>CHOOSE(B$1,Tabla2[[#This Row],[Edad]]*12/365,Tabla2[[#This Row],[Tn/Ha]],Tabla2[[#This Row],[Tn]],Tabla2[[#This Row],[Area_Cosecha]])</f>
        <v>13.413698630136986</v>
      </c>
      <c r="C19" s="87" t="s">
        <v>879</v>
      </c>
      <c r="D19" s="23" t="s">
        <v>319</v>
      </c>
      <c r="E19" s="23" t="s">
        <v>320</v>
      </c>
      <c r="F19" s="23" t="s">
        <v>512</v>
      </c>
      <c r="G19" s="23" t="s">
        <v>19</v>
      </c>
      <c r="H19" s="23" t="s">
        <v>20</v>
      </c>
      <c r="I19" s="23" t="s">
        <v>10</v>
      </c>
      <c r="J19" s="23" t="s">
        <v>3</v>
      </c>
      <c r="K19" s="23" t="s">
        <v>321</v>
      </c>
      <c r="L19" s="23">
        <v>2021</v>
      </c>
      <c r="M19" s="24" t="s">
        <v>60</v>
      </c>
      <c r="N19" s="24">
        <v>45242</v>
      </c>
      <c r="O19" s="24" t="s">
        <v>50</v>
      </c>
      <c r="P19" s="86">
        <v>408</v>
      </c>
      <c r="Q19" s="86">
        <v>26.05</v>
      </c>
      <c r="R19" s="25">
        <v>26.05</v>
      </c>
      <c r="S19" s="25">
        <v>75</v>
      </c>
      <c r="T19" s="25">
        <v>5.59</v>
      </c>
      <c r="U19" s="25">
        <v>15.02</v>
      </c>
      <c r="V19" s="25">
        <v>13.47</v>
      </c>
      <c r="W19" s="25">
        <v>1953.75</v>
      </c>
      <c r="X19" s="34">
        <v>11265</v>
      </c>
      <c r="Y19" s="30">
        <v>45650</v>
      </c>
      <c r="Z19" s="85">
        <v>2024</v>
      </c>
      <c r="AA19" s="28">
        <v>12</v>
      </c>
      <c r="AB19" s="84">
        <v>29345.325000000001</v>
      </c>
      <c r="AC19" s="84">
        <v>26317.012500000001</v>
      </c>
      <c r="AD19" s="84">
        <v>10628.4</v>
      </c>
      <c r="AE19" s="34">
        <v>293453.25</v>
      </c>
      <c r="AF19" s="28" t="s">
        <v>65</v>
      </c>
      <c r="AG19" s="28" t="s">
        <v>66</v>
      </c>
      <c r="AH19" s="21">
        <v>14.6</v>
      </c>
      <c r="AI19" s="21">
        <v>13.1</v>
      </c>
      <c r="AJ19" s="21">
        <v>83.6</v>
      </c>
      <c r="AK19" s="21">
        <v>12.8</v>
      </c>
      <c r="AL19" s="21">
        <v>69</v>
      </c>
      <c r="AN19" s="21" t="s">
        <v>305</v>
      </c>
    </row>
    <row r="20" spans="2:40" x14ac:dyDescent="0.2">
      <c r="B20" s="34">
        <f>CHOOSE(B$1,Tabla2[[#This Row],[Edad]]*12/365,Tabla2[[#This Row],[Tn/Ha]],Tabla2[[#This Row],[Tn]],Tabla2[[#This Row],[Area_Cosecha]])</f>
        <v>11.210958904109589</v>
      </c>
      <c r="C20" s="87" t="s">
        <v>879</v>
      </c>
      <c r="D20" s="23" t="s">
        <v>319</v>
      </c>
      <c r="E20" s="23" t="s">
        <v>320</v>
      </c>
      <c r="F20" s="23" t="s">
        <v>596</v>
      </c>
      <c r="G20" s="23" t="s">
        <v>75</v>
      </c>
      <c r="H20" s="23" t="s">
        <v>52</v>
      </c>
      <c r="I20" s="23" t="s">
        <v>27</v>
      </c>
      <c r="J20" s="23" t="s">
        <v>4</v>
      </c>
      <c r="K20" s="23" t="s">
        <v>321</v>
      </c>
      <c r="L20" s="23">
        <v>2023</v>
      </c>
      <c r="M20" s="24" t="s">
        <v>60</v>
      </c>
      <c r="N20" s="24">
        <v>45293</v>
      </c>
      <c r="O20" s="24" t="s">
        <v>50</v>
      </c>
      <c r="P20" s="86">
        <v>341</v>
      </c>
      <c r="Q20" s="86">
        <v>34.64</v>
      </c>
      <c r="R20" s="25">
        <v>34.64</v>
      </c>
      <c r="S20" s="25">
        <v>148</v>
      </c>
      <c r="T20" s="25">
        <v>13.2</v>
      </c>
      <c r="U20" s="25">
        <v>15.2</v>
      </c>
      <c r="V20" s="25">
        <v>13.65</v>
      </c>
      <c r="W20" s="25">
        <v>5126.72</v>
      </c>
      <c r="X20" s="34">
        <v>22496</v>
      </c>
      <c r="Y20" s="30">
        <v>45634</v>
      </c>
      <c r="Z20" s="85">
        <v>2024</v>
      </c>
      <c r="AA20" s="28">
        <v>12</v>
      </c>
      <c r="AB20" s="84">
        <v>77926.144</v>
      </c>
      <c r="AC20" s="84">
        <v>69979.728000000003</v>
      </c>
      <c r="AD20" s="84">
        <v>11812.24</v>
      </c>
      <c r="AE20" s="34">
        <v>779261.43999999994</v>
      </c>
      <c r="AF20" s="28" t="s">
        <v>65</v>
      </c>
      <c r="AG20" s="28" t="s">
        <v>66</v>
      </c>
      <c r="AH20" s="21">
        <v>14.7</v>
      </c>
      <c r="AI20" s="21">
        <v>13.2</v>
      </c>
      <c r="AJ20" s="21">
        <v>83.9</v>
      </c>
      <c r="AK20" s="21">
        <v>13</v>
      </c>
      <c r="AL20" s="21">
        <v>68.7</v>
      </c>
    </row>
    <row r="21" spans="2:40" x14ac:dyDescent="0.2">
      <c r="B21" s="34">
        <f>CHOOSE(B$1,Tabla2[[#This Row],[Edad]]*12/365,Tabla2[[#This Row],[Tn/Ha]],Tabla2[[#This Row],[Tn]],Tabla2[[#This Row],[Area_Cosecha]])</f>
        <v>10.849315068493151</v>
      </c>
      <c r="C21" s="87" t="s">
        <v>879</v>
      </c>
      <c r="D21" s="23" t="s">
        <v>319</v>
      </c>
      <c r="E21" s="23" t="s">
        <v>320</v>
      </c>
      <c r="F21" s="23" t="s">
        <v>416</v>
      </c>
      <c r="G21" s="23" t="s">
        <v>22</v>
      </c>
      <c r="H21" s="23" t="s">
        <v>23</v>
      </c>
      <c r="I21" s="23" t="s">
        <v>9</v>
      </c>
      <c r="J21" s="23" t="s">
        <v>3</v>
      </c>
      <c r="K21" s="23" t="s">
        <v>321</v>
      </c>
      <c r="L21" s="23">
        <v>2024</v>
      </c>
      <c r="M21" s="24" t="s">
        <v>843</v>
      </c>
      <c r="N21" s="24">
        <v>45319</v>
      </c>
      <c r="O21" s="24" t="s">
        <v>50</v>
      </c>
      <c r="P21" s="86">
        <v>330</v>
      </c>
      <c r="Q21" s="86">
        <v>19.100000000000001</v>
      </c>
      <c r="R21" s="25">
        <v>19.100000000000001</v>
      </c>
      <c r="S21" s="25">
        <v>135</v>
      </c>
      <c r="T21" s="25">
        <v>12.44</v>
      </c>
      <c r="U21" s="25">
        <v>15.49</v>
      </c>
      <c r="V21" s="25">
        <v>13.94</v>
      </c>
      <c r="W21" s="25">
        <v>2578.5</v>
      </c>
      <c r="X21" s="34">
        <v>20911.5</v>
      </c>
      <c r="Y21" s="30">
        <v>45649</v>
      </c>
      <c r="Z21" s="85">
        <v>2024</v>
      </c>
      <c r="AA21" s="28">
        <v>12</v>
      </c>
      <c r="AB21" s="84">
        <v>39940.964999999997</v>
      </c>
      <c r="AC21" s="84">
        <v>35944.29</v>
      </c>
      <c r="AD21" s="84">
        <v>6303</v>
      </c>
      <c r="AE21" s="34">
        <v>399409.65</v>
      </c>
      <c r="AF21" s="28" t="s">
        <v>65</v>
      </c>
      <c r="AG21" s="28" t="s">
        <v>66</v>
      </c>
      <c r="AH21" s="21">
        <v>14.5</v>
      </c>
      <c r="AI21" s="21">
        <v>12.9</v>
      </c>
      <c r="AJ21" s="21">
        <v>81</v>
      </c>
      <c r="AK21" s="21">
        <v>13.4</v>
      </c>
      <c r="AL21" s="21">
        <v>68.3</v>
      </c>
    </row>
    <row r="22" spans="2:40" x14ac:dyDescent="0.2">
      <c r="B22" s="34">
        <f>CHOOSE(B$1,Tabla2[[#This Row],[Edad]]*12/365,Tabla2[[#This Row],[Tn/Ha]],Tabla2[[#This Row],[Tn]],Tabla2[[#This Row],[Area_Cosecha]])</f>
        <v>10.75068493150685</v>
      </c>
      <c r="C22" s="87" t="s">
        <v>879</v>
      </c>
      <c r="D22" s="23" t="s">
        <v>319</v>
      </c>
      <c r="E22" s="23" t="s">
        <v>320</v>
      </c>
      <c r="F22" s="23" t="s">
        <v>447</v>
      </c>
      <c r="G22" s="23" t="s">
        <v>22</v>
      </c>
      <c r="H22" s="23" t="s">
        <v>24</v>
      </c>
      <c r="I22" s="23" t="s">
        <v>15</v>
      </c>
      <c r="J22" s="23" t="s">
        <v>7</v>
      </c>
      <c r="K22" s="23" t="s">
        <v>321</v>
      </c>
      <c r="L22" s="23">
        <v>2023</v>
      </c>
      <c r="M22" s="24" t="s">
        <v>289</v>
      </c>
      <c r="N22" s="24">
        <v>45323</v>
      </c>
      <c r="O22" s="24" t="s">
        <v>50</v>
      </c>
      <c r="P22" s="86">
        <v>327</v>
      </c>
      <c r="Q22" s="86">
        <v>18.899999999999999</v>
      </c>
      <c r="R22" s="25">
        <v>18.899999999999999</v>
      </c>
      <c r="S22" s="25">
        <v>118</v>
      </c>
      <c r="T22" s="25">
        <v>10.98</v>
      </c>
      <c r="U22" s="25">
        <v>15.39</v>
      </c>
      <c r="V22" s="25">
        <v>13.84</v>
      </c>
      <c r="W22" s="25">
        <v>2230.1999999999998</v>
      </c>
      <c r="X22" s="34">
        <v>18160.2</v>
      </c>
      <c r="Y22" s="30">
        <v>45650</v>
      </c>
      <c r="Z22" s="85">
        <v>2024</v>
      </c>
      <c r="AA22" s="28">
        <v>12</v>
      </c>
      <c r="AB22" s="84">
        <v>34322.777999999998</v>
      </c>
      <c r="AC22" s="84">
        <v>30865.968000000001</v>
      </c>
      <c r="AD22" s="84">
        <v>6180.3</v>
      </c>
      <c r="AE22" s="34">
        <v>343227.78</v>
      </c>
      <c r="AF22" s="28" t="s">
        <v>65</v>
      </c>
      <c r="AG22" s="28" t="s">
        <v>66</v>
      </c>
      <c r="AH22" s="21">
        <v>13.9</v>
      </c>
      <c r="AI22" s="21">
        <v>12.3</v>
      </c>
      <c r="AJ22" s="21">
        <v>80.900000000000006</v>
      </c>
      <c r="AK22" s="21">
        <v>13.3</v>
      </c>
      <c r="AL22" s="21">
        <v>69</v>
      </c>
    </row>
    <row r="23" spans="2:40" x14ac:dyDescent="0.2">
      <c r="B23" s="34">
        <f>CHOOSE(B$1,Tabla2[[#This Row],[Edad]]*12/365,Tabla2[[#This Row],[Tn/Ha]],Tabla2[[#This Row],[Tn]],Tabla2[[#This Row],[Area_Cosecha]])</f>
        <v>11.079452054794521</v>
      </c>
      <c r="C23" s="87" t="s">
        <v>879</v>
      </c>
      <c r="D23" s="23" t="s">
        <v>319</v>
      </c>
      <c r="E23" s="23" t="s">
        <v>320</v>
      </c>
      <c r="F23" s="23" t="s">
        <v>603</v>
      </c>
      <c r="G23" s="23" t="s">
        <v>75</v>
      </c>
      <c r="H23" s="23" t="s">
        <v>52</v>
      </c>
      <c r="I23" s="23" t="s">
        <v>28</v>
      </c>
      <c r="J23" s="23" t="s">
        <v>7</v>
      </c>
      <c r="K23" s="23" t="s">
        <v>321</v>
      </c>
      <c r="L23" s="23">
        <v>2024</v>
      </c>
      <c r="M23" s="24" t="s">
        <v>68</v>
      </c>
      <c r="N23" s="24">
        <v>45295</v>
      </c>
      <c r="O23" s="24" t="s">
        <v>50</v>
      </c>
      <c r="P23" s="86">
        <v>337</v>
      </c>
      <c r="Q23" s="86">
        <v>34.51</v>
      </c>
      <c r="R23" s="25">
        <v>34.51</v>
      </c>
      <c r="S23" s="25">
        <v>122</v>
      </c>
      <c r="T23" s="25">
        <v>11.01</v>
      </c>
      <c r="U23" s="25">
        <v>15.38</v>
      </c>
      <c r="V23" s="25">
        <v>13.83</v>
      </c>
      <c r="W23" s="25">
        <v>4210.22</v>
      </c>
      <c r="X23" s="34">
        <v>18763.599999999999</v>
      </c>
      <c r="Y23" s="30">
        <v>45632</v>
      </c>
      <c r="Z23" s="85">
        <v>2024</v>
      </c>
      <c r="AA23" s="28">
        <v>12</v>
      </c>
      <c r="AB23" s="84">
        <v>64753.183599999997</v>
      </c>
      <c r="AC23" s="84">
        <v>58227.342600000004</v>
      </c>
      <c r="AD23" s="84">
        <v>11629.87</v>
      </c>
      <c r="AE23" s="34">
        <v>647531.83600000001</v>
      </c>
      <c r="AF23" s="28" t="s">
        <v>65</v>
      </c>
      <c r="AG23" s="28" t="s">
        <v>66</v>
      </c>
      <c r="AH23" s="21">
        <v>14.9</v>
      </c>
      <c r="AI23" s="21">
        <v>13.4</v>
      </c>
      <c r="AJ23" s="21">
        <v>84.3</v>
      </c>
      <c r="AK23" s="21">
        <v>13.5</v>
      </c>
      <c r="AL23" s="21">
        <v>68</v>
      </c>
    </row>
    <row r="24" spans="2:40" x14ac:dyDescent="0.2">
      <c r="B24" s="34">
        <f>CHOOSE(B$1,Tabla2[[#This Row],[Edad]]*12/365,Tabla2[[#This Row],[Tn/Ha]],Tabla2[[#This Row],[Tn]],Tabla2[[#This Row],[Area_Cosecha]])</f>
        <v>10.454794520547946</v>
      </c>
      <c r="C24" s="87" t="s">
        <v>879</v>
      </c>
      <c r="D24" s="23" t="s">
        <v>319</v>
      </c>
      <c r="E24" s="23" t="s">
        <v>320</v>
      </c>
      <c r="F24" s="23" t="s">
        <v>455</v>
      </c>
      <c r="G24" s="23" t="s">
        <v>22</v>
      </c>
      <c r="H24" s="23" t="s">
        <v>25</v>
      </c>
      <c r="I24" s="23" t="s">
        <v>21</v>
      </c>
      <c r="J24" s="23" t="s">
        <v>3</v>
      </c>
      <c r="K24" s="23" t="s">
        <v>321</v>
      </c>
      <c r="L24" s="23">
        <v>2023</v>
      </c>
      <c r="M24" s="24" t="s">
        <v>315</v>
      </c>
      <c r="N24" s="24">
        <v>45309</v>
      </c>
      <c r="O24" s="24" t="s">
        <v>50</v>
      </c>
      <c r="P24" s="86">
        <v>318</v>
      </c>
      <c r="Q24" s="86">
        <v>19.170000000000002</v>
      </c>
      <c r="R24" s="25">
        <v>3.57</v>
      </c>
      <c r="S24" s="25">
        <v>129.06</v>
      </c>
      <c r="T24" s="25">
        <v>12.34</v>
      </c>
      <c r="U24" s="25">
        <v>15.49</v>
      </c>
      <c r="V24" s="25">
        <v>13.94</v>
      </c>
      <c r="W24" s="25">
        <v>460.74</v>
      </c>
      <c r="X24" s="34">
        <v>19991.394</v>
      </c>
      <c r="Y24" s="30">
        <v>45627</v>
      </c>
      <c r="Z24" s="85">
        <v>2024</v>
      </c>
      <c r="AA24" s="28">
        <v>12</v>
      </c>
      <c r="AB24" s="84">
        <v>7136.8626000000004</v>
      </c>
      <c r="AC24" s="84">
        <v>6422.7156000000004</v>
      </c>
      <c r="AD24" s="84">
        <v>1135.26</v>
      </c>
      <c r="AE24" s="34">
        <v>71369.276580000005</v>
      </c>
      <c r="AF24" s="28" t="s">
        <v>65</v>
      </c>
      <c r="AG24" s="28" t="s">
        <v>66</v>
      </c>
      <c r="AH24" s="21">
        <v>15.1</v>
      </c>
      <c r="AI24" s="21">
        <v>13.6</v>
      </c>
      <c r="AJ24" s="21">
        <v>84.2</v>
      </c>
      <c r="AK24" s="21">
        <v>13.6</v>
      </c>
      <c r="AL24" s="21">
        <v>67.599999999999994</v>
      </c>
    </row>
    <row r="25" spans="2:40" x14ac:dyDescent="0.2">
      <c r="B25" s="34">
        <f>CHOOSE(B$1,Tabla2[[#This Row],[Edad]]*12/365,Tabla2[[#This Row],[Tn/Ha]],Tabla2[[#This Row],[Tn]],Tabla2[[#This Row],[Area_Cosecha]])</f>
        <v>11.079452054794521</v>
      </c>
      <c r="C25" s="87" t="s">
        <v>879</v>
      </c>
      <c r="D25" s="23" t="s">
        <v>319</v>
      </c>
      <c r="E25" s="23" t="s">
        <v>320</v>
      </c>
      <c r="F25" s="23" t="s">
        <v>527</v>
      </c>
      <c r="G25" s="23" t="s">
        <v>22</v>
      </c>
      <c r="H25" s="23" t="s">
        <v>41</v>
      </c>
      <c r="I25" s="23" t="s">
        <v>44</v>
      </c>
      <c r="J25" s="23" t="s">
        <v>37</v>
      </c>
      <c r="K25" s="23" t="s">
        <v>344</v>
      </c>
      <c r="L25" s="23">
        <v>2023</v>
      </c>
      <c r="M25" s="24" t="s">
        <v>61</v>
      </c>
      <c r="N25" s="24">
        <v>45293</v>
      </c>
      <c r="O25" s="24" t="s">
        <v>50</v>
      </c>
      <c r="P25" s="86">
        <v>337</v>
      </c>
      <c r="Q25" s="86">
        <v>15.14</v>
      </c>
      <c r="R25" s="25">
        <v>14.89</v>
      </c>
      <c r="S25" s="25">
        <v>125.98</v>
      </c>
      <c r="T25" s="25">
        <v>11.37</v>
      </c>
      <c r="U25" s="25">
        <v>15.54</v>
      </c>
      <c r="V25" s="25">
        <v>13.99</v>
      </c>
      <c r="W25" s="25">
        <v>1875.8422</v>
      </c>
      <c r="X25" s="34">
        <v>19577.292000000001</v>
      </c>
      <c r="Y25" s="30">
        <v>45630</v>
      </c>
      <c r="Z25" s="85">
        <v>2024</v>
      </c>
      <c r="AA25" s="28">
        <v>12</v>
      </c>
      <c r="AB25" s="84">
        <v>29150.587788000001</v>
      </c>
      <c r="AC25" s="84">
        <v>26243.032378</v>
      </c>
      <c r="AD25" s="84">
        <v>5017.93</v>
      </c>
      <c r="AE25" s="34">
        <v>291505.87787999999</v>
      </c>
      <c r="AF25" s="28" t="s">
        <v>65</v>
      </c>
      <c r="AG25" s="28" t="s">
        <v>66</v>
      </c>
      <c r="AH25" s="21">
        <v>15.9</v>
      </c>
      <c r="AI25" s="21">
        <v>14.4</v>
      </c>
      <c r="AJ25" s="21">
        <v>84.9</v>
      </c>
      <c r="AK25" s="21">
        <v>13.1</v>
      </c>
      <c r="AL25" s="21">
        <v>67.2</v>
      </c>
    </row>
    <row r="26" spans="2:40" x14ac:dyDescent="0.2">
      <c r="B26" s="34">
        <f>CHOOSE(B$1,Tabla2[[#This Row],[Edad]]*12/365,Tabla2[[#This Row],[Tn/Ha]],Tabla2[[#This Row],[Tn]],Tabla2[[#This Row],[Area_Cosecha]])</f>
        <v>11.079452054794521</v>
      </c>
      <c r="C26" s="87" t="s">
        <v>879</v>
      </c>
      <c r="D26" s="23" t="s">
        <v>318</v>
      </c>
      <c r="E26" s="23" t="s">
        <v>317</v>
      </c>
      <c r="F26" s="23" t="s">
        <v>527</v>
      </c>
      <c r="G26" s="23" t="s">
        <v>22</v>
      </c>
      <c r="H26" s="23" t="s">
        <v>41</v>
      </c>
      <c r="I26" s="23" t="s">
        <v>44</v>
      </c>
      <c r="J26" s="23" t="s">
        <v>37</v>
      </c>
      <c r="K26" s="23">
        <v>26</v>
      </c>
      <c r="L26" s="23">
        <v>2023</v>
      </c>
      <c r="M26" s="24" t="s">
        <v>61</v>
      </c>
      <c r="N26" s="24">
        <v>45293</v>
      </c>
      <c r="O26" s="24" t="s">
        <v>50</v>
      </c>
      <c r="P26" s="86">
        <v>337</v>
      </c>
      <c r="Q26" s="86">
        <v>15.14</v>
      </c>
      <c r="R26" s="25">
        <v>0.25</v>
      </c>
      <c r="S26" s="25">
        <v>125.98</v>
      </c>
      <c r="T26" s="25">
        <v>11.37</v>
      </c>
      <c r="U26" s="25">
        <v>15.54</v>
      </c>
      <c r="V26" s="25">
        <v>13.99</v>
      </c>
      <c r="W26" s="25">
        <v>31.495000000000001</v>
      </c>
      <c r="X26" s="34">
        <v>19577.292000000001</v>
      </c>
      <c r="Y26" s="30">
        <v>45630</v>
      </c>
      <c r="Z26" s="85">
        <v>2024</v>
      </c>
      <c r="AA26" s="28">
        <v>12</v>
      </c>
      <c r="AB26" s="84">
        <v>489.4323</v>
      </c>
      <c r="AC26" s="84">
        <v>440.61505</v>
      </c>
      <c r="AD26" s="84">
        <v>84.25</v>
      </c>
      <c r="AE26" s="34">
        <v>4894.3230000000003</v>
      </c>
      <c r="AF26" s="28" t="s">
        <v>65</v>
      </c>
      <c r="AG26" s="28" t="s">
        <v>66</v>
      </c>
      <c r="AH26" s="21">
        <v>15.9</v>
      </c>
      <c r="AI26" s="21">
        <v>14.4</v>
      </c>
      <c r="AJ26" s="21">
        <v>84.9</v>
      </c>
      <c r="AK26" s="21">
        <v>13.1</v>
      </c>
      <c r="AL26" s="21">
        <v>67.2</v>
      </c>
    </row>
    <row r="27" spans="2:40" x14ac:dyDescent="0.2">
      <c r="B27" s="34">
        <f>CHOOSE(B$1,Tabla2[[#This Row],[Edad]]*12/365,Tabla2[[#This Row],[Tn/Ha]],Tabla2[[#This Row],[Tn]],Tabla2[[#This Row],[Area_Cosecha]])</f>
        <v>13.512328767123288</v>
      </c>
      <c r="C27" s="87" t="s">
        <v>879</v>
      </c>
      <c r="D27" s="23" t="s">
        <v>319</v>
      </c>
      <c r="E27" s="23" t="s">
        <v>320</v>
      </c>
      <c r="F27" s="23" t="s">
        <v>264</v>
      </c>
      <c r="G27" s="23" t="s">
        <v>19</v>
      </c>
      <c r="H27" s="23" t="s">
        <v>20</v>
      </c>
      <c r="I27" s="23" t="s">
        <v>21</v>
      </c>
      <c r="J27" s="23" t="s">
        <v>6</v>
      </c>
      <c r="K27" s="23" t="s">
        <v>321</v>
      </c>
      <c r="L27" s="23">
        <v>2023</v>
      </c>
      <c r="M27" s="24" t="s">
        <v>289</v>
      </c>
      <c r="N27" s="24">
        <v>45240</v>
      </c>
      <c r="O27" s="24" t="s">
        <v>50</v>
      </c>
      <c r="P27" s="86">
        <v>411</v>
      </c>
      <c r="Q27" s="86">
        <v>47.32</v>
      </c>
      <c r="R27" s="25">
        <v>47.32</v>
      </c>
      <c r="S27" s="25">
        <v>97.62</v>
      </c>
      <c r="T27" s="25">
        <v>7.22</v>
      </c>
      <c r="U27" s="25">
        <v>15.33</v>
      </c>
      <c r="V27" s="25">
        <v>13.78</v>
      </c>
      <c r="W27" s="25">
        <v>4619.57</v>
      </c>
      <c r="X27" s="34">
        <v>14965.146000000001</v>
      </c>
      <c r="Y27" s="30">
        <v>45651</v>
      </c>
      <c r="Z27" s="85">
        <v>2024</v>
      </c>
      <c r="AA27" s="28">
        <v>12</v>
      </c>
      <c r="AB27" s="84">
        <v>70818.008100000006</v>
      </c>
      <c r="AC27" s="84">
        <v>63657.674599999998</v>
      </c>
      <c r="AD27" s="84">
        <v>19448.52</v>
      </c>
      <c r="AE27" s="34">
        <v>708150.70872</v>
      </c>
      <c r="AF27" s="28" t="s">
        <v>65</v>
      </c>
      <c r="AG27" s="28" t="s">
        <v>66</v>
      </c>
      <c r="AH27" s="21">
        <v>14.5</v>
      </c>
      <c r="AI27" s="21">
        <v>13</v>
      </c>
      <c r="AJ27" s="21">
        <v>84.2</v>
      </c>
      <c r="AK27" s="21">
        <v>12.9</v>
      </c>
      <c r="AL27" s="21">
        <v>69</v>
      </c>
    </row>
    <row r="28" spans="2:40" x14ac:dyDescent="0.2">
      <c r="B28" s="34">
        <f>CHOOSE(B$1,Tabla2[[#This Row],[Edad]]*12/365,Tabla2[[#This Row],[Tn/Ha]],Tabla2[[#This Row],[Tn]],Tabla2[[#This Row],[Area_Cosecha]])</f>
        <v>10.586301369863014</v>
      </c>
      <c r="C28" s="87" t="s">
        <v>879</v>
      </c>
      <c r="D28" s="23" t="s">
        <v>319</v>
      </c>
      <c r="E28" s="23" t="s">
        <v>320</v>
      </c>
      <c r="F28" s="23" t="s">
        <v>233</v>
      </c>
      <c r="G28" s="23" t="s">
        <v>22</v>
      </c>
      <c r="H28" s="23" t="s">
        <v>32</v>
      </c>
      <c r="I28" s="23" t="s">
        <v>36</v>
      </c>
      <c r="J28" s="23" t="s">
        <v>7</v>
      </c>
      <c r="K28" s="23" t="s">
        <v>321</v>
      </c>
      <c r="L28" s="23">
        <v>2023</v>
      </c>
      <c r="M28" s="24" t="s">
        <v>351</v>
      </c>
      <c r="N28" s="24">
        <v>45334</v>
      </c>
      <c r="O28" s="24" t="s">
        <v>50</v>
      </c>
      <c r="P28" s="86">
        <v>322</v>
      </c>
      <c r="Q28" s="86">
        <v>18.82</v>
      </c>
      <c r="R28" s="25">
        <v>18.82</v>
      </c>
      <c r="S28" s="25">
        <v>120</v>
      </c>
      <c r="T28" s="25">
        <v>11.34</v>
      </c>
      <c r="U28" s="25">
        <v>15.68</v>
      </c>
      <c r="V28" s="25">
        <v>14.13</v>
      </c>
      <c r="W28" s="25">
        <v>2258.4</v>
      </c>
      <c r="X28" s="34">
        <v>18816</v>
      </c>
      <c r="Y28" s="30">
        <v>45656</v>
      </c>
      <c r="Z28" s="85">
        <v>2024</v>
      </c>
      <c r="AA28" s="28">
        <v>12</v>
      </c>
      <c r="AB28" s="84">
        <v>35411.712</v>
      </c>
      <c r="AC28" s="84">
        <v>31911.191999999999</v>
      </c>
      <c r="AD28" s="84">
        <v>6060.04</v>
      </c>
      <c r="AE28" s="34">
        <v>354117.12</v>
      </c>
      <c r="AF28" s="28" t="s">
        <v>65</v>
      </c>
      <c r="AG28" s="28" t="s">
        <v>66</v>
      </c>
      <c r="AH28" s="21">
        <v>14.4</v>
      </c>
      <c r="AI28" s="21">
        <v>12.9</v>
      </c>
      <c r="AJ28" s="21">
        <v>82.4</v>
      </c>
      <c r="AK28" s="21">
        <v>13.7</v>
      </c>
      <c r="AL28" s="21">
        <v>68.099999999999994</v>
      </c>
    </row>
    <row r="29" spans="2:40" x14ac:dyDescent="0.2">
      <c r="B29" s="34">
        <f>CHOOSE(B$1,Tabla2[[#This Row],[Edad]]*12/365,Tabla2[[#This Row],[Tn/Ha]],Tabla2[[#This Row],[Tn]],Tabla2[[#This Row],[Area_Cosecha]])</f>
        <v>11.506849315068493</v>
      </c>
      <c r="C29" s="87" t="s">
        <v>879</v>
      </c>
      <c r="D29" s="23" t="s">
        <v>318</v>
      </c>
      <c r="E29" s="23" t="s">
        <v>317</v>
      </c>
      <c r="F29" s="23" t="s">
        <v>536</v>
      </c>
      <c r="G29" s="23" t="s">
        <v>22</v>
      </c>
      <c r="H29" s="23" t="s">
        <v>24</v>
      </c>
      <c r="I29" s="23" t="s">
        <v>12</v>
      </c>
      <c r="J29" s="23" t="s">
        <v>3</v>
      </c>
      <c r="K29" s="23">
        <v>2</v>
      </c>
      <c r="L29" s="23">
        <v>2023</v>
      </c>
      <c r="M29" s="24" t="s">
        <v>315</v>
      </c>
      <c r="N29" s="24">
        <v>45288</v>
      </c>
      <c r="O29" s="24" t="s">
        <v>50</v>
      </c>
      <c r="P29" s="86">
        <v>350</v>
      </c>
      <c r="Q29" s="86">
        <v>16.350000000000001</v>
      </c>
      <c r="R29" s="25">
        <v>0.5</v>
      </c>
      <c r="S29" s="25">
        <v>126.63</v>
      </c>
      <c r="T29" s="25">
        <v>11</v>
      </c>
      <c r="U29" s="25">
        <v>15.49</v>
      </c>
      <c r="V29" s="25">
        <v>13.94</v>
      </c>
      <c r="W29" s="25">
        <v>63.314999999999998</v>
      </c>
      <c r="X29" s="34">
        <v>19614.987000000001</v>
      </c>
      <c r="Y29" s="30">
        <v>45638</v>
      </c>
      <c r="Z29" s="85">
        <v>2024</v>
      </c>
      <c r="AA29" s="28">
        <v>12</v>
      </c>
      <c r="AB29" s="84">
        <v>980.74935000000005</v>
      </c>
      <c r="AC29" s="84">
        <v>882.61109999999996</v>
      </c>
      <c r="AD29" s="84">
        <v>175</v>
      </c>
      <c r="AE29" s="34">
        <v>9807.4935000000005</v>
      </c>
      <c r="AF29" s="28" t="s">
        <v>65</v>
      </c>
      <c r="AG29" s="28" t="s">
        <v>66</v>
      </c>
      <c r="AH29" s="21">
        <v>15.6</v>
      </c>
      <c r="AI29" s="21">
        <v>14.1</v>
      </c>
      <c r="AJ29" s="21">
        <v>84.7</v>
      </c>
      <c r="AK29" s="21">
        <v>13.9</v>
      </c>
      <c r="AL29" s="21">
        <v>66.3</v>
      </c>
    </row>
    <row r="30" spans="2:40" x14ac:dyDescent="0.2">
      <c r="B30" s="34">
        <f>CHOOSE(B$1,Tabla2[[#This Row],[Edad]]*12/365,Tabla2[[#This Row],[Tn/Ha]],Tabla2[[#This Row],[Tn]],Tabla2[[#This Row],[Area_Cosecha]])</f>
        <v>11.506849315068493</v>
      </c>
      <c r="C30" s="87" t="s">
        <v>879</v>
      </c>
      <c r="D30" s="23" t="s">
        <v>319</v>
      </c>
      <c r="E30" s="23" t="s">
        <v>320</v>
      </c>
      <c r="F30" s="23" t="s">
        <v>536</v>
      </c>
      <c r="G30" s="23" t="s">
        <v>22</v>
      </c>
      <c r="H30" s="23" t="s">
        <v>24</v>
      </c>
      <c r="I30" s="23" t="s">
        <v>12</v>
      </c>
      <c r="J30" s="23" t="s">
        <v>3</v>
      </c>
      <c r="K30" s="23" t="s">
        <v>344</v>
      </c>
      <c r="L30" s="23">
        <v>2023</v>
      </c>
      <c r="M30" s="24" t="s">
        <v>315</v>
      </c>
      <c r="N30" s="24">
        <v>45288</v>
      </c>
      <c r="O30" s="24" t="s">
        <v>50</v>
      </c>
      <c r="P30" s="86">
        <v>350</v>
      </c>
      <c r="Q30" s="86">
        <v>16.350000000000001</v>
      </c>
      <c r="R30" s="25">
        <v>15.45</v>
      </c>
      <c r="S30" s="25">
        <v>126.63</v>
      </c>
      <c r="T30" s="25">
        <v>11</v>
      </c>
      <c r="U30" s="25">
        <v>15.49</v>
      </c>
      <c r="V30" s="25">
        <v>13.94</v>
      </c>
      <c r="W30" s="25">
        <v>1956.4335000000001</v>
      </c>
      <c r="X30" s="34">
        <v>19614.987000000001</v>
      </c>
      <c r="Y30" s="30">
        <v>45638</v>
      </c>
      <c r="Z30" s="85">
        <v>2024</v>
      </c>
      <c r="AA30" s="28">
        <v>12</v>
      </c>
      <c r="AB30" s="84">
        <v>30305.154914999999</v>
      </c>
      <c r="AC30" s="84">
        <v>27272.682990000001</v>
      </c>
      <c r="AD30" s="84">
        <v>5407.5</v>
      </c>
      <c r="AE30" s="34">
        <v>303051.54914999998</v>
      </c>
      <c r="AF30" s="28" t="s">
        <v>65</v>
      </c>
      <c r="AG30" s="28" t="s">
        <v>66</v>
      </c>
      <c r="AH30" s="21">
        <v>15.6</v>
      </c>
      <c r="AI30" s="21">
        <v>14.1</v>
      </c>
      <c r="AJ30" s="21">
        <v>84.7</v>
      </c>
      <c r="AK30" s="21">
        <v>13.9</v>
      </c>
      <c r="AL30" s="21">
        <v>66.3</v>
      </c>
    </row>
    <row r="31" spans="2:40" x14ac:dyDescent="0.2">
      <c r="B31" s="34">
        <f>CHOOSE(B$1,Tabla2[[#This Row],[Edad]]*12/365,Tabla2[[#This Row],[Tn/Ha]],Tabla2[[#This Row],[Tn]],Tabla2[[#This Row],[Area_Cosecha]])</f>
        <v>10.520547945205479</v>
      </c>
      <c r="C31" s="87" t="s">
        <v>879</v>
      </c>
      <c r="D31" s="23" t="s">
        <v>319</v>
      </c>
      <c r="E31" s="23" t="s">
        <v>320</v>
      </c>
      <c r="F31" s="23" t="s">
        <v>452</v>
      </c>
      <c r="G31" s="23" t="s">
        <v>22</v>
      </c>
      <c r="H31" s="23" t="s">
        <v>25</v>
      </c>
      <c r="I31" s="23" t="s">
        <v>21</v>
      </c>
      <c r="J31" s="23" t="s">
        <v>4</v>
      </c>
      <c r="K31" s="23" t="s">
        <v>321</v>
      </c>
      <c r="L31" s="23">
        <v>2023</v>
      </c>
      <c r="M31" s="24" t="s">
        <v>315</v>
      </c>
      <c r="N31" s="24">
        <v>45315</v>
      </c>
      <c r="O31" s="24" t="s">
        <v>50</v>
      </c>
      <c r="P31" s="86">
        <v>320</v>
      </c>
      <c r="Q31" s="86">
        <v>18.62</v>
      </c>
      <c r="R31" s="25">
        <v>18.62</v>
      </c>
      <c r="S31" s="25">
        <v>117.52</v>
      </c>
      <c r="T31" s="25">
        <v>11.17</v>
      </c>
      <c r="U31" s="25">
        <v>15.49</v>
      </c>
      <c r="V31" s="25">
        <v>13.94</v>
      </c>
      <c r="W31" s="25">
        <v>2188.2199999999998</v>
      </c>
      <c r="X31" s="34">
        <v>18203.848000000002</v>
      </c>
      <c r="Y31" s="30">
        <v>45635</v>
      </c>
      <c r="Z31" s="85">
        <v>2024</v>
      </c>
      <c r="AA31" s="28">
        <v>12</v>
      </c>
      <c r="AB31" s="84">
        <v>33895.527800000003</v>
      </c>
      <c r="AC31" s="84">
        <v>30503.786800000002</v>
      </c>
      <c r="AD31" s="84">
        <v>5958.4</v>
      </c>
      <c r="AE31" s="34">
        <v>338955.64976</v>
      </c>
      <c r="AF31" s="28" t="s">
        <v>65</v>
      </c>
      <c r="AG31" s="28" t="s">
        <v>66</v>
      </c>
      <c r="AH31" s="21">
        <v>15.5</v>
      </c>
      <c r="AI31" s="21">
        <v>14</v>
      </c>
      <c r="AJ31" s="21">
        <v>85.4</v>
      </c>
      <c r="AK31" s="21">
        <v>14</v>
      </c>
      <c r="AL31" s="21">
        <v>66.7</v>
      </c>
    </row>
    <row r="32" spans="2:40" x14ac:dyDescent="0.2">
      <c r="B32" s="34">
        <f>CHOOSE(B$1,Tabla2[[#This Row],[Edad]]*12/365,Tabla2[[#This Row],[Tn/Ha]],Tabla2[[#This Row],[Tn]],Tabla2[[#This Row],[Area_Cosecha]])</f>
        <v>12.46027397260274</v>
      </c>
      <c r="C32" s="87" t="s">
        <v>879</v>
      </c>
      <c r="D32" s="23" t="s">
        <v>319</v>
      </c>
      <c r="E32" s="23" t="s">
        <v>320</v>
      </c>
      <c r="F32" s="23" t="s">
        <v>490</v>
      </c>
      <c r="G32" s="23" t="s">
        <v>19</v>
      </c>
      <c r="H32" s="23" t="s">
        <v>20</v>
      </c>
      <c r="I32" s="23" t="s">
        <v>26</v>
      </c>
      <c r="J32" s="23" t="s">
        <v>6</v>
      </c>
      <c r="K32" s="23" t="s">
        <v>321</v>
      </c>
      <c r="L32" s="23">
        <v>2022</v>
      </c>
      <c r="M32" s="24" t="s">
        <v>60</v>
      </c>
      <c r="N32" s="24">
        <v>45262</v>
      </c>
      <c r="O32" s="24" t="s">
        <v>50</v>
      </c>
      <c r="P32" s="86">
        <v>379</v>
      </c>
      <c r="Q32" s="86">
        <v>23.88</v>
      </c>
      <c r="R32" s="25">
        <v>23.88</v>
      </c>
      <c r="S32" s="25">
        <v>75</v>
      </c>
      <c r="T32" s="25">
        <v>6.02</v>
      </c>
      <c r="U32" s="25">
        <v>14.82</v>
      </c>
      <c r="V32" s="25">
        <v>13.27</v>
      </c>
      <c r="W32" s="25">
        <v>1791</v>
      </c>
      <c r="X32" s="34">
        <v>11115</v>
      </c>
      <c r="Y32" s="30">
        <v>45641</v>
      </c>
      <c r="Z32" s="85">
        <v>2024</v>
      </c>
      <c r="AA32" s="28">
        <v>12</v>
      </c>
      <c r="AB32" s="84">
        <v>26542.62</v>
      </c>
      <c r="AC32" s="84">
        <v>23766.57</v>
      </c>
      <c r="AD32" s="84">
        <v>9050.52</v>
      </c>
      <c r="AE32" s="34">
        <v>265426.2</v>
      </c>
      <c r="AF32" s="28" t="s">
        <v>65</v>
      </c>
      <c r="AG32" s="28" t="s">
        <v>66</v>
      </c>
      <c r="AH32" s="21">
        <v>14.4</v>
      </c>
      <c r="AI32" s="21">
        <v>12.9</v>
      </c>
      <c r="AJ32" s="21">
        <v>83.4</v>
      </c>
      <c r="AK32" s="21">
        <v>13.1</v>
      </c>
      <c r="AL32" s="21">
        <v>68.900000000000006</v>
      </c>
      <c r="AN32" s="21" t="s">
        <v>332</v>
      </c>
    </row>
    <row r="33" spans="2:38" x14ac:dyDescent="0.2">
      <c r="B33" s="34">
        <f>CHOOSE(B$1,Tabla2[[#This Row],[Edad]]*12/365,Tabla2[[#This Row],[Tn/Ha]],Tabla2[[#This Row],[Tn]],Tabla2[[#This Row],[Area_Cosecha]])</f>
        <v>11.079452054794521</v>
      </c>
      <c r="C33" s="87" t="s">
        <v>879</v>
      </c>
      <c r="D33" s="23" t="s">
        <v>319</v>
      </c>
      <c r="E33" s="23" t="s">
        <v>320</v>
      </c>
      <c r="F33" s="23" t="s">
        <v>529</v>
      </c>
      <c r="G33" s="23" t="s">
        <v>17</v>
      </c>
      <c r="H33" s="23" t="s">
        <v>18</v>
      </c>
      <c r="I33" s="23" t="s">
        <v>9</v>
      </c>
      <c r="J33" s="23" t="s">
        <v>5</v>
      </c>
      <c r="K33" s="23" t="s">
        <v>321</v>
      </c>
      <c r="L33" s="23">
        <v>2023</v>
      </c>
      <c r="M33" s="24" t="s">
        <v>61</v>
      </c>
      <c r="N33" s="24">
        <v>45290</v>
      </c>
      <c r="O33" s="24" t="s">
        <v>50</v>
      </c>
      <c r="P33" s="86">
        <v>337</v>
      </c>
      <c r="Q33" s="86">
        <v>17.55</v>
      </c>
      <c r="R33" s="25">
        <v>0.35</v>
      </c>
      <c r="S33" s="25">
        <v>104.92</v>
      </c>
      <c r="T33" s="25">
        <v>9.4700000000000006</v>
      </c>
      <c r="U33" s="25">
        <v>15.28</v>
      </c>
      <c r="V33" s="25">
        <v>13.73</v>
      </c>
      <c r="W33" s="25">
        <v>36.72</v>
      </c>
      <c r="X33" s="34">
        <v>16031.776</v>
      </c>
      <c r="Y33" s="30">
        <v>45627</v>
      </c>
      <c r="Z33" s="85">
        <v>2024</v>
      </c>
      <c r="AA33" s="28">
        <v>12</v>
      </c>
      <c r="AB33" s="84">
        <v>561.08159999999998</v>
      </c>
      <c r="AC33" s="84">
        <v>504.16559999999998</v>
      </c>
      <c r="AD33" s="84">
        <v>117.95</v>
      </c>
      <c r="AE33" s="34">
        <v>5611.1216000000004</v>
      </c>
      <c r="AF33" s="28" t="s">
        <v>65</v>
      </c>
      <c r="AG33" s="28" t="s">
        <v>66</v>
      </c>
      <c r="AH33" s="21">
        <v>14.8</v>
      </c>
      <c r="AI33" s="21">
        <v>13.3</v>
      </c>
      <c r="AJ33" s="21">
        <v>82.7</v>
      </c>
      <c r="AK33" s="21">
        <v>13.2</v>
      </c>
      <c r="AL33" s="21">
        <v>67.900000000000006</v>
      </c>
    </row>
    <row r="34" spans="2:38" x14ac:dyDescent="0.2">
      <c r="B34" s="34">
        <f>CHOOSE(B$1,Tabla2[[#This Row],[Edad]]*12/365,Tabla2[[#This Row],[Tn/Ha]],Tabla2[[#This Row],[Tn]],Tabla2[[#This Row],[Area_Cosecha]])</f>
        <v>11.178082191780822</v>
      </c>
      <c r="C34" s="87" t="s">
        <v>879</v>
      </c>
      <c r="D34" s="23" t="s">
        <v>319</v>
      </c>
      <c r="E34" s="23" t="s">
        <v>320</v>
      </c>
      <c r="F34" s="23" t="s">
        <v>486</v>
      </c>
      <c r="G34" s="23" t="s">
        <v>17</v>
      </c>
      <c r="H34" s="23" t="s">
        <v>18</v>
      </c>
      <c r="I34" s="23" t="s">
        <v>11</v>
      </c>
      <c r="J34" s="23" t="s">
        <v>6</v>
      </c>
      <c r="K34" s="23" t="s">
        <v>321</v>
      </c>
      <c r="L34" s="23">
        <v>2023</v>
      </c>
      <c r="M34" s="24" t="s">
        <v>62</v>
      </c>
      <c r="N34" s="24">
        <v>45287</v>
      </c>
      <c r="O34" s="24" t="s">
        <v>50</v>
      </c>
      <c r="P34" s="86">
        <v>340</v>
      </c>
      <c r="Q34" s="86">
        <v>19.27</v>
      </c>
      <c r="R34" s="25">
        <v>3.59</v>
      </c>
      <c r="S34" s="25">
        <v>110</v>
      </c>
      <c r="T34" s="25">
        <v>9.84</v>
      </c>
      <c r="U34" s="25">
        <v>14.91</v>
      </c>
      <c r="V34" s="25">
        <v>13.36</v>
      </c>
      <c r="W34" s="25">
        <v>394.9</v>
      </c>
      <c r="X34" s="34">
        <v>16401</v>
      </c>
      <c r="Y34" s="30">
        <v>45627</v>
      </c>
      <c r="Z34" s="85">
        <v>2024</v>
      </c>
      <c r="AA34" s="28">
        <v>12</v>
      </c>
      <c r="AB34" s="84">
        <v>5887.9589999999998</v>
      </c>
      <c r="AC34" s="84">
        <v>5275.8639999999996</v>
      </c>
      <c r="AD34" s="84">
        <v>1220.5999999999999</v>
      </c>
      <c r="AE34" s="34">
        <v>58879.59</v>
      </c>
      <c r="AF34" s="28" t="s">
        <v>65</v>
      </c>
      <c r="AG34" s="28" t="s">
        <v>66</v>
      </c>
      <c r="AH34" s="21">
        <v>14.8</v>
      </c>
      <c r="AI34" s="21">
        <v>13.3</v>
      </c>
      <c r="AJ34" s="21">
        <v>84.2</v>
      </c>
      <c r="AK34" s="21">
        <v>13.8</v>
      </c>
      <c r="AL34" s="21">
        <v>67.599999999999994</v>
      </c>
    </row>
    <row r="35" spans="2:38" x14ac:dyDescent="0.2">
      <c r="B35" s="34">
        <f>CHOOSE(B$1,Tabla2[[#This Row],[Edad]]*12/365,Tabla2[[#This Row],[Tn/Ha]],Tabla2[[#This Row],[Tn]],Tabla2[[#This Row],[Area_Cosecha]])</f>
        <v>12.098630136986301</v>
      </c>
      <c r="C35" s="87" t="s">
        <v>879</v>
      </c>
      <c r="D35" s="23" t="s">
        <v>319</v>
      </c>
      <c r="E35" s="23" t="s">
        <v>320</v>
      </c>
      <c r="F35" s="23" t="s">
        <v>484</v>
      </c>
      <c r="G35" s="23" t="s">
        <v>0</v>
      </c>
      <c r="H35" s="23" t="s">
        <v>1</v>
      </c>
      <c r="I35" s="23" t="s">
        <v>9</v>
      </c>
      <c r="J35" s="23" t="s">
        <v>7</v>
      </c>
      <c r="K35" s="23" t="s">
        <v>321</v>
      </c>
      <c r="L35" s="23">
        <v>2023</v>
      </c>
      <c r="M35" s="24" t="s">
        <v>68</v>
      </c>
      <c r="N35" s="24">
        <v>45276</v>
      </c>
      <c r="O35" s="24" t="s">
        <v>50</v>
      </c>
      <c r="P35" s="86">
        <v>368</v>
      </c>
      <c r="Q35" s="86">
        <v>41.88</v>
      </c>
      <c r="R35" s="25">
        <v>41.88</v>
      </c>
      <c r="S35" s="25">
        <v>105</v>
      </c>
      <c r="T35" s="25">
        <v>8.68</v>
      </c>
      <c r="U35" s="25">
        <v>15.38</v>
      </c>
      <c r="V35" s="25">
        <v>13.83</v>
      </c>
      <c r="W35" s="25">
        <v>4397.3999999999996</v>
      </c>
      <c r="X35" s="34">
        <v>16149</v>
      </c>
      <c r="Y35" s="30">
        <v>45644</v>
      </c>
      <c r="Z35" s="85">
        <v>2024</v>
      </c>
      <c r="AA35" s="28">
        <v>12</v>
      </c>
      <c r="AB35" s="84">
        <v>67632.012000000002</v>
      </c>
      <c r="AC35" s="84">
        <v>60816.042000000001</v>
      </c>
      <c r="AD35" s="84">
        <v>15411.84</v>
      </c>
      <c r="AE35" s="34">
        <v>676320.12</v>
      </c>
      <c r="AF35" s="28" t="s">
        <v>65</v>
      </c>
      <c r="AG35" s="28" t="s">
        <v>66</v>
      </c>
      <c r="AH35" s="21">
        <v>12.9</v>
      </c>
      <c r="AI35" s="21">
        <v>11.3</v>
      </c>
      <c r="AJ35" s="21">
        <v>78.900000000000006</v>
      </c>
      <c r="AK35" s="21">
        <v>12.3</v>
      </c>
      <c r="AL35" s="21">
        <v>71.099999999999994</v>
      </c>
    </row>
    <row r="36" spans="2:38" x14ac:dyDescent="0.2">
      <c r="B36" s="34">
        <f>CHOOSE(B$1,Tabla2[[#This Row],[Edad]]*12/365,Tabla2[[#This Row],[Tn/Ha]],Tabla2[[#This Row],[Tn]],Tabla2[[#This Row],[Area_Cosecha]])</f>
        <v>13.315068493150685</v>
      </c>
      <c r="C36" s="87" t="s">
        <v>879</v>
      </c>
      <c r="D36" s="23" t="s">
        <v>319</v>
      </c>
      <c r="E36" s="23" t="s">
        <v>320</v>
      </c>
      <c r="F36" s="23" t="s">
        <v>254</v>
      </c>
      <c r="G36" s="23" t="s">
        <v>19</v>
      </c>
      <c r="H36" s="23" t="s">
        <v>20</v>
      </c>
      <c r="I36" s="23" t="s">
        <v>13</v>
      </c>
      <c r="J36" s="23" t="s">
        <v>3</v>
      </c>
      <c r="K36" s="23" t="s">
        <v>321</v>
      </c>
      <c r="L36" s="23">
        <v>2023</v>
      </c>
      <c r="M36" s="24" t="s">
        <v>68</v>
      </c>
      <c r="N36" s="24">
        <v>45237</v>
      </c>
      <c r="O36" s="24" t="s">
        <v>50</v>
      </c>
      <c r="P36" s="86">
        <v>405</v>
      </c>
      <c r="Q36" s="86">
        <v>40.83</v>
      </c>
      <c r="R36" s="25">
        <v>40.83</v>
      </c>
      <c r="S36" s="25">
        <v>100</v>
      </c>
      <c r="T36" s="25">
        <v>7.51</v>
      </c>
      <c r="U36" s="25">
        <v>14.92</v>
      </c>
      <c r="V36" s="25">
        <v>13.37</v>
      </c>
      <c r="W36" s="25">
        <v>4083</v>
      </c>
      <c r="X36" s="34">
        <v>14920</v>
      </c>
      <c r="Y36" s="30">
        <v>45642</v>
      </c>
      <c r="Z36" s="85">
        <v>2024</v>
      </c>
      <c r="AA36" s="28">
        <v>12</v>
      </c>
      <c r="AB36" s="84">
        <v>60918.36</v>
      </c>
      <c r="AC36" s="84">
        <v>54589.71</v>
      </c>
      <c r="AD36" s="84">
        <v>16536.150000000001</v>
      </c>
      <c r="AE36" s="34">
        <v>609183.6</v>
      </c>
      <c r="AF36" s="28" t="s">
        <v>65</v>
      </c>
      <c r="AG36" s="28" t="s">
        <v>66</v>
      </c>
      <c r="AH36" s="21">
        <v>14.4</v>
      </c>
      <c r="AI36" s="21">
        <v>12.9</v>
      </c>
      <c r="AJ36" s="21">
        <v>83.8</v>
      </c>
      <c r="AK36" s="21">
        <v>12.6</v>
      </c>
      <c r="AL36" s="21">
        <v>69.400000000000006</v>
      </c>
    </row>
    <row r="37" spans="2:38" x14ac:dyDescent="0.2">
      <c r="B37" s="34">
        <f>CHOOSE(B$1,Tabla2[[#This Row],[Edad]]*12/365,Tabla2[[#This Row],[Tn/Ha]],Tabla2[[#This Row],[Tn]],Tabla2[[#This Row],[Area_Cosecha]])</f>
        <v>12.591780821917808</v>
      </c>
      <c r="C37" s="87" t="s">
        <v>879</v>
      </c>
      <c r="D37" s="23" t="s">
        <v>319</v>
      </c>
      <c r="E37" s="23" t="s">
        <v>320</v>
      </c>
      <c r="F37" s="23" t="s">
        <v>439</v>
      </c>
      <c r="G37" s="23" t="s">
        <v>17</v>
      </c>
      <c r="H37" s="23" t="s">
        <v>18</v>
      </c>
      <c r="I37" s="23" t="s">
        <v>12</v>
      </c>
      <c r="J37" s="23" t="s">
        <v>4</v>
      </c>
      <c r="K37" s="23" t="s">
        <v>321</v>
      </c>
      <c r="L37" s="23">
        <v>2022</v>
      </c>
      <c r="M37" s="24" t="s">
        <v>410</v>
      </c>
      <c r="N37" s="24">
        <v>45244</v>
      </c>
      <c r="O37" s="24" t="s">
        <v>50</v>
      </c>
      <c r="P37" s="86">
        <v>383</v>
      </c>
      <c r="Q37" s="86">
        <v>21.34</v>
      </c>
      <c r="R37" s="25">
        <v>1.65</v>
      </c>
      <c r="S37" s="25">
        <v>123</v>
      </c>
      <c r="T37" s="25">
        <v>9.77</v>
      </c>
      <c r="U37" s="25">
        <v>15.28</v>
      </c>
      <c r="V37" s="25">
        <v>13.73</v>
      </c>
      <c r="W37" s="25">
        <v>202.95</v>
      </c>
      <c r="X37" s="34">
        <v>18794.400000000001</v>
      </c>
      <c r="Y37" s="30">
        <v>45627</v>
      </c>
      <c r="Z37" s="85">
        <v>2024</v>
      </c>
      <c r="AA37" s="28">
        <v>12</v>
      </c>
      <c r="AB37" s="84">
        <v>3101.076</v>
      </c>
      <c r="AC37" s="84">
        <v>2786.5034999999998</v>
      </c>
      <c r="AD37" s="84">
        <v>631.95000000000005</v>
      </c>
      <c r="AE37" s="34">
        <v>31010.76</v>
      </c>
      <c r="AF37" s="28" t="s">
        <v>65</v>
      </c>
      <c r="AG37" s="28" t="s">
        <v>66</v>
      </c>
      <c r="AH37" s="21">
        <v>15.2</v>
      </c>
      <c r="AI37" s="21">
        <v>13.7</v>
      </c>
      <c r="AJ37" s="21">
        <v>83.8</v>
      </c>
      <c r="AK37" s="21">
        <v>12.7</v>
      </c>
      <c r="AL37" s="21">
        <v>68.3</v>
      </c>
    </row>
    <row r="38" spans="2:38" x14ac:dyDescent="0.2">
      <c r="B38" s="34">
        <f>CHOOSE(B$1,Tabla2[[#This Row],[Edad]]*12/365,Tabla2[[#This Row],[Tn/Ha]],Tabla2[[#This Row],[Tn]],Tabla2[[#This Row],[Area_Cosecha]])</f>
        <v>11.243835616438357</v>
      </c>
      <c r="C38" s="87" t="s">
        <v>879</v>
      </c>
      <c r="D38" s="23" t="s">
        <v>319</v>
      </c>
      <c r="E38" s="23" t="s">
        <v>320</v>
      </c>
      <c r="F38" s="23" t="s">
        <v>495</v>
      </c>
      <c r="G38" s="23" t="s">
        <v>22</v>
      </c>
      <c r="H38" s="23" t="s">
        <v>41</v>
      </c>
      <c r="I38" s="23" t="s">
        <v>44</v>
      </c>
      <c r="J38" s="23" t="s">
        <v>3</v>
      </c>
      <c r="K38" s="23" t="s">
        <v>321</v>
      </c>
      <c r="L38" s="23">
        <v>2023</v>
      </c>
      <c r="M38" s="24" t="s">
        <v>61</v>
      </c>
      <c r="N38" s="24">
        <v>45287</v>
      </c>
      <c r="O38" s="24" t="s">
        <v>50</v>
      </c>
      <c r="P38" s="86">
        <v>342</v>
      </c>
      <c r="Q38" s="86">
        <v>13.35</v>
      </c>
      <c r="R38" s="25">
        <v>13.35</v>
      </c>
      <c r="S38" s="25">
        <v>115.97</v>
      </c>
      <c r="T38" s="25">
        <v>10.31</v>
      </c>
      <c r="U38" s="25">
        <v>15.05</v>
      </c>
      <c r="V38" s="25">
        <v>13.5</v>
      </c>
      <c r="W38" s="25">
        <v>1548.2</v>
      </c>
      <c r="X38" s="34">
        <v>17453.485000000001</v>
      </c>
      <c r="Y38" s="30">
        <v>45629</v>
      </c>
      <c r="Z38" s="85">
        <v>2024</v>
      </c>
      <c r="AA38" s="28">
        <v>12</v>
      </c>
      <c r="AB38" s="84">
        <v>23300.41</v>
      </c>
      <c r="AC38" s="84">
        <v>20900.7</v>
      </c>
      <c r="AD38" s="84">
        <v>4565.7</v>
      </c>
      <c r="AE38" s="34">
        <v>233004.02475000001</v>
      </c>
      <c r="AF38" s="28" t="s">
        <v>65</v>
      </c>
      <c r="AG38" s="28" t="s">
        <v>66</v>
      </c>
      <c r="AH38" s="21">
        <v>16</v>
      </c>
      <c r="AI38" s="21">
        <v>14.5</v>
      </c>
      <c r="AJ38" s="21">
        <v>85.9</v>
      </c>
      <c r="AK38" s="21">
        <v>13.5</v>
      </c>
      <c r="AL38" s="21">
        <v>66.8</v>
      </c>
    </row>
    <row r="39" spans="2:38" x14ac:dyDescent="0.2">
      <c r="B39" s="34">
        <f>CHOOSE(B$1,Tabla2[[#This Row],[Edad]]*12/365,Tabla2[[#This Row],[Tn/Ha]],Tabla2[[#This Row],[Tn]],Tabla2[[#This Row],[Area_Cosecha]])</f>
        <v>12.230136986301369</v>
      </c>
      <c r="C39" s="87" t="s">
        <v>879</v>
      </c>
      <c r="D39" s="23" t="s">
        <v>319</v>
      </c>
      <c r="E39" s="23" t="s">
        <v>320</v>
      </c>
      <c r="F39" s="23" t="s">
        <v>449</v>
      </c>
      <c r="G39" s="23" t="s">
        <v>17</v>
      </c>
      <c r="H39" s="23" t="s">
        <v>18</v>
      </c>
      <c r="I39" s="23" t="s">
        <v>2</v>
      </c>
      <c r="J39" s="23" t="s">
        <v>4</v>
      </c>
      <c r="K39" s="23" t="s">
        <v>321</v>
      </c>
      <c r="L39" s="23">
        <v>2023</v>
      </c>
      <c r="M39" s="24" t="s">
        <v>410</v>
      </c>
      <c r="N39" s="24">
        <v>45255</v>
      </c>
      <c r="O39" s="24" t="s">
        <v>50</v>
      </c>
      <c r="P39" s="86">
        <v>372</v>
      </c>
      <c r="Q39" s="86">
        <v>26.27</v>
      </c>
      <c r="R39" s="25">
        <v>22.77</v>
      </c>
      <c r="S39" s="25">
        <v>117</v>
      </c>
      <c r="T39" s="25">
        <v>9.57</v>
      </c>
      <c r="U39" s="25">
        <v>15.28</v>
      </c>
      <c r="V39" s="25">
        <v>13.73</v>
      </c>
      <c r="W39" s="25">
        <v>2664.09</v>
      </c>
      <c r="X39" s="34">
        <v>17877.599999999999</v>
      </c>
      <c r="Y39" s="30">
        <v>45627</v>
      </c>
      <c r="Z39" s="85">
        <v>2024</v>
      </c>
      <c r="AA39" s="28">
        <v>12</v>
      </c>
      <c r="AB39" s="84">
        <v>40707.2952</v>
      </c>
      <c r="AC39" s="84">
        <v>36577.955699999999</v>
      </c>
      <c r="AD39" s="84">
        <v>8470.44</v>
      </c>
      <c r="AE39" s="34">
        <v>407072.95199999999</v>
      </c>
      <c r="AF39" s="28" t="s">
        <v>65</v>
      </c>
      <c r="AG39" s="28" t="s">
        <v>66</v>
      </c>
      <c r="AH39" s="21">
        <v>15.6</v>
      </c>
      <c r="AI39" s="21">
        <v>14.1</v>
      </c>
      <c r="AJ39" s="21">
        <v>83.7</v>
      </c>
      <c r="AK39" s="21">
        <v>13.3</v>
      </c>
      <c r="AL39" s="21">
        <v>67</v>
      </c>
    </row>
    <row r="40" spans="2:38" x14ac:dyDescent="0.2">
      <c r="B40" s="34">
        <f>CHOOSE(B$1,Tabla2[[#This Row],[Edad]]*12/365,Tabla2[[#This Row],[Tn/Ha]],Tabla2[[#This Row],[Tn]],Tabla2[[#This Row],[Area_Cosecha]])</f>
        <v>12.230136986301369</v>
      </c>
      <c r="C40" s="87" t="s">
        <v>879</v>
      </c>
      <c r="D40" s="23" t="s">
        <v>319</v>
      </c>
      <c r="E40" s="23" t="s">
        <v>320</v>
      </c>
      <c r="F40" s="23" t="s">
        <v>113</v>
      </c>
      <c r="G40" s="23" t="s">
        <v>17</v>
      </c>
      <c r="H40" s="23" t="s">
        <v>18</v>
      </c>
      <c r="I40" s="23" t="s">
        <v>9</v>
      </c>
      <c r="J40" s="23" t="s">
        <v>3</v>
      </c>
      <c r="K40" s="23" t="s">
        <v>321</v>
      </c>
      <c r="L40" s="23">
        <v>2023</v>
      </c>
      <c r="M40" s="24" t="s">
        <v>351</v>
      </c>
      <c r="N40" s="24">
        <v>45257</v>
      </c>
      <c r="O40" s="24" t="s">
        <v>50</v>
      </c>
      <c r="P40" s="86">
        <v>372</v>
      </c>
      <c r="Q40" s="86">
        <v>14.98</v>
      </c>
      <c r="R40" s="25">
        <v>10.56</v>
      </c>
      <c r="S40" s="25">
        <v>92</v>
      </c>
      <c r="T40" s="25">
        <v>7.52</v>
      </c>
      <c r="U40" s="25">
        <v>14.91</v>
      </c>
      <c r="V40" s="25">
        <v>13.36</v>
      </c>
      <c r="W40" s="25">
        <v>971.52</v>
      </c>
      <c r="X40" s="34">
        <v>13717.2</v>
      </c>
      <c r="Y40" s="30">
        <v>45629</v>
      </c>
      <c r="Z40" s="85">
        <v>2024</v>
      </c>
      <c r="AA40" s="28">
        <v>12</v>
      </c>
      <c r="AB40" s="84">
        <v>14485.3632</v>
      </c>
      <c r="AC40" s="84">
        <v>12979.5072</v>
      </c>
      <c r="AD40" s="84">
        <v>3928.32</v>
      </c>
      <c r="AE40" s="34">
        <v>144853.63200000001</v>
      </c>
      <c r="AF40" s="28" t="s">
        <v>65</v>
      </c>
      <c r="AG40" s="28" t="s">
        <v>66</v>
      </c>
      <c r="AH40" s="21">
        <v>15.7</v>
      </c>
      <c r="AI40" s="21">
        <v>14.2</v>
      </c>
      <c r="AJ40" s="21">
        <v>85.2</v>
      </c>
      <c r="AK40" s="21">
        <v>13.6</v>
      </c>
      <c r="AL40" s="21">
        <v>66.599999999999994</v>
      </c>
    </row>
    <row r="41" spans="2:38" x14ac:dyDescent="0.2">
      <c r="B41" s="34">
        <f>CHOOSE(B$1,Tabla2[[#This Row],[Edad]]*12/365,Tabla2[[#This Row],[Tn/Ha]],Tabla2[[#This Row],[Tn]],Tabla2[[#This Row],[Area_Cosecha]])</f>
        <v>11.671232876712329</v>
      </c>
      <c r="C41" s="87" t="s">
        <v>879</v>
      </c>
      <c r="D41" s="23" t="s">
        <v>319</v>
      </c>
      <c r="E41" s="23" t="s">
        <v>320</v>
      </c>
      <c r="F41" s="23" t="s">
        <v>485</v>
      </c>
      <c r="G41" s="23" t="s">
        <v>0</v>
      </c>
      <c r="H41" s="23" t="s">
        <v>1</v>
      </c>
      <c r="I41" s="23" t="s">
        <v>11</v>
      </c>
      <c r="J41" s="23" t="s">
        <v>3</v>
      </c>
      <c r="K41" s="23" t="s">
        <v>321</v>
      </c>
      <c r="L41" s="23">
        <v>2023</v>
      </c>
      <c r="M41" s="24" t="s">
        <v>62</v>
      </c>
      <c r="N41" s="24">
        <v>45275</v>
      </c>
      <c r="O41" s="24" t="s">
        <v>50</v>
      </c>
      <c r="P41" s="86">
        <v>355</v>
      </c>
      <c r="Q41" s="86">
        <v>41.38</v>
      </c>
      <c r="R41" s="25">
        <v>0.1</v>
      </c>
      <c r="S41" s="25">
        <v>63.04</v>
      </c>
      <c r="T41" s="25">
        <v>5.4</v>
      </c>
      <c r="U41" s="25">
        <v>15.38</v>
      </c>
      <c r="V41" s="25">
        <v>13.83</v>
      </c>
      <c r="W41" s="25">
        <v>6.3</v>
      </c>
      <c r="X41" s="34">
        <v>9695.5519999999997</v>
      </c>
      <c r="Y41" s="30">
        <v>45630</v>
      </c>
      <c r="Z41" s="85">
        <v>2024</v>
      </c>
      <c r="AA41" s="28">
        <v>12</v>
      </c>
      <c r="AB41" s="84">
        <v>96.894000000000005</v>
      </c>
      <c r="AC41" s="84">
        <v>87.129000000000005</v>
      </c>
      <c r="AD41" s="84">
        <v>35.5</v>
      </c>
      <c r="AE41" s="34">
        <v>969.55520000000001</v>
      </c>
      <c r="AF41" s="28" t="s">
        <v>65</v>
      </c>
      <c r="AG41" s="28" t="s">
        <v>66</v>
      </c>
      <c r="AH41" s="21">
        <v>15.6</v>
      </c>
      <c r="AI41" s="21">
        <v>14.1</v>
      </c>
      <c r="AJ41" s="21">
        <v>84.8</v>
      </c>
      <c r="AK41" s="21">
        <v>13.7</v>
      </c>
      <c r="AL41" s="21">
        <v>67.099999999999994</v>
      </c>
    </row>
    <row r="42" spans="2:38" x14ac:dyDescent="0.2">
      <c r="B42" s="34">
        <f>CHOOSE(B$1,Tabla2[[#This Row],[Edad]]*12/365,Tabla2[[#This Row],[Tn/Ha]],Tabla2[[#This Row],[Tn]],Tabla2[[#This Row],[Area_Cosecha]])</f>
        <v>12.821917808219178</v>
      </c>
      <c r="C42" s="87" t="s">
        <v>879</v>
      </c>
      <c r="D42" s="23" t="s">
        <v>319</v>
      </c>
      <c r="E42" s="23" t="s">
        <v>320</v>
      </c>
      <c r="F42" s="23" t="s">
        <v>117</v>
      </c>
      <c r="G42" s="23" t="s">
        <v>17</v>
      </c>
      <c r="H42" s="23" t="s">
        <v>18</v>
      </c>
      <c r="I42" s="23" t="s">
        <v>13</v>
      </c>
      <c r="J42" s="23" t="s">
        <v>4</v>
      </c>
      <c r="K42" s="23" t="s">
        <v>321</v>
      </c>
      <c r="L42" s="23">
        <v>2022</v>
      </c>
      <c r="M42" s="24" t="s">
        <v>68</v>
      </c>
      <c r="N42" s="24">
        <v>45237</v>
      </c>
      <c r="O42" s="24" t="s">
        <v>50</v>
      </c>
      <c r="P42" s="86">
        <v>390</v>
      </c>
      <c r="Q42" s="86">
        <v>16.43</v>
      </c>
      <c r="R42" s="25">
        <v>1.08</v>
      </c>
      <c r="S42" s="25">
        <v>103</v>
      </c>
      <c r="T42" s="25">
        <v>8.0299999999999994</v>
      </c>
      <c r="U42" s="25">
        <v>14.96</v>
      </c>
      <c r="V42" s="25">
        <v>13.41</v>
      </c>
      <c r="W42" s="25">
        <v>111.24</v>
      </c>
      <c r="X42" s="34">
        <v>15408.8</v>
      </c>
      <c r="Y42" s="30">
        <v>45627</v>
      </c>
      <c r="Z42" s="85">
        <v>2024</v>
      </c>
      <c r="AA42" s="28">
        <v>12</v>
      </c>
      <c r="AB42" s="84">
        <v>1664.1504</v>
      </c>
      <c r="AC42" s="84">
        <v>1491.7284</v>
      </c>
      <c r="AD42" s="84">
        <v>421.2</v>
      </c>
      <c r="AE42" s="34">
        <v>16641.504000000001</v>
      </c>
      <c r="AF42" s="28" t="s">
        <v>65</v>
      </c>
      <c r="AG42" s="28" t="s">
        <v>66</v>
      </c>
      <c r="AH42" s="21">
        <v>14.3</v>
      </c>
      <c r="AI42" s="21">
        <v>12.8</v>
      </c>
      <c r="AJ42" s="21">
        <v>81.8</v>
      </c>
      <c r="AK42" s="21">
        <v>12.8</v>
      </c>
      <c r="AL42" s="21">
        <v>69.099999999999994</v>
      </c>
    </row>
    <row r="43" spans="2:38" x14ac:dyDescent="0.2">
      <c r="B43" s="34">
        <f>CHOOSE(B$1,Tabla2[[#This Row],[Edad]]*12/365,Tabla2[[#This Row],[Tn/Ha]],Tabla2[[#This Row],[Tn]],Tabla2[[#This Row],[Area_Cosecha]])</f>
        <v>11.178082191780822</v>
      </c>
      <c r="C43" s="87" t="s">
        <v>879</v>
      </c>
      <c r="D43" s="23" t="s">
        <v>319</v>
      </c>
      <c r="E43" s="23" t="s">
        <v>320</v>
      </c>
      <c r="F43" s="23" t="s">
        <v>506</v>
      </c>
      <c r="G43" s="23" t="s">
        <v>19</v>
      </c>
      <c r="H43" s="23" t="s">
        <v>20</v>
      </c>
      <c r="I43" s="23" t="s">
        <v>14</v>
      </c>
      <c r="J43" s="23" t="s">
        <v>5</v>
      </c>
      <c r="K43" s="23" t="s">
        <v>321</v>
      </c>
      <c r="L43" s="23">
        <v>2023</v>
      </c>
      <c r="M43" s="24" t="s">
        <v>60</v>
      </c>
      <c r="N43" s="24">
        <v>45314</v>
      </c>
      <c r="O43" s="24" t="s">
        <v>50</v>
      </c>
      <c r="P43" s="86">
        <v>340</v>
      </c>
      <c r="Q43" s="86">
        <v>32.909999999999997</v>
      </c>
      <c r="R43" s="25">
        <v>32.909999999999997</v>
      </c>
      <c r="S43" s="25">
        <v>110.55</v>
      </c>
      <c r="T43" s="25">
        <v>9.89</v>
      </c>
      <c r="U43" s="25">
        <v>14.83</v>
      </c>
      <c r="V43" s="25">
        <v>13.28</v>
      </c>
      <c r="W43" s="25">
        <v>3638.24</v>
      </c>
      <c r="X43" s="34">
        <v>16394.564999999999</v>
      </c>
      <c r="Y43" s="30">
        <v>45654</v>
      </c>
      <c r="Z43" s="85">
        <v>2024</v>
      </c>
      <c r="AA43" s="28">
        <v>12</v>
      </c>
      <c r="AB43" s="84">
        <v>53955.099199999997</v>
      </c>
      <c r="AC43" s="84">
        <v>48315.8272</v>
      </c>
      <c r="AD43" s="84">
        <v>11189.4</v>
      </c>
      <c r="AE43" s="34">
        <v>539545.13415000006</v>
      </c>
      <c r="AF43" s="28" t="s">
        <v>65</v>
      </c>
      <c r="AG43" s="28" t="s">
        <v>66</v>
      </c>
      <c r="AH43" s="21">
        <v>13.6</v>
      </c>
      <c r="AI43" s="21">
        <v>12.2</v>
      </c>
      <c r="AJ43" s="21">
        <v>82</v>
      </c>
      <c r="AK43" s="21">
        <v>13.1</v>
      </c>
      <c r="AL43" s="21">
        <v>69.5</v>
      </c>
    </row>
    <row r="44" spans="2:38" x14ac:dyDescent="0.2">
      <c r="B44" s="34">
        <f>CHOOSE(B$1,Tabla2[[#This Row],[Edad]]*12/365,Tabla2[[#This Row],[Tn/Ha]],Tabla2[[#This Row],[Tn]],Tabla2[[#This Row],[Area_Cosecha]])</f>
        <v>11.30958904109589</v>
      </c>
      <c r="C44" s="87" t="s">
        <v>879</v>
      </c>
      <c r="D44" s="23" t="s">
        <v>319</v>
      </c>
      <c r="E44" s="23" t="s">
        <v>320</v>
      </c>
      <c r="F44" s="23" t="s">
        <v>481</v>
      </c>
      <c r="G44" s="23" t="s">
        <v>19</v>
      </c>
      <c r="H44" s="23" t="s">
        <v>20</v>
      </c>
      <c r="I44" s="23" t="s">
        <v>15</v>
      </c>
      <c r="J44" s="23" t="s">
        <v>5</v>
      </c>
      <c r="K44" s="23" t="s">
        <v>321</v>
      </c>
      <c r="L44" s="23">
        <v>2023</v>
      </c>
      <c r="M44" s="24" t="s">
        <v>68</v>
      </c>
      <c r="N44" s="24">
        <v>45304</v>
      </c>
      <c r="O44" s="24" t="s">
        <v>50</v>
      </c>
      <c r="P44" s="86">
        <v>344</v>
      </c>
      <c r="Q44" s="86">
        <v>40.67</v>
      </c>
      <c r="R44" s="25">
        <v>40.67</v>
      </c>
      <c r="S44" s="25">
        <v>65</v>
      </c>
      <c r="T44" s="25">
        <v>5.75</v>
      </c>
      <c r="U44" s="25">
        <v>15.27</v>
      </c>
      <c r="V44" s="25">
        <v>13.72</v>
      </c>
      <c r="W44" s="25">
        <v>2643.55</v>
      </c>
      <c r="X44" s="34">
        <v>9925.5</v>
      </c>
      <c r="Y44" s="30">
        <v>45648</v>
      </c>
      <c r="Z44" s="85">
        <v>2024</v>
      </c>
      <c r="AA44" s="28">
        <v>12</v>
      </c>
      <c r="AB44" s="84">
        <v>40367.008500000004</v>
      </c>
      <c r="AC44" s="84">
        <v>36269.506000000001</v>
      </c>
      <c r="AD44" s="84">
        <v>13990.48</v>
      </c>
      <c r="AE44" s="34">
        <v>403670.08500000002</v>
      </c>
      <c r="AF44" s="28" t="s">
        <v>65</v>
      </c>
      <c r="AG44" s="28" t="s">
        <v>66</v>
      </c>
      <c r="AH44" s="21">
        <v>15</v>
      </c>
      <c r="AI44" s="21">
        <v>13.5</v>
      </c>
      <c r="AJ44" s="21">
        <v>83.7</v>
      </c>
      <c r="AK44" s="21">
        <v>13.5</v>
      </c>
      <c r="AL44" s="21">
        <v>67.5</v>
      </c>
    </row>
    <row r="45" spans="2:38" x14ac:dyDescent="0.2">
      <c r="B45" s="34">
        <f>CHOOSE(B$1,Tabla2[[#This Row],[Edad]]*12/365,Tabla2[[#This Row],[Tn/Ha]],Tabla2[[#This Row],[Tn]],Tabla2[[#This Row],[Area_Cosecha]])</f>
        <v>11.868493150684932</v>
      </c>
      <c r="C45" s="87" t="s">
        <v>879</v>
      </c>
      <c r="D45" s="23" t="s">
        <v>319</v>
      </c>
      <c r="E45" s="23" t="s">
        <v>320</v>
      </c>
      <c r="F45" s="23" t="s">
        <v>524</v>
      </c>
      <c r="G45" s="23" t="s">
        <v>75</v>
      </c>
      <c r="H45" s="23" t="s">
        <v>52</v>
      </c>
      <c r="I45" s="23" t="s">
        <v>27</v>
      </c>
      <c r="J45" s="23" t="s">
        <v>6</v>
      </c>
      <c r="K45" s="23" t="s">
        <v>321</v>
      </c>
      <c r="L45" s="23">
        <v>2023</v>
      </c>
      <c r="M45" s="24" t="s">
        <v>60</v>
      </c>
      <c r="N45" s="24">
        <v>45276</v>
      </c>
      <c r="O45" s="24" t="s">
        <v>50</v>
      </c>
      <c r="P45" s="86">
        <v>361</v>
      </c>
      <c r="Q45" s="86">
        <v>34.64</v>
      </c>
      <c r="R45" s="25">
        <v>34.64</v>
      </c>
      <c r="S45" s="25">
        <v>155</v>
      </c>
      <c r="T45" s="25">
        <v>13.06</v>
      </c>
      <c r="U45" s="25">
        <v>14.72</v>
      </c>
      <c r="V45" s="25">
        <v>13.17</v>
      </c>
      <c r="W45" s="25">
        <v>5369.2</v>
      </c>
      <c r="X45" s="34">
        <v>22816</v>
      </c>
      <c r="Y45" s="30">
        <v>45637</v>
      </c>
      <c r="Z45" s="85">
        <v>2024</v>
      </c>
      <c r="AA45" s="28">
        <v>12</v>
      </c>
      <c r="AB45" s="84">
        <v>79034.623999999996</v>
      </c>
      <c r="AC45" s="84">
        <v>70712.364000000001</v>
      </c>
      <c r="AD45" s="84">
        <v>12505.04</v>
      </c>
      <c r="AE45" s="34">
        <v>790346.23999999999</v>
      </c>
      <c r="AF45" s="28" t="s">
        <v>65</v>
      </c>
      <c r="AG45" s="28" t="s">
        <v>66</v>
      </c>
      <c r="AH45" s="21">
        <v>15.3</v>
      </c>
      <c r="AI45" s="21">
        <v>13.8</v>
      </c>
      <c r="AJ45" s="21">
        <v>84.4</v>
      </c>
      <c r="AK45" s="21">
        <v>13</v>
      </c>
      <c r="AL45" s="21">
        <v>67.900000000000006</v>
      </c>
    </row>
    <row r="46" spans="2:38" x14ac:dyDescent="0.2">
      <c r="B46" s="34">
        <f>CHOOSE(B$1,Tabla2[[#This Row],[Edad]]*12/365,Tabla2[[#This Row],[Tn/Ha]],Tabla2[[#This Row],[Tn]],Tabla2[[#This Row],[Area_Cosecha]])</f>
        <v>10.61917808219178</v>
      </c>
      <c r="C46" s="87" t="s">
        <v>879</v>
      </c>
      <c r="D46" s="23" t="s">
        <v>319</v>
      </c>
      <c r="E46" s="23" t="s">
        <v>320</v>
      </c>
      <c r="F46" s="23" t="s">
        <v>519</v>
      </c>
      <c r="G46" s="23" t="s">
        <v>17</v>
      </c>
      <c r="H46" s="23" t="s">
        <v>18</v>
      </c>
      <c r="I46" s="23" t="s">
        <v>11</v>
      </c>
      <c r="J46" s="23" t="s">
        <v>5</v>
      </c>
      <c r="K46" s="23" t="s">
        <v>321</v>
      </c>
      <c r="L46" s="23">
        <v>2023</v>
      </c>
      <c r="M46" s="24" t="s">
        <v>62</v>
      </c>
      <c r="N46" s="24">
        <v>45304</v>
      </c>
      <c r="O46" s="24" t="s">
        <v>50</v>
      </c>
      <c r="P46" s="86">
        <v>323</v>
      </c>
      <c r="Q46" s="86">
        <v>18.489999999999998</v>
      </c>
      <c r="R46" s="25">
        <v>0.42</v>
      </c>
      <c r="S46" s="25">
        <v>90</v>
      </c>
      <c r="T46" s="25">
        <v>8.48</v>
      </c>
      <c r="U46" s="25">
        <v>14.91</v>
      </c>
      <c r="V46" s="25">
        <v>13.36</v>
      </c>
      <c r="W46" s="25">
        <v>37.799999999999997</v>
      </c>
      <c r="X46" s="34">
        <v>13419</v>
      </c>
      <c r="Y46" s="30">
        <v>45627</v>
      </c>
      <c r="Z46" s="85">
        <v>2024</v>
      </c>
      <c r="AA46" s="28">
        <v>12</v>
      </c>
      <c r="AB46" s="84">
        <v>563.59799999999996</v>
      </c>
      <c r="AC46" s="84">
        <v>505.00799999999998</v>
      </c>
      <c r="AD46" s="84">
        <v>135.66</v>
      </c>
      <c r="AE46" s="34">
        <v>5635.98</v>
      </c>
      <c r="AF46" s="28" t="s">
        <v>65</v>
      </c>
      <c r="AG46" s="28" t="s">
        <v>66</v>
      </c>
      <c r="AH46" s="21">
        <v>14.5</v>
      </c>
      <c r="AI46" s="21">
        <v>13</v>
      </c>
      <c r="AJ46" s="21">
        <v>82.4</v>
      </c>
      <c r="AK46" s="21">
        <v>13.7</v>
      </c>
      <c r="AL46" s="21">
        <v>67.8</v>
      </c>
    </row>
    <row r="47" spans="2:38" x14ac:dyDescent="0.2">
      <c r="B47" s="34">
        <f>CHOOSE(B$1,Tabla2[[#This Row],[Edad]]*12/365,Tabla2[[#This Row],[Tn/Ha]],Tabla2[[#This Row],[Tn]],Tabla2[[#This Row],[Area_Cosecha]])</f>
        <v>10.61917808219178</v>
      </c>
      <c r="C47" s="87" t="s">
        <v>879</v>
      </c>
      <c r="D47" s="23" t="s">
        <v>319</v>
      </c>
      <c r="E47" s="23" t="s">
        <v>320</v>
      </c>
      <c r="F47" s="23" t="s">
        <v>489</v>
      </c>
      <c r="G47" s="23" t="s">
        <v>17</v>
      </c>
      <c r="H47" s="23" t="s">
        <v>18</v>
      </c>
      <c r="I47" s="23" t="s">
        <v>9</v>
      </c>
      <c r="J47" s="23" t="s">
        <v>4</v>
      </c>
      <c r="K47" s="23" t="s">
        <v>321</v>
      </c>
      <c r="L47" s="23">
        <v>2023</v>
      </c>
      <c r="M47" s="24" t="s">
        <v>315</v>
      </c>
      <c r="N47" s="24">
        <v>45306</v>
      </c>
      <c r="O47" s="24" t="s">
        <v>50</v>
      </c>
      <c r="P47" s="86">
        <v>323</v>
      </c>
      <c r="Q47" s="86">
        <v>18.190000000000001</v>
      </c>
      <c r="R47" s="25">
        <v>18.190000000000001</v>
      </c>
      <c r="S47" s="25">
        <v>90.76</v>
      </c>
      <c r="T47" s="25">
        <v>8.5500000000000007</v>
      </c>
      <c r="U47" s="25">
        <v>14.91</v>
      </c>
      <c r="V47" s="25">
        <v>13.36</v>
      </c>
      <c r="W47" s="25">
        <v>1650.84</v>
      </c>
      <c r="X47" s="34">
        <v>13532.316000000001</v>
      </c>
      <c r="Y47" s="30">
        <v>45629</v>
      </c>
      <c r="Z47" s="85">
        <v>2024</v>
      </c>
      <c r="AA47" s="28">
        <v>12</v>
      </c>
      <c r="AB47" s="84">
        <v>24614.024399999998</v>
      </c>
      <c r="AC47" s="84">
        <v>22055.222399999999</v>
      </c>
      <c r="AD47" s="84">
        <v>5875.37</v>
      </c>
      <c r="AE47" s="34">
        <v>246152.82803999999</v>
      </c>
      <c r="AF47" s="28" t="s">
        <v>65</v>
      </c>
      <c r="AG47" s="28" t="s">
        <v>66</v>
      </c>
      <c r="AH47" s="21">
        <v>14.5</v>
      </c>
      <c r="AI47" s="21">
        <v>13</v>
      </c>
      <c r="AJ47" s="21">
        <v>82.7</v>
      </c>
      <c r="AK47" s="21">
        <v>13.7</v>
      </c>
      <c r="AL47" s="21">
        <v>68</v>
      </c>
    </row>
    <row r="48" spans="2:38" x14ac:dyDescent="0.2">
      <c r="B48" s="34">
        <f>CHOOSE(B$1,Tabla2[[#This Row],[Edad]]*12/365,Tabla2[[#This Row],[Tn/Ha]],Tabla2[[#This Row],[Tn]],Tabla2[[#This Row],[Area_Cosecha]])</f>
        <v>11.30958904109589</v>
      </c>
      <c r="C48" s="87" t="s">
        <v>879</v>
      </c>
      <c r="D48" s="23" t="s">
        <v>319</v>
      </c>
      <c r="E48" s="23" t="s">
        <v>320</v>
      </c>
      <c r="F48" s="23" t="s">
        <v>477</v>
      </c>
      <c r="G48" s="23" t="s">
        <v>19</v>
      </c>
      <c r="H48" s="23" t="s">
        <v>20</v>
      </c>
      <c r="I48" s="23" t="s">
        <v>13</v>
      </c>
      <c r="J48" s="23" t="s">
        <v>4</v>
      </c>
      <c r="K48" s="23" t="s">
        <v>321</v>
      </c>
      <c r="L48" s="23">
        <v>2023</v>
      </c>
      <c r="M48" s="24" t="s">
        <v>68</v>
      </c>
      <c r="N48" s="24">
        <v>45301</v>
      </c>
      <c r="O48" s="24" t="s">
        <v>50</v>
      </c>
      <c r="P48" s="86">
        <v>344</v>
      </c>
      <c r="Q48" s="86">
        <v>40.51</v>
      </c>
      <c r="R48" s="25">
        <v>40.51</v>
      </c>
      <c r="S48" s="25">
        <v>82</v>
      </c>
      <c r="T48" s="25">
        <v>7.25</v>
      </c>
      <c r="U48" s="25">
        <v>15.27</v>
      </c>
      <c r="V48" s="25">
        <v>13.72</v>
      </c>
      <c r="W48" s="25">
        <v>3321.82</v>
      </c>
      <c r="X48" s="34">
        <v>12521.4</v>
      </c>
      <c r="Y48" s="30">
        <v>45645</v>
      </c>
      <c r="Z48" s="85">
        <v>2024</v>
      </c>
      <c r="AA48" s="28">
        <v>12</v>
      </c>
      <c r="AB48" s="84">
        <v>50724.191400000003</v>
      </c>
      <c r="AC48" s="84">
        <v>45575.3704</v>
      </c>
      <c r="AD48" s="84">
        <v>13935.44</v>
      </c>
      <c r="AE48" s="34">
        <v>507241.91399999999</v>
      </c>
      <c r="AF48" s="28" t="s">
        <v>65</v>
      </c>
      <c r="AG48" s="28" t="s">
        <v>66</v>
      </c>
      <c r="AH48" s="21">
        <v>14.6</v>
      </c>
      <c r="AI48" s="21">
        <v>13.1</v>
      </c>
      <c r="AJ48" s="21">
        <v>83.9</v>
      </c>
      <c r="AK48" s="21">
        <v>13.7</v>
      </c>
      <c r="AL48" s="21">
        <v>67.900000000000006</v>
      </c>
    </row>
    <row r="49" spans="2:38" x14ac:dyDescent="0.2">
      <c r="B49" s="34">
        <f>CHOOSE(B$1,Tabla2[[#This Row],[Edad]]*12/365,Tabla2[[#This Row],[Tn/Ha]],Tabla2[[#This Row],[Tn]],Tabla2[[#This Row],[Area_Cosecha]])</f>
        <v>11.30958904109589</v>
      </c>
      <c r="C49" s="87" t="s">
        <v>879</v>
      </c>
      <c r="D49" s="23" t="s">
        <v>319</v>
      </c>
      <c r="E49" s="23" t="s">
        <v>320</v>
      </c>
      <c r="F49" s="23" t="s">
        <v>510</v>
      </c>
      <c r="G49" s="23" t="s">
        <v>22</v>
      </c>
      <c r="H49" s="23" t="s">
        <v>23</v>
      </c>
      <c r="I49" s="23" t="s">
        <v>2</v>
      </c>
      <c r="J49" s="23" t="s">
        <v>5</v>
      </c>
      <c r="K49" s="23" t="s">
        <v>321</v>
      </c>
      <c r="L49" s="23">
        <v>2023</v>
      </c>
      <c r="M49" s="24" t="s">
        <v>315</v>
      </c>
      <c r="N49" s="24">
        <v>45304</v>
      </c>
      <c r="O49" s="24" t="s">
        <v>50</v>
      </c>
      <c r="P49" s="86">
        <v>344</v>
      </c>
      <c r="Q49" s="86">
        <v>18.920000000000002</v>
      </c>
      <c r="R49" s="25">
        <v>18.920000000000002</v>
      </c>
      <c r="S49" s="25">
        <v>110</v>
      </c>
      <c r="T49" s="25">
        <v>9.73</v>
      </c>
      <c r="U49" s="25">
        <v>15.63</v>
      </c>
      <c r="V49" s="25">
        <v>14.08</v>
      </c>
      <c r="W49" s="25">
        <v>2081.1999999999998</v>
      </c>
      <c r="X49" s="34">
        <v>17193</v>
      </c>
      <c r="Y49" s="30">
        <v>45648</v>
      </c>
      <c r="Z49" s="85">
        <v>2024</v>
      </c>
      <c r="AA49" s="28">
        <v>12</v>
      </c>
      <c r="AB49" s="84">
        <v>32529.155999999999</v>
      </c>
      <c r="AC49" s="84">
        <v>29303.295999999998</v>
      </c>
      <c r="AD49" s="84">
        <v>6508.48</v>
      </c>
      <c r="AE49" s="34">
        <v>325291.56</v>
      </c>
      <c r="AF49" s="28" t="s">
        <v>65</v>
      </c>
      <c r="AG49" s="28" t="s">
        <v>66</v>
      </c>
      <c r="AH49" s="21">
        <v>14</v>
      </c>
      <c r="AI49" s="21">
        <v>12.5</v>
      </c>
      <c r="AJ49" s="21">
        <v>82.6</v>
      </c>
      <c r="AK49" s="21">
        <v>13.8</v>
      </c>
      <c r="AL49" s="21">
        <v>68.2</v>
      </c>
    </row>
    <row r="50" spans="2:38" x14ac:dyDescent="0.2">
      <c r="B50" s="34">
        <f>CHOOSE(B$1,Tabla2[[#This Row],[Edad]]*12/365,Tabla2[[#This Row],[Tn/Ha]],Tabla2[[#This Row],[Tn]],Tabla2[[#This Row],[Area_Cosecha]])</f>
        <v>12</v>
      </c>
      <c r="C50" s="87" t="s">
        <v>879</v>
      </c>
      <c r="D50" s="23" t="s">
        <v>319</v>
      </c>
      <c r="E50" s="23" t="s">
        <v>320</v>
      </c>
      <c r="F50" s="23" t="s">
        <v>472</v>
      </c>
      <c r="G50" s="23" t="s">
        <v>0</v>
      </c>
      <c r="H50" s="23" t="s">
        <v>1</v>
      </c>
      <c r="I50" s="23" t="s">
        <v>2</v>
      </c>
      <c r="J50" s="23" t="s">
        <v>3</v>
      </c>
      <c r="K50" s="23" t="s">
        <v>321</v>
      </c>
      <c r="L50" s="23">
        <v>2023</v>
      </c>
      <c r="M50" s="24" t="s">
        <v>60</v>
      </c>
      <c r="N50" s="24">
        <v>45274</v>
      </c>
      <c r="O50" s="24" t="s">
        <v>50</v>
      </c>
      <c r="P50" s="86">
        <v>365</v>
      </c>
      <c r="Q50" s="86">
        <v>41.88</v>
      </c>
      <c r="R50" s="25">
        <v>41.88</v>
      </c>
      <c r="S50" s="25">
        <v>142</v>
      </c>
      <c r="T50" s="25">
        <v>11.83</v>
      </c>
      <c r="U50" s="25">
        <v>15.07</v>
      </c>
      <c r="V50" s="25">
        <v>13.52</v>
      </c>
      <c r="W50" s="25">
        <v>5946.96</v>
      </c>
      <c r="X50" s="34">
        <v>21399.4</v>
      </c>
      <c r="Y50" s="30">
        <v>45639</v>
      </c>
      <c r="Z50" s="85">
        <v>2024</v>
      </c>
      <c r="AA50" s="28">
        <v>12</v>
      </c>
      <c r="AB50" s="84">
        <v>89620.6872</v>
      </c>
      <c r="AC50" s="84">
        <v>80402.8992</v>
      </c>
      <c r="AD50" s="84">
        <v>15286.2</v>
      </c>
      <c r="AE50" s="34">
        <v>896206.87199999997</v>
      </c>
      <c r="AF50" s="28" t="s">
        <v>65</v>
      </c>
      <c r="AG50" s="28" t="s">
        <v>66</v>
      </c>
      <c r="AH50" s="21">
        <v>15</v>
      </c>
      <c r="AI50" s="21">
        <v>13.5</v>
      </c>
      <c r="AJ50" s="21">
        <v>84.4</v>
      </c>
      <c r="AK50" s="21">
        <v>13.2</v>
      </c>
      <c r="AL50" s="21">
        <v>68</v>
      </c>
    </row>
    <row r="51" spans="2:38" x14ac:dyDescent="0.2">
      <c r="B51" s="34">
        <f>CHOOSE(B$1,Tabla2[[#This Row],[Edad]]*12/365,Tabla2[[#This Row],[Tn/Ha]],Tabla2[[#This Row],[Tn]],Tabla2[[#This Row],[Area_Cosecha]])</f>
        <v>10.553424657534247</v>
      </c>
      <c r="C51" s="87" t="s">
        <v>879</v>
      </c>
      <c r="D51" s="23" t="s">
        <v>319</v>
      </c>
      <c r="E51" s="23" t="s">
        <v>320</v>
      </c>
      <c r="F51" s="23" t="s">
        <v>421</v>
      </c>
      <c r="G51" s="23" t="s">
        <v>22</v>
      </c>
      <c r="H51" s="23" t="s">
        <v>32</v>
      </c>
      <c r="I51" s="23" t="s">
        <v>36</v>
      </c>
      <c r="J51" s="23" t="s">
        <v>6</v>
      </c>
      <c r="K51" s="23" t="s">
        <v>321</v>
      </c>
      <c r="L51" s="23">
        <v>2023</v>
      </c>
      <c r="M51" s="24" t="s">
        <v>351</v>
      </c>
      <c r="N51" s="24">
        <v>45334</v>
      </c>
      <c r="O51" s="24" t="s">
        <v>50</v>
      </c>
      <c r="P51" s="86">
        <v>321</v>
      </c>
      <c r="Q51" s="86">
        <v>18.559999999999999</v>
      </c>
      <c r="R51" s="25">
        <v>18.559999999999999</v>
      </c>
      <c r="S51" s="25">
        <v>125</v>
      </c>
      <c r="T51" s="25">
        <v>11.84</v>
      </c>
      <c r="U51" s="25">
        <v>15.68</v>
      </c>
      <c r="V51" s="25">
        <v>14.13</v>
      </c>
      <c r="W51" s="25">
        <v>2320</v>
      </c>
      <c r="X51" s="34">
        <v>19600</v>
      </c>
      <c r="Y51" s="30">
        <v>45655</v>
      </c>
      <c r="Z51" s="85">
        <v>2024</v>
      </c>
      <c r="AA51" s="28">
        <v>12</v>
      </c>
      <c r="AB51" s="84">
        <v>36377.599999999999</v>
      </c>
      <c r="AC51" s="84">
        <v>32781.599999999999</v>
      </c>
      <c r="AD51" s="84">
        <v>5957.76</v>
      </c>
      <c r="AE51" s="34">
        <v>363776</v>
      </c>
      <c r="AF51" s="28" t="s">
        <v>65</v>
      </c>
      <c r="AG51" s="28" t="s">
        <v>66</v>
      </c>
      <c r="AH51" s="21">
        <v>13.7</v>
      </c>
      <c r="AI51" s="21">
        <v>12.3</v>
      </c>
      <c r="AJ51" s="21">
        <v>82.1</v>
      </c>
      <c r="AK51" s="21">
        <v>13.8</v>
      </c>
      <c r="AL51" s="21">
        <v>68.400000000000006</v>
      </c>
    </row>
    <row r="52" spans="2:38" x14ac:dyDescent="0.2">
      <c r="B52" s="34">
        <f>CHOOSE(B$1,Tabla2[[#This Row],[Edad]]*12/365,Tabla2[[#This Row],[Tn/Ha]],Tabla2[[#This Row],[Tn]],Tabla2[[#This Row],[Area_Cosecha]])</f>
        <v>10.356164383561644</v>
      </c>
      <c r="C52" s="87" t="s">
        <v>879</v>
      </c>
      <c r="D52" s="23" t="s">
        <v>319</v>
      </c>
      <c r="E52" s="23" t="s">
        <v>320</v>
      </c>
      <c r="F52" s="23" t="s">
        <v>418</v>
      </c>
      <c r="G52" s="23" t="s">
        <v>22</v>
      </c>
      <c r="H52" s="23" t="s">
        <v>25</v>
      </c>
      <c r="I52" s="23" t="s">
        <v>26</v>
      </c>
      <c r="J52" s="23" t="s">
        <v>3</v>
      </c>
      <c r="K52" s="23" t="s">
        <v>344</v>
      </c>
      <c r="L52" s="23">
        <v>2023</v>
      </c>
      <c r="M52" s="24" t="s">
        <v>289</v>
      </c>
      <c r="N52" s="24">
        <v>45316</v>
      </c>
      <c r="O52" s="24" t="s">
        <v>50</v>
      </c>
      <c r="P52" s="86">
        <v>315</v>
      </c>
      <c r="Q52" s="86">
        <v>18.87</v>
      </c>
      <c r="R52" s="25">
        <v>15.84</v>
      </c>
      <c r="S52" s="25">
        <v>121.55</v>
      </c>
      <c r="T52" s="25">
        <v>11.74</v>
      </c>
      <c r="U52" s="25">
        <v>15.54</v>
      </c>
      <c r="V52" s="25">
        <v>13.99</v>
      </c>
      <c r="W52" s="25">
        <v>1925.3520000000001</v>
      </c>
      <c r="X52" s="34">
        <v>18888.87</v>
      </c>
      <c r="Y52" s="30">
        <v>45631</v>
      </c>
      <c r="Z52" s="85">
        <v>2024</v>
      </c>
      <c r="AA52" s="28">
        <v>12</v>
      </c>
      <c r="AB52" s="84">
        <v>29919.970079999999</v>
      </c>
      <c r="AC52" s="84">
        <v>26935.674480000001</v>
      </c>
      <c r="AD52" s="84">
        <v>4989.6000000000004</v>
      </c>
      <c r="AE52" s="34">
        <v>299199.70079999999</v>
      </c>
      <c r="AF52" s="28" t="s">
        <v>65</v>
      </c>
      <c r="AG52" s="28" t="s">
        <v>66</v>
      </c>
      <c r="AH52" s="21">
        <v>13.8</v>
      </c>
      <c r="AI52" s="21">
        <v>12.4</v>
      </c>
      <c r="AJ52" s="21">
        <v>81.8</v>
      </c>
      <c r="AK52" s="21">
        <v>13.9</v>
      </c>
      <c r="AL52" s="21">
        <v>68.400000000000006</v>
      </c>
    </row>
    <row r="53" spans="2:38" x14ac:dyDescent="0.2">
      <c r="B53" s="34">
        <f>CHOOSE(B$1,Tabla2[[#This Row],[Edad]]*12/365,Tabla2[[#This Row],[Tn/Ha]],Tabla2[[#This Row],[Tn]],Tabla2[[#This Row],[Area_Cosecha]])</f>
        <v>10.356164383561644</v>
      </c>
      <c r="C53" s="87" t="s">
        <v>879</v>
      </c>
      <c r="D53" s="23" t="s">
        <v>318</v>
      </c>
      <c r="E53" s="23" t="s">
        <v>317</v>
      </c>
      <c r="F53" s="23" t="s">
        <v>418</v>
      </c>
      <c r="G53" s="23" t="s">
        <v>22</v>
      </c>
      <c r="H53" s="23" t="s">
        <v>25</v>
      </c>
      <c r="I53" s="23" t="s">
        <v>26</v>
      </c>
      <c r="J53" s="23" t="s">
        <v>3</v>
      </c>
      <c r="K53" s="23">
        <v>35</v>
      </c>
      <c r="L53" s="23">
        <v>2023</v>
      </c>
      <c r="M53" s="24" t="s">
        <v>289</v>
      </c>
      <c r="N53" s="24">
        <v>45316</v>
      </c>
      <c r="O53" s="24" t="s">
        <v>50</v>
      </c>
      <c r="P53" s="86">
        <v>315</v>
      </c>
      <c r="Q53" s="86">
        <v>18.87</v>
      </c>
      <c r="R53" s="25">
        <v>1.79</v>
      </c>
      <c r="S53" s="25">
        <v>121.55</v>
      </c>
      <c r="T53" s="25">
        <v>11.74</v>
      </c>
      <c r="U53" s="25">
        <v>15.54</v>
      </c>
      <c r="V53" s="25">
        <v>13.99</v>
      </c>
      <c r="W53" s="25">
        <v>217.5745</v>
      </c>
      <c r="X53" s="34">
        <v>18888.87</v>
      </c>
      <c r="Y53" s="30">
        <v>45631</v>
      </c>
      <c r="Z53" s="85">
        <v>2024</v>
      </c>
      <c r="AA53" s="28">
        <v>12</v>
      </c>
      <c r="AB53" s="84">
        <v>3381.1077300000002</v>
      </c>
      <c r="AC53" s="84">
        <v>3043.8672550000001</v>
      </c>
      <c r="AD53" s="84">
        <v>563.85</v>
      </c>
      <c r="AE53" s="34">
        <v>33811.077299999997</v>
      </c>
      <c r="AF53" s="28" t="s">
        <v>65</v>
      </c>
      <c r="AG53" s="28" t="s">
        <v>66</v>
      </c>
      <c r="AH53" s="21">
        <v>13.8</v>
      </c>
      <c r="AI53" s="21">
        <v>12.4</v>
      </c>
      <c r="AJ53" s="21">
        <v>81.8</v>
      </c>
      <c r="AK53" s="21">
        <v>13.9</v>
      </c>
      <c r="AL53" s="21">
        <v>68.400000000000006</v>
      </c>
    </row>
    <row r="54" spans="2:38" x14ac:dyDescent="0.2">
      <c r="B54" s="34">
        <f>CHOOSE(B$1,Tabla2[[#This Row],[Edad]]*12/365,Tabla2[[#This Row],[Tn/Ha]],Tabla2[[#This Row],[Tn]],Tabla2[[#This Row],[Area_Cosecha]])</f>
        <v>10.356164383561644</v>
      </c>
      <c r="C54" s="87" t="s">
        <v>879</v>
      </c>
      <c r="D54" s="23" t="s">
        <v>318</v>
      </c>
      <c r="E54" s="23" t="s">
        <v>317</v>
      </c>
      <c r="F54" s="23" t="s">
        <v>418</v>
      </c>
      <c r="G54" s="23" t="s">
        <v>22</v>
      </c>
      <c r="H54" s="23" t="s">
        <v>25</v>
      </c>
      <c r="I54" s="23" t="s">
        <v>26</v>
      </c>
      <c r="J54" s="23" t="s">
        <v>3</v>
      </c>
      <c r="K54" s="23" t="s">
        <v>716</v>
      </c>
      <c r="L54" s="23">
        <v>2023</v>
      </c>
      <c r="M54" s="24" t="s">
        <v>289</v>
      </c>
      <c r="N54" s="24">
        <v>45316</v>
      </c>
      <c r="O54" s="24" t="s">
        <v>50</v>
      </c>
      <c r="P54" s="86">
        <v>315</v>
      </c>
      <c r="Q54" s="86">
        <v>18.87</v>
      </c>
      <c r="R54" s="25">
        <v>1.24</v>
      </c>
      <c r="S54" s="25">
        <v>121.55</v>
      </c>
      <c r="T54" s="25">
        <v>11.74</v>
      </c>
      <c r="U54" s="25">
        <v>15.54</v>
      </c>
      <c r="V54" s="25">
        <v>13.99</v>
      </c>
      <c r="W54" s="25">
        <v>150.72200000000001</v>
      </c>
      <c r="X54" s="34">
        <v>18888.87</v>
      </c>
      <c r="Y54" s="30">
        <v>45631</v>
      </c>
      <c r="Z54" s="85">
        <v>2024</v>
      </c>
      <c r="AA54" s="28">
        <v>12</v>
      </c>
      <c r="AB54" s="84">
        <v>2342.2198800000001</v>
      </c>
      <c r="AC54" s="84">
        <v>2108.6007800000002</v>
      </c>
      <c r="AD54" s="84">
        <v>390.6</v>
      </c>
      <c r="AE54" s="34">
        <v>23422.198799999998</v>
      </c>
      <c r="AF54" s="28" t="s">
        <v>65</v>
      </c>
      <c r="AG54" s="28" t="s">
        <v>66</v>
      </c>
      <c r="AH54" s="21">
        <v>13.8</v>
      </c>
      <c r="AI54" s="21">
        <v>12.4</v>
      </c>
      <c r="AJ54" s="21">
        <v>81.8</v>
      </c>
      <c r="AK54" s="21">
        <v>13.9</v>
      </c>
      <c r="AL54" s="21">
        <v>68.400000000000006</v>
      </c>
    </row>
    <row r="55" spans="2:38" x14ac:dyDescent="0.2">
      <c r="B55" s="34">
        <f>CHOOSE(B$1,Tabla2[[#This Row],[Edad]]*12/365,Tabla2[[#This Row],[Tn/Ha]],Tabla2[[#This Row],[Tn]],Tabla2[[#This Row],[Area_Cosecha]])</f>
        <v>12.558904109589042</v>
      </c>
      <c r="C55" s="87" t="s">
        <v>879</v>
      </c>
      <c r="D55" s="23" t="s">
        <v>319</v>
      </c>
      <c r="E55" s="23" t="s">
        <v>320</v>
      </c>
      <c r="F55" s="23" t="s">
        <v>465</v>
      </c>
      <c r="G55" s="23" t="s">
        <v>17</v>
      </c>
      <c r="H55" s="23" t="s">
        <v>18</v>
      </c>
      <c r="I55" s="23" t="s">
        <v>12</v>
      </c>
      <c r="J55" s="23" t="s">
        <v>5</v>
      </c>
      <c r="K55" s="23" t="s">
        <v>321</v>
      </c>
      <c r="L55" s="23">
        <v>2022</v>
      </c>
      <c r="M55" s="24" t="s">
        <v>410</v>
      </c>
      <c r="N55" s="24">
        <v>45248</v>
      </c>
      <c r="O55" s="24" t="s">
        <v>50</v>
      </c>
      <c r="P55" s="86">
        <v>382</v>
      </c>
      <c r="Q55" s="86">
        <v>16.010000000000002</v>
      </c>
      <c r="R55" s="25">
        <v>3.93</v>
      </c>
      <c r="S55" s="25">
        <v>120</v>
      </c>
      <c r="T55" s="25">
        <v>9.5500000000000007</v>
      </c>
      <c r="U55" s="25">
        <v>15.28</v>
      </c>
      <c r="V55" s="25">
        <v>13.73</v>
      </c>
      <c r="W55" s="25">
        <v>471.6</v>
      </c>
      <c r="X55" s="34">
        <v>18336</v>
      </c>
      <c r="Y55" s="30">
        <v>45630</v>
      </c>
      <c r="Z55" s="85">
        <v>2024</v>
      </c>
      <c r="AA55" s="28">
        <v>12</v>
      </c>
      <c r="AB55" s="84">
        <v>7206.0479999999998</v>
      </c>
      <c r="AC55" s="84">
        <v>6475.0680000000002</v>
      </c>
      <c r="AD55" s="84">
        <v>1501.26</v>
      </c>
      <c r="AE55" s="34">
        <v>72060.479999999996</v>
      </c>
      <c r="AF55" s="28" t="s">
        <v>65</v>
      </c>
      <c r="AG55" s="28" t="s">
        <v>66</v>
      </c>
      <c r="AH55" s="21">
        <v>16</v>
      </c>
      <c r="AI55" s="21">
        <v>14.5</v>
      </c>
      <c r="AJ55" s="21">
        <v>84.9</v>
      </c>
      <c r="AK55" s="21">
        <v>13.3</v>
      </c>
      <c r="AL55" s="21">
        <v>66.900000000000006</v>
      </c>
    </row>
    <row r="56" spans="2:38" x14ac:dyDescent="0.2">
      <c r="B56" s="34">
        <f>CHOOSE(B$1,Tabla2[[#This Row],[Edad]]*12/365,Tabla2[[#This Row],[Tn/Ha]],Tabla2[[#This Row],[Tn]],Tabla2[[#This Row],[Area_Cosecha]])</f>
        <v>10.389041095890411</v>
      </c>
      <c r="C56" s="87" t="s">
        <v>879</v>
      </c>
      <c r="D56" s="23" t="s">
        <v>319</v>
      </c>
      <c r="E56" s="23" t="s">
        <v>320</v>
      </c>
      <c r="F56" s="23" t="s">
        <v>432</v>
      </c>
      <c r="G56" s="23" t="s">
        <v>22</v>
      </c>
      <c r="H56" s="23" t="s">
        <v>25</v>
      </c>
      <c r="I56" s="23" t="s">
        <v>26</v>
      </c>
      <c r="J56" s="23" t="s">
        <v>4</v>
      </c>
      <c r="K56" s="23" t="s">
        <v>321</v>
      </c>
      <c r="L56" s="23">
        <v>2023</v>
      </c>
      <c r="M56" s="24" t="s">
        <v>289</v>
      </c>
      <c r="N56" s="24">
        <v>45317</v>
      </c>
      <c r="O56" s="24" t="s">
        <v>50</v>
      </c>
      <c r="P56" s="86">
        <v>316</v>
      </c>
      <c r="Q56" s="86">
        <v>16.97</v>
      </c>
      <c r="R56" s="25">
        <v>16.97</v>
      </c>
      <c r="S56" s="25">
        <v>123.81</v>
      </c>
      <c r="T56" s="25">
        <v>11.92</v>
      </c>
      <c r="U56" s="25">
        <v>15.54</v>
      </c>
      <c r="V56" s="25">
        <v>13.99</v>
      </c>
      <c r="W56" s="25">
        <v>2101.06</v>
      </c>
      <c r="X56" s="34">
        <v>19240.074000000001</v>
      </c>
      <c r="Y56" s="30">
        <v>45633</v>
      </c>
      <c r="Z56" s="85">
        <v>2024</v>
      </c>
      <c r="AA56" s="28">
        <v>12</v>
      </c>
      <c r="AB56" s="84">
        <v>32650.472399999999</v>
      </c>
      <c r="AC56" s="84">
        <v>29393.829399999999</v>
      </c>
      <c r="AD56" s="84">
        <v>5362.52</v>
      </c>
      <c r="AE56" s="34">
        <v>326504.05578</v>
      </c>
      <c r="AF56" s="28" t="s">
        <v>65</v>
      </c>
      <c r="AG56" s="28" t="s">
        <v>66</v>
      </c>
      <c r="AH56" s="21">
        <v>14.2</v>
      </c>
      <c r="AI56" s="21">
        <v>12.7</v>
      </c>
      <c r="AJ56" s="21">
        <v>82.6</v>
      </c>
      <c r="AK56" s="21">
        <v>13.5</v>
      </c>
      <c r="AL56" s="21">
        <v>68.3</v>
      </c>
    </row>
    <row r="57" spans="2:38" x14ac:dyDescent="0.2">
      <c r="B57" s="34">
        <f>CHOOSE(B$1,Tabla2[[#This Row],[Edad]]*12/365,Tabla2[[#This Row],[Tn/Ha]],Tabla2[[#This Row],[Tn]],Tabla2[[#This Row],[Area_Cosecha]])</f>
        <v>10.849315068493151</v>
      </c>
      <c r="C57" s="87" t="s">
        <v>879</v>
      </c>
      <c r="D57" s="23" t="s">
        <v>319</v>
      </c>
      <c r="E57" s="23" t="s">
        <v>320</v>
      </c>
      <c r="F57" s="23" t="s">
        <v>496</v>
      </c>
      <c r="G57" s="23" t="s">
        <v>22</v>
      </c>
      <c r="H57" s="23" t="s">
        <v>41</v>
      </c>
      <c r="I57" s="23" t="s">
        <v>43</v>
      </c>
      <c r="J57" s="23" t="s">
        <v>3</v>
      </c>
      <c r="K57" s="23" t="s">
        <v>344</v>
      </c>
      <c r="L57" s="23">
        <v>2023</v>
      </c>
      <c r="M57" s="24" t="s">
        <v>61</v>
      </c>
      <c r="N57" s="24">
        <v>45297</v>
      </c>
      <c r="O57" s="24" t="s">
        <v>50</v>
      </c>
      <c r="P57" s="86">
        <v>330</v>
      </c>
      <c r="Q57" s="86">
        <v>19.36</v>
      </c>
      <c r="R57" s="25">
        <v>19.11</v>
      </c>
      <c r="S57" s="25">
        <v>130</v>
      </c>
      <c r="T57" s="25">
        <v>11.98</v>
      </c>
      <c r="U57" s="25">
        <v>15.63</v>
      </c>
      <c r="V57" s="25">
        <v>14.08</v>
      </c>
      <c r="W57" s="25">
        <v>2484.3000000000002</v>
      </c>
      <c r="X57" s="34">
        <v>20319</v>
      </c>
      <c r="Y57" s="30">
        <v>45627</v>
      </c>
      <c r="Z57" s="85">
        <v>2024</v>
      </c>
      <c r="AA57" s="28">
        <v>12</v>
      </c>
      <c r="AB57" s="84">
        <v>38829.608999999997</v>
      </c>
      <c r="AC57" s="84">
        <v>34978.944000000003</v>
      </c>
      <c r="AD57" s="84">
        <v>6306.3</v>
      </c>
      <c r="AE57" s="34">
        <v>388296.09</v>
      </c>
      <c r="AF57" s="28" t="s">
        <v>65</v>
      </c>
      <c r="AG57" s="28" t="s">
        <v>66</v>
      </c>
      <c r="AH57" s="21">
        <v>14.6</v>
      </c>
      <c r="AI57" s="21">
        <v>13.1</v>
      </c>
      <c r="AJ57" s="21">
        <v>82.6</v>
      </c>
      <c r="AK57" s="21">
        <v>13.4</v>
      </c>
      <c r="AL57" s="21">
        <v>68</v>
      </c>
    </row>
    <row r="58" spans="2:38" x14ac:dyDescent="0.2">
      <c r="B58" s="34">
        <f>CHOOSE(B$1,Tabla2[[#This Row],[Edad]]*12/365,Tabla2[[#This Row],[Tn/Ha]],Tabla2[[#This Row],[Tn]],Tabla2[[#This Row],[Area_Cosecha]])</f>
        <v>10.849315068493151</v>
      </c>
      <c r="C58" s="87" t="s">
        <v>879</v>
      </c>
      <c r="D58" s="23" t="s">
        <v>318</v>
      </c>
      <c r="E58" s="23" t="s">
        <v>317</v>
      </c>
      <c r="F58" s="23" t="s">
        <v>496</v>
      </c>
      <c r="G58" s="23" t="s">
        <v>22</v>
      </c>
      <c r="H58" s="23" t="s">
        <v>41</v>
      </c>
      <c r="I58" s="23" t="s">
        <v>43</v>
      </c>
      <c r="J58" s="23" t="s">
        <v>3</v>
      </c>
      <c r="K58" s="23">
        <v>7</v>
      </c>
      <c r="L58" s="23">
        <v>2023</v>
      </c>
      <c r="M58" s="24" t="s">
        <v>61</v>
      </c>
      <c r="N58" s="24">
        <v>45297</v>
      </c>
      <c r="O58" s="24" t="s">
        <v>50</v>
      </c>
      <c r="P58" s="86">
        <v>330</v>
      </c>
      <c r="Q58" s="86">
        <v>19.36</v>
      </c>
      <c r="R58" s="25">
        <v>0.25</v>
      </c>
      <c r="S58" s="25">
        <v>130</v>
      </c>
      <c r="T58" s="25">
        <v>11.98</v>
      </c>
      <c r="U58" s="25">
        <v>15.63</v>
      </c>
      <c r="V58" s="25">
        <v>14.08</v>
      </c>
      <c r="W58" s="25">
        <v>32.5</v>
      </c>
      <c r="X58" s="34">
        <v>20319</v>
      </c>
      <c r="Y58" s="30">
        <v>45627</v>
      </c>
      <c r="Z58" s="85">
        <v>2024</v>
      </c>
      <c r="AA58" s="28">
        <v>12</v>
      </c>
      <c r="AB58" s="84">
        <v>507.97500000000002</v>
      </c>
      <c r="AC58" s="84">
        <v>457.6</v>
      </c>
      <c r="AD58" s="84">
        <v>82.5</v>
      </c>
      <c r="AE58" s="34">
        <v>5079.75</v>
      </c>
      <c r="AF58" s="28" t="s">
        <v>65</v>
      </c>
      <c r="AG58" s="28" t="s">
        <v>66</v>
      </c>
      <c r="AH58" s="21">
        <v>14.6</v>
      </c>
      <c r="AI58" s="21">
        <v>13.1</v>
      </c>
      <c r="AJ58" s="21">
        <v>82.6</v>
      </c>
      <c r="AK58" s="21">
        <v>13.4</v>
      </c>
      <c r="AL58" s="21">
        <v>68</v>
      </c>
    </row>
    <row r="59" spans="2:38" x14ac:dyDescent="0.2">
      <c r="B59" s="34">
        <f>CHOOSE(B$1,Tabla2[[#This Row],[Edad]]*12/365,Tabla2[[#This Row],[Tn/Ha]],Tabla2[[#This Row],[Tn]],Tabla2[[#This Row],[Area_Cosecha]])</f>
        <v>11.145205479452056</v>
      </c>
      <c r="C59" s="87" t="s">
        <v>879</v>
      </c>
      <c r="D59" s="23" t="s">
        <v>319</v>
      </c>
      <c r="E59" s="23" t="s">
        <v>320</v>
      </c>
      <c r="F59" s="23" t="s">
        <v>414</v>
      </c>
      <c r="G59" s="23" t="s">
        <v>17</v>
      </c>
      <c r="H59" s="23" t="s">
        <v>18</v>
      </c>
      <c r="I59" s="23" t="s">
        <v>11</v>
      </c>
      <c r="J59" s="23" t="s">
        <v>3</v>
      </c>
      <c r="K59" s="23" t="s">
        <v>321</v>
      </c>
      <c r="L59" s="23">
        <v>2023</v>
      </c>
      <c r="M59" s="24" t="s">
        <v>62</v>
      </c>
      <c r="N59" s="24">
        <v>45288</v>
      </c>
      <c r="O59" s="24" t="s">
        <v>50</v>
      </c>
      <c r="P59" s="86">
        <v>339</v>
      </c>
      <c r="Q59" s="86">
        <v>21.45</v>
      </c>
      <c r="R59" s="25">
        <v>0.66</v>
      </c>
      <c r="S59" s="25">
        <v>85</v>
      </c>
      <c r="T59" s="25">
        <v>7.63</v>
      </c>
      <c r="U59" s="25">
        <v>15.23</v>
      </c>
      <c r="V59" s="25">
        <v>13.68</v>
      </c>
      <c r="W59" s="25">
        <v>56.1</v>
      </c>
      <c r="X59" s="34">
        <v>12945.5</v>
      </c>
      <c r="Y59" s="30">
        <v>45627</v>
      </c>
      <c r="Z59" s="85">
        <v>2024</v>
      </c>
      <c r="AA59" s="28">
        <v>12</v>
      </c>
      <c r="AB59" s="84">
        <v>854.40300000000002</v>
      </c>
      <c r="AC59" s="84">
        <v>767.44799999999998</v>
      </c>
      <c r="AD59" s="84">
        <v>223.74</v>
      </c>
      <c r="AE59" s="34">
        <v>8544.0300000000007</v>
      </c>
      <c r="AF59" s="28" t="s">
        <v>65</v>
      </c>
      <c r="AG59" s="28" t="s">
        <v>66</v>
      </c>
      <c r="AH59" s="21">
        <v>14.8</v>
      </c>
      <c r="AI59" s="21">
        <v>13.3</v>
      </c>
      <c r="AJ59" s="21">
        <v>83.7</v>
      </c>
      <c r="AK59" s="21">
        <v>13.8</v>
      </c>
      <c r="AL59" s="21">
        <v>67.8</v>
      </c>
    </row>
    <row r="60" spans="2:38" x14ac:dyDescent="0.2">
      <c r="B60" s="34">
        <f>CHOOSE(B$1,Tabla2[[#This Row],[Edad]]*12/365,Tabla2[[#This Row],[Tn/Ha]],Tabla2[[#This Row],[Tn]],Tabla2[[#This Row],[Area_Cosecha]])</f>
        <v>10.487671232876712</v>
      </c>
      <c r="C60" s="87" t="s">
        <v>879</v>
      </c>
      <c r="D60" s="23" t="s">
        <v>319</v>
      </c>
      <c r="E60" s="23" t="s">
        <v>320</v>
      </c>
      <c r="F60" s="23" t="s">
        <v>457</v>
      </c>
      <c r="G60" s="23" t="s">
        <v>22</v>
      </c>
      <c r="H60" s="23" t="s">
        <v>23</v>
      </c>
      <c r="I60" s="23" t="s">
        <v>9</v>
      </c>
      <c r="J60" s="23" t="s">
        <v>5</v>
      </c>
      <c r="K60" s="23" t="s">
        <v>321</v>
      </c>
      <c r="L60" s="23">
        <v>2024</v>
      </c>
      <c r="M60" s="24" t="s">
        <v>843</v>
      </c>
      <c r="N60" s="24">
        <v>45334</v>
      </c>
      <c r="O60" s="24" t="s">
        <v>50</v>
      </c>
      <c r="P60" s="86">
        <v>319</v>
      </c>
      <c r="Q60" s="86">
        <v>20.36</v>
      </c>
      <c r="R60" s="25">
        <v>20.36</v>
      </c>
      <c r="S60" s="25">
        <v>125</v>
      </c>
      <c r="T60" s="25">
        <v>11.92</v>
      </c>
      <c r="U60" s="25">
        <v>15.54</v>
      </c>
      <c r="V60" s="25">
        <v>13.99</v>
      </c>
      <c r="W60" s="25">
        <v>2545</v>
      </c>
      <c r="X60" s="34">
        <v>19425</v>
      </c>
      <c r="Y60" s="30">
        <v>45653</v>
      </c>
      <c r="Z60" s="85">
        <v>2024</v>
      </c>
      <c r="AA60" s="28">
        <v>12</v>
      </c>
      <c r="AB60" s="84">
        <v>39549.300000000003</v>
      </c>
      <c r="AC60" s="84">
        <v>35604.550000000003</v>
      </c>
      <c r="AD60" s="84">
        <v>6494.84</v>
      </c>
      <c r="AE60" s="34">
        <v>395493</v>
      </c>
      <c r="AF60" s="28" t="s">
        <v>65</v>
      </c>
      <c r="AG60" s="28" t="s">
        <v>66</v>
      </c>
      <c r="AH60" s="21">
        <v>14.6</v>
      </c>
      <c r="AI60" s="21">
        <v>13.1</v>
      </c>
      <c r="AJ60" s="21">
        <v>82.5</v>
      </c>
      <c r="AK60" s="21">
        <v>13.3</v>
      </c>
      <c r="AL60" s="21">
        <v>68.5</v>
      </c>
    </row>
    <row r="61" spans="2:38" x14ac:dyDescent="0.2">
      <c r="B61" s="34">
        <f>CHOOSE(B$1,Tabla2[[#This Row],[Edad]]*12/365,Tabla2[[#This Row],[Tn/Ha]],Tabla2[[#This Row],[Tn]],Tabla2[[#This Row],[Area_Cosecha]])</f>
        <v>10.520547945205479</v>
      </c>
      <c r="C61" s="87" t="s">
        <v>879</v>
      </c>
      <c r="D61" s="23" t="s">
        <v>319</v>
      </c>
      <c r="E61" s="23" t="s">
        <v>320</v>
      </c>
      <c r="F61" s="23" t="s">
        <v>429</v>
      </c>
      <c r="G61" s="23" t="s">
        <v>22</v>
      </c>
      <c r="H61" s="23" t="s">
        <v>32</v>
      </c>
      <c r="I61" s="23" t="s">
        <v>36</v>
      </c>
      <c r="J61" s="23" t="s">
        <v>4</v>
      </c>
      <c r="K61" s="23" t="s">
        <v>321</v>
      </c>
      <c r="L61" s="23">
        <v>2023</v>
      </c>
      <c r="M61" s="24" t="s">
        <v>351</v>
      </c>
      <c r="N61" s="24">
        <v>45334</v>
      </c>
      <c r="O61" s="24" t="s">
        <v>50</v>
      </c>
      <c r="P61" s="86">
        <v>320</v>
      </c>
      <c r="Q61" s="86">
        <v>18.8</v>
      </c>
      <c r="R61" s="25">
        <v>18.8</v>
      </c>
      <c r="S61" s="25">
        <v>125</v>
      </c>
      <c r="T61" s="25">
        <v>11.88</v>
      </c>
      <c r="U61" s="25">
        <v>15.68</v>
      </c>
      <c r="V61" s="25">
        <v>14.13</v>
      </c>
      <c r="W61" s="25">
        <v>2350</v>
      </c>
      <c r="X61" s="34">
        <v>19600</v>
      </c>
      <c r="Y61" s="30">
        <v>45654</v>
      </c>
      <c r="Z61" s="85">
        <v>2024</v>
      </c>
      <c r="AA61" s="28">
        <v>12</v>
      </c>
      <c r="AB61" s="84">
        <v>36848</v>
      </c>
      <c r="AC61" s="84">
        <v>33205.5</v>
      </c>
      <c r="AD61" s="84">
        <v>6016</v>
      </c>
      <c r="AE61" s="34">
        <v>368480</v>
      </c>
      <c r="AF61" s="28" t="s">
        <v>65</v>
      </c>
      <c r="AG61" s="28" t="s">
        <v>66</v>
      </c>
      <c r="AH61" s="21">
        <v>14</v>
      </c>
      <c r="AI61" s="21">
        <v>12.6</v>
      </c>
      <c r="AJ61" s="21">
        <v>83.3</v>
      </c>
      <c r="AK61" s="21">
        <v>13.8</v>
      </c>
      <c r="AL61" s="21">
        <v>68.3</v>
      </c>
    </row>
    <row r="62" spans="2:38" x14ac:dyDescent="0.2">
      <c r="B62" s="34">
        <f>CHOOSE(B$1,Tabla2[[#This Row],[Edad]]*12/365,Tabla2[[#This Row],[Tn/Ha]],Tabla2[[#This Row],[Tn]],Tabla2[[#This Row],[Area_Cosecha]])</f>
        <v>18.989194774913198</v>
      </c>
      <c r="C62" s="87" t="s">
        <v>550</v>
      </c>
      <c r="D62" s="23" t="s">
        <v>551</v>
      </c>
      <c r="E62" s="23" t="s">
        <v>551</v>
      </c>
      <c r="F62" s="23" t="s">
        <v>103</v>
      </c>
      <c r="G62" s="23" t="s">
        <v>78</v>
      </c>
      <c r="H62" s="23" t="s">
        <v>16</v>
      </c>
      <c r="I62" s="23" t="s">
        <v>2</v>
      </c>
      <c r="J62" s="23" t="s">
        <v>4</v>
      </c>
      <c r="K62" s="23" t="s">
        <v>704</v>
      </c>
      <c r="L62" s="23">
        <v>2021</v>
      </c>
      <c r="M62" s="24" t="s">
        <v>283</v>
      </c>
      <c r="N62" s="24">
        <v>44889</v>
      </c>
      <c r="O62" s="24" t="s">
        <v>50</v>
      </c>
      <c r="P62" s="86">
        <v>577.58800773694304</v>
      </c>
      <c r="Q62" s="86">
        <v>10.41</v>
      </c>
      <c r="R62" s="25">
        <v>10.34</v>
      </c>
      <c r="S62" s="25">
        <v>135.96</v>
      </c>
      <c r="T62" s="25">
        <v>7.16</v>
      </c>
      <c r="U62" s="25">
        <v>14.449435224914099</v>
      </c>
      <c r="V62" s="25">
        <v>12.971754534558601</v>
      </c>
      <c r="W62" s="25">
        <v>1405.87</v>
      </c>
      <c r="X62" s="34">
        <v>636236.66</v>
      </c>
      <c r="Y62" s="30">
        <v>45469</v>
      </c>
      <c r="Z62" s="85">
        <v>2024</v>
      </c>
      <c r="AA62" s="28">
        <v>6</v>
      </c>
      <c r="AB62" s="84">
        <v>20314.027499649899</v>
      </c>
      <c r="AC62" s="84">
        <v>18236.600547499998</v>
      </c>
      <c r="AD62" s="84">
        <v>5972.2599999999902</v>
      </c>
      <c r="AE62" s="34">
        <v>203140.27499649901</v>
      </c>
      <c r="AF62" s="28" t="s">
        <v>551</v>
      </c>
      <c r="AG62" s="28" t="s">
        <v>66</v>
      </c>
    </row>
    <row r="63" spans="2:38" x14ac:dyDescent="0.2">
      <c r="B63" s="34">
        <f>CHOOSE(B$1,Tabla2[[#This Row],[Edad]]*12/365,Tabla2[[#This Row],[Tn/Ha]],Tabla2[[#This Row],[Tn]],Tabla2[[#This Row],[Area_Cosecha]])</f>
        <v>19.758904109589039</v>
      </c>
      <c r="C63" s="87" t="s">
        <v>550</v>
      </c>
      <c r="D63" s="23" t="s">
        <v>551</v>
      </c>
      <c r="E63" s="23" t="s">
        <v>551</v>
      </c>
      <c r="F63" s="23" t="s">
        <v>103</v>
      </c>
      <c r="G63" s="23" t="s">
        <v>78</v>
      </c>
      <c r="H63" s="23" t="s">
        <v>16</v>
      </c>
      <c r="I63" s="23" t="s">
        <v>2</v>
      </c>
      <c r="J63" s="23" t="s">
        <v>4</v>
      </c>
      <c r="K63" s="23" t="s">
        <v>704</v>
      </c>
      <c r="L63" s="23">
        <v>2021</v>
      </c>
      <c r="M63" s="24" t="s">
        <v>283</v>
      </c>
      <c r="N63" s="24">
        <v>44889</v>
      </c>
      <c r="O63" s="24" t="s">
        <v>50</v>
      </c>
      <c r="P63" s="86">
        <v>601</v>
      </c>
      <c r="Q63" s="86">
        <v>10.41</v>
      </c>
      <c r="R63" s="25">
        <v>7.0000000000000007E-2</v>
      </c>
      <c r="S63" s="25">
        <v>1523.86</v>
      </c>
      <c r="T63" s="25">
        <v>77.12</v>
      </c>
      <c r="U63" s="25">
        <v>14.449434999999999</v>
      </c>
      <c r="V63" s="25">
        <v>12.971754000000001</v>
      </c>
      <c r="W63" s="25">
        <v>106.67</v>
      </c>
      <c r="X63" s="34">
        <v>1625498.41</v>
      </c>
      <c r="Y63" s="30">
        <v>45490</v>
      </c>
      <c r="Z63" s="85">
        <v>2024</v>
      </c>
      <c r="AA63" s="28">
        <v>7</v>
      </c>
      <c r="AB63" s="84">
        <v>1541.3212314499999</v>
      </c>
      <c r="AC63" s="84">
        <v>1383.6969991799999</v>
      </c>
      <c r="AD63" s="84">
        <v>42.07</v>
      </c>
      <c r="AE63" s="34">
        <v>15413.2123144999</v>
      </c>
      <c r="AF63" s="28" t="s">
        <v>551</v>
      </c>
      <c r="AG63" s="28" t="s">
        <v>66</v>
      </c>
    </row>
    <row r="64" spans="2:38" x14ac:dyDescent="0.2">
      <c r="B64" s="34">
        <f>CHOOSE(B$1,Tabla2[[#This Row],[Edad]]*12/365,Tabla2[[#This Row],[Tn/Ha]],Tabla2[[#This Row],[Tn]],Tabla2[[#This Row],[Area_Cosecha]])</f>
        <v>18.747287671232876</v>
      </c>
      <c r="C64" s="87" t="s">
        <v>550</v>
      </c>
      <c r="D64" s="23" t="s">
        <v>551</v>
      </c>
      <c r="E64" s="23" t="s">
        <v>551</v>
      </c>
      <c r="F64" s="23" t="s">
        <v>104</v>
      </c>
      <c r="G64" s="23" t="s">
        <v>78</v>
      </c>
      <c r="H64" s="23" t="s">
        <v>16</v>
      </c>
      <c r="I64" s="23" t="s">
        <v>2</v>
      </c>
      <c r="J64" s="23" t="s">
        <v>5</v>
      </c>
      <c r="K64" s="23" t="s">
        <v>661</v>
      </c>
      <c r="L64" s="23">
        <v>2021</v>
      </c>
      <c r="M64" s="24" t="s">
        <v>315</v>
      </c>
      <c r="N64" s="24">
        <v>44863</v>
      </c>
      <c r="O64" s="24" t="s">
        <v>50</v>
      </c>
      <c r="P64" s="86">
        <v>570.23</v>
      </c>
      <c r="Q64" s="86">
        <v>5.97</v>
      </c>
      <c r="R64" s="25">
        <v>1</v>
      </c>
      <c r="S64" s="25">
        <v>245.19</v>
      </c>
      <c r="T64" s="25">
        <v>13.08</v>
      </c>
      <c r="U64" s="25">
        <v>13.858665999999999</v>
      </c>
      <c r="V64" s="25">
        <v>12.334499999999901</v>
      </c>
      <c r="W64" s="25">
        <v>245.19</v>
      </c>
      <c r="X64" s="34">
        <v>300590.68</v>
      </c>
      <c r="Y64" s="30">
        <v>45434</v>
      </c>
      <c r="Z64" s="85">
        <v>2024</v>
      </c>
      <c r="AA64" s="28">
        <v>5</v>
      </c>
      <c r="AB64" s="84">
        <v>3398.0063165399902</v>
      </c>
      <c r="AC64" s="84">
        <v>3024.2960549999998</v>
      </c>
      <c r="AD64" s="84">
        <v>570.23</v>
      </c>
      <c r="AE64" s="34">
        <v>33980.063165399901</v>
      </c>
      <c r="AF64" s="28" t="s">
        <v>551</v>
      </c>
      <c r="AG64" s="28" t="s">
        <v>66</v>
      </c>
    </row>
    <row r="65" spans="2:33" x14ac:dyDescent="0.2">
      <c r="B65" s="34">
        <f>CHOOSE(B$1,Tabla2[[#This Row],[Edad]]*12/365,Tabla2[[#This Row],[Tn/Ha]],Tabla2[[#This Row],[Tn]],Tabla2[[#This Row],[Area_Cosecha]])</f>
        <v>19.791383919958093</v>
      </c>
      <c r="C65" s="87" t="s">
        <v>550</v>
      </c>
      <c r="D65" s="23" t="s">
        <v>551</v>
      </c>
      <c r="E65" s="23" t="s">
        <v>551</v>
      </c>
      <c r="F65" s="23" t="s">
        <v>104</v>
      </c>
      <c r="G65" s="23" t="s">
        <v>78</v>
      </c>
      <c r="H65" s="23" t="s">
        <v>16</v>
      </c>
      <c r="I65" s="23" t="s">
        <v>2</v>
      </c>
      <c r="J65" s="23" t="s">
        <v>5</v>
      </c>
      <c r="K65" s="23" t="s">
        <v>661</v>
      </c>
      <c r="L65" s="23">
        <v>2021</v>
      </c>
      <c r="M65" s="24" t="s">
        <v>315</v>
      </c>
      <c r="N65" s="24">
        <v>44863</v>
      </c>
      <c r="O65" s="24" t="s">
        <v>50</v>
      </c>
      <c r="P65" s="86">
        <v>601.98792756539206</v>
      </c>
      <c r="Q65" s="86">
        <v>5.97</v>
      </c>
      <c r="R65" s="25">
        <v>4.97</v>
      </c>
      <c r="S65" s="25">
        <v>178.68</v>
      </c>
      <c r="T65" s="25">
        <v>9.0299999999999994</v>
      </c>
      <c r="U65" s="25">
        <v>14.5722447299671</v>
      </c>
      <c r="V65" s="25">
        <v>13.080081341043099</v>
      </c>
      <c r="W65" s="25">
        <v>888.04</v>
      </c>
      <c r="X65" s="34">
        <v>316459.62</v>
      </c>
      <c r="Y65" s="30">
        <v>45467</v>
      </c>
      <c r="Z65" s="85">
        <v>2024</v>
      </c>
      <c r="AA65" s="28">
        <v>6</v>
      </c>
      <c r="AB65" s="84">
        <v>12940.736209999999</v>
      </c>
      <c r="AC65" s="84">
        <v>11615.635434100001</v>
      </c>
      <c r="AD65" s="84">
        <v>2991.88</v>
      </c>
      <c r="AE65" s="34">
        <v>129407.36209999899</v>
      </c>
      <c r="AF65" s="28" t="s">
        <v>551</v>
      </c>
      <c r="AG65" s="28" t="s">
        <v>66</v>
      </c>
    </row>
    <row r="66" spans="2:33" x14ac:dyDescent="0.2">
      <c r="B66" s="34">
        <f>CHOOSE(B$1,Tabla2[[#This Row],[Edad]]*12/365,Tabla2[[#This Row],[Tn/Ha]],Tabla2[[#This Row],[Tn]],Tabla2[[#This Row],[Area_Cosecha]])</f>
        <v>16.915981735159793</v>
      </c>
      <c r="C66" s="87" t="s">
        <v>550</v>
      </c>
      <c r="D66" s="23" t="s">
        <v>551</v>
      </c>
      <c r="E66" s="23" t="s">
        <v>551</v>
      </c>
      <c r="F66" s="23" t="s">
        <v>105</v>
      </c>
      <c r="G66" s="23" t="s">
        <v>78</v>
      </c>
      <c r="H66" s="23" t="s">
        <v>16</v>
      </c>
      <c r="I66" s="23" t="s">
        <v>2</v>
      </c>
      <c r="J66" s="23" t="s">
        <v>6</v>
      </c>
      <c r="K66" s="23" t="s">
        <v>717</v>
      </c>
      <c r="L66" s="23">
        <v>2021</v>
      </c>
      <c r="M66" s="24" t="s">
        <v>315</v>
      </c>
      <c r="N66" s="24">
        <v>44968</v>
      </c>
      <c r="O66" s="24" t="s">
        <v>50</v>
      </c>
      <c r="P66" s="86">
        <v>514.52777777777703</v>
      </c>
      <c r="Q66" s="86">
        <v>6.12</v>
      </c>
      <c r="R66" s="25">
        <v>6.12</v>
      </c>
      <c r="S66" s="25">
        <v>181.85</v>
      </c>
      <c r="T66" s="25">
        <v>10.75</v>
      </c>
      <c r="U66" s="25">
        <v>15.0554695284297</v>
      </c>
      <c r="V66" s="25">
        <v>13.5651464184128</v>
      </c>
      <c r="W66" s="25">
        <v>1112.9199999999901</v>
      </c>
      <c r="X66" s="34">
        <v>678148.79</v>
      </c>
      <c r="Y66" s="30">
        <v>45494</v>
      </c>
      <c r="Z66" s="85">
        <v>2024</v>
      </c>
      <c r="AA66" s="28">
        <v>7</v>
      </c>
      <c r="AB66" s="84">
        <v>16755.533147580001</v>
      </c>
      <c r="AC66" s="84">
        <v>15096.922751979901</v>
      </c>
      <c r="AD66" s="84">
        <v>3148.91</v>
      </c>
      <c r="AE66" s="34">
        <v>167555.33147579999</v>
      </c>
      <c r="AF66" s="28" t="s">
        <v>551</v>
      </c>
      <c r="AG66" s="28" t="s">
        <v>66</v>
      </c>
    </row>
    <row r="67" spans="2:33" x14ac:dyDescent="0.2">
      <c r="B67" s="34">
        <f>CHOOSE(B$1,Tabla2[[#This Row],[Edad]]*12/365,Tabla2[[#This Row],[Tn/Ha]],Tabla2[[#This Row],[Tn]],Tabla2[[#This Row],[Area_Cosecha]])</f>
        <v>16.557705104763023</v>
      </c>
      <c r="C67" s="87" t="s">
        <v>550</v>
      </c>
      <c r="D67" s="23" t="s">
        <v>551</v>
      </c>
      <c r="E67" s="23" t="s">
        <v>551</v>
      </c>
      <c r="F67" s="23" t="s">
        <v>106</v>
      </c>
      <c r="G67" s="23" t="s">
        <v>78</v>
      </c>
      <c r="H67" s="23" t="s">
        <v>16</v>
      </c>
      <c r="I67" s="23" t="s">
        <v>2</v>
      </c>
      <c r="J67" s="23" t="s">
        <v>7</v>
      </c>
      <c r="K67" s="23" t="s">
        <v>705</v>
      </c>
      <c r="L67" s="23">
        <v>2022</v>
      </c>
      <c r="M67" s="24" t="s">
        <v>62</v>
      </c>
      <c r="N67" s="24">
        <v>44964</v>
      </c>
      <c r="O67" s="24" t="s">
        <v>50</v>
      </c>
      <c r="P67" s="86">
        <v>503.63019693654201</v>
      </c>
      <c r="Q67" s="86">
        <v>8.7100000000000009</v>
      </c>
      <c r="R67" s="25">
        <v>4.57</v>
      </c>
      <c r="S67" s="25">
        <v>155.80000000000001</v>
      </c>
      <c r="T67" s="25">
        <v>9.41</v>
      </c>
      <c r="U67" s="25">
        <v>15.345746511537699</v>
      </c>
      <c r="V67" s="25">
        <v>13.872040466931599</v>
      </c>
      <c r="W67" s="25">
        <v>712.01</v>
      </c>
      <c r="X67" s="34">
        <v>553479.81000000006</v>
      </c>
      <c r="Y67" s="30">
        <v>45468</v>
      </c>
      <c r="Z67" s="85">
        <v>2024</v>
      </c>
      <c r="AA67" s="28">
        <v>6</v>
      </c>
      <c r="AB67" s="84">
        <v>10926.324973679901</v>
      </c>
      <c r="AC67" s="84">
        <v>9877.03153285999</v>
      </c>
      <c r="AD67" s="84">
        <v>2301.59</v>
      </c>
      <c r="AE67" s="34">
        <v>109263.249736799</v>
      </c>
      <c r="AF67" s="28" t="s">
        <v>551</v>
      </c>
      <c r="AG67" s="28" t="s">
        <v>66</v>
      </c>
    </row>
    <row r="68" spans="2:33" x14ac:dyDescent="0.2">
      <c r="B68" s="34">
        <f>CHOOSE(B$1,Tabla2[[#This Row],[Edad]]*12/365,Tabla2[[#This Row],[Tn/Ha]],Tabla2[[#This Row],[Tn]],Tabla2[[#This Row],[Area_Cosecha]])</f>
        <v>16.912924359737914</v>
      </c>
      <c r="C68" s="87" t="s">
        <v>550</v>
      </c>
      <c r="D68" s="23" t="s">
        <v>551</v>
      </c>
      <c r="E68" s="23" t="s">
        <v>551</v>
      </c>
      <c r="F68" s="23" t="s">
        <v>106</v>
      </c>
      <c r="G68" s="23" t="s">
        <v>78</v>
      </c>
      <c r="H68" s="23" t="s">
        <v>16</v>
      </c>
      <c r="I68" s="23" t="s">
        <v>2</v>
      </c>
      <c r="J68" s="23" t="s">
        <v>7</v>
      </c>
      <c r="K68" s="23" t="s">
        <v>705</v>
      </c>
      <c r="L68" s="23">
        <v>2022</v>
      </c>
      <c r="M68" s="24" t="s">
        <v>62</v>
      </c>
      <c r="N68" s="24">
        <v>44964</v>
      </c>
      <c r="O68" s="24" t="s">
        <v>50</v>
      </c>
      <c r="P68" s="86">
        <v>514.43478260869495</v>
      </c>
      <c r="Q68" s="86">
        <v>8.7100000000000009</v>
      </c>
      <c r="R68" s="25">
        <v>4.1399999999999997</v>
      </c>
      <c r="S68" s="25">
        <v>180.98</v>
      </c>
      <c r="T68" s="25">
        <v>10.7</v>
      </c>
      <c r="U68" s="25">
        <v>15.645759711284599</v>
      </c>
      <c r="V68" s="25">
        <v>14.1428622689356</v>
      </c>
      <c r="W68" s="25">
        <v>749.25</v>
      </c>
      <c r="X68" s="34">
        <v>683061.85</v>
      </c>
      <c r="Y68" s="30">
        <v>45479</v>
      </c>
      <c r="Z68" s="85">
        <v>2024</v>
      </c>
      <c r="AA68" s="28">
        <v>7</v>
      </c>
      <c r="AB68" s="84">
        <v>11722.58546368</v>
      </c>
      <c r="AC68" s="84">
        <v>10596.539554999999</v>
      </c>
      <c r="AD68" s="84">
        <v>2129.7600000000002</v>
      </c>
      <c r="AE68" s="34">
        <v>117225.8546368</v>
      </c>
      <c r="AF68" s="28" t="s">
        <v>551</v>
      </c>
      <c r="AG68" s="28" t="s">
        <v>66</v>
      </c>
    </row>
    <row r="69" spans="2:33" x14ac:dyDescent="0.2">
      <c r="B69" s="34">
        <f>CHOOSE(B$1,Tabla2[[#This Row],[Edad]]*12/365,Tabla2[[#This Row],[Tn/Ha]],Tabla2[[#This Row],[Tn]],Tabla2[[#This Row],[Area_Cosecha]])</f>
        <v>16.734127886850281</v>
      </c>
      <c r="C69" s="87" t="s">
        <v>550</v>
      </c>
      <c r="D69" s="23" t="s">
        <v>551</v>
      </c>
      <c r="E69" s="23" t="s">
        <v>551</v>
      </c>
      <c r="F69" s="23" t="s">
        <v>107</v>
      </c>
      <c r="G69" s="23" t="s">
        <v>78</v>
      </c>
      <c r="H69" s="23" t="s">
        <v>16</v>
      </c>
      <c r="I69" s="23" t="s">
        <v>2</v>
      </c>
      <c r="J69" s="23" t="s">
        <v>8</v>
      </c>
      <c r="K69" s="23" t="s">
        <v>718</v>
      </c>
      <c r="L69" s="23">
        <v>2022</v>
      </c>
      <c r="M69" s="24" t="s">
        <v>62</v>
      </c>
      <c r="N69" s="24">
        <v>44970</v>
      </c>
      <c r="O69" s="24" t="s">
        <v>50</v>
      </c>
      <c r="P69" s="86">
        <v>508.99638989169603</v>
      </c>
      <c r="Q69" s="86">
        <v>8.31</v>
      </c>
      <c r="R69" s="25">
        <v>8.31</v>
      </c>
      <c r="S69" s="25">
        <v>140.56</v>
      </c>
      <c r="T69" s="25">
        <v>8.4</v>
      </c>
      <c r="U69" s="25">
        <v>15.7006332653842</v>
      </c>
      <c r="V69" s="25">
        <v>14.2034705597647</v>
      </c>
      <c r="W69" s="25">
        <v>1168.08</v>
      </c>
      <c r="X69" s="34">
        <v>548414.71999999997</v>
      </c>
      <c r="Y69" s="30">
        <v>45480</v>
      </c>
      <c r="Z69" s="85">
        <v>2024</v>
      </c>
      <c r="AA69" s="28">
        <v>7</v>
      </c>
      <c r="AB69" s="84">
        <v>18339.595704629999</v>
      </c>
      <c r="AC69" s="84">
        <v>16590.78989145</v>
      </c>
      <c r="AD69" s="84">
        <v>4229.76</v>
      </c>
      <c r="AE69" s="34">
        <v>183395.9570463</v>
      </c>
      <c r="AF69" s="28" t="s">
        <v>551</v>
      </c>
      <c r="AG69" s="28" t="s">
        <v>66</v>
      </c>
    </row>
    <row r="70" spans="2:33" x14ac:dyDescent="0.2">
      <c r="B70" s="34">
        <f>CHOOSE(B$1,Tabla2[[#This Row],[Edad]]*12/365,Tabla2[[#This Row],[Tn/Ha]],Tabla2[[#This Row],[Tn]],Tabla2[[#This Row],[Area_Cosecha]])</f>
        <v>16.641353048810629</v>
      </c>
      <c r="C70" s="87" t="s">
        <v>550</v>
      </c>
      <c r="D70" s="23" t="s">
        <v>551</v>
      </c>
      <c r="E70" s="23" t="s">
        <v>551</v>
      </c>
      <c r="F70" s="23" t="s">
        <v>108</v>
      </c>
      <c r="G70" s="23" t="s">
        <v>78</v>
      </c>
      <c r="H70" s="23" t="s">
        <v>16</v>
      </c>
      <c r="I70" s="23" t="s">
        <v>2</v>
      </c>
      <c r="J70" s="23" t="s">
        <v>37</v>
      </c>
      <c r="K70" s="23" t="s">
        <v>719</v>
      </c>
      <c r="L70" s="23">
        <v>2021</v>
      </c>
      <c r="M70" s="24" t="s">
        <v>283</v>
      </c>
      <c r="N70" s="24">
        <v>44975</v>
      </c>
      <c r="O70" s="24" t="s">
        <v>51</v>
      </c>
      <c r="P70" s="86">
        <v>506.17448856799001</v>
      </c>
      <c r="Q70" s="86">
        <v>8.31</v>
      </c>
      <c r="R70" s="25">
        <v>8.31</v>
      </c>
      <c r="S70" s="25">
        <v>167.81</v>
      </c>
      <c r="T70" s="25">
        <v>10.08</v>
      </c>
      <c r="U70" s="25">
        <v>14.3930192662674</v>
      </c>
      <c r="V70" s="25">
        <v>12.9113481946862</v>
      </c>
      <c r="W70" s="25">
        <v>1394.5</v>
      </c>
      <c r="X70" s="34">
        <v>575933.13</v>
      </c>
      <c r="Y70" s="30">
        <v>45483</v>
      </c>
      <c r="Z70" s="85">
        <v>2024</v>
      </c>
      <c r="AA70" s="28">
        <v>7</v>
      </c>
      <c r="AB70" s="84">
        <v>20071.065366809999</v>
      </c>
      <c r="AC70" s="84">
        <v>18004.87505749</v>
      </c>
      <c r="AD70" s="84">
        <v>4206.3100000000004</v>
      </c>
      <c r="AE70" s="34">
        <v>200710.65366810001</v>
      </c>
      <c r="AF70" s="28" t="s">
        <v>551</v>
      </c>
      <c r="AG70" s="28" t="s">
        <v>66</v>
      </c>
    </row>
    <row r="71" spans="2:33" x14ac:dyDescent="0.2">
      <c r="B71" s="34">
        <f>CHOOSE(B$1,Tabla2[[#This Row],[Edad]]*12/365,Tabla2[[#This Row],[Tn/Ha]],Tabla2[[#This Row],[Tn]],Tabla2[[#This Row],[Area_Cosecha]])</f>
        <v>16.404103217585195</v>
      </c>
      <c r="C71" s="87" t="s">
        <v>550</v>
      </c>
      <c r="D71" s="23" t="s">
        <v>551</v>
      </c>
      <c r="E71" s="23" t="s">
        <v>551</v>
      </c>
      <c r="F71" s="23" t="s">
        <v>109</v>
      </c>
      <c r="G71" s="23" t="s">
        <v>78</v>
      </c>
      <c r="H71" s="23" t="s">
        <v>16</v>
      </c>
      <c r="I71" s="23" t="s">
        <v>2</v>
      </c>
      <c r="J71" s="23" t="s">
        <v>40</v>
      </c>
      <c r="K71" s="23" t="s">
        <v>720</v>
      </c>
      <c r="L71" s="23">
        <v>2022</v>
      </c>
      <c r="M71" s="24" t="s">
        <v>62</v>
      </c>
      <c r="N71" s="24">
        <v>44981</v>
      </c>
      <c r="O71" s="24" t="s">
        <v>50</v>
      </c>
      <c r="P71" s="86">
        <v>498.958139534883</v>
      </c>
      <c r="Q71" s="86">
        <v>8.6</v>
      </c>
      <c r="R71" s="25">
        <v>8.6</v>
      </c>
      <c r="S71" s="25">
        <v>171.2</v>
      </c>
      <c r="T71" s="25">
        <v>10.44</v>
      </c>
      <c r="U71" s="25">
        <v>15.4073973470417</v>
      </c>
      <c r="V71" s="25">
        <v>13.9006440483383</v>
      </c>
      <c r="W71" s="25">
        <v>1472.33</v>
      </c>
      <c r="X71" s="34">
        <v>843365.88</v>
      </c>
      <c r="Y71" s="30">
        <v>45481</v>
      </c>
      <c r="Z71" s="85">
        <v>2024</v>
      </c>
      <c r="AA71" s="28">
        <v>7</v>
      </c>
      <c r="AB71" s="84">
        <v>22684.77333597</v>
      </c>
      <c r="AC71" s="84">
        <v>20466.335251689899</v>
      </c>
      <c r="AD71" s="84">
        <v>4291.04</v>
      </c>
      <c r="AE71" s="34">
        <v>226847.73335969899</v>
      </c>
      <c r="AF71" s="28" t="s">
        <v>551</v>
      </c>
      <c r="AG71" s="28" t="s">
        <v>66</v>
      </c>
    </row>
    <row r="72" spans="2:33" x14ac:dyDescent="0.2">
      <c r="B72" s="34">
        <f>CHOOSE(B$1,Tabla2[[#This Row],[Edad]]*12/365,Tabla2[[#This Row],[Tn/Ha]],Tabla2[[#This Row],[Tn]],Tabla2[[#This Row],[Area_Cosecha]])</f>
        <v>11.399174493031035</v>
      </c>
      <c r="C72" s="87" t="s">
        <v>550</v>
      </c>
      <c r="D72" s="23" t="s">
        <v>551</v>
      </c>
      <c r="E72" s="23" t="s">
        <v>551</v>
      </c>
      <c r="F72" s="23" t="s">
        <v>749</v>
      </c>
      <c r="G72" s="23" t="s">
        <v>84</v>
      </c>
      <c r="H72" s="23" t="s">
        <v>359</v>
      </c>
      <c r="I72" s="23" t="s">
        <v>2</v>
      </c>
      <c r="J72" s="23" t="s">
        <v>542</v>
      </c>
      <c r="K72" s="23" t="s">
        <v>700</v>
      </c>
      <c r="L72" s="23">
        <v>2022</v>
      </c>
      <c r="M72" s="24" t="s">
        <v>60</v>
      </c>
      <c r="N72" s="24">
        <v>45117</v>
      </c>
      <c r="O72" s="24" t="s">
        <v>50</v>
      </c>
      <c r="P72" s="86">
        <v>346.724890829694</v>
      </c>
      <c r="Q72" s="86">
        <v>11.91</v>
      </c>
      <c r="R72" s="25">
        <v>11.45</v>
      </c>
      <c r="S72" s="25">
        <v>106.04</v>
      </c>
      <c r="T72" s="25">
        <v>9.3000000000000007</v>
      </c>
      <c r="U72" s="25">
        <v>15.1413083761283</v>
      </c>
      <c r="V72" s="25">
        <v>13.660883821044999</v>
      </c>
      <c r="W72" s="25">
        <v>1214.1599999999901</v>
      </c>
      <c r="X72" s="34">
        <v>648611.65</v>
      </c>
      <c r="Y72" s="30">
        <v>45464</v>
      </c>
      <c r="Z72" s="85">
        <v>2024</v>
      </c>
      <c r="AA72" s="28">
        <v>6</v>
      </c>
      <c r="AB72" s="84">
        <v>18383.9709779599</v>
      </c>
      <c r="AC72" s="84">
        <v>16586.498700159998</v>
      </c>
      <c r="AD72" s="84">
        <v>3970</v>
      </c>
      <c r="AE72" s="34">
        <v>183839.70977959901</v>
      </c>
      <c r="AF72" s="28" t="s">
        <v>551</v>
      </c>
      <c r="AG72" s="28" t="s">
        <v>66</v>
      </c>
    </row>
    <row r="73" spans="2:33" x14ac:dyDescent="0.2">
      <c r="B73" s="34">
        <f>CHOOSE(B$1,Tabla2[[#This Row],[Edad]]*12/365,Tabla2[[#This Row],[Tn/Ha]],Tabla2[[#This Row],[Tn]],Tabla2[[#This Row],[Area_Cosecha]])</f>
        <v>11.255127304023519</v>
      </c>
      <c r="C73" s="87" t="s">
        <v>550</v>
      </c>
      <c r="D73" s="23" t="s">
        <v>551</v>
      </c>
      <c r="E73" s="23" t="s">
        <v>551</v>
      </c>
      <c r="F73" s="23" t="s">
        <v>750</v>
      </c>
      <c r="G73" s="23" t="s">
        <v>84</v>
      </c>
      <c r="H73" s="23" t="s">
        <v>359</v>
      </c>
      <c r="I73" s="23" t="s">
        <v>2</v>
      </c>
      <c r="J73" s="23" t="s">
        <v>537</v>
      </c>
      <c r="K73" s="23" t="s">
        <v>681</v>
      </c>
      <c r="L73" s="23">
        <v>2022</v>
      </c>
      <c r="M73" s="24" t="s">
        <v>60</v>
      </c>
      <c r="N73" s="24">
        <v>45117</v>
      </c>
      <c r="O73" s="24" t="s">
        <v>50</v>
      </c>
      <c r="P73" s="86">
        <v>342.34345549738202</v>
      </c>
      <c r="Q73" s="86">
        <v>9.5500000000000007</v>
      </c>
      <c r="R73" s="25">
        <v>9.5499999999999901</v>
      </c>
      <c r="S73" s="25">
        <v>143.15</v>
      </c>
      <c r="T73" s="25">
        <v>12.72</v>
      </c>
      <c r="U73" s="25">
        <v>15.052941723844</v>
      </c>
      <c r="V73" s="25">
        <v>13.5816564646438</v>
      </c>
      <c r="W73" s="25">
        <v>1367.09</v>
      </c>
      <c r="X73" s="34">
        <v>975874.71</v>
      </c>
      <c r="Y73" s="30">
        <v>45460</v>
      </c>
      <c r="Z73" s="85">
        <v>2024</v>
      </c>
      <c r="AA73" s="28">
        <v>6</v>
      </c>
      <c r="AB73" s="84">
        <v>20578.726101249998</v>
      </c>
      <c r="AC73" s="84">
        <v>18567.346736250001</v>
      </c>
      <c r="AD73" s="84">
        <v>3269.3799999999901</v>
      </c>
      <c r="AE73" s="34">
        <v>205787.26101250001</v>
      </c>
      <c r="AF73" s="28" t="s">
        <v>551</v>
      </c>
      <c r="AG73" s="28" t="s">
        <v>66</v>
      </c>
    </row>
    <row r="74" spans="2:33" x14ac:dyDescent="0.2">
      <c r="B74" s="34">
        <f>CHOOSE(B$1,Tabla2[[#This Row],[Edad]]*12/365,Tabla2[[#This Row],[Tn/Ha]],Tabla2[[#This Row],[Tn]],Tabla2[[#This Row],[Area_Cosecha]])</f>
        <v>16.242338790511166</v>
      </c>
      <c r="C74" s="87" t="s">
        <v>550</v>
      </c>
      <c r="D74" s="23" t="s">
        <v>551</v>
      </c>
      <c r="E74" s="23" t="s">
        <v>551</v>
      </c>
      <c r="F74" s="23" t="s">
        <v>751</v>
      </c>
      <c r="G74" s="23" t="s">
        <v>84</v>
      </c>
      <c r="H74" s="23" t="s">
        <v>359</v>
      </c>
      <c r="I74" s="23" t="s">
        <v>2</v>
      </c>
      <c r="J74" s="23" t="s">
        <v>362</v>
      </c>
      <c r="K74" s="23" t="s">
        <v>682</v>
      </c>
      <c r="L74" s="23">
        <v>2022</v>
      </c>
      <c r="M74" s="24" t="s">
        <v>60</v>
      </c>
      <c r="N74" s="24">
        <v>44967</v>
      </c>
      <c r="O74" s="24" t="s">
        <v>50</v>
      </c>
      <c r="P74" s="86">
        <v>494.03780487804801</v>
      </c>
      <c r="Q74" s="86">
        <v>16.399999999999999</v>
      </c>
      <c r="R74" s="25">
        <v>16.399999999999999</v>
      </c>
      <c r="S74" s="25">
        <v>144.19</v>
      </c>
      <c r="T74" s="25">
        <v>8.8800000000000008</v>
      </c>
      <c r="U74" s="25">
        <v>14.961817595738999</v>
      </c>
      <c r="V74" s="25">
        <v>13.490008685479401</v>
      </c>
      <c r="W74" s="25">
        <v>2364.71</v>
      </c>
      <c r="X74" s="34">
        <v>859154.02</v>
      </c>
      <c r="Y74" s="30">
        <v>45464</v>
      </c>
      <c r="Z74" s="85">
        <v>2024</v>
      </c>
      <c r="AA74" s="28">
        <v>6</v>
      </c>
      <c r="AB74" s="84">
        <v>35380.359686819997</v>
      </c>
      <c r="AC74" s="84">
        <v>31899.958438639998</v>
      </c>
      <c r="AD74" s="84">
        <v>8102.22</v>
      </c>
      <c r="AE74" s="34">
        <v>353803.59686819999</v>
      </c>
      <c r="AF74" s="28" t="s">
        <v>551</v>
      </c>
      <c r="AG74" s="28" t="s">
        <v>66</v>
      </c>
    </row>
    <row r="75" spans="2:33" x14ac:dyDescent="0.2">
      <c r="B75" s="34">
        <f>CHOOSE(B$1,Tabla2[[#This Row],[Edad]]*12/365,Tabla2[[#This Row],[Tn/Ha]],Tabla2[[#This Row],[Tn]],Tabla2[[#This Row],[Area_Cosecha]])</f>
        <v>15.936387079463968</v>
      </c>
      <c r="C75" s="87" t="s">
        <v>550</v>
      </c>
      <c r="D75" s="23" t="s">
        <v>551</v>
      </c>
      <c r="E75" s="23" t="s">
        <v>551</v>
      </c>
      <c r="F75" s="23" t="s">
        <v>752</v>
      </c>
      <c r="G75" s="23" t="s">
        <v>84</v>
      </c>
      <c r="H75" s="23" t="s">
        <v>359</v>
      </c>
      <c r="I75" s="23" t="s">
        <v>2</v>
      </c>
      <c r="J75" s="23" t="s">
        <v>365</v>
      </c>
      <c r="K75" s="23" t="s">
        <v>701</v>
      </c>
      <c r="L75" s="23">
        <v>2022</v>
      </c>
      <c r="M75" s="24" t="s">
        <v>60</v>
      </c>
      <c r="N75" s="24">
        <v>44980</v>
      </c>
      <c r="O75" s="24" t="s">
        <v>50</v>
      </c>
      <c r="P75" s="86">
        <v>484.73177366702902</v>
      </c>
      <c r="Q75" s="86">
        <v>18.38</v>
      </c>
      <c r="R75" s="25">
        <v>18.38</v>
      </c>
      <c r="S75" s="25">
        <v>215.21</v>
      </c>
      <c r="T75" s="25">
        <v>13.5</v>
      </c>
      <c r="U75" s="25">
        <v>14.0044732180456</v>
      </c>
      <c r="V75" s="25">
        <v>12.558964808882999</v>
      </c>
      <c r="W75" s="25">
        <v>3955.64</v>
      </c>
      <c r="X75" s="34">
        <v>2811435.98</v>
      </c>
      <c r="Y75" s="30">
        <v>45466</v>
      </c>
      <c r="Z75" s="85">
        <v>2024</v>
      </c>
      <c r="AA75" s="28">
        <v>6</v>
      </c>
      <c r="AB75" s="84">
        <v>55396.654440229999</v>
      </c>
      <c r="AC75" s="84">
        <v>49678.743556610003</v>
      </c>
      <c r="AD75" s="84">
        <v>8909.3699999999899</v>
      </c>
      <c r="AE75" s="34">
        <v>553966.54440230003</v>
      </c>
      <c r="AF75" s="28" t="s">
        <v>551</v>
      </c>
      <c r="AG75" s="28" t="s">
        <v>66</v>
      </c>
    </row>
    <row r="76" spans="2:33" x14ac:dyDescent="0.2">
      <c r="B76" s="34">
        <f>CHOOSE(B$1,Tabla2[[#This Row],[Edad]]*12/365,Tabla2[[#This Row],[Tn/Ha]],Tabla2[[#This Row],[Tn]],Tabla2[[#This Row],[Area_Cosecha]])</f>
        <v>16.095395434647028</v>
      </c>
      <c r="C76" s="87" t="s">
        <v>550</v>
      </c>
      <c r="D76" s="23" t="s">
        <v>551</v>
      </c>
      <c r="E76" s="23" t="s">
        <v>551</v>
      </c>
      <c r="F76" s="23" t="s">
        <v>753</v>
      </c>
      <c r="G76" s="23" t="s">
        <v>84</v>
      </c>
      <c r="H76" s="23" t="s">
        <v>359</v>
      </c>
      <c r="I76" s="23" t="s">
        <v>2</v>
      </c>
      <c r="J76" s="23" t="s">
        <v>363</v>
      </c>
      <c r="K76" s="23" t="s">
        <v>683</v>
      </c>
      <c r="L76" s="23">
        <v>2022</v>
      </c>
      <c r="M76" s="24" t="s">
        <v>60</v>
      </c>
      <c r="N76" s="24">
        <v>44972</v>
      </c>
      <c r="O76" s="24" t="s">
        <v>50</v>
      </c>
      <c r="P76" s="86">
        <v>489.56827780384702</v>
      </c>
      <c r="Q76" s="86">
        <v>21.31</v>
      </c>
      <c r="R76" s="25">
        <v>21.31</v>
      </c>
      <c r="S76" s="25">
        <v>208.56</v>
      </c>
      <c r="T76" s="25">
        <v>12.96</v>
      </c>
      <c r="U76" s="25">
        <v>13.6305771020356</v>
      </c>
      <c r="V76" s="25">
        <v>12.141794382113799</v>
      </c>
      <c r="W76" s="25">
        <v>4444.33</v>
      </c>
      <c r="X76" s="34">
        <v>2341717.35</v>
      </c>
      <c r="Y76" s="30">
        <v>45463</v>
      </c>
      <c r="Z76" s="85">
        <v>2024</v>
      </c>
      <c r="AA76" s="28">
        <v>6</v>
      </c>
      <c r="AB76" s="84">
        <v>60578.782731890002</v>
      </c>
      <c r="AC76" s="84">
        <v>53962.141026259997</v>
      </c>
      <c r="AD76" s="84">
        <v>10432.700000000001</v>
      </c>
      <c r="AE76" s="34">
        <v>605787.82731890003</v>
      </c>
      <c r="AF76" s="28" t="s">
        <v>551</v>
      </c>
      <c r="AG76" s="28" t="s">
        <v>66</v>
      </c>
    </row>
    <row r="77" spans="2:33" x14ac:dyDescent="0.2">
      <c r="B77" s="34">
        <f>CHOOSE(B$1,Tabla2[[#This Row],[Edad]]*12/365,Tabla2[[#This Row],[Tn/Ha]],Tabla2[[#This Row],[Tn]],Tabla2[[#This Row],[Area_Cosecha]])</f>
        <v>16.09354725227865</v>
      </c>
      <c r="C77" s="87" t="s">
        <v>550</v>
      </c>
      <c r="D77" s="23" t="s">
        <v>551</v>
      </c>
      <c r="E77" s="23" t="s">
        <v>551</v>
      </c>
      <c r="F77" s="23" t="s">
        <v>754</v>
      </c>
      <c r="G77" s="23" t="s">
        <v>84</v>
      </c>
      <c r="H77" s="23" t="s">
        <v>359</v>
      </c>
      <c r="I77" s="23" t="s">
        <v>2</v>
      </c>
      <c r="J77" s="23" t="s">
        <v>361</v>
      </c>
      <c r="K77" s="23" t="s">
        <v>684</v>
      </c>
      <c r="L77" s="23">
        <v>2022</v>
      </c>
      <c r="M77" s="24" t="s">
        <v>60</v>
      </c>
      <c r="N77" s="24">
        <v>44969</v>
      </c>
      <c r="O77" s="24" t="s">
        <v>50</v>
      </c>
      <c r="P77" s="86">
        <v>489.51206225680897</v>
      </c>
      <c r="Q77" s="86">
        <v>12.85</v>
      </c>
      <c r="R77" s="25">
        <v>12.85</v>
      </c>
      <c r="S77" s="25">
        <v>181.22</v>
      </c>
      <c r="T77" s="25">
        <v>11.26</v>
      </c>
      <c r="U77" s="25">
        <v>14.1970736372818</v>
      </c>
      <c r="V77" s="25">
        <v>12.7242163218017</v>
      </c>
      <c r="W77" s="25">
        <v>2328.6509999999998</v>
      </c>
      <c r="X77" s="34">
        <v>1406918.85</v>
      </c>
      <c r="Y77" s="30">
        <v>45460</v>
      </c>
      <c r="Z77" s="85">
        <v>2024</v>
      </c>
      <c r="AA77" s="28">
        <v>6</v>
      </c>
      <c r="AB77" s="84">
        <v>33060.029722530002</v>
      </c>
      <c r="AC77" s="84">
        <v>29630.259061979999</v>
      </c>
      <c r="AD77" s="84">
        <v>6290.23</v>
      </c>
      <c r="AE77" s="34">
        <v>330600.29722529999</v>
      </c>
      <c r="AF77" s="28" t="s">
        <v>551</v>
      </c>
      <c r="AG77" s="28" t="s">
        <v>66</v>
      </c>
    </row>
    <row r="78" spans="2:33" x14ac:dyDescent="0.2">
      <c r="B78" s="34">
        <f>CHOOSE(B$1,Tabla2[[#This Row],[Edad]]*12/365,Tabla2[[#This Row],[Tn/Ha]],Tabla2[[#This Row],[Tn]],Tabla2[[#This Row],[Area_Cosecha]])</f>
        <v>11.808853298646378</v>
      </c>
      <c r="C78" s="87" t="s">
        <v>550</v>
      </c>
      <c r="D78" s="23" t="s">
        <v>551</v>
      </c>
      <c r="E78" s="23" t="s">
        <v>551</v>
      </c>
      <c r="F78" s="23" t="s">
        <v>755</v>
      </c>
      <c r="G78" s="23" t="s">
        <v>84</v>
      </c>
      <c r="H78" s="23" t="s">
        <v>359</v>
      </c>
      <c r="I78" s="23" t="s">
        <v>2</v>
      </c>
      <c r="J78" s="23" t="s">
        <v>544</v>
      </c>
      <c r="K78" s="23" t="s">
        <v>702</v>
      </c>
      <c r="L78" s="23">
        <v>2022</v>
      </c>
      <c r="M78" s="24" t="s">
        <v>60</v>
      </c>
      <c r="N78" s="24">
        <v>45107</v>
      </c>
      <c r="O78" s="24" t="s">
        <v>50</v>
      </c>
      <c r="P78" s="86">
        <v>359.18595450049401</v>
      </c>
      <c r="Q78" s="86">
        <v>20.22</v>
      </c>
      <c r="R78" s="25">
        <v>20.22</v>
      </c>
      <c r="S78" s="25">
        <v>141.61000000000001</v>
      </c>
      <c r="T78" s="25">
        <v>11.99</v>
      </c>
      <c r="U78" s="25">
        <v>15.0119494005916</v>
      </c>
      <c r="V78" s="25">
        <v>13.552058590541201</v>
      </c>
      <c r="W78" s="25">
        <v>2863.39</v>
      </c>
      <c r="X78" s="34">
        <v>1016386.45</v>
      </c>
      <c r="Y78" s="30">
        <v>45470</v>
      </c>
      <c r="Z78" s="85">
        <v>2024</v>
      </c>
      <c r="AA78" s="28">
        <v>6</v>
      </c>
      <c r="AB78" s="84">
        <v>42985.06579416</v>
      </c>
      <c r="AC78" s="84">
        <v>38804.829047569998</v>
      </c>
      <c r="AD78" s="84">
        <v>7262.7399999999898</v>
      </c>
      <c r="AE78" s="34">
        <v>429850.65794160002</v>
      </c>
      <c r="AF78" s="28" t="s">
        <v>551</v>
      </c>
      <c r="AG78" s="28" t="s">
        <v>66</v>
      </c>
    </row>
    <row r="79" spans="2:33" x14ac:dyDescent="0.2">
      <c r="B79" s="34">
        <f>CHOOSE(B$1,Tabla2[[#This Row],[Edad]]*12/365,Tabla2[[#This Row],[Tn/Ha]],Tabla2[[#This Row],[Tn]],Tabla2[[#This Row],[Area_Cosecha]])</f>
        <v>12.813650097303551</v>
      </c>
      <c r="C79" s="87" t="s">
        <v>550</v>
      </c>
      <c r="D79" s="23" t="s">
        <v>551</v>
      </c>
      <c r="E79" s="23" t="s">
        <v>551</v>
      </c>
      <c r="F79" s="23" t="s">
        <v>110</v>
      </c>
      <c r="G79" s="23" t="s">
        <v>78</v>
      </c>
      <c r="H79" s="23" t="s">
        <v>48</v>
      </c>
      <c r="I79" s="23" t="s">
        <v>2</v>
      </c>
      <c r="J79" s="23" t="s">
        <v>3</v>
      </c>
      <c r="K79" s="23" t="s">
        <v>880</v>
      </c>
      <c r="L79" s="23">
        <v>2022</v>
      </c>
      <c r="M79" s="24" t="s">
        <v>80</v>
      </c>
      <c r="N79" s="24">
        <v>45226</v>
      </c>
      <c r="O79" s="24" t="s">
        <v>50</v>
      </c>
      <c r="P79" s="86">
        <v>389.74852379298301</v>
      </c>
      <c r="Q79" s="86">
        <v>28.79</v>
      </c>
      <c r="R79" s="25">
        <v>28.79</v>
      </c>
      <c r="S79" s="25">
        <v>112.91</v>
      </c>
      <c r="T79" s="25">
        <v>8.81</v>
      </c>
      <c r="U79" s="25">
        <v>15.067981878986</v>
      </c>
      <c r="V79" s="25">
        <v>13.604134235930699</v>
      </c>
      <c r="W79" s="25">
        <v>3250.7</v>
      </c>
      <c r="X79" s="34">
        <v>1224124.3500000001</v>
      </c>
      <c r="Y79" s="30">
        <v>45617</v>
      </c>
      <c r="Z79" s="85">
        <v>2024</v>
      </c>
      <c r="AA79" s="28">
        <v>11</v>
      </c>
      <c r="AB79" s="84">
        <v>48981.488694020001</v>
      </c>
      <c r="AC79" s="84">
        <v>44222.95916074</v>
      </c>
      <c r="AD79" s="84">
        <v>11220.86</v>
      </c>
      <c r="AE79" s="34">
        <v>489814.8869402</v>
      </c>
      <c r="AF79" s="28" t="s">
        <v>551</v>
      </c>
      <c r="AG79" s="28" t="s">
        <v>66</v>
      </c>
    </row>
    <row r="80" spans="2:33" x14ac:dyDescent="0.2">
      <c r="B80" s="34">
        <f>CHOOSE(B$1,Tabla2[[#This Row],[Edad]]*12/365,Tabla2[[#This Row],[Tn/Ha]],Tabla2[[#This Row],[Tn]],Tabla2[[#This Row],[Area_Cosecha]])</f>
        <v>12.16768264840182</v>
      </c>
      <c r="C80" s="87" t="s">
        <v>550</v>
      </c>
      <c r="D80" s="23" t="s">
        <v>551</v>
      </c>
      <c r="E80" s="23" t="s">
        <v>551</v>
      </c>
      <c r="F80" s="23" t="s">
        <v>352</v>
      </c>
      <c r="G80" s="23" t="s">
        <v>78</v>
      </c>
      <c r="H80" s="23" t="s">
        <v>48</v>
      </c>
      <c r="I80" s="23" t="s">
        <v>2</v>
      </c>
      <c r="J80" s="23" t="s">
        <v>4</v>
      </c>
      <c r="K80" s="23" t="s">
        <v>780</v>
      </c>
      <c r="L80" s="23">
        <v>2022</v>
      </c>
      <c r="M80" s="24" t="s">
        <v>80</v>
      </c>
      <c r="N80" s="24">
        <v>45162</v>
      </c>
      <c r="O80" s="24" t="s">
        <v>50</v>
      </c>
      <c r="P80" s="86">
        <v>370.10034722222201</v>
      </c>
      <c r="Q80" s="86">
        <v>28.8</v>
      </c>
      <c r="R80" s="25">
        <v>28.799999999999901</v>
      </c>
      <c r="S80" s="25">
        <v>108.71</v>
      </c>
      <c r="T80" s="25">
        <v>8.93</v>
      </c>
      <c r="U80" s="25">
        <v>14.877505277694301</v>
      </c>
      <c r="V80" s="25">
        <v>13.424360059965601</v>
      </c>
      <c r="W80" s="25">
        <v>3130.96</v>
      </c>
      <c r="X80" s="34">
        <v>682657.32</v>
      </c>
      <c r="Y80" s="30">
        <v>45534</v>
      </c>
      <c r="Z80" s="85">
        <v>2024</v>
      </c>
      <c r="AA80" s="28">
        <v>8</v>
      </c>
      <c r="AB80" s="84">
        <v>46580.873924250001</v>
      </c>
      <c r="AC80" s="84">
        <v>42031.134373350003</v>
      </c>
      <c r="AD80" s="84">
        <v>10658.89</v>
      </c>
      <c r="AE80" s="34">
        <v>465808.73924249999</v>
      </c>
      <c r="AF80" s="28" t="s">
        <v>551</v>
      </c>
      <c r="AG80" s="28" t="s">
        <v>66</v>
      </c>
    </row>
    <row r="81" spans="2:33" x14ac:dyDescent="0.2">
      <c r="B81" s="34">
        <f>CHOOSE(B$1,Tabla2[[#This Row],[Edad]]*12/365,Tabla2[[#This Row],[Tn/Ha]],Tabla2[[#This Row],[Tn]],Tabla2[[#This Row],[Area_Cosecha]])</f>
        <v>13.904107963090913</v>
      </c>
      <c r="C81" s="87" t="s">
        <v>550</v>
      </c>
      <c r="D81" s="23" t="s">
        <v>551</v>
      </c>
      <c r="E81" s="23" t="s">
        <v>551</v>
      </c>
      <c r="F81" s="23" t="s">
        <v>111</v>
      </c>
      <c r="G81" s="23" t="s">
        <v>78</v>
      </c>
      <c r="H81" s="23" t="s">
        <v>49</v>
      </c>
      <c r="I81" s="23" t="s">
        <v>2</v>
      </c>
      <c r="J81" s="23" t="s">
        <v>3</v>
      </c>
      <c r="K81" s="23" t="s">
        <v>781</v>
      </c>
      <c r="L81" s="23">
        <v>2022</v>
      </c>
      <c r="M81" s="24" t="s">
        <v>61</v>
      </c>
      <c r="N81" s="24">
        <v>45105</v>
      </c>
      <c r="O81" s="24" t="s">
        <v>50</v>
      </c>
      <c r="P81" s="86">
        <v>422.91661721068198</v>
      </c>
      <c r="Q81" s="86">
        <v>49.38</v>
      </c>
      <c r="R81" s="25">
        <v>33.700000000000003</v>
      </c>
      <c r="S81" s="25">
        <v>163.6</v>
      </c>
      <c r="T81" s="25">
        <v>11.77</v>
      </c>
      <c r="U81" s="25">
        <v>13.5551434290918</v>
      </c>
      <c r="V81" s="25">
        <v>12.104560901887201</v>
      </c>
      <c r="W81" s="25">
        <v>5513.241</v>
      </c>
      <c r="X81" s="34">
        <v>1534173.09</v>
      </c>
      <c r="Y81" s="30">
        <v>45531</v>
      </c>
      <c r="Z81" s="85">
        <v>2024</v>
      </c>
      <c r="AA81" s="28">
        <v>8</v>
      </c>
      <c r="AB81" s="84">
        <v>74732.772514149896</v>
      </c>
      <c r="AC81" s="84">
        <v>66735.361451282006</v>
      </c>
      <c r="AD81" s="84">
        <v>14252.289999999901</v>
      </c>
      <c r="AE81" s="34">
        <v>747327.72514149896</v>
      </c>
      <c r="AF81" s="28" t="s">
        <v>551</v>
      </c>
      <c r="AG81" s="28" t="s">
        <v>66</v>
      </c>
    </row>
    <row r="82" spans="2:33" x14ac:dyDescent="0.2">
      <c r="B82" s="34">
        <f>CHOOSE(B$1,Tabla2[[#This Row],[Edad]]*12/365,Tabla2[[#This Row],[Tn/Ha]],Tabla2[[#This Row],[Tn]],Tabla2[[#This Row],[Area_Cosecha]])</f>
        <v>15.048077998322597</v>
      </c>
      <c r="C82" s="87" t="s">
        <v>550</v>
      </c>
      <c r="D82" s="23" t="s">
        <v>551</v>
      </c>
      <c r="E82" s="23" t="s">
        <v>551</v>
      </c>
      <c r="F82" s="23" t="s">
        <v>111</v>
      </c>
      <c r="G82" s="23" t="s">
        <v>78</v>
      </c>
      <c r="H82" s="23" t="s">
        <v>49</v>
      </c>
      <c r="I82" s="23" t="s">
        <v>2</v>
      </c>
      <c r="J82" s="23" t="s">
        <v>3</v>
      </c>
      <c r="K82" s="23" t="s">
        <v>781</v>
      </c>
      <c r="L82" s="23">
        <v>2022</v>
      </c>
      <c r="M82" s="24" t="s">
        <v>61</v>
      </c>
      <c r="N82" s="24">
        <v>45105</v>
      </c>
      <c r="O82" s="24" t="s">
        <v>50</v>
      </c>
      <c r="P82" s="86">
        <v>457.71237244897901</v>
      </c>
      <c r="Q82" s="86">
        <v>49.38</v>
      </c>
      <c r="R82" s="25">
        <v>15.68</v>
      </c>
      <c r="S82" s="25">
        <v>136.85</v>
      </c>
      <c r="T82" s="25">
        <v>9.09</v>
      </c>
      <c r="U82" s="25">
        <v>13.972791663443299</v>
      </c>
      <c r="V82" s="25">
        <v>12.482238760519101</v>
      </c>
      <c r="W82" s="25">
        <v>2145.85</v>
      </c>
      <c r="X82" s="34">
        <v>998878.84</v>
      </c>
      <c r="Y82" s="30">
        <v>45564</v>
      </c>
      <c r="Z82" s="85">
        <v>2024</v>
      </c>
      <c r="AA82" s="28">
        <v>9</v>
      </c>
      <c r="AB82" s="84">
        <v>29983.514990999902</v>
      </c>
      <c r="AC82" s="84">
        <v>26785.012044259998</v>
      </c>
      <c r="AD82" s="84">
        <v>7176.93</v>
      </c>
      <c r="AE82" s="34">
        <v>299835.14990999998</v>
      </c>
      <c r="AF82" s="28" t="s">
        <v>551</v>
      </c>
      <c r="AG82" s="28" t="s">
        <v>66</v>
      </c>
    </row>
    <row r="83" spans="2:33" x14ac:dyDescent="0.2">
      <c r="B83" s="34">
        <f>CHOOSE(B$1,Tabla2[[#This Row],[Edad]]*12/365,Tabla2[[#This Row],[Tn/Ha]],Tabla2[[#This Row],[Tn]],Tabla2[[#This Row],[Area_Cosecha]])</f>
        <v>12.010811804725545</v>
      </c>
      <c r="C83" s="87" t="s">
        <v>550</v>
      </c>
      <c r="D83" s="23" t="s">
        <v>551</v>
      </c>
      <c r="E83" s="23" t="s">
        <v>551</v>
      </c>
      <c r="F83" s="23" t="s">
        <v>343</v>
      </c>
      <c r="G83" s="23" t="s">
        <v>78</v>
      </c>
      <c r="H83" s="23" t="s">
        <v>49</v>
      </c>
      <c r="I83" s="23" t="s">
        <v>2</v>
      </c>
      <c r="J83" s="23" t="s">
        <v>4</v>
      </c>
      <c r="K83" s="23" t="s">
        <v>782</v>
      </c>
      <c r="L83" s="23">
        <v>2022</v>
      </c>
      <c r="M83" s="24" t="s">
        <v>61</v>
      </c>
      <c r="N83" s="24">
        <v>45162</v>
      </c>
      <c r="O83" s="24" t="s">
        <v>50</v>
      </c>
      <c r="P83" s="86">
        <v>365.32885906040201</v>
      </c>
      <c r="Q83" s="86">
        <v>16.28</v>
      </c>
      <c r="R83" s="25">
        <v>1.49</v>
      </c>
      <c r="S83" s="25">
        <v>118.94</v>
      </c>
      <c r="T83" s="25">
        <v>9.9</v>
      </c>
      <c r="U83" s="25">
        <v>11.5406089606139</v>
      </c>
      <c r="V83" s="25">
        <v>10.173346405597499</v>
      </c>
      <c r="W83" s="25">
        <v>177.22</v>
      </c>
      <c r="X83" s="34">
        <v>106753.17</v>
      </c>
      <c r="Y83" s="30">
        <v>45528</v>
      </c>
      <c r="Z83" s="85">
        <v>2024</v>
      </c>
      <c r="AA83" s="28">
        <v>8</v>
      </c>
      <c r="AB83" s="84">
        <v>2045.2267199999999</v>
      </c>
      <c r="AC83" s="84">
        <v>1802.9204499999901</v>
      </c>
      <c r="AD83" s="84">
        <v>544.34</v>
      </c>
      <c r="AE83" s="34">
        <v>20452.267199999998</v>
      </c>
      <c r="AF83" s="28" t="s">
        <v>551</v>
      </c>
      <c r="AG83" s="28" t="s">
        <v>66</v>
      </c>
    </row>
    <row r="84" spans="2:33" x14ac:dyDescent="0.2">
      <c r="B84" s="34">
        <f>CHOOSE(B$1,Tabla2[[#This Row],[Edad]]*12/365,Tabla2[[#This Row],[Tn/Ha]],Tabla2[[#This Row],[Tn]],Tabla2[[#This Row],[Area_Cosecha]])</f>
        <v>13.19118281065292</v>
      </c>
      <c r="C84" s="87" t="s">
        <v>550</v>
      </c>
      <c r="D84" s="23" t="s">
        <v>551</v>
      </c>
      <c r="E84" s="23" t="s">
        <v>551</v>
      </c>
      <c r="F84" s="23" t="s">
        <v>343</v>
      </c>
      <c r="G84" s="23" t="s">
        <v>78</v>
      </c>
      <c r="H84" s="23" t="s">
        <v>49</v>
      </c>
      <c r="I84" s="23" t="s">
        <v>2</v>
      </c>
      <c r="J84" s="23" t="s">
        <v>4</v>
      </c>
      <c r="K84" s="23" t="s">
        <v>782</v>
      </c>
      <c r="L84" s="23">
        <v>2022</v>
      </c>
      <c r="M84" s="24" t="s">
        <v>61</v>
      </c>
      <c r="N84" s="24">
        <v>45162</v>
      </c>
      <c r="O84" s="24" t="s">
        <v>50</v>
      </c>
      <c r="P84" s="86">
        <v>401.23181049069302</v>
      </c>
      <c r="Q84" s="86">
        <v>16.28</v>
      </c>
      <c r="R84" s="25">
        <v>5.91</v>
      </c>
      <c r="S84" s="25">
        <v>116.84</v>
      </c>
      <c r="T84" s="25">
        <v>8.86</v>
      </c>
      <c r="U84" s="25">
        <v>14.1428413596472</v>
      </c>
      <c r="V84" s="25">
        <v>12.652826737845899</v>
      </c>
      <c r="W84" s="25">
        <v>690.51</v>
      </c>
      <c r="X84" s="34">
        <v>264615.12</v>
      </c>
      <c r="Y84" s="30">
        <v>45564</v>
      </c>
      <c r="Z84" s="85">
        <v>2024</v>
      </c>
      <c r="AA84" s="28">
        <v>9</v>
      </c>
      <c r="AB84" s="84">
        <v>9765.7733872499994</v>
      </c>
      <c r="AC84" s="84">
        <v>8736.9033907499997</v>
      </c>
      <c r="AD84" s="84">
        <v>2371.2799999999902</v>
      </c>
      <c r="AE84" s="34">
        <v>97657.733872499899</v>
      </c>
      <c r="AF84" s="28" t="s">
        <v>551</v>
      </c>
      <c r="AG84" s="28" t="s">
        <v>66</v>
      </c>
    </row>
    <row r="85" spans="2:33" x14ac:dyDescent="0.2">
      <c r="B85" s="34">
        <f>CHOOSE(B$1,Tabla2[[#This Row],[Edad]]*12/365,Tabla2[[#This Row],[Tn/Ha]],Tabla2[[#This Row],[Tn]],Tabla2[[#This Row],[Area_Cosecha]])</f>
        <v>13.646397906861337</v>
      </c>
      <c r="C85" s="87" t="s">
        <v>550</v>
      </c>
      <c r="D85" s="23" t="s">
        <v>551</v>
      </c>
      <c r="E85" s="23" t="s">
        <v>551</v>
      </c>
      <c r="F85" s="23" t="s">
        <v>343</v>
      </c>
      <c r="G85" s="23" t="s">
        <v>78</v>
      </c>
      <c r="H85" s="23" t="s">
        <v>49</v>
      </c>
      <c r="I85" s="23" t="s">
        <v>2</v>
      </c>
      <c r="J85" s="23" t="s">
        <v>4</v>
      </c>
      <c r="K85" s="23" t="s">
        <v>782</v>
      </c>
      <c r="L85" s="23">
        <v>2022</v>
      </c>
      <c r="M85" s="24" t="s">
        <v>61</v>
      </c>
      <c r="N85" s="24">
        <v>45162</v>
      </c>
      <c r="O85" s="24" t="s">
        <v>50</v>
      </c>
      <c r="P85" s="86">
        <v>415.07793633369897</v>
      </c>
      <c r="Q85" s="86">
        <v>16.28</v>
      </c>
      <c r="R85" s="25">
        <v>9.11</v>
      </c>
      <c r="S85" s="25">
        <v>138.19999999999999</v>
      </c>
      <c r="T85" s="25">
        <v>10.130000000000001</v>
      </c>
      <c r="U85" s="25">
        <v>14.6392554901509</v>
      </c>
      <c r="V85" s="25">
        <v>13.1839227053137</v>
      </c>
      <c r="W85" s="25">
        <v>1259</v>
      </c>
      <c r="X85" s="34">
        <v>354267.62</v>
      </c>
      <c r="Y85" s="30">
        <v>45581</v>
      </c>
      <c r="Z85" s="85">
        <v>2024</v>
      </c>
      <c r="AA85" s="28">
        <v>10</v>
      </c>
      <c r="AB85" s="84">
        <v>18430.822662099999</v>
      </c>
      <c r="AC85" s="84">
        <v>16598.55868599</v>
      </c>
      <c r="AD85" s="84">
        <v>3781.36</v>
      </c>
      <c r="AE85" s="34">
        <v>184308.22662099899</v>
      </c>
      <c r="AF85" s="28" t="s">
        <v>551</v>
      </c>
      <c r="AG85" s="28" t="s">
        <v>66</v>
      </c>
    </row>
    <row r="86" spans="2:33" x14ac:dyDescent="0.2">
      <c r="B86" s="34">
        <f>CHOOSE(B$1,Tabla2[[#This Row],[Edad]]*12/365,Tabla2[[#This Row],[Tn/Ha]],Tabla2[[#This Row],[Tn]],Tabla2[[#This Row],[Area_Cosecha]])</f>
        <v>15.915044181588659</v>
      </c>
      <c r="C86" s="87" t="s">
        <v>550</v>
      </c>
      <c r="D86" s="23" t="s">
        <v>551</v>
      </c>
      <c r="E86" s="23" t="s">
        <v>551</v>
      </c>
      <c r="F86" s="23" t="s">
        <v>399</v>
      </c>
      <c r="G86" s="23" t="s">
        <v>17</v>
      </c>
      <c r="H86" s="23" t="s">
        <v>18</v>
      </c>
      <c r="I86" s="23" t="s">
        <v>2</v>
      </c>
      <c r="J86" s="23" t="s">
        <v>3</v>
      </c>
      <c r="K86" s="23" t="s">
        <v>604</v>
      </c>
      <c r="L86" s="23">
        <v>2022</v>
      </c>
      <c r="M86" s="24" t="s">
        <v>63</v>
      </c>
      <c r="N86" s="24">
        <v>44863</v>
      </c>
      <c r="O86" s="24" t="s">
        <v>50</v>
      </c>
      <c r="P86" s="86">
        <v>484.08259385665502</v>
      </c>
      <c r="Q86" s="86">
        <v>26.02</v>
      </c>
      <c r="R86" s="25">
        <v>14.65</v>
      </c>
      <c r="S86" s="25">
        <v>156.16999999999999</v>
      </c>
      <c r="T86" s="25">
        <v>9.81</v>
      </c>
      <c r="U86" s="25">
        <v>12.258784112541299</v>
      </c>
      <c r="V86" s="25">
        <v>10.5684135350399</v>
      </c>
      <c r="W86" s="25">
        <v>2287.96</v>
      </c>
      <c r="X86" s="34">
        <v>884727.73</v>
      </c>
      <c r="Y86" s="30">
        <v>45351</v>
      </c>
      <c r="Z86" s="85">
        <v>2024</v>
      </c>
      <c r="AA86" s="28">
        <v>2</v>
      </c>
      <c r="AB86" s="84">
        <v>28047.607698129999</v>
      </c>
      <c r="AC86" s="84">
        <v>24180.10743163</v>
      </c>
      <c r="AD86" s="84">
        <v>7091.8099999999904</v>
      </c>
      <c r="AE86" s="34">
        <v>280476.07698129897</v>
      </c>
      <c r="AF86" s="28" t="s">
        <v>551</v>
      </c>
      <c r="AG86" s="28" t="s">
        <v>66</v>
      </c>
    </row>
    <row r="87" spans="2:33" x14ac:dyDescent="0.2">
      <c r="B87" s="34">
        <f>CHOOSE(B$1,Tabla2[[#This Row],[Edad]]*12/365,Tabla2[[#This Row],[Tn/Ha]],Tabla2[[#This Row],[Tn]],Tabla2[[#This Row],[Area_Cosecha]])</f>
        <v>16.076712328767087</v>
      </c>
      <c r="C87" s="87" t="s">
        <v>550</v>
      </c>
      <c r="D87" s="23" t="s">
        <v>551</v>
      </c>
      <c r="E87" s="23" t="s">
        <v>551</v>
      </c>
      <c r="F87" s="23" t="s">
        <v>399</v>
      </c>
      <c r="G87" s="23" t="s">
        <v>17</v>
      </c>
      <c r="H87" s="23" t="s">
        <v>18</v>
      </c>
      <c r="I87" s="23" t="s">
        <v>2</v>
      </c>
      <c r="J87" s="23" t="s">
        <v>3</v>
      </c>
      <c r="K87" s="23" t="s">
        <v>604</v>
      </c>
      <c r="L87" s="23">
        <v>2022</v>
      </c>
      <c r="M87" s="24" t="s">
        <v>63</v>
      </c>
      <c r="N87" s="24">
        <v>44863</v>
      </c>
      <c r="O87" s="24" t="s">
        <v>50</v>
      </c>
      <c r="P87" s="86">
        <v>488.99999999999898</v>
      </c>
      <c r="Q87" s="86">
        <v>26.02</v>
      </c>
      <c r="R87" s="25">
        <v>2.2999999999999998</v>
      </c>
      <c r="S87" s="25">
        <v>160.09</v>
      </c>
      <c r="T87" s="25">
        <v>9.9600000000000009</v>
      </c>
      <c r="U87" s="25">
        <v>12.351749999999999</v>
      </c>
      <c r="V87" s="25">
        <v>10.699875</v>
      </c>
      <c r="W87" s="25">
        <v>368.21</v>
      </c>
      <c r="X87" s="34">
        <v>589472.18999999994</v>
      </c>
      <c r="Y87" s="30">
        <v>45352</v>
      </c>
      <c r="Z87" s="85">
        <v>2024</v>
      </c>
      <c r="AA87" s="28">
        <v>3</v>
      </c>
      <c r="AB87" s="84">
        <v>4548.0378674999902</v>
      </c>
      <c r="AC87" s="84">
        <v>3939.8009737500001</v>
      </c>
      <c r="AD87" s="84">
        <v>1124.69999999999</v>
      </c>
      <c r="AE87" s="34">
        <v>45480.378675</v>
      </c>
      <c r="AF87" s="28" t="s">
        <v>551</v>
      </c>
      <c r="AG87" s="28" t="s">
        <v>66</v>
      </c>
    </row>
    <row r="88" spans="2:33" x14ac:dyDescent="0.2">
      <c r="B88" s="34">
        <f>CHOOSE(B$1,Tabla2[[#This Row],[Edad]]*12/365,Tabla2[[#This Row],[Tn/Ha]],Tabla2[[#This Row],[Tn]],Tabla2[[#This Row],[Area_Cosecha]])</f>
        <v>17.63301145295306</v>
      </c>
      <c r="C88" s="87" t="s">
        <v>550</v>
      </c>
      <c r="D88" s="23" t="s">
        <v>551</v>
      </c>
      <c r="E88" s="23" t="s">
        <v>551</v>
      </c>
      <c r="F88" s="23" t="s">
        <v>399</v>
      </c>
      <c r="G88" s="23" t="s">
        <v>17</v>
      </c>
      <c r="H88" s="23" t="s">
        <v>18</v>
      </c>
      <c r="I88" s="23" t="s">
        <v>2</v>
      </c>
      <c r="J88" s="23" t="s">
        <v>3</v>
      </c>
      <c r="K88" s="23" t="s">
        <v>604</v>
      </c>
      <c r="L88" s="23">
        <v>2022</v>
      </c>
      <c r="M88" s="24" t="s">
        <v>63</v>
      </c>
      <c r="N88" s="24">
        <v>44863</v>
      </c>
      <c r="O88" s="24" t="s">
        <v>50</v>
      </c>
      <c r="P88" s="86">
        <v>536.33743169398895</v>
      </c>
      <c r="Q88" s="86">
        <v>26.02</v>
      </c>
      <c r="R88" s="25">
        <v>7.3199999999999896</v>
      </c>
      <c r="S88" s="25">
        <v>161.22</v>
      </c>
      <c r="T88" s="25">
        <v>9.14</v>
      </c>
      <c r="U88" s="25">
        <v>13.7654668497707</v>
      </c>
      <c r="V88" s="25">
        <v>12.1890065445332</v>
      </c>
      <c r="W88" s="25">
        <v>1180.1299999999901</v>
      </c>
      <c r="X88" s="34">
        <v>479225.17</v>
      </c>
      <c r="Y88" s="30">
        <v>45401</v>
      </c>
      <c r="Z88" s="85">
        <v>2024</v>
      </c>
      <c r="AA88" s="28">
        <v>4</v>
      </c>
      <c r="AB88" s="84">
        <v>16245.0403934199</v>
      </c>
      <c r="AC88" s="84">
        <v>14384.6122934</v>
      </c>
      <c r="AD88" s="84">
        <v>3925.99</v>
      </c>
      <c r="AE88" s="34">
        <v>162450.40393419901</v>
      </c>
      <c r="AF88" s="28" t="s">
        <v>551</v>
      </c>
      <c r="AG88" s="28" t="s">
        <v>66</v>
      </c>
    </row>
    <row r="89" spans="2:33" x14ac:dyDescent="0.2">
      <c r="B89" s="34">
        <f>CHOOSE(B$1,Tabla2[[#This Row],[Edad]]*12/365,Tabla2[[#This Row],[Tn/Ha]],Tabla2[[#This Row],[Tn]],Tabla2[[#This Row],[Area_Cosecha]])</f>
        <v>18.706849315068492</v>
      </c>
      <c r="C89" s="87" t="s">
        <v>550</v>
      </c>
      <c r="D89" s="23" t="s">
        <v>551</v>
      </c>
      <c r="E89" s="23" t="s">
        <v>551</v>
      </c>
      <c r="F89" s="23" t="s">
        <v>399</v>
      </c>
      <c r="G89" s="23" t="s">
        <v>17</v>
      </c>
      <c r="H89" s="23" t="s">
        <v>18</v>
      </c>
      <c r="I89" s="23" t="s">
        <v>2</v>
      </c>
      <c r="J89" s="23" t="s">
        <v>3</v>
      </c>
      <c r="K89" s="23" t="s">
        <v>604</v>
      </c>
      <c r="L89" s="23">
        <v>2022</v>
      </c>
      <c r="M89" s="24" t="s">
        <v>63</v>
      </c>
      <c r="N89" s="24">
        <v>44863</v>
      </c>
      <c r="O89" s="24" t="s">
        <v>50</v>
      </c>
      <c r="P89" s="86">
        <v>569</v>
      </c>
      <c r="Q89" s="86">
        <v>26.02</v>
      </c>
      <c r="R89" s="25">
        <v>0.48</v>
      </c>
      <c r="S89" s="25">
        <v>220.35</v>
      </c>
      <c r="T89" s="25">
        <v>11.78</v>
      </c>
      <c r="U89" s="25">
        <v>14.616</v>
      </c>
      <c r="V89" s="25">
        <v>13.151</v>
      </c>
      <c r="W89" s="25">
        <v>105.77</v>
      </c>
      <c r="X89" s="34">
        <v>233068.6</v>
      </c>
      <c r="Y89" s="30">
        <v>45432</v>
      </c>
      <c r="Z89" s="85">
        <v>2024</v>
      </c>
      <c r="AA89" s="28">
        <v>5</v>
      </c>
      <c r="AB89" s="84">
        <v>1545.9343199999901</v>
      </c>
      <c r="AC89" s="84">
        <v>1390.98127</v>
      </c>
      <c r="AD89" s="84">
        <v>273.12</v>
      </c>
      <c r="AE89" s="34">
        <v>15459.343199999899</v>
      </c>
      <c r="AF89" s="28" t="s">
        <v>551</v>
      </c>
      <c r="AG89" s="28" t="s">
        <v>66</v>
      </c>
    </row>
    <row r="90" spans="2:33" x14ac:dyDescent="0.2">
      <c r="B90" s="34">
        <f>CHOOSE(B$1,Tabla2[[#This Row],[Edad]]*12/365,Tabla2[[#This Row],[Tn/Ha]],Tabla2[[#This Row],[Tn]],Tabla2[[#This Row],[Area_Cosecha]])</f>
        <v>19.478219178082188</v>
      </c>
      <c r="C90" s="87" t="s">
        <v>550</v>
      </c>
      <c r="D90" s="23" t="s">
        <v>551</v>
      </c>
      <c r="E90" s="23" t="s">
        <v>551</v>
      </c>
      <c r="F90" s="23" t="s">
        <v>399</v>
      </c>
      <c r="G90" s="23" t="s">
        <v>17</v>
      </c>
      <c r="H90" s="23" t="s">
        <v>18</v>
      </c>
      <c r="I90" s="23" t="s">
        <v>2</v>
      </c>
      <c r="J90" s="23" t="s">
        <v>3</v>
      </c>
      <c r="K90" s="23" t="s">
        <v>604</v>
      </c>
      <c r="L90" s="23">
        <v>2022</v>
      </c>
      <c r="M90" s="24" t="s">
        <v>63</v>
      </c>
      <c r="N90" s="24">
        <v>44863</v>
      </c>
      <c r="O90" s="24" t="s">
        <v>50</v>
      </c>
      <c r="P90" s="86">
        <v>592.46249999999998</v>
      </c>
      <c r="Q90" s="86">
        <v>26.02</v>
      </c>
      <c r="R90" s="25">
        <v>0.8</v>
      </c>
      <c r="S90" s="25">
        <v>182.78</v>
      </c>
      <c r="T90" s="25">
        <v>9.3800000000000008</v>
      </c>
      <c r="U90" s="25">
        <v>15.5968634198922</v>
      </c>
      <c r="V90" s="25">
        <v>14.0955405607681</v>
      </c>
      <c r="W90" s="25">
        <v>146.22800000000001</v>
      </c>
      <c r="X90" s="34">
        <v>45132.06</v>
      </c>
      <c r="Y90" s="30">
        <v>45462</v>
      </c>
      <c r="Z90" s="85">
        <v>2024</v>
      </c>
      <c r="AA90" s="28">
        <v>6</v>
      </c>
      <c r="AB90" s="84">
        <v>2280.698144164</v>
      </c>
      <c r="AC90" s="84">
        <v>2061.1627051199998</v>
      </c>
      <c r="AD90" s="84">
        <v>473.97</v>
      </c>
      <c r="AE90" s="34">
        <v>22806.98144164</v>
      </c>
      <c r="AF90" s="28" t="s">
        <v>551</v>
      </c>
      <c r="AG90" s="28" t="s">
        <v>66</v>
      </c>
    </row>
    <row r="91" spans="2:33" x14ac:dyDescent="0.2">
      <c r="B91" s="34">
        <f>CHOOSE(B$1,Tabla2[[#This Row],[Edad]]*12/365,Tabla2[[#This Row],[Tn/Ha]],Tabla2[[#This Row],[Tn]],Tabla2[[#This Row],[Area_Cosecha]])</f>
        <v>11.300477495107627</v>
      </c>
      <c r="C91" s="87" t="s">
        <v>550</v>
      </c>
      <c r="D91" s="23" t="s">
        <v>551</v>
      </c>
      <c r="E91" s="23" t="s">
        <v>551</v>
      </c>
      <c r="F91" s="23" t="s">
        <v>449</v>
      </c>
      <c r="G91" s="23" t="s">
        <v>17</v>
      </c>
      <c r="H91" s="23" t="s">
        <v>18</v>
      </c>
      <c r="I91" s="23" t="s">
        <v>2</v>
      </c>
      <c r="J91" s="23" t="s">
        <v>4</v>
      </c>
      <c r="K91" s="23" t="s">
        <v>857</v>
      </c>
      <c r="L91" s="23">
        <v>2023</v>
      </c>
      <c r="M91" s="24" t="s">
        <v>410</v>
      </c>
      <c r="N91" s="24">
        <v>45255</v>
      </c>
      <c r="O91" s="24" t="s">
        <v>50</v>
      </c>
      <c r="P91" s="86">
        <v>343.72285714285698</v>
      </c>
      <c r="Q91" s="86">
        <v>25.902000000000001</v>
      </c>
      <c r="R91" s="25">
        <v>3.5</v>
      </c>
      <c r="S91" s="25">
        <v>117.91</v>
      </c>
      <c r="T91" s="25">
        <v>10.43</v>
      </c>
      <c r="U91" s="25">
        <v>15.7707156935565</v>
      </c>
      <c r="V91" s="25">
        <v>14.3131099196452</v>
      </c>
      <c r="W91" s="25">
        <v>412.67</v>
      </c>
      <c r="X91" s="34">
        <v>243793.43</v>
      </c>
      <c r="Y91" s="30">
        <v>45599</v>
      </c>
      <c r="Z91" s="85">
        <v>2024</v>
      </c>
      <c r="AA91" s="28">
        <v>11</v>
      </c>
      <c r="AB91" s="84">
        <v>6508.1012452599998</v>
      </c>
      <c r="AC91" s="84">
        <v>5906.5910705400001</v>
      </c>
      <c r="AD91" s="84">
        <v>1203.03</v>
      </c>
      <c r="AE91" s="34">
        <v>65081.0124526</v>
      </c>
      <c r="AF91" s="28" t="s">
        <v>551</v>
      </c>
      <c r="AG91" s="28" t="s">
        <v>66</v>
      </c>
    </row>
    <row r="92" spans="2:33" x14ac:dyDescent="0.2">
      <c r="B92" s="34">
        <f>CHOOSE(B$1,Tabla2[[#This Row],[Edad]]*12/365,Tabla2[[#This Row],[Tn/Ha]],Tabla2[[#This Row],[Tn]],Tabla2[[#This Row],[Area_Cosecha]])</f>
        <v>11.803143580091476</v>
      </c>
      <c r="C92" s="87" t="s">
        <v>550</v>
      </c>
      <c r="D92" s="23" t="s">
        <v>551</v>
      </c>
      <c r="E92" s="23" t="s">
        <v>551</v>
      </c>
      <c r="F92" s="23" t="s">
        <v>112</v>
      </c>
      <c r="G92" s="23" t="s">
        <v>17</v>
      </c>
      <c r="H92" s="23" t="s">
        <v>18</v>
      </c>
      <c r="I92" s="23" t="s">
        <v>2</v>
      </c>
      <c r="J92" s="23" t="s">
        <v>5</v>
      </c>
      <c r="K92" s="23" t="s">
        <v>791</v>
      </c>
      <c r="L92" s="23">
        <v>2023</v>
      </c>
      <c r="M92" s="24" t="s">
        <v>410</v>
      </c>
      <c r="N92" s="24">
        <v>45187</v>
      </c>
      <c r="O92" s="24" t="s">
        <v>50</v>
      </c>
      <c r="P92" s="86">
        <v>359.01228389444901</v>
      </c>
      <c r="Q92" s="86">
        <v>22.459999999999901</v>
      </c>
      <c r="R92" s="25">
        <v>21.98</v>
      </c>
      <c r="S92" s="25">
        <v>122.29</v>
      </c>
      <c r="T92" s="25">
        <v>10.36</v>
      </c>
      <c r="U92" s="25">
        <v>15.6714451054339</v>
      </c>
      <c r="V92" s="25">
        <v>14.2177601521685</v>
      </c>
      <c r="W92" s="25">
        <v>2687.94</v>
      </c>
      <c r="X92" s="34">
        <v>1096537.1499999999</v>
      </c>
      <c r="Y92" s="30">
        <v>45547</v>
      </c>
      <c r="Z92" s="85">
        <v>2024</v>
      </c>
      <c r="AA92" s="28">
        <v>9</v>
      </c>
      <c r="AB92" s="84">
        <v>42123.904156700002</v>
      </c>
      <c r="AC92" s="84">
        <v>38216.486223419997</v>
      </c>
      <c r="AD92" s="84">
        <v>7891.09</v>
      </c>
      <c r="AE92" s="34">
        <v>421239.04156699998</v>
      </c>
      <c r="AF92" s="28" t="s">
        <v>551</v>
      </c>
      <c r="AG92" s="28" t="s">
        <v>66</v>
      </c>
    </row>
    <row r="93" spans="2:33" x14ac:dyDescent="0.2">
      <c r="B93" s="34">
        <f>CHOOSE(B$1,Tabla2[[#This Row],[Edad]]*12/365,Tabla2[[#This Row],[Tn/Ha]],Tabla2[[#This Row],[Tn]],Tabla2[[#This Row],[Area_Cosecha]])</f>
        <v>11.913148371531946</v>
      </c>
      <c r="C93" s="87" t="s">
        <v>550</v>
      </c>
      <c r="D93" s="23" t="s">
        <v>551</v>
      </c>
      <c r="E93" s="23" t="s">
        <v>551</v>
      </c>
      <c r="F93" s="23" t="s">
        <v>469</v>
      </c>
      <c r="G93" s="23" t="s">
        <v>17</v>
      </c>
      <c r="H93" s="23" t="s">
        <v>18</v>
      </c>
      <c r="I93" s="23" t="s">
        <v>2</v>
      </c>
      <c r="J93" s="23" t="s">
        <v>6</v>
      </c>
      <c r="K93" s="23" t="s">
        <v>792</v>
      </c>
      <c r="L93" s="23">
        <v>2023</v>
      </c>
      <c r="M93" s="24" t="s">
        <v>410</v>
      </c>
      <c r="N93" s="24">
        <v>45182</v>
      </c>
      <c r="O93" s="24" t="s">
        <v>50</v>
      </c>
      <c r="P93" s="86">
        <v>362.35826296742999</v>
      </c>
      <c r="Q93" s="86">
        <v>24.87</v>
      </c>
      <c r="R93" s="25">
        <v>24.869999999999902</v>
      </c>
      <c r="S93" s="25">
        <v>106.08</v>
      </c>
      <c r="T93" s="25">
        <v>8.9</v>
      </c>
      <c r="U93" s="25">
        <v>15.9297406208543</v>
      </c>
      <c r="V93" s="25">
        <v>14.4455946036462</v>
      </c>
      <c r="W93" s="25">
        <v>2638.3</v>
      </c>
      <c r="X93" s="34">
        <v>694689.98</v>
      </c>
      <c r="Y93" s="30">
        <v>45546</v>
      </c>
      <c r="Z93" s="85">
        <v>2024</v>
      </c>
      <c r="AA93" s="28">
        <v>9</v>
      </c>
      <c r="AB93" s="84">
        <v>42027.434679999998</v>
      </c>
      <c r="AC93" s="84">
        <v>38111.812242799999</v>
      </c>
      <c r="AD93" s="84">
        <v>9011.8499999999894</v>
      </c>
      <c r="AE93" s="34">
        <v>420274.34679999901</v>
      </c>
      <c r="AF93" s="28" t="s">
        <v>551</v>
      </c>
      <c r="AG93" s="28" t="s">
        <v>66</v>
      </c>
    </row>
    <row r="94" spans="2:33" x14ac:dyDescent="0.2">
      <c r="B94" s="34">
        <f>CHOOSE(B$1,Tabla2[[#This Row],[Edad]]*12/365,Tabla2[[#This Row],[Tn/Ha]],Tabla2[[#This Row],[Tn]],Tabla2[[#This Row],[Area_Cosecha]])</f>
        <v>11.711256700416888</v>
      </c>
      <c r="C94" s="87" t="s">
        <v>550</v>
      </c>
      <c r="D94" s="23" t="s">
        <v>551</v>
      </c>
      <c r="E94" s="23" t="s">
        <v>551</v>
      </c>
      <c r="F94" s="23" t="s">
        <v>113</v>
      </c>
      <c r="G94" s="23" t="s">
        <v>17</v>
      </c>
      <c r="H94" s="23" t="s">
        <v>18</v>
      </c>
      <c r="I94" s="23" t="s">
        <v>9</v>
      </c>
      <c r="J94" s="23" t="s">
        <v>3</v>
      </c>
      <c r="K94" s="23" t="s">
        <v>858</v>
      </c>
      <c r="L94" s="23">
        <v>2023</v>
      </c>
      <c r="M94" s="24" t="s">
        <v>351</v>
      </c>
      <c r="N94" s="24">
        <v>45257</v>
      </c>
      <c r="O94" s="24" t="s">
        <v>50</v>
      </c>
      <c r="P94" s="86">
        <v>356.21739130434702</v>
      </c>
      <c r="Q94" s="86">
        <v>14.63</v>
      </c>
      <c r="R94" s="25">
        <v>4.1399999999999997</v>
      </c>
      <c r="S94" s="25">
        <v>113</v>
      </c>
      <c r="T94" s="25">
        <v>9.65</v>
      </c>
      <c r="U94" s="25">
        <v>14.9847519612663</v>
      </c>
      <c r="V94" s="25">
        <v>13.5291654517859</v>
      </c>
      <c r="W94" s="25">
        <v>467.81</v>
      </c>
      <c r="X94" s="34">
        <v>262311.44</v>
      </c>
      <c r="Y94" s="30">
        <v>45626</v>
      </c>
      <c r="Z94" s="85">
        <v>2024</v>
      </c>
      <c r="AA94" s="28">
        <v>11</v>
      </c>
      <c r="AB94" s="84">
        <v>7010.016815</v>
      </c>
      <c r="AC94" s="84">
        <v>6329.0788899999998</v>
      </c>
      <c r="AD94" s="84">
        <v>1474.74</v>
      </c>
      <c r="AE94" s="34">
        <v>70100.168149999998</v>
      </c>
      <c r="AF94" s="28" t="s">
        <v>551</v>
      </c>
      <c r="AG94" s="28" t="s">
        <v>66</v>
      </c>
    </row>
    <row r="95" spans="2:33" x14ac:dyDescent="0.2">
      <c r="B95" s="34">
        <f>CHOOSE(B$1,Tabla2[[#This Row],[Edad]]*12/365,Tabla2[[#This Row],[Tn/Ha]],Tabla2[[#This Row],[Tn]],Tabla2[[#This Row],[Area_Cosecha]])</f>
        <v>13.795404612893325</v>
      </c>
      <c r="C95" s="87" t="s">
        <v>550</v>
      </c>
      <c r="D95" s="23" t="s">
        <v>551</v>
      </c>
      <c r="E95" s="23" t="s">
        <v>551</v>
      </c>
      <c r="F95" s="23" t="s">
        <v>489</v>
      </c>
      <c r="G95" s="23" t="s">
        <v>17</v>
      </c>
      <c r="H95" s="23" t="s">
        <v>18</v>
      </c>
      <c r="I95" s="23" t="s">
        <v>9</v>
      </c>
      <c r="J95" s="23" t="s">
        <v>4</v>
      </c>
      <c r="K95" s="23" t="s">
        <v>552</v>
      </c>
      <c r="L95" s="23">
        <v>2022</v>
      </c>
      <c r="M95" s="24" t="s">
        <v>304</v>
      </c>
      <c r="N95" s="24">
        <v>44881</v>
      </c>
      <c r="O95" s="24" t="s">
        <v>50</v>
      </c>
      <c r="P95" s="86">
        <v>419.610223642172</v>
      </c>
      <c r="Q95" s="86">
        <v>18.190000000000001</v>
      </c>
      <c r="R95" s="25">
        <v>3.13</v>
      </c>
      <c r="S95" s="25">
        <v>169.82</v>
      </c>
      <c r="T95" s="25">
        <v>12.31</v>
      </c>
      <c r="U95" s="25">
        <v>14.5109356752958</v>
      </c>
      <c r="V95" s="25">
        <v>13.024812670931</v>
      </c>
      <c r="W95" s="25">
        <v>531.53</v>
      </c>
      <c r="X95" s="34">
        <v>451732.19</v>
      </c>
      <c r="Y95" s="30">
        <v>45301</v>
      </c>
      <c r="Z95" s="85">
        <v>2024</v>
      </c>
      <c r="AA95" s="28">
        <v>1</v>
      </c>
      <c r="AB95" s="84">
        <v>7712.9976394900004</v>
      </c>
      <c r="AC95" s="84">
        <v>6923.0786789799904</v>
      </c>
      <c r="AD95" s="84">
        <v>1313.3799999999901</v>
      </c>
      <c r="AE95" s="34">
        <v>77129.976394900004</v>
      </c>
      <c r="AF95" s="28" t="s">
        <v>551</v>
      </c>
      <c r="AG95" s="28" t="s">
        <v>66</v>
      </c>
    </row>
    <row r="96" spans="2:33" x14ac:dyDescent="0.2">
      <c r="B96" s="34">
        <f>CHOOSE(B$1,Tabla2[[#This Row],[Edad]]*12/365,Tabla2[[#This Row],[Tn/Ha]],Tabla2[[#This Row],[Tn]],Tabla2[[#This Row],[Area_Cosecha]])</f>
        <v>10.945078050334487</v>
      </c>
      <c r="C96" s="87" t="s">
        <v>550</v>
      </c>
      <c r="D96" s="23" t="s">
        <v>551</v>
      </c>
      <c r="E96" s="23" t="s">
        <v>551</v>
      </c>
      <c r="F96" s="23" t="s">
        <v>529</v>
      </c>
      <c r="G96" s="23" t="s">
        <v>17</v>
      </c>
      <c r="H96" s="23" t="s">
        <v>18</v>
      </c>
      <c r="I96" s="23" t="s">
        <v>9</v>
      </c>
      <c r="J96" s="23" t="s">
        <v>5</v>
      </c>
      <c r="K96" s="23" t="s">
        <v>881</v>
      </c>
      <c r="L96" s="23">
        <v>2023</v>
      </c>
      <c r="M96" s="24" t="s">
        <v>61</v>
      </c>
      <c r="N96" s="24">
        <v>45290</v>
      </c>
      <c r="O96" s="24" t="s">
        <v>50</v>
      </c>
      <c r="P96" s="86">
        <v>332.91279069767398</v>
      </c>
      <c r="Q96" s="86">
        <v>17.2</v>
      </c>
      <c r="R96" s="25">
        <v>17.2</v>
      </c>
      <c r="S96" s="25">
        <v>95.31</v>
      </c>
      <c r="T96" s="25">
        <v>8.7100000000000009</v>
      </c>
      <c r="U96" s="25">
        <v>16.1521619589303</v>
      </c>
      <c r="V96" s="25">
        <v>14.6435831545577</v>
      </c>
      <c r="W96" s="25">
        <v>1639.28999999999</v>
      </c>
      <c r="X96" s="34">
        <v>311587.46999999997</v>
      </c>
      <c r="Y96" s="30">
        <v>45624</v>
      </c>
      <c r="Z96" s="85">
        <v>2024</v>
      </c>
      <c r="AA96" s="28">
        <v>11</v>
      </c>
      <c r="AB96" s="84">
        <v>26478.077577655</v>
      </c>
      <c r="AC96" s="84">
        <v>24005.0794294349</v>
      </c>
      <c r="AD96" s="84">
        <v>5726.0999999999904</v>
      </c>
      <c r="AE96" s="34">
        <v>264780.77577654901</v>
      </c>
      <c r="AF96" s="28" t="s">
        <v>551</v>
      </c>
      <c r="AG96" s="28" t="s">
        <v>66</v>
      </c>
    </row>
    <row r="97" spans="2:33" x14ac:dyDescent="0.2">
      <c r="B97" s="34">
        <f>CHOOSE(B$1,Tabla2[[#This Row],[Edad]]*12/365,Tabla2[[#This Row],[Tn/Ha]],Tabla2[[#This Row],[Tn]],Tabla2[[#This Row],[Area_Cosecha]])</f>
        <v>12.781435490577271</v>
      </c>
      <c r="C97" s="87" t="s">
        <v>550</v>
      </c>
      <c r="D97" s="23" t="s">
        <v>551</v>
      </c>
      <c r="E97" s="23" t="s">
        <v>551</v>
      </c>
      <c r="F97" s="23" t="s">
        <v>114</v>
      </c>
      <c r="G97" s="23" t="s">
        <v>17</v>
      </c>
      <c r="H97" s="23" t="s">
        <v>18</v>
      </c>
      <c r="I97" s="23" t="s">
        <v>9</v>
      </c>
      <c r="J97" s="23" t="s">
        <v>6</v>
      </c>
      <c r="K97" s="23" t="s">
        <v>605</v>
      </c>
      <c r="L97" s="23">
        <v>2022</v>
      </c>
      <c r="M97" s="24" t="s">
        <v>68</v>
      </c>
      <c r="N97" s="24">
        <v>44953</v>
      </c>
      <c r="O97" s="24" t="s">
        <v>50</v>
      </c>
      <c r="P97" s="86">
        <v>388.768662838392</v>
      </c>
      <c r="Q97" s="86">
        <v>12.91</v>
      </c>
      <c r="R97" s="25">
        <v>12.19</v>
      </c>
      <c r="S97" s="25">
        <v>167.32</v>
      </c>
      <c r="T97" s="25">
        <v>13.09</v>
      </c>
      <c r="U97" s="25">
        <v>12.343573585733299</v>
      </c>
      <c r="V97" s="25">
        <v>10.8746969414193</v>
      </c>
      <c r="W97" s="25">
        <v>2039.58</v>
      </c>
      <c r="X97" s="34">
        <v>868737.07</v>
      </c>
      <c r="Y97" s="30">
        <v>45343</v>
      </c>
      <c r="Z97" s="85">
        <v>2024</v>
      </c>
      <c r="AA97" s="28">
        <v>2</v>
      </c>
      <c r="AB97" s="84">
        <v>25175.70581399</v>
      </c>
      <c r="AC97" s="84">
        <v>22179.814387779999</v>
      </c>
      <c r="AD97" s="84">
        <v>4739.09</v>
      </c>
      <c r="AE97" s="34">
        <v>251757.05813990001</v>
      </c>
      <c r="AF97" s="28" t="s">
        <v>551</v>
      </c>
      <c r="AG97" s="28" t="s">
        <v>66</v>
      </c>
    </row>
    <row r="98" spans="2:33" x14ac:dyDescent="0.2">
      <c r="B98" s="34">
        <f>CHOOSE(B$1,Tabla2[[#This Row],[Edad]]*12/365,Tabla2[[#This Row],[Tn/Ha]],Tabla2[[#This Row],[Tn]],Tabla2[[#This Row],[Area_Cosecha]])</f>
        <v>13.0139500259328</v>
      </c>
      <c r="C98" s="87" t="s">
        <v>550</v>
      </c>
      <c r="D98" s="23" t="s">
        <v>551</v>
      </c>
      <c r="E98" s="23" t="s">
        <v>551</v>
      </c>
      <c r="F98" s="23" t="s">
        <v>415</v>
      </c>
      <c r="G98" s="23" t="s">
        <v>17</v>
      </c>
      <c r="H98" s="23" t="s">
        <v>18</v>
      </c>
      <c r="I98" s="23" t="s">
        <v>10</v>
      </c>
      <c r="J98" s="23" t="s">
        <v>3</v>
      </c>
      <c r="K98" s="23" t="s">
        <v>606</v>
      </c>
      <c r="L98" s="23">
        <v>2023</v>
      </c>
      <c r="M98" s="24" t="s">
        <v>68</v>
      </c>
      <c r="N98" s="24">
        <v>44943</v>
      </c>
      <c r="O98" s="24" t="s">
        <v>50</v>
      </c>
      <c r="P98" s="86">
        <v>395.84097995545602</v>
      </c>
      <c r="Q98" s="86">
        <v>22.91</v>
      </c>
      <c r="R98" s="25">
        <v>22.45</v>
      </c>
      <c r="S98" s="25">
        <v>157.13</v>
      </c>
      <c r="T98" s="25">
        <v>12.07</v>
      </c>
      <c r="U98" s="25">
        <v>14.384488013487999</v>
      </c>
      <c r="V98" s="25">
        <v>12.854864674543601</v>
      </c>
      <c r="W98" s="25">
        <v>3527.57</v>
      </c>
      <c r="X98" s="34">
        <v>1105207.3899999999</v>
      </c>
      <c r="Y98" s="30">
        <v>45341</v>
      </c>
      <c r="Z98" s="85">
        <v>2024</v>
      </c>
      <c r="AA98" s="28">
        <v>2</v>
      </c>
      <c r="AB98" s="84">
        <v>50742.28838174</v>
      </c>
      <c r="AC98" s="84">
        <v>45346.434979979997</v>
      </c>
      <c r="AD98" s="84">
        <v>8886.6299999999992</v>
      </c>
      <c r="AE98" s="34">
        <v>507422.88381740003</v>
      </c>
      <c r="AF98" s="28" t="s">
        <v>551</v>
      </c>
      <c r="AG98" s="28" t="s">
        <v>66</v>
      </c>
    </row>
    <row r="99" spans="2:33" x14ac:dyDescent="0.2">
      <c r="B99" s="34">
        <f>CHOOSE(B$1,Tabla2[[#This Row],[Edad]]*12/365,Tabla2[[#This Row],[Tn/Ha]],Tabla2[[#This Row],[Tn]],Tabla2[[#This Row],[Area_Cosecha]])</f>
        <v>14.268493150684931</v>
      </c>
      <c r="C99" s="87" t="s">
        <v>550</v>
      </c>
      <c r="D99" s="23" t="s">
        <v>551</v>
      </c>
      <c r="E99" s="23" t="s">
        <v>551</v>
      </c>
      <c r="F99" s="23" t="s">
        <v>507</v>
      </c>
      <c r="G99" s="23" t="s">
        <v>17</v>
      </c>
      <c r="H99" s="23" t="s">
        <v>18</v>
      </c>
      <c r="I99" s="23" t="s">
        <v>10</v>
      </c>
      <c r="J99" s="23" t="s">
        <v>4</v>
      </c>
      <c r="K99" s="23" t="s">
        <v>553</v>
      </c>
      <c r="L99" s="23">
        <v>2021</v>
      </c>
      <c r="M99" s="24" t="s">
        <v>68</v>
      </c>
      <c r="N99" s="24">
        <v>44867</v>
      </c>
      <c r="O99" s="24" t="s">
        <v>79</v>
      </c>
      <c r="P99" s="86">
        <v>434</v>
      </c>
      <c r="Q99" s="86">
        <v>25.86</v>
      </c>
      <c r="R99" s="25">
        <v>0.5</v>
      </c>
      <c r="S99" s="25">
        <v>217.32</v>
      </c>
      <c r="T99" s="25">
        <v>15.23</v>
      </c>
      <c r="U99" s="25">
        <v>14.5435</v>
      </c>
      <c r="V99" s="25">
        <v>13.04</v>
      </c>
      <c r="W99" s="25">
        <v>108.66</v>
      </c>
      <c r="X99" s="34">
        <v>236139.91</v>
      </c>
      <c r="Y99" s="30">
        <v>45301</v>
      </c>
      <c r="Z99" s="85">
        <v>2024</v>
      </c>
      <c r="AA99" s="28">
        <v>1</v>
      </c>
      <c r="AB99" s="84">
        <v>1580.2967099999901</v>
      </c>
      <c r="AC99" s="84">
        <v>1416.9263999999901</v>
      </c>
      <c r="AD99" s="84">
        <v>217</v>
      </c>
      <c r="AE99" s="34">
        <v>15802.9670999999</v>
      </c>
      <c r="AF99" s="28" t="s">
        <v>551</v>
      </c>
      <c r="AG99" s="28" t="s">
        <v>66</v>
      </c>
    </row>
    <row r="100" spans="2:33" x14ac:dyDescent="0.2">
      <c r="B100" s="34">
        <f>CHOOSE(B$1,Tabla2[[#This Row],[Edad]]*12/365,Tabla2[[#This Row],[Tn/Ha]],Tabla2[[#This Row],[Tn]],Tabla2[[#This Row],[Area_Cosecha]])</f>
        <v>11.17842042956196</v>
      </c>
      <c r="C100" s="87" t="s">
        <v>550</v>
      </c>
      <c r="D100" s="23" t="s">
        <v>551</v>
      </c>
      <c r="E100" s="23" t="s">
        <v>551</v>
      </c>
      <c r="F100" s="23" t="s">
        <v>507</v>
      </c>
      <c r="G100" s="23" t="s">
        <v>17</v>
      </c>
      <c r="H100" s="23" t="s">
        <v>18</v>
      </c>
      <c r="I100" s="23" t="s">
        <v>10</v>
      </c>
      <c r="J100" s="23" t="s">
        <v>4</v>
      </c>
      <c r="K100" s="23" t="s">
        <v>553</v>
      </c>
      <c r="L100" s="23">
        <v>2022</v>
      </c>
      <c r="M100" s="24" t="s">
        <v>62</v>
      </c>
      <c r="N100" s="24">
        <v>45281</v>
      </c>
      <c r="O100" s="24" t="s">
        <v>79</v>
      </c>
      <c r="P100" s="86">
        <v>340.01028806584299</v>
      </c>
      <c r="Q100" s="86">
        <v>24.5</v>
      </c>
      <c r="R100" s="25">
        <v>24.3</v>
      </c>
      <c r="S100" s="25">
        <v>85.13</v>
      </c>
      <c r="T100" s="25">
        <v>7.62</v>
      </c>
      <c r="U100" s="25">
        <v>16.028637320459001</v>
      </c>
      <c r="V100" s="25">
        <v>14.5054778304652</v>
      </c>
      <c r="W100" s="25">
        <v>2068.7199999999998</v>
      </c>
      <c r="X100" s="34">
        <v>586365.66</v>
      </c>
      <c r="Y100" s="30">
        <v>45622</v>
      </c>
      <c r="Z100" s="85">
        <v>2024</v>
      </c>
      <c r="AA100" s="28">
        <v>11</v>
      </c>
      <c r="AB100" s="84">
        <v>33158.762597579997</v>
      </c>
      <c r="AC100" s="84">
        <v>30007.77209744</v>
      </c>
      <c r="AD100" s="84">
        <v>8262.25</v>
      </c>
      <c r="AE100" s="34">
        <v>331587.62597579998</v>
      </c>
      <c r="AF100" s="28" t="s">
        <v>551</v>
      </c>
      <c r="AG100" s="28" t="s">
        <v>66</v>
      </c>
    </row>
    <row r="101" spans="2:33" x14ac:dyDescent="0.2">
      <c r="B101" s="34">
        <f>CHOOSE(B$1,Tabla2[[#This Row],[Edad]]*12/365,Tabla2[[#This Row],[Tn/Ha]],Tabla2[[#This Row],[Tn]],Tabla2[[#This Row],[Area_Cosecha]])</f>
        <v>13.916128326307726</v>
      </c>
      <c r="C101" s="87" t="s">
        <v>550</v>
      </c>
      <c r="D101" s="23" t="s">
        <v>551</v>
      </c>
      <c r="E101" s="23" t="s">
        <v>551</v>
      </c>
      <c r="F101" s="23" t="s">
        <v>408</v>
      </c>
      <c r="G101" s="23" t="s">
        <v>17</v>
      </c>
      <c r="H101" s="23" t="s">
        <v>18</v>
      </c>
      <c r="I101" s="23" t="s">
        <v>10</v>
      </c>
      <c r="J101" s="23" t="s">
        <v>5</v>
      </c>
      <c r="K101" s="23" t="s">
        <v>662</v>
      </c>
      <c r="L101" s="23">
        <v>2021</v>
      </c>
      <c r="M101" s="24" t="s">
        <v>63</v>
      </c>
      <c r="N101" s="24">
        <v>45012</v>
      </c>
      <c r="O101" s="24" t="s">
        <v>50</v>
      </c>
      <c r="P101" s="86">
        <v>423.28223659186</v>
      </c>
      <c r="Q101" s="86">
        <v>26.2899999999999</v>
      </c>
      <c r="R101" s="25">
        <v>26.29</v>
      </c>
      <c r="S101" s="25">
        <v>157.16999999999999</v>
      </c>
      <c r="T101" s="25">
        <v>11.29</v>
      </c>
      <c r="U101" s="25">
        <v>14.8910936837328</v>
      </c>
      <c r="V101" s="25">
        <v>13.3773085008637</v>
      </c>
      <c r="W101" s="25">
        <v>4132.0259999999998</v>
      </c>
      <c r="X101" s="34">
        <v>728545.48</v>
      </c>
      <c r="Y101" s="30">
        <v>45440</v>
      </c>
      <c r="Z101" s="85">
        <v>2024</v>
      </c>
      <c r="AA101" s="28">
        <v>5</v>
      </c>
      <c r="AB101" s="84">
        <v>61530.386269619899</v>
      </c>
      <c r="AC101" s="84">
        <v>55275.386535589998</v>
      </c>
      <c r="AD101" s="84">
        <v>11128.09</v>
      </c>
      <c r="AE101" s="34">
        <v>615303.86269620003</v>
      </c>
      <c r="AF101" s="28" t="s">
        <v>551</v>
      </c>
      <c r="AG101" s="28" t="s">
        <v>66</v>
      </c>
    </row>
    <row r="102" spans="2:33" x14ac:dyDescent="0.2">
      <c r="B102" s="34">
        <f>CHOOSE(B$1,Tabla2[[#This Row],[Edad]]*12/365,Tabla2[[#This Row],[Tn/Ha]],Tabla2[[#This Row],[Tn]],Tabla2[[#This Row],[Area_Cosecha]])</f>
        <v>13.453554325916974</v>
      </c>
      <c r="C102" s="87" t="s">
        <v>550</v>
      </c>
      <c r="D102" s="23" t="s">
        <v>551</v>
      </c>
      <c r="E102" s="23" t="s">
        <v>551</v>
      </c>
      <c r="F102" s="23" t="s">
        <v>424</v>
      </c>
      <c r="G102" s="23" t="s">
        <v>17</v>
      </c>
      <c r="H102" s="23" t="s">
        <v>18</v>
      </c>
      <c r="I102" s="23" t="s">
        <v>10</v>
      </c>
      <c r="J102" s="23" t="s">
        <v>6</v>
      </c>
      <c r="K102" s="23" t="s">
        <v>663</v>
      </c>
      <c r="L102" s="23">
        <v>2021</v>
      </c>
      <c r="M102" s="24" t="s">
        <v>63</v>
      </c>
      <c r="N102" s="24">
        <v>45026</v>
      </c>
      <c r="O102" s="24" t="s">
        <v>50</v>
      </c>
      <c r="P102" s="86">
        <v>409.21227741330802</v>
      </c>
      <c r="Q102" s="86">
        <v>25.14</v>
      </c>
      <c r="R102" s="25">
        <v>21.3399999999999</v>
      </c>
      <c r="S102" s="25">
        <v>163.82</v>
      </c>
      <c r="T102" s="25">
        <v>12.18</v>
      </c>
      <c r="U102" s="25">
        <v>14.778549220689399</v>
      </c>
      <c r="V102" s="25">
        <v>13.264446517341</v>
      </c>
      <c r="W102" s="25">
        <v>3496.0070000000001</v>
      </c>
      <c r="X102" s="34">
        <v>717584.9</v>
      </c>
      <c r="Y102" s="30">
        <v>45440</v>
      </c>
      <c r="Z102" s="85">
        <v>2024</v>
      </c>
      <c r="AA102" s="28">
        <v>5</v>
      </c>
      <c r="AB102" s="84">
        <v>51665.911525374999</v>
      </c>
      <c r="AC102" s="84">
        <v>46372.597875749998</v>
      </c>
      <c r="AD102" s="84">
        <v>8732.59</v>
      </c>
      <c r="AE102" s="34">
        <v>516659.11525374901</v>
      </c>
      <c r="AF102" s="28" t="s">
        <v>551</v>
      </c>
      <c r="AG102" s="28" t="s">
        <v>66</v>
      </c>
    </row>
    <row r="103" spans="2:33" x14ac:dyDescent="0.2">
      <c r="B103" s="34">
        <f>CHOOSE(B$1,Tabla2[[#This Row],[Edad]]*12/365,Tabla2[[#This Row],[Tn/Ha]],Tabla2[[#This Row],[Tn]],Tabla2[[#This Row],[Area_Cosecha]])</f>
        <v>14.104109589041096</v>
      </c>
      <c r="C103" s="87" t="s">
        <v>550</v>
      </c>
      <c r="D103" s="23" t="s">
        <v>551</v>
      </c>
      <c r="E103" s="23" t="s">
        <v>551</v>
      </c>
      <c r="F103" s="23" t="s">
        <v>424</v>
      </c>
      <c r="G103" s="23" t="s">
        <v>17</v>
      </c>
      <c r="H103" s="23" t="s">
        <v>18</v>
      </c>
      <c r="I103" s="23" t="s">
        <v>10</v>
      </c>
      <c r="J103" s="23" t="s">
        <v>6</v>
      </c>
      <c r="K103" s="23" t="s">
        <v>663</v>
      </c>
      <c r="L103" s="23">
        <v>2021</v>
      </c>
      <c r="M103" s="24" t="s">
        <v>63</v>
      </c>
      <c r="N103" s="24">
        <v>45026</v>
      </c>
      <c r="O103" s="24" t="s">
        <v>50</v>
      </c>
      <c r="P103" s="86">
        <v>429</v>
      </c>
      <c r="Q103" s="86">
        <v>25.14</v>
      </c>
      <c r="R103" s="25">
        <v>0.5</v>
      </c>
      <c r="S103" s="25">
        <v>19.559999999999999</v>
      </c>
      <c r="T103" s="25">
        <v>1.39</v>
      </c>
      <c r="U103" s="25">
        <v>12.538</v>
      </c>
      <c r="V103" s="25">
        <v>11.106</v>
      </c>
      <c r="W103" s="25">
        <v>9.782</v>
      </c>
      <c r="X103" s="34">
        <v>1913.75</v>
      </c>
      <c r="Y103" s="30">
        <v>45455</v>
      </c>
      <c r="Z103" s="85">
        <v>2024</v>
      </c>
      <c r="AA103" s="28">
        <v>6</v>
      </c>
      <c r="AB103" s="84">
        <v>122.646716</v>
      </c>
      <c r="AC103" s="84">
        <v>108.638892</v>
      </c>
      <c r="AD103" s="84">
        <v>214.5</v>
      </c>
      <c r="AE103" s="34">
        <v>1226.4671599999999</v>
      </c>
      <c r="AF103" s="28" t="s">
        <v>551</v>
      </c>
      <c r="AG103" s="28" t="s">
        <v>66</v>
      </c>
    </row>
    <row r="104" spans="2:33" x14ac:dyDescent="0.2">
      <c r="B104" s="34">
        <f>CHOOSE(B$1,Tabla2[[#This Row],[Edad]]*12/365,Tabla2[[#This Row],[Tn/Ha]],Tabla2[[#This Row],[Tn]],Tabla2[[#This Row],[Area_Cosecha]])</f>
        <v>11.081776670817765</v>
      </c>
      <c r="C104" s="87" t="s">
        <v>550</v>
      </c>
      <c r="D104" s="23" t="s">
        <v>551</v>
      </c>
      <c r="E104" s="23" t="s">
        <v>551</v>
      </c>
      <c r="F104" s="23" t="s">
        <v>414</v>
      </c>
      <c r="G104" s="23" t="s">
        <v>17</v>
      </c>
      <c r="H104" s="23" t="s">
        <v>18</v>
      </c>
      <c r="I104" s="23" t="s">
        <v>11</v>
      </c>
      <c r="J104" s="23" t="s">
        <v>3</v>
      </c>
      <c r="K104" s="23" t="s">
        <v>891</v>
      </c>
      <c r="L104" s="23">
        <v>2023</v>
      </c>
      <c r="M104" s="24" t="s">
        <v>62</v>
      </c>
      <c r="N104" s="24">
        <v>45288</v>
      </c>
      <c r="O104" s="24" t="s">
        <v>50</v>
      </c>
      <c r="P104" s="86">
        <v>337.07070707070699</v>
      </c>
      <c r="Q104" s="86">
        <v>20.79</v>
      </c>
      <c r="R104" s="25">
        <v>20.79</v>
      </c>
      <c r="S104" s="25">
        <v>90.23</v>
      </c>
      <c r="T104" s="25">
        <v>8.14</v>
      </c>
      <c r="U104" s="25">
        <v>15.552472964628899</v>
      </c>
      <c r="V104" s="25">
        <v>14.0558183627034</v>
      </c>
      <c r="W104" s="25">
        <v>1875.83</v>
      </c>
      <c r="X104" s="34">
        <v>569526.56999999995</v>
      </c>
      <c r="Y104" s="30">
        <v>45626</v>
      </c>
      <c r="Z104" s="85">
        <v>2024</v>
      </c>
      <c r="AA104" s="28">
        <v>11</v>
      </c>
      <c r="AB104" s="84">
        <v>29173.795361240002</v>
      </c>
      <c r="AC104" s="84">
        <v>26366.325759309999</v>
      </c>
      <c r="AD104" s="84">
        <v>7007.6999999999898</v>
      </c>
      <c r="AE104" s="34">
        <v>291737.95361239999</v>
      </c>
      <c r="AF104" s="28" t="s">
        <v>551</v>
      </c>
      <c r="AG104" s="28" t="s">
        <v>66</v>
      </c>
    </row>
    <row r="105" spans="2:33" x14ac:dyDescent="0.2">
      <c r="B105" s="34">
        <f>CHOOSE(B$1,Tabla2[[#This Row],[Edad]]*12/365,Tabla2[[#This Row],[Tn/Ha]],Tabla2[[#This Row],[Tn]],Tabla2[[#This Row],[Area_Cosecha]])</f>
        <v>12.241561095558115</v>
      </c>
      <c r="C105" s="87" t="s">
        <v>550</v>
      </c>
      <c r="D105" s="23" t="s">
        <v>551</v>
      </c>
      <c r="E105" s="23" t="s">
        <v>551</v>
      </c>
      <c r="F105" s="23" t="s">
        <v>842</v>
      </c>
      <c r="G105" s="23" t="s">
        <v>17</v>
      </c>
      <c r="H105" s="23" t="s">
        <v>18</v>
      </c>
      <c r="I105" s="23" t="s">
        <v>11</v>
      </c>
      <c r="J105" s="23" t="s">
        <v>4</v>
      </c>
      <c r="K105" s="23" t="s">
        <v>882</v>
      </c>
      <c r="L105" s="23">
        <v>2023</v>
      </c>
      <c r="M105" s="24" t="s">
        <v>61</v>
      </c>
      <c r="N105" s="24">
        <v>45247</v>
      </c>
      <c r="O105" s="24" t="s">
        <v>50</v>
      </c>
      <c r="P105" s="86">
        <v>372.34748332322602</v>
      </c>
      <c r="Q105" s="86">
        <v>16.489999999999998</v>
      </c>
      <c r="R105" s="25">
        <v>16.489999999999998</v>
      </c>
      <c r="S105" s="25">
        <v>84.59</v>
      </c>
      <c r="T105" s="25">
        <v>6.91</v>
      </c>
      <c r="U105" s="25">
        <v>16.366139152513298</v>
      </c>
      <c r="V105" s="25">
        <v>14.874723078998599</v>
      </c>
      <c r="W105" s="25">
        <v>1394.96</v>
      </c>
      <c r="X105" s="34">
        <v>594339.31999999995</v>
      </c>
      <c r="Y105" s="30">
        <v>45620</v>
      </c>
      <c r="Z105" s="85">
        <v>2024</v>
      </c>
      <c r="AA105" s="28">
        <v>11</v>
      </c>
      <c r="AB105" s="84">
        <v>22830.109472190001</v>
      </c>
      <c r="AC105" s="84">
        <v>20749.64370628</v>
      </c>
      <c r="AD105" s="84">
        <v>6140.01</v>
      </c>
      <c r="AE105" s="34">
        <v>228301.09472190001</v>
      </c>
      <c r="AF105" s="28" t="s">
        <v>551</v>
      </c>
      <c r="AG105" s="28" t="s">
        <v>66</v>
      </c>
    </row>
    <row r="106" spans="2:33" x14ac:dyDescent="0.2">
      <c r="B106" s="34">
        <f>CHOOSE(B$1,Tabla2[[#This Row],[Edad]]*12/365,Tabla2[[#This Row],[Tn/Ha]],Tabla2[[#This Row],[Tn]],Tabla2[[#This Row],[Area_Cosecha]])</f>
        <v>14.026630903343211</v>
      </c>
      <c r="C106" s="87" t="s">
        <v>550</v>
      </c>
      <c r="D106" s="23" t="s">
        <v>551</v>
      </c>
      <c r="E106" s="23" t="s">
        <v>551</v>
      </c>
      <c r="F106" s="23" t="s">
        <v>519</v>
      </c>
      <c r="G106" s="23" t="s">
        <v>17</v>
      </c>
      <c r="H106" s="23" t="s">
        <v>18</v>
      </c>
      <c r="I106" s="23" t="s">
        <v>11</v>
      </c>
      <c r="J106" s="23" t="s">
        <v>5</v>
      </c>
      <c r="K106" s="23" t="s">
        <v>554</v>
      </c>
      <c r="L106" s="23">
        <v>2022</v>
      </c>
      <c r="M106" s="24" t="s">
        <v>68</v>
      </c>
      <c r="N106" s="24">
        <v>44872</v>
      </c>
      <c r="O106" s="24" t="s">
        <v>50</v>
      </c>
      <c r="P106" s="86">
        <v>426.64335664335601</v>
      </c>
      <c r="Q106" s="86">
        <v>18.489999999999998</v>
      </c>
      <c r="R106" s="25">
        <v>4.29</v>
      </c>
      <c r="S106" s="25">
        <v>155.07</v>
      </c>
      <c r="T106" s="25">
        <v>11.06</v>
      </c>
      <c r="U106" s="25">
        <v>13.531155931845101</v>
      </c>
      <c r="V106" s="25">
        <v>12.0776845862157</v>
      </c>
      <c r="W106" s="25">
        <v>665.25</v>
      </c>
      <c r="X106" s="34">
        <v>516351.62</v>
      </c>
      <c r="Y106" s="30">
        <v>45299</v>
      </c>
      <c r="Z106" s="85">
        <v>2024</v>
      </c>
      <c r="AA106" s="28">
        <v>1</v>
      </c>
      <c r="AB106" s="84">
        <v>9001.6014836600007</v>
      </c>
      <c r="AC106" s="84">
        <v>8034.6796709800001</v>
      </c>
      <c r="AD106" s="84">
        <v>1830.3</v>
      </c>
      <c r="AE106" s="34">
        <v>90016.014836600007</v>
      </c>
      <c r="AF106" s="28" t="s">
        <v>551</v>
      </c>
      <c r="AG106" s="28" t="s">
        <v>66</v>
      </c>
    </row>
    <row r="107" spans="2:33" x14ac:dyDescent="0.2">
      <c r="B107" s="34">
        <f>CHOOSE(B$1,Tabla2[[#This Row],[Edad]]*12/365,Tabla2[[#This Row],[Tn/Ha]],Tabla2[[#This Row],[Tn]],Tabla2[[#This Row],[Area_Cosecha]])</f>
        <v>10.514835002387967</v>
      </c>
      <c r="C107" s="87" t="s">
        <v>550</v>
      </c>
      <c r="D107" s="23" t="s">
        <v>551</v>
      </c>
      <c r="E107" s="23" t="s">
        <v>551</v>
      </c>
      <c r="F107" s="23" t="s">
        <v>519</v>
      </c>
      <c r="G107" s="23" t="s">
        <v>17</v>
      </c>
      <c r="H107" s="23" t="s">
        <v>18</v>
      </c>
      <c r="I107" s="23" t="s">
        <v>11</v>
      </c>
      <c r="J107" s="23" t="s">
        <v>5</v>
      </c>
      <c r="K107" s="23" t="s">
        <v>554</v>
      </c>
      <c r="L107" s="23">
        <v>2023</v>
      </c>
      <c r="M107" s="24" t="s">
        <v>62</v>
      </c>
      <c r="N107" s="24">
        <v>45304</v>
      </c>
      <c r="O107" s="24" t="s">
        <v>50</v>
      </c>
      <c r="P107" s="86">
        <v>319.82623132263399</v>
      </c>
      <c r="Q107" s="86">
        <v>18.07</v>
      </c>
      <c r="R107" s="25">
        <v>18.07</v>
      </c>
      <c r="S107" s="25">
        <v>90.53</v>
      </c>
      <c r="T107" s="25">
        <v>8.61</v>
      </c>
      <c r="U107" s="25">
        <v>15.4436012238387</v>
      </c>
      <c r="V107" s="25">
        <v>13.960549158022101</v>
      </c>
      <c r="W107" s="25">
        <v>1635.91</v>
      </c>
      <c r="X107" s="34">
        <v>492036.67</v>
      </c>
      <c r="Y107" s="30">
        <v>45625</v>
      </c>
      <c r="Z107" s="85">
        <v>2024</v>
      </c>
      <c r="AA107" s="28">
        <v>11</v>
      </c>
      <c r="AB107" s="84">
        <v>25264.341678089899</v>
      </c>
      <c r="AC107" s="84">
        <v>22838.2019731</v>
      </c>
      <c r="AD107" s="84">
        <v>5779.26</v>
      </c>
      <c r="AE107" s="34">
        <v>252643.41678090001</v>
      </c>
      <c r="AF107" s="28" t="s">
        <v>551</v>
      </c>
      <c r="AG107" s="28" t="s">
        <v>66</v>
      </c>
    </row>
    <row r="108" spans="2:33" x14ac:dyDescent="0.2">
      <c r="B108" s="34">
        <f>CHOOSE(B$1,Tabla2[[#This Row],[Edad]]*12/365,Tabla2[[#This Row],[Tn/Ha]],Tabla2[[#This Row],[Tn]],Tabla2[[#This Row],[Area_Cosecha]])</f>
        <v>11.138050849747364</v>
      </c>
      <c r="C108" s="87" t="s">
        <v>550</v>
      </c>
      <c r="D108" s="23" t="s">
        <v>551</v>
      </c>
      <c r="E108" s="23" t="s">
        <v>551</v>
      </c>
      <c r="F108" s="23" t="s">
        <v>486</v>
      </c>
      <c r="G108" s="23" t="s">
        <v>17</v>
      </c>
      <c r="H108" s="23" t="s">
        <v>18</v>
      </c>
      <c r="I108" s="23" t="s">
        <v>11</v>
      </c>
      <c r="J108" s="23" t="s">
        <v>6</v>
      </c>
      <c r="K108" s="23" t="s">
        <v>892</v>
      </c>
      <c r="L108" s="23">
        <v>2023</v>
      </c>
      <c r="M108" s="24" t="s">
        <v>62</v>
      </c>
      <c r="N108" s="24">
        <v>45287</v>
      </c>
      <c r="O108" s="24" t="s">
        <v>50</v>
      </c>
      <c r="P108" s="86">
        <v>338.78238001314901</v>
      </c>
      <c r="Q108" s="86">
        <v>18.600000000000001</v>
      </c>
      <c r="R108" s="25">
        <v>15.21</v>
      </c>
      <c r="S108" s="25">
        <v>109.6</v>
      </c>
      <c r="T108" s="25">
        <v>9.84</v>
      </c>
      <c r="U108" s="25">
        <v>15.6434429991541</v>
      </c>
      <c r="V108" s="25">
        <v>14.1543982341815</v>
      </c>
      <c r="W108" s="25">
        <v>1667.04</v>
      </c>
      <c r="X108" s="34">
        <v>897453.67</v>
      </c>
      <c r="Y108" s="30">
        <v>45626</v>
      </c>
      <c r="Z108" s="85">
        <v>2024</v>
      </c>
      <c r="AA108" s="28">
        <v>11</v>
      </c>
      <c r="AB108" s="84">
        <v>26078.245217309999</v>
      </c>
      <c r="AC108" s="84">
        <v>23595.94803231</v>
      </c>
      <c r="AD108" s="84">
        <v>5152.88</v>
      </c>
      <c r="AE108" s="34">
        <v>260782.4521731</v>
      </c>
      <c r="AF108" s="28" t="s">
        <v>551</v>
      </c>
      <c r="AG108" s="28" t="s">
        <v>66</v>
      </c>
    </row>
    <row r="109" spans="2:33" x14ac:dyDescent="0.2">
      <c r="B109" s="34">
        <f>CHOOSE(B$1,Tabla2[[#This Row],[Edad]]*12/365,Tabla2[[#This Row],[Tn/Ha]],Tabla2[[#This Row],[Tn]],Tabla2[[#This Row],[Area_Cosecha]])</f>
        <v>15.468603649718037</v>
      </c>
      <c r="C109" s="87" t="s">
        <v>550</v>
      </c>
      <c r="D109" s="23" t="s">
        <v>551</v>
      </c>
      <c r="E109" s="23" t="s">
        <v>551</v>
      </c>
      <c r="F109" s="23" t="s">
        <v>428</v>
      </c>
      <c r="G109" s="23" t="s">
        <v>17</v>
      </c>
      <c r="H109" s="23" t="s">
        <v>18</v>
      </c>
      <c r="I109" s="23" t="s">
        <v>12</v>
      </c>
      <c r="J109" s="23" t="s">
        <v>3</v>
      </c>
      <c r="K109" s="23" t="s">
        <v>607</v>
      </c>
      <c r="L109" s="23">
        <v>2021</v>
      </c>
      <c r="M109" s="24" t="s">
        <v>63</v>
      </c>
      <c r="N109" s="24">
        <v>44865</v>
      </c>
      <c r="O109" s="24" t="s">
        <v>50</v>
      </c>
      <c r="P109" s="86">
        <v>470.50336101225702</v>
      </c>
      <c r="Q109" s="86">
        <v>25.38</v>
      </c>
      <c r="R109" s="25">
        <v>25.29</v>
      </c>
      <c r="S109" s="25">
        <v>130.16</v>
      </c>
      <c r="T109" s="25">
        <v>8.41</v>
      </c>
      <c r="U109" s="25">
        <v>13.3076873279105</v>
      </c>
      <c r="V109" s="25">
        <v>11.7001818865354</v>
      </c>
      <c r="W109" s="25">
        <v>3291.69</v>
      </c>
      <c r="X109" s="34">
        <v>852654.87</v>
      </c>
      <c r="Y109" s="30">
        <v>45337</v>
      </c>
      <c r="Z109" s="85">
        <v>2024</v>
      </c>
      <c r="AA109" s="28">
        <v>2</v>
      </c>
      <c r="AB109" s="84">
        <v>43804.781300410003</v>
      </c>
      <c r="AC109" s="84">
        <v>38513.371714089997</v>
      </c>
      <c r="AD109" s="84">
        <v>11899.03</v>
      </c>
      <c r="AE109" s="34">
        <v>438047.8130041</v>
      </c>
      <c r="AF109" s="28" t="s">
        <v>551</v>
      </c>
      <c r="AG109" s="28" t="s">
        <v>66</v>
      </c>
    </row>
    <row r="110" spans="2:33" x14ac:dyDescent="0.2">
      <c r="B110" s="34">
        <f>CHOOSE(B$1,Tabla2[[#This Row],[Edad]]*12/365,Tabla2[[#This Row],[Tn/Ha]],Tabla2[[#This Row],[Tn]],Tabla2[[#This Row],[Area_Cosecha]])</f>
        <v>11.520726827660877</v>
      </c>
      <c r="C110" s="87" t="s">
        <v>550</v>
      </c>
      <c r="D110" s="23" t="s">
        <v>551</v>
      </c>
      <c r="E110" s="23" t="s">
        <v>551</v>
      </c>
      <c r="F110" s="23" t="s">
        <v>439</v>
      </c>
      <c r="G110" s="23" t="s">
        <v>17</v>
      </c>
      <c r="H110" s="23" t="s">
        <v>18</v>
      </c>
      <c r="I110" s="23" t="s">
        <v>12</v>
      </c>
      <c r="J110" s="23" t="s">
        <v>4</v>
      </c>
      <c r="K110" s="23" t="s">
        <v>851</v>
      </c>
      <c r="L110" s="23">
        <v>2022</v>
      </c>
      <c r="M110" s="24" t="s">
        <v>410</v>
      </c>
      <c r="N110" s="24">
        <v>45244</v>
      </c>
      <c r="O110" s="24" t="s">
        <v>50</v>
      </c>
      <c r="P110" s="86">
        <v>350.42210767468498</v>
      </c>
      <c r="Q110" s="86">
        <v>21.59</v>
      </c>
      <c r="R110" s="25">
        <v>17.46</v>
      </c>
      <c r="S110" s="25">
        <v>123.95</v>
      </c>
      <c r="T110" s="25">
        <v>10.76</v>
      </c>
      <c r="U110" s="25">
        <v>14.5136861712302</v>
      </c>
      <c r="V110" s="25">
        <v>13.074556810767801</v>
      </c>
      <c r="W110" s="25">
        <v>2164.2199999999998</v>
      </c>
      <c r="X110" s="34">
        <v>936745.71</v>
      </c>
      <c r="Y110" s="30">
        <v>45596</v>
      </c>
      <c r="Z110" s="85">
        <v>2024</v>
      </c>
      <c r="AA110" s="28">
        <v>10</v>
      </c>
      <c r="AB110" s="84">
        <v>31410.809885499999</v>
      </c>
      <c r="AC110" s="84">
        <v>28296.217341</v>
      </c>
      <c r="AD110" s="84">
        <v>6118.37</v>
      </c>
      <c r="AE110" s="34">
        <v>314108.09885499999</v>
      </c>
      <c r="AF110" s="28" t="s">
        <v>551</v>
      </c>
      <c r="AG110" s="28" t="s">
        <v>66</v>
      </c>
    </row>
    <row r="111" spans="2:33" x14ac:dyDescent="0.2">
      <c r="B111" s="34">
        <f>CHOOSE(B$1,Tabla2[[#This Row],[Edad]]*12/365,Tabla2[[#This Row],[Tn/Ha]],Tabla2[[#This Row],[Tn]],Tabla2[[#This Row],[Area_Cosecha]])</f>
        <v>11.605479452054794</v>
      </c>
      <c r="C111" s="87" t="s">
        <v>550</v>
      </c>
      <c r="D111" s="23" t="s">
        <v>551</v>
      </c>
      <c r="E111" s="23" t="s">
        <v>551</v>
      </c>
      <c r="F111" s="23" t="s">
        <v>439</v>
      </c>
      <c r="G111" s="23" t="s">
        <v>17</v>
      </c>
      <c r="H111" s="23" t="s">
        <v>18</v>
      </c>
      <c r="I111" s="23" t="s">
        <v>12</v>
      </c>
      <c r="J111" s="23" t="s">
        <v>4</v>
      </c>
      <c r="K111" s="23" t="s">
        <v>851</v>
      </c>
      <c r="L111" s="23">
        <v>2022</v>
      </c>
      <c r="M111" s="24" t="s">
        <v>410</v>
      </c>
      <c r="N111" s="24">
        <v>45244</v>
      </c>
      <c r="O111" s="24" t="s">
        <v>50</v>
      </c>
      <c r="P111" s="86">
        <v>353</v>
      </c>
      <c r="Q111" s="86">
        <v>21.59</v>
      </c>
      <c r="R111" s="25">
        <v>2.23</v>
      </c>
      <c r="S111" s="25">
        <v>124.11</v>
      </c>
      <c r="T111" s="25">
        <v>10.69</v>
      </c>
      <c r="U111" s="25">
        <v>12.8825</v>
      </c>
      <c r="V111" s="25">
        <v>11.425000000000001</v>
      </c>
      <c r="W111" s="25">
        <v>276.76</v>
      </c>
      <c r="X111" s="34">
        <v>343480.26</v>
      </c>
      <c r="Y111" s="30">
        <v>45597</v>
      </c>
      <c r="Z111" s="85">
        <v>2024</v>
      </c>
      <c r="AA111" s="28">
        <v>11</v>
      </c>
      <c r="AB111" s="84">
        <v>3565.3607000000002</v>
      </c>
      <c r="AC111" s="84">
        <v>3161.9830000000002</v>
      </c>
      <c r="AD111" s="84">
        <v>787.18999999999903</v>
      </c>
      <c r="AE111" s="34">
        <v>35653.607000000004</v>
      </c>
      <c r="AF111" s="28" t="s">
        <v>551</v>
      </c>
      <c r="AG111" s="28" t="s">
        <v>66</v>
      </c>
    </row>
    <row r="112" spans="2:33" x14ac:dyDescent="0.2">
      <c r="B112" s="34">
        <f>CHOOSE(B$1,Tabla2[[#This Row],[Edad]]*12/365,Tabla2[[#This Row],[Tn/Ha]],Tabla2[[#This Row],[Tn]],Tabla2[[#This Row],[Area_Cosecha]])</f>
        <v>11.4266337300696</v>
      </c>
      <c r="C112" s="87" t="s">
        <v>550</v>
      </c>
      <c r="D112" s="23" t="s">
        <v>551</v>
      </c>
      <c r="E112" s="23" t="s">
        <v>551</v>
      </c>
      <c r="F112" s="23" t="s">
        <v>465</v>
      </c>
      <c r="G112" s="23" t="s">
        <v>17</v>
      </c>
      <c r="H112" s="23" t="s">
        <v>18</v>
      </c>
      <c r="I112" s="23" t="s">
        <v>12</v>
      </c>
      <c r="J112" s="23" t="s">
        <v>5</v>
      </c>
      <c r="K112" s="23" t="s">
        <v>852</v>
      </c>
      <c r="L112" s="23">
        <v>2022</v>
      </c>
      <c r="M112" s="24" t="s">
        <v>410</v>
      </c>
      <c r="N112" s="24">
        <v>45248</v>
      </c>
      <c r="O112" s="24" t="s">
        <v>50</v>
      </c>
      <c r="P112" s="86">
        <v>347.560109289617</v>
      </c>
      <c r="Q112" s="86">
        <v>16.13</v>
      </c>
      <c r="R112" s="25">
        <v>10.98</v>
      </c>
      <c r="S112" s="25">
        <v>119.22</v>
      </c>
      <c r="T112" s="25">
        <v>10.43</v>
      </c>
      <c r="U112" s="25">
        <v>14.705597263788301</v>
      </c>
      <c r="V112" s="25">
        <v>13.2879566994988</v>
      </c>
      <c r="W112" s="25">
        <v>1309.08</v>
      </c>
      <c r="X112" s="34">
        <v>781573.24</v>
      </c>
      <c r="Y112" s="30">
        <v>45596</v>
      </c>
      <c r="Z112" s="85">
        <v>2024</v>
      </c>
      <c r="AA112" s="28">
        <v>10</v>
      </c>
      <c r="AB112" s="84">
        <v>19250.803266080002</v>
      </c>
      <c r="AC112" s="84">
        <v>17394.99835618</v>
      </c>
      <c r="AD112" s="84">
        <v>3816.21</v>
      </c>
      <c r="AE112" s="34">
        <v>192508.0326608</v>
      </c>
      <c r="AF112" s="28" t="s">
        <v>551</v>
      </c>
      <c r="AG112" s="28" t="s">
        <v>66</v>
      </c>
    </row>
    <row r="113" spans="2:33" x14ac:dyDescent="0.2">
      <c r="B113" s="34">
        <f>CHOOSE(B$1,Tabla2[[#This Row],[Edad]]*12/365,Tabla2[[#This Row],[Tn/Ha]],Tabla2[[#This Row],[Tn]],Tabla2[[#This Row],[Area_Cosecha]])</f>
        <v>11.509838107098378</v>
      </c>
      <c r="C113" s="87" t="s">
        <v>550</v>
      </c>
      <c r="D113" s="23" t="s">
        <v>551</v>
      </c>
      <c r="E113" s="23" t="s">
        <v>551</v>
      </c>
      <c r="F113" s="23" t="s">
        <v>465</v>
      </c>
      <c r="G113" s="23" t="s">
        <v>17</v>
      </c>
      <c r="H113" s="23" t="s">
        <v>18</v>
      </c>
      <c r="I113" s="23" t="s">
        <v>12</v>
      </c>
      <c r="J113" s="23" t="s">
        <v>5</v>
      </c>
      <c r="K113" s="23" t="s">
        <v>852</v>
      </c>
      <c r="L113" s="23">
        <v>2022</v>
      </c>
      <c r="M113" s="24" t="s">
        <v>410</v>
      </c>
      <c r="N113" s="24">
        <v>45248</v>
      </c>
      <c r="O113" s="24" t="s">
        <v>50</v>
      </c>
      <c r="P113" s="86">
        <v>350.09090909090901</v>
      </c>
      <c r="Q113" s="86">
        <v>16.13</v>
      </c>
      <c r="R113" s="25">
        <v>1.0999999999999901</v>
      </c>
      <c r="S113" s="25">
        <v>130.56</v>
      </c>
      <c r="T113" s="25">
        <v>11.34</v>
      </c>
      <c r="U113" s="25">
        <v>15.0276163764795</v>
      </c>
      <c r="V113" s="25">
        <v>13.580762901963499</v>
      </c>
      <c r="W113" s="25">
        <v>143.62</v>
      </c>
      <c r="X113" s="34">
        <v>89101.56</v>
      </c>
      <c r="Y113" s="30">
        <v>45605</v>
      </c>
      <c r="Z113" s="85">
        <v>2024</v>
      </c>
      <c r="AA113" s="28">
        <v>11</v>
      </c>
      <c r="AB113" s="84">
        <v>2158.26626399</v>
      </c>
      <c r="AC113" s="84">
        <v>1950.4691679800001</v>
      </c>
      <c r="AD113" s="84">
        <v>385.1</v>
      </c>
      <c r="AE113" s="34">
        <v>21582.662639900002</v>
      </c>
      <c r="AF113" s="28" t="s">
        <v>551</v>
      </c>
      <c r="AG113" s="28" t="s">
        <v>66</v>
      </c>
    </row>
    <row r="114" spans="2:33" x14ac:dyDescent="0.2">
      <c r="B114" s="34">
        <f>CHOOSE(B$1,Tabla2[[#This Row],[Edad]]*12/365,Tabla2[[#This Row],[Tn/Ha]],Tabla2[[#This Row],[Tn]],Tabla2[[#This Row],[Area_Cosecha]])</f>
        <v>11.53972602739726</v>
      </c>
      <c r="C114" s="87" t="s">
        <v>550</v>
      </c>
      <c r="D114" s="23" t="s">
        <v>551</v>
      </c>
      <c r="E114" s="23" t="s">
        <v>551</v>
      </c>
      <c r="F114" s="23" t="s">
        <v>115</v>
      </c>
      <c r="G114" s="23" t="s">
        <v>17</v>
      </c>
      <c r="H114" s="23" t="s">
        <v>18</v>
      </c>
      <c r="I114" s="23" t="s">
        <v>12</v>
      </c>
      <c r="J114" s="23" t="s">
        <v>6</v>
      </c>
      <c r="K114" s="23" t="s">
        <v>853</v>
      </c>
      <c r="L114" s="23">
        <v>2022</v>
      </c>
      <c r="M114" s="24" t="s">
        <v>410</v>
      </c>
      <c r="N114" s="24">
        <v>45245</v>
      </c>
      <c r="O114" s="24" t="s">
        <v>50</v>
      </c>
      <c r="P114" s="86">
        <v>351</v>
      </c>
      <c r="Q114" s="86">
        <v>20.07</v>
      </c>
      <c r="R114" s="25">
        <v>5.14</v>
      </c>
      <c r="S114" s="25">
        <v>107.16</v>
      </c>
      <c r="T114" s="25">
        <v>9.2899999999999991</v>
      </c>
      <c r="U114" s="25">
        <v>15.1265</v>
      </c>
      <c r="V114" s="25">
        <v>13.68275</v>
      </c>
      <c r="W114" s="25">
        <v>550.79999999999995</v>
      </c>
      <c r="X114" s="34">
        <v>590234.71</v>
      </c>
      <c r="Y114" s="30">
        <v>45596</v>
      </c>
      <c r="Z114" s="85">
        <v>2024</v>
      </c>
      <c r="AA114" s="28">
        <v>10</v>
      </c>
      <c r="AB114" s="84">
        <v>8331.6761999999999</v>
      </c>
      <c r="AC114" s="84">
        <v>7536.4586999999901</v>
      </c>
      <c r="AD114" s="84">
        <v>1804.1399999999901</v>
      </c>
      <c r="AE114" s="34">
        <v>83316.762000000002</v>
      </c>
      <c r="AF114" s="28" t="s">
        <v>551</v>
      </c>
      <c r="AG114" s="28" t="s">
        <v>66</v>
      </c>
    </row>
    <row r="115" spans="2:33" x14ac:dyDescent="0.2">
      <c r="B115" s="34">
        <f>CHOOSE(B$1,Tabla2[[#This Row],[Edad]]*12/365,Tabla2[[#This Row],[Tn/Ha]],Tabla2[[#This Row],[Tn]],Tabla2[[#This Row],[Area_Cosecha]])</f>
        <v>11.593764508344856</v>
      </c>
      <c r="C115" s="87" t="s">
        <v>550</v>
      </c>
      <c r="D115" s="23" t="s">
        <v>551</v>
      </c>
      <c r="E115" s="23" t="s">
        <v>551</v>
      </c>
      <c r="F115" s="23" t="s">
        <v>115</v>
      </c>
      <c r="G115" s="23" t="s">
        <v>17</v>
      </c>
      <c r="H115" s="23" t="s">
        <v>18</v>
      </c>
      <c r="I115" s="23" t="s">
        <v>12</v>
      </c>
      <c r="J115" s="23" t="s">
        <v>6</v>
      </c>
      <c r="K115" s="23" t="s">
        <v>853</v>
      </c>
      <c r="L115" s="23">
        <v>2022</v>
      </c>
      <c r="M115" s="24" t="s">
        <v>410</v>
      </c>
      <c r="N115" s="24">
        <v>45245</v>
      </c>
      <c r="O115" s="24" t="s">
        <v>50</v>
      </c>
      <c r="P115" s="86">
        <v>352.64367046215602</v>
      </c>
      <c r="Q115" s="86">
        <v>20.07</v>
      </c>
      <c r="R115" s="25">
        <v>14.93</v>
      </c>
      <c r="S115" s="25">
        <v>100.32</v>
      </c>
      <c r="T115" s="25">
        <v>8.65</v>
      </c>
      <c r="U115" s="25">
        <v>15.214528513693899</v>
      </c>
      <c r="V115" s="25">
        <v>13.7522133481912</v>
      </c>
      <c r="W115" s="25">
        <v>1497.74</v>
      </c>
      <c r="X115" s="34">
        <v>755853.43</v>
      </c>
      <c r="Y115" s="30">
        <v>45598</v>
      </c>
      <c r="Z115" s="85">
        <v>2024</v>
      </c>
      <c r="AA115" s="28">
        <v>11</v>
      </c>
      <c r="AB115" s="84">
        <v>22787.4079361</v>
      </c>
      <c r="AC115" s="84">
        <v>20597.24002012</v>
      </c>
      <c r="AD115" s="84">
        <v>5264.97</v>
      </c>
      <c r="AE115" s="34">
        <v>227874.07936100001</v>
      </c>
      <c r="AF115" s="28" t="s">
        <v>551</v>
      </c>
      <c r="AG115" s="28" t="s">
        <v>66</v>
      </c>
    </row>
    <row r="116" spans="2:33" x14ac:dyDescent="0.2">
      <c r="B116" s="34">
        <f>CHOOSE(B$1,Tabla2[[#This Row],[Edad]]*12/365,Tabla2[[#This Row],[Tn/Ha]],Tabla2[[#This Row],[Tn]],Tabla2[[#This Row],[Area_Cosecha]])</f>
        <v>11.418880847764274</v>
      </c>
      <c r="C116" s="87" t="s">
        <v>550</v>
      </c>
      <c r="D116" s="23" t="s">
        <v>551</v>
      </c>
      <c r="E116" s="23" t="s">
        <v>551</v>
      </c>
      <c r="F116" s="23" t="s">
        <v>468</v>
      </c>
      <c r="G116" s="23" t="s">
        <v>17</v>
      </c>
      <c r="H116" s="23" t="s">
        <v>18</v>
      </c>
      <c r="I116" s="23" t="s">
        <v>12</v>
      </c>
      <c r="J116" s="23" t="s">
        <v>7</v>
      </c>
      <c r="K116" s="23" t="s">
        <v>817</v>
      </c>
      <c r="L116" s="23">
        <v>2022</v>
      </c>
      <c r="M116" s="24" t="s">
        <v>410</v>
      </c>
      <c r="N116" s="24">
        <v>45240</v>
      </c>
      <c r="O116" s="24" t="s">
        <v>50</v>
      </c>
      <c r="P116" s="86">
        <v>347.32429245282998</v>
      </c>
      <c r="Q116" s="86">
        <v>16.96</v>
      </c>
      <c r="R116" s="25">
        <v>16.96</v>
      </c>
      <c r="S116" s="25">
        <v>86.34</v>
      </c>
      <c r="T116" s="25">
        <v>7.56</v>
      </c>
      <c r="U116" s="25">
        <v>16.307728687969501</v>
      </c>
      <c r="V116" s="25">
        <v>14.8223770634714</v>
      </c>
      <c r="W116" s="25">
        <v>1464.28</v>
      </c>
      <c r="X116" s="34">
        <v>261714.39</v>
      </c>
      <c r="Y116" s="30">
        <v>45588</v>
      </c>
      <c r="Z116" s="85">
        <v>2024</v>
      </c>
      <c r="AA116" s="28">
        <v>10</v>
      </c>
      <c r="AB116" s="84">
        <v>23879.08096322</v>
      </c>
      <c r="AC116" s="84">
        <v>21704.110286499999</v>
      </c>
      <c r="AD116" s="84">
        <v>5890.6199999999899</v>
      </c>
      <c r="AE116" s="34">
        <v>238790.809632199</v>
      </c>
      <c r="AF116" s="28" t="s">
        <v>551</v>
      </c>
      <c r="AG116" s="28" t="s">
        <v>66</v>
      </c>
    </row>
    <row r="117" spans="2:33" x14ac:dyDescent="0.2">
      <c r="B117" s="34">
        <f>CHOOSE(B$1,Tabla2[[#This Row],[Edad]]*12/365,Tabla2[[#This Row],[Tn/Ha]],Tabla2[[#This Row],[Tn]],Tabla2[[#This Row],[Area_Cosecha]])</f>
        <v>12.043139162719234</v>
      </c>
      <c r="C117" s="87" t="s">
        <v>550</v>
      </c>
      <c r="D117" s="23" t="s">
        <v>551</v>
      </c>
      <c r="E117" s="23" t="s">
        <v>551</v>
      </c>
      <c r="F117" s="23" t="s">
        <v>116</v>
      </c>
      <c r="G117" s="23" t="s">
        <v>17</v>
      </c>
      <c r="H117" s="23" t="s">
        <v>18</v>
      </c>
      <c r="I117" s="23" t="s">
        <v>13</v>
      </c>
      <c r="J117" s="23" t="s">
        <v>3</v>
      </c>
      <c r="K117" s="23" t="s">
        <v>793</v>
      </c>
      <c r="L117" s="23">
        <v>2022</v>
      </c>
      <c r="M117" s="24" t="s">
        <v>62</v>
      </c>
      <c r="N117" s="24">
        <v>45176</v>
      </c>
      <c r="O117" s="24" t="s">
        <v>50</v>
      </c>
      <c r="P117" s="86">
        <v>366.31214953271001</v>
      </c>
      <c r="Q117" s="86">
        <v>21.4</v>
      </c>
      <c r="R117" s="25">
        <v>21.4</v>
      </c>
      <c r="S117" s="25">
        <v>122.21</v>
      </c>
      <c r="T117" s="25">
        <v>10.15</v>
      </c>
      <c r="U117" s="25">
        <v>15.281814617095799</v>
      </c>
      <c r="V117" s="25">
        <v>13.817208917973399</v>
      </c>
      <c r="W117" s="25">
        <v>2615.25</v>
      </c>
      <c r="X117" s="34">
        <v>817733.12</v>
      </c>
      <c r="Y117" s="30">
        <v>45544</v>
      </c>
      <c r="Z117" s="85">
        <v>2024</v>
      </c>
      <c r="AA117" s="28">
        <v>9</v>
      </c>
      <c r="AB117" s="84">
        <v>39965.765677360003</v>
      </c>
      <c r="AC117" s="84">
        <v>36135.455622729998</v>
      </c>
      <c r="AD117" s="84">
        <v>7839.08</v>
      </c>
      <c r="AE117" s="34">
        <v>399657.65677360003</v>
      </c>
      <c r="AF117" s="28" t="s">
        <v>551</v>
      </c>
      <c r="AG117" s="28" t="s">
        <v>66</v>
      </c>
    </row>
    <row r="118" spans="2:33" x14ac:dyDescent="0.2">
      <c r="B118" s="34">
        <f>CHOOSE(B$1,Tabla2[[#This Row],[Edad]]*12/365,Tabla2[[#This Row],[Tn/Ha]],Tabla2[[#This Row],[Tn]],Tabla2[[#This Row],[Area_Cosecha]])</f>
        <v>11.638442967584417</v>
      </c>
      <c r="C118" s="87" t="s">
        <v>550</v>
      </c>
      <c r="D118" s="23" t="s">
        <v>551</v>
      </c>
      <c r="E118" s="23" t="s">
        <v>551</v>
      </c>
      <c r="F118" s="23" t="s">
        <v>117</v>
      </c>
      <c r="G118" s="23" t="s">
        <v>17</v>
      </c>
      <c r="H118" s="23" t="s">
        <v>18</v>
      </c>
      <c r="I118" s="23" t="s">
        <v>13</v>
      </c>
      <c r="J118" s="23" t="s">
        <v>4</v>
      </c>
      <c r="K118" s="23" t="s">
        <v>818</v>
      </c>
      <c r="L118" s="23">
        <v>2022</v>
      </c>
      <c r="M118" s="24" t="s">
        <v>68</v>
      </c>
      <c r="N118" s="24">
        <v>45237</v>
      </c>
      <c r="O118" s="24" t="s">
        <v>50</v>
      </c>
      <c r="P118" s="86">
        <v>354.00264026402601</v>
      </c>
      <c r="Q118" s="86">
        <v>16.43</v>
      </c>
      <c r="R118" s="25">
        <v>15.15</v>
      </c>
      <c r="S118" s="25">
        <v>103.23</v>
      </c>
      <c r="T118" s="25">
        <v>8.8699999999999992</v>
      </c>
      <c r="U118" s="25">
        <v>15.2806177345328</v>
      </c>
      <c r="V118" s="25">
        <v>13.832131098045901</v>
      </c>
      <c r="W118" s="25">
        <v>1563.95999999999</v>
      </c>
      <c r="X118" s="34">
        <v>411079.47</v>
      </c>
      <c r="Y118" s="30">
        <v>45594</v>
      </c>
      <c r="Z118" s="85">
        <v>2024</v>
      </c>
      <c r="AA118" s="28">
        <v>10</v>
      </c>
      <c r="AB118" s="84">
        <v>23898.274912100002</v>
      </c>
      <c r="AC118" s="84">
        <v>21632.899752099998</v>
      </c>
      <c r="AD118" s="84">
        <v>5363.14</v>
      </c>
      <c r="AE118" s="34">
        <v>238982.749121</v>
      </c>
      <c r="AF118" s="28" t="s">
        <v>551</v>
      </c>
      <c r="AG118" s="28" t="s">
        <v>66</v>
      </c>
    </row>
    <row r="119" spans="2:33" x14ac:dyDescent="0.2">
      <c r="B119" s="34">
        <f>CHOOSE(B$1,Tabla2[[#This Row],[Edad]]*12/365,Tabla2[[#This Row],[Tn/Ha]],Tabla2[[#This Row],[Tn]],Tabla2[[#This Row],[Area_Cosecha]])</f>
        <v>12.361643835616439</v>
      </c>
      <c r="C119" s="87" t="s">
        <v>550</v>
      </c>
      <c r="D119" s="23" t="s">
        <v>551</v>
      </c>
      <c r="E119" s="23" t="s">
        <v>551</v>
      </c>
      <c r="F119" s="23" t="s">
        <v>117</v>
      </c>
      <c r="G119" s="23" t="s">
        <v>17</v>
      </c>
      <c r="H119" s="23" t="s">
        <v>18</v>
      </c>
      <c r="I119" s="23" t="s">
        <v>13</v>
      </c>
      <c r="J119" s="23" t="s">
        <v>4</v>
      </c>
      <c r="K119" s="23" t="s">
        <v>818</v>
      </c>
      <c r="L119" s="23">
        <v>2022</v>
      </c>
      <c r="M119" s="24" t="s">
        <v>68</v>
      </c>
      <c r="N119" s="24">
        <v>45237</v>
      </c>
      <c r="O119" s="24" t="s">
        <v>50</v>
      </c>
      <c r="P119" s="86">
        <v>376</v>
      </c>
      <c r="Q119" s="86">
        <v>16.43</v>
      </c>
      <c r="R119" s="25">
        <v>0.2</v>
      </c>
      <c r="S119" s="25">
        <v>124.95</v>
      </c>
      <c r="T119" s="25">
        <v>10.11</v>
      </c>
      <c r="U119" s="25">
        <v>15.467000000000001</v>
      </c>
      <c r="V119" s="25">
        <v>13.974500000000001</v>
      </c>
      <c r="W119" s="25">
        <v>24.99</v>
      </c>
      <c r="X119" s="34">
        <v>31225</v>
      </c>
      <c r="Y119" s="30">
        <v>45613</v>
      </c>
      <c r="Z119" s="85">
        <v>2024</v>
      </c>
      <c r="AA119" s="28">
        <v>11</v>
      </c>
      <c r="AB119" s="84">
        <v>386.52033</v>
      </c>
      <c r="AC119" s="84">
        <v>349.22275500000001</v>
      </c>
      <c r="AD119" s="84">
        <v>75.2</v>
      </c>
      <c r="AE119" s="34">
        <v>3865.2032999999901</v>
      </c>
      <c r="AF119" s="28" t="s">
        <v>551</v>
      </c>
      <c r="AG119" s="28" t="s">
        <v>66</v>
      </c>
    </row>
    <row r="120" spans="2:33" x14ac:dyDescent="0.2">
      <c r="B120" s="34">
        <f>CHOOSE(B$1,Tabla2[[#This Row],[Edad]]*12/365,Tabla2[[#This Row],[Tn/Ha]],Tabla2[[#This Row],[Tn]],Tabla2[[#This Row],[Area_Cosecha]])</f>
        <v>11.918519494204405</v>
      </c>
      <c r="C120" s="87" t="s">
        <v>550</v>
      </c>
      <c r="D120" s="23" t="s">
        <v>551</v>
      </c>
      <c r="E120" s="23" t="s">
        <v>551</v>
      </c>
      <c r="F120" s="23" t="s">
        <v>118</v>
      </c>
      <c r="G120" s="23" t="s">
        <v>17</v>
      </c>
      <c r="H120" s="23" t="s">
        <v>18</v>
      </c>
      <c r="I120" s="23" t="s">
        <v>13</v>
      </c>
      <c r="J120" s="23" t="s">
        <v>5</v>
      </c>
      <c r="K120" s="23" t="s">
        <v>655</v>
      </c>
      <c r="L120" s="23">
        <v>2022</v>
      </c>
      <c r="M120" s="24" t="s">
        <v>68</v>
      </c>
      <c r="N120" s="24">
        <v>45062</v>
      </c>
      <c r="O120" s="24" t="s">
        <v>50</v>
      </c>
      <c r="P120" s="86">
        <v>362.52163461538402</v>
      </c>
      <c r="Q120" s="86">
        <v>16.64</v>
      </c>
      <c r="R120" s="25">
        <v>16.64</v>
      </c>
      <c r="S120" s="25">
        <v>108.92</v>
      </c>
      <c r="T120" s="25">
        <v>9.14</v>
      </c>
      <c r="U120" s="25">
        <v>15.301481794952799</v>
      </c>
      <c r="V120" s="25">
        <v>13.7436970596024</v>
      </c>
      <c r="W120" s="25">
        <v>1812.51</v>
      </c>
      <c r="X120" s="34">
        <v>409083.54</v>
      </c>
      <c r="Y120" s="30">
        <v>45443</v>
      </c>
      <c r="Z120" s="85">
        <v>2024</v>
      </c>
      <c r="AA120" s="28">
        <v>5</v>
      </c>
      <c r="AB120" s="84">
        <v>27734.088768169899</v>
      </c>
      <c r="AC120" s="84">
        <v>24910.588357499899</v>
      </c>
      <c r="AD120" s="84">
        <v>6032.36</v>
      </c>
      <c r="AE120" s="34">
        <v>277340.8876817</v>
      </c>
      <c r="AF120" s="28" t="s">
        <v>551</v>
      </c>
      <c r="AG120" s="28" t="s">
        <v>66</v>
      </c>
    </row>
    <row r="121" spans="2:33" x14ac:dyDescent="0.2">
      <c r="B121" s="34">
        <f>CHOOSE(B$1,Tabla2[[#This Row],[Edad]]*12/365,Tabla2[[#This Row],[Tn/Ha]],Tabla2[[#This Row],[Tn]],Tabla2[[#This Row],[Area_Cosecha]])</f>
        <v>12.499984181720384</v>
      </c>
      <c r="C121" s="87" t="s">
        <v>550</v>
      </c>
      <c r="D121" s="23" t="s">
        <v>551</v>
      </c>
      <c r="E121" s="23" t="s">
        <v>551</v>
      </c>
      <c r="F121" s="23" t="s">
        <v>119</v>
      </c>
      <c r="G121" s="23" t="s">
        <v>17</v>
      </c>
      <c r="H121" s="23" t="s">
        <v>18</v>
      </c>
      <c r="I121" s="23" t="s">
        <v>13</v>
      </c>
      <c r="J121" s="23" t="s">
        <v>6</v>
      </c>
      <c r="K121" s="23" t="s">
        <v>678</v>
      </c>
      <c r="L121" s="23">
        <v>2022</v>
      </c>
      <c r="M121" s="24" t="s">
        <v>64</v>
      </c>
      <c r="N121" s="24">
        <v>45061</v>
      </c>
      <c r="O121" s="24" t="s">
        <v>50</v>
      </c>
      <c r="P121" s="86">
        <v>380.207852193995</v>
      </c>
      <c r="Q121" s="86">
        <v>12.99</v>
      </c>
      <c r="R121" s="25">
        <v>12.99</v>
      </c>
      <c r="S121" s="25">
        <v>131.94999999999999</v>
      </c>
      <c r="T121" s="25">
        <v>10.56</v>
      </c>
      <c r="U121" s="25">
        <v>14.8448891274306</v>
      </c>
      <c r="V121" s="25">
        <v>13.340787417945201</v>
      </c>
      <c r="W121" s="25">
        <v>1714.0070000000001</v>
      </c>
      <c r="X121" s="34">
        <v>757514.64</v>
      </c>
      <c r="Y121" s="30">
        <v>45442</v>
      </c>
      <c r="Z121" s="85">
        <v>2024</v>
      </c>
      <c r="AA121" s="28">
        <v>5</v>
      </c>
      <c r="AB121" s="84">
        <v>25444.243878640002</v>
      </c>
      <c r="AC121" s="84">
        <v>22866.203019870001</v>
      </c>
      <c r="AD121" s="84">
        <v>4938.8999999999996</v>
      </c>
      <c r="AE121" s="34">
        <v>254442.43878639999</v>
      </c>
      <c r="AF121" s="28" t="s">
        <v>551</v>
      </c>
      <c r="AG121" s="28" t="s">
        <v>66</v>
      </c>
    </row>
    <row r="122" spans="2:33" x14ac:dyDescent="0.2">
      <c r="B122" s="34">
        <f>CHOOSE(B$1,Tabla2[[#This Row],[Edad]]*12/365,Tabla2[[#This Row],[Tn/Ha]],Tabla2[[#This Row],[Tn]],Tabla2[[#This Row],[Area_Cosecha]])</f>
        <v>12.040017450484243</v>
      </c>
      <c r="C122" s="87" t="s">
        <v>550</v>
      </c>
      <c r="D122" s="23" t="s">
        <v>551</v>
      </c>
      <c r="E122" s="23" t="s">
        <v>551</v>
      </c>
      <c r="F122" s="23" t="s">
        <v>120</v>
      </c>
      <c r="G122" s="23" t="s">
        <v>17</v>
      </c>
      <c r="H122" s="23" t="s">
        <v>18</v>
      </c>
      <c r="I122" s="23" t="s">
        <v>13</v>
      </c>
      <c r="J122" s="23" t="s">
        <v>7</v>
      </c>
      <c r="K122" s="23" t="s">
        <v>656</v>
      </c>
      <c r="L122" s="23">
        <v>2022</v>
      </c>
      <c r="M122" s="24" t="s">
        <v>68</v>
      </c>
      <c r="N122" s="24">
        <v>45050</v>
      </c>
      <c r="O122" s="24" t="s">
        <v>50</v>
      </c>
      <c r="P122" s="86">
        <v>366.21719745222902</v>
      </c>
      <c r="Q122" s="86">
        <v>15.6999999999999</v>
      </c>
      <c r="R122" s="25">
        <v>15.7</v>
      </c>
      <c r="S122" s="25">
        <v>139.88</v>
      </c>
      <c r="T122" s="25">
        <v>11.62</v>
      </c>
      <c r="U122" s="25">
        <v>14.982628226843399</v>
      </c>
      <c r="V122" s="25">
        <v>13.440724864990299</v>
      </c>
      <c r="W122" s="25">
        <v>2196.14</v>
      </c>
      <c r="X122" s="34">
        <v>1022305.05</v>
      </c>
      <c r="Y122" s="30">
        <v>45417</v>
      </c>
      <c r="Z122" s="85">
        <v>2024</v>
      </c>
      <c r="AA122" s="28">
        <v>5</v>
      </c>
      <c r="AB122" s="84">
        <v>32903.949154100002</v>
      </c>
      <c r="AC122" s="84">
        <v>29517.713505</v>
      </c>
      <c r="AD122" s="84">
        <v>5749.61</v>
      </c>
      <c r="AE122" s="34">
        <v>329039.49154100002</v>
      </c>
      <c r="AF122" s="28" t="s">
        <v>551</v>
      </c>
      <c r="AG122" s="28" t="s">
        <v>66</v>
      </c>
    </row>
    <row r="123" spans="2:33" x14ac:dyDescent="0.2">
      <c r="B123" s="34">
        <f>CHOOSE(B$1,Tabla2[[#This Row],[Edad]]*12/365,Tabla2[[#This Row],[Tn/Ha]],Tabla2[[#This Row],[Tn]],Tabla2[[#This Row],[Area_Cosecha]])</f>
        <v>11.729790998043025</v>
      </c>
      <c r="C123" s="87" t="s">
        <v>550</v>
      </c>
      <c r="D123" s="23" t="s">
        <v>551</v>
      </c>
      <c r="E123" s="23" t="s">
        <v>551</v>
      </c>
      <c r="F123" s="23" t="s">
        <v>353</v>
      </c>
      <c r="G123" s="23" t="s">
        <v>17</v>
      </c>
      <c r="H123" s="23" t="s">
        <v>18</v>
      </c>
      <c r="I123" s="23" t="s">
        <v>13</v>
      </c>
      <c r="J123" s="23" t="s">
        <v>8</v>
      </c>
      <c r="K123" s="23" t="s">
        <v>844</v>
      </c>
      <c r="L123" s="23">
        <v>2023</v>
      </c>
      <c r="M123" s="24" t="s">
        <v>68</v>
      </c>
      <c r="N123" s="24">
        <v>45234</v>
      </c>
      <c r="O123" s="24" t="s">
        <v>50</v>
      </c>
      <c r="P123" s="86">
        <v>356.78114285714202</v>
      </c>
      <c r="Q123" s="86">
        <v>17.5</v>
      </c>
      <c r="R123" s="25">
        <v>17.5</v>
      </c>
      <c r="S123" s="25">
        <v>92.52</v>
      </c>
      <c r="T123" s="25">
        <v>7.89</v>
      </c>
      <c r="U123" s="25">
        <v>15.1319863444114</v>
      </c>
      <c r="V123" s="25">
        <v>13.6645696145907</v>
      </c>
      <c r="W123" s="25">
        <v>1619.11</v>
      </c>
      <c r="X123" s="34">
        <v>513359.62</v>
      </c>
      <c r="Y123" s="30">
        <v>45594</v>
      </c>
      <c r="Z123" s="85">
        <v>2024</v>
      </c>
      <c r="AA123" s="28">
        <v>10</v>
      </c>
      <c r="AB123" s="84">
        <v>24500.3504101</v>
      </c>
      <c r="AC123" s="84">
        <v>22124.441308680001</v>
      </c>
      <c r="AD123" s="84">
        <v>6243.67</v>
      </c>
      <c r="AE123" s="34">
        <v>245003.504101</v>
      </c>
      <c r="AF123" s="28" t="s">
        <v>551</v>
      </c>
      <c r="AG123" s="28" t="s">
        <v>66</v>
      </c>
    </row>
    <row r="124" spans="2:33" x14ac:dyDescent="0.2">
      <c r="B124" s="34">
        <f>CHOOSE(B$1,Tabla2[[#This Row],[Edad]]*12/365,Tabla2[[#This Row],[Tn/Ha]],Tabla2[[#This Row],[Tn]],Tabla2[[#This Row],[Area_Cosecha]])</f>
        <v>11.560858813832056</v>
      </c>
      <c r="C124" s="87" t="s">
        <v>550</v>
      </c>
      <c r="D124" s="23" t="s">
        <v>551</v>
      </c>
      <c r="E124" s="23" t="s">
        <v>551</v>
      </c>
      <c r="F124" s="23" t="s">
        <v>463</v>
      </c>
      <c r="G124" s="23" t="s">
        <v>0</v>
      </c>
      <c r="H124" s="23" t="s">
        <v>1</v>
      </c>
      <c r="I124" s="23" t="s">
        <v>2</v>
      </c>
      <c r="J124" s="23" t="s">
        <v>4</v>
      </c>
      <c r="K124" s="23" t="s">
        <v>794</v>
      </c>
      <c r="L124" s="23">
        <v>2023</v>
      </c>
      <c r="M124" s="24" t="s">
        <v>304</v>
      </c>
      <c r="N124" s="24">
        <v>45197</v>
      </c>
      <c r="O124" s="24" t="s">
        <v>50</v>
      </c>
      <c r="P124" s="86">
        <v>351.64278892072502</v>
      </c>
      <c r="Q124" s="86">
        <v>41.88</v>
      </c>
      <c r="R124" s="25">
        <v>41.88</v>
      </c>
      <c r="S124" s="25">
        <v>46.56</v>
      </c>
      <c r="T124" s="25">
        <v>4.03</v>
      </c>
      <c r="U124" s="25">
        <v>15.5412790127103</v>
      </c>
      <c r="V124" s="25">
        <v>14.053080912701301</v>
      </c>
      <c r="W124" s="25">
        <v>1949.904</v>
      </c>
      <c r="X124" s="34">
        <v>454296.46</v>
      </c>
      <c r="Y124" s="30">
        <v>45549</v>
      </c>
      <c r="Z124" s="85">
        <v>2024</v>
      </c>
      <c r="AA124" s="28">
        <v>9</v>
      </c>
      <c r="AB124" s="84">
        <v>30304.002111999998</v>
      </c>
      <c r="AC124" s="84">
        <v>27402.158684000002</v>
      </c>
      <c r="AD124" s="84">
        <v>14726.799999999899</v>
      </c>
      <c r="AE124" s="34">
        <v>303040.02111999999</v>
      </c>
      <c r="AF124" s="28" t="s">
        <v>551</v>
      </c>
      <c r="AG124" s="28" t="s">
        <v>66</v>
      </c>
    </row>
    <row r="125" spans="2:33" x14ac:dyDescent="0.2">
      <c r="B125" s="34">
        <f>CHOOSE(B$1,Tabla2[[#This Row],[Edad]]*12/365,Tabla2[[#This Row],[Tn/Ha]],Tabla2[[#This Row],[Tn]],Tabla2[[#This Row],[Area_Cosecha]])</f>
        <v>11.632625505357765</v>
      </c>
      <c r="C125" s="87" t="s">
        <v>550</v>
      </c>
      <c r="D125" s="23" t="s">
        <v>551</v>
      </c>
      <c r="E125" s="23" t="s">
        <v>551</v>
      </c>
      <c r="F125" s="23" t="s">
        <v>466</v>
      </c>
      <c r="G125" s="23" t="s">
        <v>0</v>
      </c>
      <c r="H125" s="23" t="s">
        <v>1</v>
      </c>
      <c r="I125" s="23" t="s">
        <v>2</v>
      </c>
      <c r="J125" s="23" t="s">
        <v>5</v>
      </c>
      <c r="K125" s="23" t="s">
        <v>760</v>
      </c>
      <c r="L125" s="23">
        <v>2023</v>
      </c>
      <c r="M125" s="24" t="s">
        <v>304</v>
      </c>
      <c r="N125" s="24">
        <v>45171</v>
      </c>
      <c r="O125" s="24" t="s">
        <v>50</v>
      </c>
      <c r="P125" s="86">
        <v>353.82569245463202</v>
      </c>
      <c r="Q125" s="86">
        <v>41.88</v>
      </c>
      <c r="R125" s="25">
        <v>41.879999999999903</v>
      </c>
      <c r="S125" s="25">
        <v>93.38</v>
      </c>
      <c r="T125" s="25">
        <v>8.0299999999999994</v>
      </c>
      <c r="U125" s="25">
        <v>14.965064342387601</v>
      </c>
      <c r="V125" s="25">
        <v>13.498315802647999</v>
      </c>
      <c r="W125" s="25">
        <v>3910.83</v>
      </c>
      <c r="X125" s="34">
        <v>1214342.76</v>
      </c>
      <c r="Y125" s="30">
        <v>45526</v>
      </c>
      <c r="Z125" s="85">
        <v>2024</v>
      </c>
      <c r="AA125" s="28">
        <v>8</v>
      </c>
      <c r="AB125" s="84">
        <v>58525.822582139997</v>
      </c>
      <c r="AC125" s="84">
        <v>52789.618390470001</v>
      </c>
      <c r="AD125" s="84">
        <v>14818.22</v>
      </c>
      <c r="AE125" s="34">
        <v>585258.22582139994</v>
      </c>
      <c r="AF125" s="28" t="s">
        <v>551</v>
      </c>
      <c r="AG125" s="28" t="s">
        <v>66</v>
      </c>
    </row>
    <row r="126" spans="2:33" x14ac:dyDescent="0.2">
      <c r="B126" s="34">
        <f>CHOOSE(B$1,Tabla2[[#This Row],[Edad]]*12/365,Tabla2[[#This Row],[Tn/Ha]],Tabla2[[#This Row],[Tn]],Tabla2[[#This Row],[Area_Cosecha]])</f>
        <v>15.717373384375266</v>
      </c>
      <c r="C126" s="87" t="s">
        <v>550</v>
      </c>
      <c r="D126" s="23" t="s">
        <v>551</v>
      </c>
      <c r="E126" s="23" t="s">
        <v>551</v>
      </c>
      <c r="F126" s="23" t="s">
        <v>431</v>
      </c>
      <c r="G126" s="23" t="s">
        <v>0</v>
      </c>
      <c r="H126" s="23" t="s">
        <v>1</v>
      </c>
      <c r="I126" s="23" t="s">
        <v>2</v>
      </c>
      <c r="J126" s="23" t="s">
        <v>6</v>
      </c>
      <c r="K126" s="23" t="s">
        <v>626</v>
      </c>
      <c r="L126" s="23">
        <v>2022</v>
      </c>
      <c r="M126" s="24" t="s">
        <v>63</v>
      </c>
      <c r="N126" s="24">
        <v>44902</v>
      </c>
      <c r="O126" s="24" t="s">
        <v>50</v>
      </c>
      <c r="P126" s="86">
        <v>478.070107108081</v>
      </c>
      <c r="Q126" s="86">
        <v>41.88</v>
      </c>
      <c r="R126" s="25">
        <v>30.81</v>
      </c>
      <c r="S126" s="25">
        <v>152.38999999999999</v>
      </c>
      <c r="T126" s="25">
        <v>9.6999999999999993</v>
      </c>
      <c r="U126" s="25">
        <v>13.865190967832801</v>
      </c>
      <c r="V126" s="25">
        <v>12.3375641371476</v>
      </c>
      <c r="W126" s="25">
        <v>4695.16</v>
      </c>
      <c r="X126" s="34">
        <v>1783464.13</v>
      </c>
      <c r="Y126" s="30">
        <v>45382</v>
      </c>
      <c r="Z126" s="85">
        <v>2024</v>
      </c>
      <c r="AA126" s="28">
        <v>3</v>
      </c>
      <c r="AB126" s="84">
        <v>65099.290024529997</v>
      </c>
      <c r="AC126" s="84">
        <v>57926.837634169999</v>
      </c>
      <c r="AD126" s="84">
        <v>14729.34</v>
      </c>
      <c r="AE126" s="34">
        <v>650992.90024530003</v>
      </c>
      <c r="AF126" s="28" t="s">
        <v>551</v>
      </c>
      <c r="AG126" s="28" t="s">
        <v>66</v>
      </c>
    </row>
    <row r="127" spans="2:33" x14ac:dyDescent="0.2">
      <c r="B127" s="34">
        <f>CHOOSE(B$1,Tabla2[[#This Row],[Edad]]*12/365,Tabla2[[#This Row],[Tn/Ha]],Tabla2[[#This Row],[Tn]],Tabla2[[#This Row],[Area_Cosecha]])</f>
        <v>15.817886178861764</v>
      </c>
      <c r="C127" s="87" t="s">
        <v>550</v>
      </c>
      <c r="D127" s="23" t="s">
        <v>551</v>
      </c>
      <c r="E127" s="23" t="s">
        <v>551</v>
      </c>
      <c r="F127" s="23" t="s">
        <v>431</v>
      </c>
      <c r="G127" s="23" t="s">
        <v>0</v>
      </c>
      <c r="H127" s="23" t="s">
        <v>1</v>
      </c>
      <c r="I127" s="23" t="s">
        <v>2</v>
      </c>
      <c r="J127" s="23" t="s">
        <v>6</v>
      </c>
      <c r="K127" s="23" t="s">
        <v>626</v>
      </c>
      <c r="L127" s="23">
        <v>2022</v>
      </c>
      <c r="M127" s="24" t="s">
        <v>63</v>
      </c>
      <c r="N127" s="24">
        <v>44902</v>
      </c>
      <c r="O127" s="24" t="s">
        <v>50</v>
      </c>
      <c r="P127" s="86">
        <v>481.12737127371201</v>
      </c>
      <c r="Q127" s="86">
        <v>41.88</v>
      </c>
      <c r="R127" s="25">
        <v>11.07</v>
      </c>
      <c r="S127" s="25">
        <v>146.86000000000001</v>
      </c>
      <c r="T127" s="25">
        <v>9.2799999999999994</v>
      </c>
      <c r="U127" s="25">
        <v>13.326744790554899</v>
      </c>
      <c r="V127" s="25">
        <v>11.8021054955103</v>
      </c>
      <c r="W127" s="25">
        <v>1625.7339999999999</v>
      </c>
      <c r="X127" s="34">
        <v>1220039.28</v>
      </c>
      <c r="Y127" s="30">
        <v>45384</v>
      </c>
      <c r="Z127" s="85">
        <v>2024</v>
      </c>
      <c r="AA127" s="28">
        <v>4</v>
      </c>
      <c r="AB127" s="84">
        <v>21665.742115328001</v>
      </c>
      <c r="AC127" s="84">
        <v>19187.084175638</v>
      </c>
      <c r="AD127" s="84">
        <v>5326.08</v>
      </c>
      <c r="AE127" s="34">
        <v>216657.42115328001</v>
      </c>
      <c r="AF127" s="28" t="s">
        <v>551</v>
      </c>
      <c r="AG127" s="28" t="s">
        <v>66</v>
      </c>
    </row>
    <row r="128" spans="2:33" x14ac:dyDescent="0.2">
      <c r="B128" s="34">
        <f>CHOOSE(B$1,Tabla2[[#This Row],[Edad]]*12/365,Tabla2[[#This Row],[Tn/Ha]],Tabla2[[#This Row],[Tn]],Tabla2[[#This Row],[Area_Cosecha]])</f>
        <v>12.263013698630138</v>
      </c>
      <c r="C128" s="87" t="s">
        <v>550</v>
      </c>
      <c r="D128" s="23" t="s">
        <v>551</v>
      </c>
      <c r="E128" s="23" t="s">
        <v>551</v>
      </c>
      <c r="F128" s="23" t="s">
        <v>121</v>
      </c>
      <c r="G128" s="23" t="s">
        <v>0</v>
      </c>
      <c r="H128" s="23" t="s">
        <v>1</v>
      </c>
      <c r="I128" s="23" t="s">
        <v>2</v>
      </c>
      <c r="J128" s="23" t="s">
        <v>7</v>
      </c>
      <c r="K128" s="23" t="s">
        <v>679</v>
      </c>
      <c r="L128" s="23">
        <v>2022</v>
      </c>
      <c r="M128" s="24" t="s">
        <v>60</v>
      </c>
      <c r="N128" s="24">
        <v>45070</v>
      </c>
      <c r="O128" s="24" t="s">
        <v>50</v>
      </c>
      <c r="P128" s="86">
        <v>373</v>
      </c>
      <c r="Q128" s="86">
        <v>41.88</v>
      </c>
      <c r="R128" s="25">
        <v>6.71</v>
      </c>
      <c r="S128" s="25">
        <v>179.13</v>
      </c>
      <c r="T128" s="25">
        <v>14.61</v>
      </c>
      <c r="U128" s="25">
        <v>15.3876659999999</v>
      </c>
      <c r="V128" s="25">
        <v>13.827999999999999</v>
      </c>
      <c r="W128" s="25">
        <v>1201.99</v>
      </c>
      <c r="X128" s="34">
        <v>2153174.31</v>
      </c>
      <c r="Y128" s="30">
        <v>45443</v>
      </c>
      <c r="Z128" s="85">
        <v>2024</v>
      </c>
      <c r="AA128" s="28">
        <v>5</v>
      </c>
      <c r="AB128" s="84">
        <v>18495.8206553399</v>
      </c>
      <c r="AC128" s="84">
        <v>16621.117719999998</v>
      </c>
      <c r="AD128" s="84">
        <v>2502.83</v>
      </c>
      <c r="AE128" s="34">
        <v>184958.20655339901</v>
      </c>
      <c r="AF128" s="28" t="s">
        <v>551</v>
      </c>
      <c r="AG128" s="28" t="s">
        <v>66</v>
      </c>
    </row>
    <row r="129" spans="2:33" x14ac:dyDescent="0.2">
      <c r="B129" s="34">
        <f>CHOOSE(B$1,Tabla2[[#This Row],[Edad]]*12/365,Tabla2[[#This Row],[Tn/Ha]],Tabla2[[#This Row],[Tn]],Tabla2[[#This Row],[Area_Cosecha]])</f>
        <v>12.341040971251168</v>
      </c>
      <c r="C129" s="87" t="s">
        <v>550</v>
      </c>
      <c r="D129" s="23" t="s">
        <v>551</v>
      </c>
      <c r="E129" s="23" t="s">
        <v>551</v>
      </c>
      <c r="F129" s="23" t="s">
        <v>121</v>
      </c>
      <c r="G129" s="23" t="s">
        <v>0</v>
      </c>
      <c r="H129" s="23" t="s">
        <v>1</v>
      </c>
      <c r="I129" s="23" t="s">
        <v>2</v>
      </c>
      <c r="J129" s="23" t="s">
        <v>7</v>
      </c>
      <c r="K129" s="23" t="s">
        <v>679</v>
      </c>
      <c r="L129" s="23">
        <v>2022</v>
      </c>
      <c r="M129" s="24" t="s">
        <v>60</v>
      </c>
      <c r="N129" s="24">
        <v>45070</v>
      </c>
      <c r="O129" s="24" t="s">
        <v>50</v>
      </c>
      <c r="P129" s="86">
        <v>375.37332954222302</v>
      </c>
      <c r="Q129" s="86">
        <v>41.88</v>
      </c>
      <c r="R129" s="25">
        <v>35.17</v>
      </c>
      <c r="S129" s="25">
        <v>178.92</v>
      </c>
      <c r="T129" s="25">
        <v>14.5</v>
      </c>
      <c r="U129" s="25">
        <v>15.002591439895401</v>
      </c>
      <c r="V129" s="25">
        <v>13.483874002108699</v>
      </c>
      <c r="W129" s="25">
        <v>6292.79</v>
      </c>
      <c r="X129" s="34">
        <v>3734271.36</v>
      </c>
      <c r="Y129" s="30">
        <v>45448</v>
      </c>
      <c r="Z129" s="85">
        <v>2024</v>
      </c>
      <c r="AA129" s="28">
        <v>6</v>
      </c>
      <c r="AB129" s="84">
        <v>94408.157387059997</v>
      </c>
      <c r="AC129" s="84">
        <v>84851.187481729998</v>
      </c>
      <c r="AD129" s="84">
        <v>13201.88</v>
      </c>
      <c r="AE129" s="34">
        <v>944081.57387059997</v>
      </c>
      <c r="AF129" s="28" t="s">
        <v>551</v>
      </c>
      <c r="AG129" s="28" t="s">
        <v>66</v>
      </c>
    </row>
    <row r="130" spans="2:33" x14ac:dyDescent="0.2">
      <c r="B130" s="34">
        <f>CHOOSE(B$1,Tabla2[[#This Row],[Edad]]*12/365,Tabla2[[#This Row],[Tn/Ha]],Tabla2[[#This Row],[Tn]],Tabla2[[#This Row],[Area_Cosecha]])</f>
        <v>11.44440274505474</v>
      </c>
      <c r="C130" s="87" t="s">
        <v>550</v>
      </c>
      <c r="D130" s="23" t="s">
        <v>551</v>
      </c>
      <c r="E130" s="23" t="s">
        <v>551</v>
      </c>
      <c r="F130" s="23" t="s">
        <v>122</v>
      </c>
      <c r="G130" s="23" t="s">
        <v>0</v>
      </c>
      <c r="H130" s="23" t="s">
        <v>1</v>
      </c>
      <c r="I130" s="23" t="s">
        <v>9</v>
      </c>
      <c r="J130" s="23" t="s">
        <v>3</v>
      </c>
      <c r="K130" s="23" t="s">
        <v>721</v>
      </c>
      <c r="L130" s="23">
        <v>2023</v>
      </c>
      <c r="M130" s="24" t="s">
        <v>61</v>
      </c>
      <c r="N130" s="24">
        <v>45139</v>
      </c>
      <c r="O130" s="24" t="s">
        <v>50</v>
      </c>
      <c r="P130" s="86">
        <v>348.10058349541498</v>
      </c>
      <c r="Q130" s="86">
        <v>36.74</v>
      </c>
      <c r="R130" s="25">
        <v>35.99</v>
      </c>
      <c r="S130" s="25">
        <v>142.72</v>
      </c>
      <c r="T130" s="25">
        <v>12.47</v>
      </c>
      <c r="U130" s="25">
        <v>14.4772163888075</v>
      </c>
      <c r="V130" s="25">
        <v>12.9714878420756</v>
      </c>
      <c r="W130" s="25">
        <v>5136.32</v>
      </c>
      <c r="X130" s="34">
        <v>1832561.2</v>
      </c>
      <c r="Y130" s="30">
        <v>45489</v>
      </c>
      <c r="Z130" s="85">
        <v>2024</v>
      </c>
      <c r="AA130" s="28">
        <v>7</v>
      </c>
      <c r="AB130" s="84">
        <v>74359.616082159904</v>
      </c>
      <c r="AC130" s="84">
        <v>66625.712433010005</v>
      </c>
      <c r="AD130" s="84">
        <v>12528.14</v>
      </c>
      <c r="AE130" s="34">
        <v>743596.16082159895</v>
      </c>
      <c r="AF130" s="28" t="s">
        <v>551</v>
      </c>
      <c r="AG130" s="28" t="s">
        <v>66</v>
      </c>
    </row>
    <row r="131" spans="2:33" x14ac:dyDescent="0.2">
      <c r="B131" s="34">
        <f>CHOOSE(B$1,Tabla2[[#This Row],[Edad]]*12/365,Tabla2[[#This Row],[Tn/Ha]],Tabla2[[#This Row],[Tn]],Tabla2[[#This Row],[Area_Cosecha]])</f>
        <v>16.515005691407932</v>
      </c>
      <c r="C131" s="87" t="s">
        <v>550</v>
      </c>
      <c r="D131" s="23" t="s">
        <v>551</v>
      </c>
      <c r="E131" s="23" t="s">
        <v>551</v>
      </c>
      <c r="F131" s="23" t="s">
        <v>435</v>
      </c>
      <c r="G131" s="23" t="s">
        <v>0</v>
      </c>
      <c r="H131" s="23" t="s">
        <v>1</v>
      </c>
      <c r="I131" s="23" t="s">
        <v>9</v>
      </c>
      <c r="J131" s="23" t="s">
        <v>4</v>
      </c>
      <c r="K131" s="23" t="s">
        <v>632</v>
      </c>
      <c r="L131" s="23">
        <v>2022</v>
      </c>
      <c r="M131" s="24" t="s">
        <v>63</v>
      </c>
      <c r="N131" s="24">
        <v>44890</v>
      </c>
      <c r="O131" s="24" t="s">
        <v>50</v>
      </c>
      <c r="P131" s="86">
        <v>502.33142311365799</v>
      </c>
      <c r="Q131" s="86">
        <v>41.88</v>
      </c>
      <c r="R131" s="25">
        <v>41.879999999999903</v>
      </c>
      <c r="S131" s="25">
        <v>164.24</v>
      </c>
      <c r="T131" s="25">
        <v>9.94</v>
      </c>
      <c r="U131" s="25">
        <v>14.218879759553699</v>
      </c>
      <c r="V131" s="25">
        <v>12.688193064326301</v>
      </c>
      <c r="W131" s="25">
        <v>6878.21</v>
      </c>
      <c r="X131" s="34">
        <v>1168369.77</v>
      </c>
      <c r="Y131" s="30">
        <v>45398</v>
      </c>
      <c r="Z131" s="85">
        <v>2024</v>
      </c>
      <c r="AA131" s="28">
        <v>4</v>
      </c>
      <c r="AB131" s="84">
        <v>97800.440950959994</v>
      </c>
      <c r="AC131" s="84">
        <v>87272.056416979904</v>
      </c>
      <c r="AD131" s="84">
        <v>21037.64</v>
      </c>
      <c r="AE131" s="34">
        <v>978004.40950959898</v>
      </c>
      <c r="AF131" s="28" t="s">
        <v>551</v>
      </c>
      <c r="AG131" s="28" t="s">
        <v>66</v>
      </c>
    </row>
    <row r="132" spans="2:33" x14ac:dyDescent="0.2">
      <c r="B132" s="34">
        <f>CHOOSE(B$1,Tabla2[[#This Row],[Edad]]*12/365,Tabla2[[#This Row],[Tn/Ha]],Tabla2[[#This Row],[Tn]],Tabla2[[#This Row],[Area_Cosecha]])</f>
        <v>11.794661851866376</v>
      </c>
      <c r="C132" s="87" t="s">
        <v>550</v>
      </c>
      <c r="D132" s="23" t="s">
        <v>551</v>
      </c>
      <c r="E132" s="23" t="s">
        <v>551</v>
      </c>
      <c r="F132" s="23" t="s">
        <v>123</v>
      </c>
      <c r="G132" s="23" t="s">
        <v>0</v>
      </c>
      <c r="H132" s="23" t="s">
        <v>1</v>
      </c>
      <c r="I132" s="23" t="s">
        <v>9</v>
      </c>
      <c r="J132" s="23" t="s">
        <v>5</v>
      </c>
      <c r="K132" s="23" t="s">
        <v>608</v>
      </c>
      <c r="L132" s="23">
        <v>2022</v>
      </c>
      <c r="M132" s="24" t="s">
        <v>64</v>
      </c>
      <c r="N132" s="24">
        <v>44973</v>
      </c>
      <c r="O132" s="24" t="s">
        <v>50</v>
      </c>
      <c r="P132" s="86">
        <v>358.754297994269</v>
      </c>
      <c r="Q132" s="86">
        <v>41.88</v>
      </c>
      <c r="R132" s="25">
        <v>41.88</v>
      </c>
      <c r="S132" s="25">
        <v>133.31</v>
      </c>
      <c r="T132" s="25">
        <v>11.3</v>
      </c>
      <c r="U132" s="25">
        <v>14.209455688782599</v>
      </c>
      <c r="V132" s="25">
        <v>12.6971012606679</v>
      </c>
      <c r="W132" s="25">
        <v>5583.0529999999899</v>
      </c>
      <c r="X132" s="34">
        <v>1070440.07</v>
      </c>
      <c r="Y132" s="30">
        <v>45347</v>
      </c>
      <c r="Z132" s="85">
        <v>2024</v>
      </c>
      <c r="AA132" s="28">
        <v>2</v>
      </c>
      <c r="AB132" s="84">
        <v>79332.144211624996</v>
      </c>
      <c r="AC132" s="84">
        <v>70888.589284675996</v>
      </c>
      <c r="AD132" s="84">
        <v>15024.63</v>
      </c>
      <c r="AE132" s="34">
        <v>793321.442116249</v>
      </c>
      <c r="AF132" s="28" t="s">
        <v>551</v>
      </c>
      <c r="AG132" s="28" t="s">
        <v>66</v>
      </c>
    </row>
    <row r="133" spans="2:33" x14ac:dyDescent="0.2">
      <c r="B133" s="34">
        <f>CHOOSE(B$1,Tabla2[[#This Row],[Edad]]*12/365,Tabla2[[#This Row],[Tn/Ha]],Tabla2[[#This Row],[Tn]],Tabla2[[#This Row],[Area_Cosecha]])</f>
        <v>11.316638536719386</v>
      </c>
      <c r="C133" s="87" t="s">
        <v>550</v>
      </c>
      <c r="D133" s="23" t="s">
        <v>551</v>
      </c>
      <c r="E133" s="23" t="s">
        <v>551</v>
      </c>
      <c r="F133" s="23" t="s">
        <v>372</v>
      </c>
      <c r="G133" s="23" t="s">
        <v>0</v>
      </c>
      <c r="H133" s="23" t="s">
        <v>1</v>
      </c>
      <c r="I133" s="23" t="s">
        <v>9</v>
      </c>
      <c r="J133" s="23" t="s">
        <v>6</v>
      </c>
      <c r="K133" s="23" t="s">
        <v>795</v>
      </c>
      <c r="L133" s="23">
        <v>2023</v>
      </c>
      <c r="M133" s="24" t="s">
        <v>289</v>
      </c>
      <c r="N133" s="24">
        <v>45203</v>
      </c>
      <c r="O133" s="24" t="s">
        <v>50</v>
      </c>
      <c r="P133" s="86">
        <v>344.21442215854802</v>
      </c>
      <c r="Q133" s="86">
        <v>41.88</v>
      </c>
      <c r="R133" s="25">
        <v>41.88</v>
      </c>
      <c r="S133" s="25">
        <v>54.82</v>
      </c>
      <c r="T133" s="25">
        <v>4.84</v>
      </c>
      <c r="U133" s="25">
        <v>14.957531440479899</v>
      </c>
      <c r="V133" s="25">
        <v>13.488104858614101</v>
      </c>
      <c r="W133" s="25">
        <v>2295.7460000000001</v>
      </c>
      <c r="X133" s="34">
        <v>422558.56</v>
      </c>
      <c r="Y133" s="30">
        <v>45548</v>
      </c>
      <c r="Z133" s="85">
        <v>2024</v>
      </c>
      <c r="AA133" s="28">
        <v>9</v>
      </c>
      <c r="AB133" s="84">
        <v>34338.692974356003</v>
      </c>
      <c r="AC133" s="84">
        <v>30965.262776743999</v>
      </c>
      <c r="AD133" s="84">
        <v>14415.699999999901</v>
      </c>
      <c r="AE133" s="34">
        <v>343386.92974355997</v>
      </c>
      <c r="AF133" s="28" t="s">
        <v>551</v>
      </c>
      <c r="AG133" s="28" t="s">
        <v>66</v>
      </c>
    </row>
    <row r="134" spans="2:33" x14ac:dyDescent="0.2">
      <c r="B134" s="34">
        <f>CHOOSE(B$1,Tabla2[[#This Row],[Edad]]*12/365,Tabla2[[#This Row],[Tn/Ha]],Tabla2[[#This Row],[Tn]],Tabla2[[#This Row],[Area_Cosecha]])</f>
        <v>10.75938297287747</v>
      </c>
      <c r="C134" s="87" t="s">
        <v>550</v>
      </c>
      <c r="D134" s="23" t="s">
        <v>551</v>
      </c>
      <c r="E134" s="23" t="s">
        <v>551</v>
      </c>
      <c r="F134" s="23" t="s">
        <v>124</v>
      </c>
      <c r="G134" s="23" t="s">
        <v>0</v>
      </c>
      <c r="H134" s="23" t="s">
        <v>1</v>
      </c>
      <c r="I134" s="23" t="s">
        <v>9</v>
      </c>
      <c r="J134" s="23" t="s">
        <v>8</v>
      </c>
      <c r="K134" s="23" t="s">
        <v>845</v>
      </c>
      <c r="L134" s="23">
        <v>2023</v>
      </c>
      <c r="M134" s="24" t="s">
        <v>60</v>
      </c>
      <c r="N134" s="24">
        <v>45264</v>
      </c>
      <c r="O134" s="24" t="s">
        <v>50</v>
      </c>
      <c r="P134" s="86">
        <v>327.26456542502302</v>
      </c>
      <c r="Q134" s="86">
        <v>41.88</v>
      </c>
      <c r="R134" s="25">
        <v>41.88</v>
      </c>
      <c r="S134" s="25">
        <v>159.88999999999999</v>
      </c>
      <c r="T134" s="25">
        <v>14.86</v>
      </c>
      <c r="U134" s="25">
        <v>14.4510312508101</v>
      </c>
      <c r="V134" s="25">
        <v>12.9967122971984</v>
      </c>
      <c r="W134" s="25">
        <v>6696.3</v>
      </c>
      <c r="X134" s="34">
        <v>2684811.9</v>
      </c>
      <c r="Y134" s="30">
        <v>45593</v>
      </c>
      <c r="Z134" s="85">
        <v>2024</v>
      </c>
      <c r="AA134" s="28">
        <v>10</v>
      </c>
      <c r="AB134" s="84">
        <v>96768.440564799996</v>
      </c>
      <c r="AC134" s="84">
        <v>87029.884555729994</v>
      </c>
      <c r="AD134" s="84">
        <v>13705.84</v>
      </c>
      <c r="AE134" s="34">
        <v>967684.40564799996</v>
      </c>
      <c r="AF134" s="28" t="s">
        <v>551</v>
      </c>
      <c r="AG134" s="28" t="s">
        <v>66</v>
      </c>
    </row>
    <row r="135" spans="2:33" x14ac:dyDescent="0.2">
      <c r="B135" s="34">
        <f>CHOOSE(B$1,Tabla2[[#This Row],[Edad]]*12/365,Tabla2[[#This Row],[Tn/Ha]],Tabla2[[#This Row],[Tn]],Tabla2[[#This Row],[Area_Cosecha]])</f>
        <v>11.175792858617918</v>
      </c>
      <c r="C135" s="87" t="s">
        <v>550</v>
      </c>
      <c r="D135" s="23" t="s">
        <v>551</v>
      </c>
      <c r="E135" s="23" t="s">
        <v>551</v>
      </c>
      <c r="F135" s="23" t="s">
        <v>479</v>
      </c>
      <c r="G135" s="23" t="s">
        <v>0</v>
      </c>
      <c r="H135" s="23" t="s">
        <v>1</v>
      </c>
      <c r="I135" s="23" t="s">
        <v>10</v>
      </c>
      <c r="J135" s="23" t="s">
        <v>3</v>
      </c>
      <c r="K135" s="23" t="s">
        <v>883</v>
      </c>
      <c r="L135" s="23">
        <v>2023</v>
      </c>
      <c r="M135" s="24" t="s">
        <v>289</v>
      </c>
      <c r="N135" s="24">
        <v>45271</v>
      </c>
      <c r="O135" s="24" t="s">
        <v>50</v>
      </c>
      <c r="P135" s="86">
        <v>339.93036611629498</v>
      </c>
      <c r="Q135" s="86">
        <v>41.79</v>
      </c>
      <c r="R135" s="25">
        <v>41.79</v>
      </c>
      <c r="S135" s="25">
        <v>105.95</v>
      </c>
      <c r="T135" s="25">
        <v>9.48</v>
      </c>
      <c r="U135" s="25">
        <v>15.149510074699799</v>
      </c>
      <c r="V135" s="25">
        <v>13.692216255583901</v>
      </c>
      <c r="W135" s="25">
        <v>4427.8519999999999</v>
      </c>
      <c r="X135" s="34">
        <v>1565349.96</v>
      </c>
      <c r="Y135" s="30">
        <v>45612</v>
      </c>
      <c r="Z135" s="85">
        <v>2024</v>
      </c>
      <c r="AA135" s="28">
        <v>11</v>
      </c>
      <c r="AB135" s="84">
        <v>67079.788483280005</v>
      </c>
      <c r="AC135" s="84">
        <v>60627.107131719997</v>
      </c>
      <c r="AD135" s="84">
        <v>14205.69</v>
      </c>
      <c r="AE135" s="34">
        <v>670797.88483280002</v>
      </c>
      <c r="AF135" s="28" t="s">
        <v>551</v>
      </c>
      <c r="AG135" s="28" t="s">
        <v>66</v>
      </c>
    </row>
    <row r="136" spans="2:33" x14ac:dyDescent="0.2">
      <c r="B136" s="34">
        <f>CHOOSE(B$1,Tabla2[[#This Row],[Edad]]*12/365,Tabla2[[#This Row],[Tn/Ha]],Tabla2[[#This Row],[Tn]],Tabla2[[#This Row],[Area_Cosecha]])</f>
        <v>10.95100752165051</v>
      </c>
      <c r="C136" s="87" t="s">
        <v>550</v>
      </c>
      <c r="D136" s="23" t="s">
        <v>551</v>
      </c>
      <c r="E136" s="23" t="s">
        <v>551</v>
      </c>
      <c r="F136" s="23" t="s">
        <v>125</v>
      </c>
      <c r="G136" s="23" t="s">
        <v>0</v>
      </c>
      <c r="H136" s="23" t="s">
        <v>1</v>
      </c>
      <c r="I136" s="23" t="s">
        <v>10</v>
      </c>
      <c r="J136" s="23" t="s">
        <v>5</v>
      </c>
      <c r="K136" s="23" t="s">
        <v>819</v>
      </c>
      <c r="L136" s="23">
        <v>2024</v>
      </c>
      <c r="M136" s="24" t="s">
        <v>381</v>
      </c>
      <c r="N136" s="24">
        <v>45255</v>
      </c>
      <c r="O136" s="24" t="s">
        <v>51</v>
      </c>
      <c r="P136" s="86">
        <v>333.093145450203</v>
      </c>
      <c r="Q136" s="86">
        <v>41.87</v>
      </c>
      <c r="R136" s="25">
        <v>41.87</v>
      </c>
      <c r="S136" s="25">
        <v>106.86</v>
      </c>
      <c r="T136" s="25">
        <v>9.76</v>
      </c>
      <c r="U136" s="25">
        <v>14.761531301105199</v>
      </c>
      <c r="V136" s="25">
        <v>13.297966941476201</v>
      </c>
      <c r="W136" s="25">
        <v>4474.25</v>
      </c>
      <c r="X136" s="34">
        <v>1186977.73</v>
      </c>
      <c r="Y136" s="30">
        <v>45590</v>
      </c>
      <c r="Z136" s="85">
        <v>2024</v>
      </c>
      <c r="AA136" s="28">
        <v>10</v>
      </c>
      <c r="AB136" s="84">
        <v>66046.781423969995</v>
      </c>
      <c r="AC136" s="84">
        <v>59498.428587900002</v>
      </c>
      <c r="AD136" s="84">
        <v>13946.61</v>
      </c>
      <c r="AE136" s="34">
        <v>660467.81423969998</v>
      </c>
      <c r="AF136" s="28" t="s">
        <v>551</v>
      </c>
      <c r="AG136" s="28" t="s">
        <v>66</v>
      </c>
    </row>
    <row r="137" spans="2:33" x14ac:dyDescent="0.2">
      <c r="B137" s="34">
        <f>CHOOSE(B$1,Tabla2[[#This Row],[Edad]]*12/365,Tabla2[[#This Row],[Tn/Ha]],Tabla2[[#This Row],[Tn]],Tabla2[[#This Row],[Area_Cosecha]])</f>
        <v>12.200224786619605</v>
      </c>
      <c r="C137" s="87" t="s">
        <v>550</v>
      </c>
      <c r="D137" s="23" t="s">
        <v>551</v>
      </c>
      <c r="E137" s="23" t="s">
        <v>551</v>
      </c>
      <c r="F137" s="23" t="s">
        <v>535</v>
      </c>
      <c r="G137" s="23" t="s">
        <v>0</v>
      </c>
      <c r="H137" s="23" t="s">
        <v>1</v>
      </c>
      <c r="I137" s="23" t="s">
        <v>10</v>
      </c>
      <c r="J137" s="23" t="s">
        <v>6</v>
      </c>
      <c r="K137" s="23" t="s">
        <v>555</v>
      </c>
      <c r="L137" s="23">
        <v>2022</v>
      </c>
      <c r="M137" s="24" t="s">
        <v>283</v>
      </c>
      <c r="N137" s="24">
        <v>44922</v>
      </c>
      <c r="O137" s="24" t="s">
        <v>50</v>
      </c>
      <c r="P137" s="86">
        <v>371.090170593013</v>
      </c>
      <c r="Q137" s="86">
        <v>40</v>
      </c>
      <c r="R137" s="25">
        <v>36.93</v>
      </c>
      <c r="S137" s="25">
        <v>91.72</v>
      </c>
      <c r="T137" s="25">
        <v>7.52</v>
      </c>
      <c r="U137" s="25">
        <v>15.438099485568801</v>
      </c>
      <c r="V137" s="25">
        <v>13.932971745329301</v>
      </c>
      <c r="W137" s="25">
        <v>3387.12</v>
      </c>
      <c r="X137" s="34">
        <v>776356.12</v>
      </c>
      <c r="Y137" s="30">
        <v>45298</v>
      </c>
      <c r="Z137" s="85">
        <v>2024</v>
      </c>
      <c r="AA137" s="28">
        <v>1</v>
      </c>
      <c r="AB137" s="84">
        <v>52290.695529559998</v>
      </c>
      <c r="AC137" s="84">
        <v>47192.64725804</v>
      </c>
      <c r="AD137" s="84">
        <v>13704.359999999901</v>
      </c>
      <c r="AE137" s="34">
        <v>522906.95529559901</v>
      </c>
      <c r="AF137" s="28" t="s">
        <v>551</v>
      </c>
      <c r="AG137" s="28" t="s">
        <v>66</v>
      </c>
    </row>
    <row r="138" spans="2:33" x14ac:dyDescent="0.2">
      <c r="B138" s="34">
        <f>CHOOSE(B$1,Tabla2[[#This Row],[Edad]]*12/365,Tabla2[[#This Row],[Tn/Ha]],Tabla2[[#This Row],[Tn]],Tabla2[[#This Row],[Area_Cosecha]])</f>
        <v>11.152741688581841</v>
      </c>
      <c r="C138" s="87" t="s">
        <v>550</v>
      </c>
      <c r="D138" s="23" t="s">
        <v>551</v>
      </c>
      <c r="E138" s="23" t="s">
        <v>551</v>
      </c>
      <c r="F138" s="23" t="s">
        <v>541</v>
      </c>
      <c r="G138" s="23" t="s">
        <v>0</v>
      </c>
      <c r="H138" s="23" t="s">
        <v>1</v>
      </c>
      <c r="I138" s="23" t="s">
        <v>10</v>
      </c>
      <c r="J138" s="23" t="s">
        <v>7</v>
      </c>
      <c r="K138" s="23" t="s">
        <v>884</v>
      </c>
      <c r="L138" s="23">
        <v>2024</v>
      </c>
      <c r="M138" s="24" t="s">
        <v>381</v>
      </c>
      <c r="N138" s="24">
        <v>45274</v>
      </c>
      <c r="O138" s="24" t="s">
        <v>51</v>
      </c>
      <c r="P138" s="86">
        <v>339.22922636103101</v>
      </c>
      <c r="Q138" s="86">
        <v>41.88</v>
      </c>
      <c r="R138" s="25">
        <v>41.879999999999903</v>
      </c>
      <c r="S138" s="25">
        <v>76.19</v>
      </c>
      <c r="T138" s="25">
        <v>6.83</v>
      </c>
      <c r="U138" s="25">
        <v>15.2132357004469</v>
      </c>
      <c r="V138" s="25">
        <v>13.7333272386859</v>
      </c>
      <c r="W138" s="25">
        <v>3190.72</v>
      </c>
      <c r="X138" s="34">
        <v>609000.91</v>
      </c>
      <c r="Y138" s="30">
        <v>45615</v>
      </c>
      <c r="Z138" s="85">
        <v>2024</v>
      </c>
      <c r="AA138" s="28">
        <v>11</v>
      </c>
      <c r="AB138" s="84">
        <v>48541.175414129997</v>
      </c>
      <c r="AC138" s="84">
        <v>43819.201887019997</v>
      </c>
      <c r="AD138" s="84">
        <v>14206.9199999999</v>
      </c>
      <c r="AE138" s="34">
        <v>485411.75414129999</v>
      </c>
      <c r="AF138" s="28" t="s">
        <v>551</v>
      </c>
      <c r="AG138" s="28" t="s">
        <v>66</v>
      </c>
    </row>
    <row r="139" spans="2:33" x14ac:dyDescent="0.2">
      <c r="B139" s="34">
        <f>CHOOSE(B$1,Tabla2[[#This Row],[Edad]]*12/365,Tabla2[[#This Row],[Tn/Ha]],Tabla2[[#This Row],[Tn]],Tabla2[[#This Row],[Area_Cosecha]])</f>
        <v>16.370439689078729</v>
      </c>
      <c r="C139" s="87" t="s">
        <v>550</v>
      </c>
      <c r="D139" s="23" t="s">
        <v>551</v>
      </c>
      <c r="E139" s="23" t="s">
        <v>551</v>
      </c>
      <c r="F139" s="23" t="s">
        <v>396</v>
      </c>
      <c r="G139" s="23" t="s">
        <v>0</v>
      </c>
      <c r="H139" s="23" t="s">
        <v>1</v>
      </c>
      <c r="I139" s="23" t="s">
        <v>10</v>
      </c>
      <c r="J139" s="23" t="s">
        <v>8</v>
      </c>
      <c r="K139" s="23" t="s">
        <v>657</v>
      </c>
      <c r="L139" s="23">
        <v>2021</v>
      </c>
      <c r="M139" s="24" t="s">
        <v>63</v>
      </c>
      <c r="N139" s="24">
        <v>44918</v>
      </c>
      <c r="O139" s="24" t="s">
        <v>50</v>
      </c>
      <c r="P139" s="86">
        <v>497.93420720947802</v>
      </c>
      <c r="Q139" s="86">
        <v>39.67</v>
      </c>
      <c r="R139" s="25">
        <v>39.67</v>
      </c>
      <c r="S139" s="25">
        <v>161.12</v>
      </c>
      <c r="T139" s="25">
        <v>9.84</v>
      </c>
      <c r="U139" s="25">
        <v>15.3507456703672</v>
      </c>
      <c r="V139" s="25">
        <v>13.8187685346435</v>
      </c>
      <c r="W139" s="25">
        <v>6391.8099999999904</v>
      </c>
      <c r="X139" s="34">
        <v>1495136</v>
      </c>
      <c r="Y139" s="30">
        <v>45421</v>
      </c>
      <c r="Z139" s="85">
        <v>2024</v>
      </c>
      <c r="AA139" s="28">
        <v>5</v>
      </c>
      <c r="AB139" s="84">
        <v>98119.049683309902</v>
      </c>
      <c r="AC139" s="84">
        <v>88326.942907420002</v>
      </c>
      <c r="AD139" s="84">
        <v>19753.05</v>
      </c>
      <c r="AE139" s="34">
        <v>981190.49683309905</v>
      </c>
      <c r="AF139" s="28" t="s">
        <v>551</v>
      </c>
      <c r="AG139" s="28" t="s">
        <v>66</v>
      </c>
    </row>
    <row r="140" spans="2:33" x14ac:dyDescent="0.2">
      <c r="B140" s="34">
        <f>CHOOSE(B$1,Tabla2[[#This Row],[Edad]]*12/365,Tabla2[[#This Row],[Tn/Ha]],Tabla2[[#This Row],[Tn]],Tabla2[[#This Row],[Area_Cosecha]])</f>
        <v>11.262186815203398</v>
      </c>
      <c r="C140" s="87" t="s">
        <v>550</v>
      </c>
      <c r="D140" s="23" t="s">
        <v>551</v>
      </c>
      <c r="E140" s="23" t="s">
        <v>551</v>
      </c>
      <c r="F140" s="23" t="s">
        <v>485</v>
      </c>
      <c r="G140" s="23" t="s">
        <v>0</v>
      </c>
      <c r="H140" s="23" t="s">
        <v>1</v>
      </c>
      <c r="I140" s="23" t="s">
        <v>11</v>
      </c>
      <c r="J140" s="23" t="s">
        <v>3</v>
      </c>
      <c r="K140" s="23" t="s">
        <v>885</v>
      </c>
      <c r="L140" s="23">
        <v>2023</v>
      </c>
      <c r="M140" s="24" t="s">
        <v>62</v>
      </c>
      <c r="N140" s="24">
        <v>45275</v>
      </c>
      <c r="O140" s="24" t="s">
        <v>50</v>
      </c>
      <c r="P140" s="86">
        <v>342.55818229577</v>
      </c>
      <c r="Q140" s="86">
        <v>41.38</v>
      </c>
      <c r="R140" s="25">
        <v>38.07</v>
      </c>
      <c r="S140" s="25">
        <v>74.02</v>
      </c>
      <c r="T140" s="25">
        <v>6.57</v>
      </c>
      <c r="U140" s="25">
        <v>15.185210887829401</v>
      </c>
      <c r="V140" s="25">
        <v>13.7212833502078</v>
      </c>
      <c r="W140" s="25">
        <v>2817.8609999999999</v>
      </c>
      <c r="X140" s="34">
        <v>403551.49</v>
      </c>
      <c r="Y140" s="30">
        <v>45626</v>
      </c>
      <c r="Z140" s="85">
        <v>2024</v>
      </c>
      <c r="AA140" s="28">
        <v>11</v>
      </c>
      <c r="AB140" s="84">
        <v>42789.813537590002</v>
      </c>
      <c r="AC140" s="84">
        <v>38664.669222500001</v>
      </c>
      <c r="AD140" s="84">
        <v>13041.19</v>
      </c>
      <c r="AE140" s="34">
        <v>427898.13537590002</v>
      </c>
      <c r="AF140" s="28" t="s">
        <v>551</v>
      </c>
      <c r="AG140" s="28" t="s">
        <v>66</v>
      </c>
    </row>
    <row r="141" spans="2:33" x14ac:dyDescent="0.2">
      <c r="B141" s="34">
        <f>CHOOSE(B$1,Tabla2[[#This Row],[Edad]]*12/365,Tabla2[[#This Row],[Tn/Ha]],Tabla2[[#This Row],[Tn]],Tabla2[[#This Row],[Area_Cosecha]])</f>
        <v>18.015619449044088</v>
      </c>
      <c r="C141" s="87" t="s">
        <v>550</v>
      </c>
      <c r="D141" s="23" t="s">
        <v>551</v>
      </c>
      <c r="E141" s="23" t="s">
        <v>551</v>
      </c>
      <c r="F141" s="23" t="s">
        <v>395</v>
      </c>
      <c r="G141" s="23" t="s">
        <v>0</v>
      </c>
      <c r="H141" s="23" t="s">
        <v>1</v>
      </c>
      <c r="I141" s="23" t="s">
        <v>11</v>
      </c>
      <c r="J141" s="23" t="s">
        <v>4</v>
      </c>
      <c r="K141" s="23" t="s">
        <v>664</v>
      </c>
      <c r="L141" s="23">
        <v>2022</v>
      </c>
      <c r="M141" s="24" t="s">
        <v>63</v>
      </c>
      <c r="N141" s="24">
        <v>44880</v>
      </c>
      <c r="O141" s="24" t="s">
        <v>50</v>
      </c>
      <c r="P141" s="86">
        <v>547.97509157509103</v>
      </c>
      <c r="Q141" s="86">
        <v>40.949999999999903</v>
      </c>
      <c r="R141" s="25">
        <v>40.950000000000003</v>
      </c>
      <c r="S141" s="25">
        <v>161.88999999999999</v>
      </c>
      <c r="T141" s="25">
        <v>8.99</v>
      </c>
      <c r="U141" s="25">
        <v>15.0040163866211</v>
      </c>
      <c r="V141" s="25">
        <v>13.4747842144935</v>
      </c>
      <c r="W141" s="25">
        <v>6629.5</v>
      </c>
      <c r="X141" s="34">
        <v>823966.9</v>
      </c>
      <c r="Y141" s="30">
        <v>45432</v>
      </c>
      <c r="Z141" s="85">
        <v>2024</v>
      </c>
      <c r="AA141" s="28">
        <v>5</v>
      </c>
      <c r="AB141" s="84">
        <v>99469.126635105</v>
      </c>
      <c r="AC141" s="84">
        <v>89331.081949985004</v>
      </c>
      <c r="AD141" s="84">
        <v>22439.5799999999</v>
      </c>
      <c r="AE141" s="34">
        <v>994691.26635105</v>
      </c>
      <c r="AF141" s="28" t="s">
        <v>551</v>
      </c>
      <c r="AG141" s="28" t="s">
        <v>66</v>
      </c>
    </row>
    <row r="142" spans="2:33" x14ac:dyDescent="0.2">
      <c r="B142" s="34">
        <f>CHOOSE(B$1,Tabla2[[#This Row],[Edad]]*12/365,Tabla2[[#This Row],[Tn/Ha]],Tabla2[[#This Row],[Tn]],Tabla2[[#This Row],[Area_Cosecha]])</f>
        <v>11.906698803022422</v>
      </c>
      <c r="C142" s="87" t="s">
        <v>550</v>
      </c>
      <c r="D142" s="23" t="s">
        <v>551</v>
      </c>
      <c r="E142" s="23" t="s">
        <v>551</v>
      </c>
      <c r="F142" s="23" t="s">
        <v>126</v>
      </c>
      <c r="G142" s="23" t="s">
        <v>0</v>
      </c>
      <c r="H142" s="23" t="s">
        <v>1</v>
      </c>
      <c r="I142" s="23" t="s">
        <v>11</v>
      </c>
      <c r="J142" s="23" t="s">
        <v>6</v>
      </c>
      <c r="K142" s="23" t="s">
        <v>761</v>
      </c>
      <c r="L142" s="23">
        <v>2023</v>
      </c>
      <c r="M142" s="24" t="s">
        <v>304</v>
      </c>
      <c r="N142" s="24">
        <v>45157</v>
      </c>
      <c r="O142" s="24" t="s">
        <v>50</v>
      </c>
      <c r="P142" s="86">
        <v>362.16208859193199</v>
      </c>
      <c r="Q142" s="86">
        <v>40.409999999999997</v>
      </c>
      <c r="R142" s="25">
        <v>40.409999999999997</v>
      </c>
      <c r="S142" s="25">
        <v>79.91</v>
      </c>
      <c r="T142" s="25">
        <v>6.71</v>
      </c>
      <c r="U142" s="25">
        <v>15.4189399452007</v>
      </c>
      <c r="V142" s="25">
        <v>13.948918082477601</v>
      </c>
      <c r="W142" s="25">
        <v>3229.24</v>
      </c>
      <c r="X142" s="34">
        <v>517216.47</v>
      </c>
      <c r="Y142" s="30">
        <v>45522</v>
      </c>
      <c r="Z142" s="85">
        <v>2024</v>
      </c>
      <c r="AA142" s="28">
        <v>8</v>
      </c>
      <c r="AB142" s="84">
        <v>49791.457628639997</v>
      </c>
      <c r="AC142" s="84">
        <v>45044.4042286599</v>
      </c>
      <c r="AD142" s="84">
        <v>14634.97</v>
      </c>
      <c r="AE142" s="34">
        <v>497914.57628639898</v>
      </c>
      <c r="AF142" s="28" t="s">
        <v>551</v>
      </c>
      <c r="AG142" s="28" t="s">
        <v>66</v>
      </c>
    </row>
    <row r="143" spans="2:33" x14ac:dyDescent="0.2">
      <c r="B143" s="34">
        <f>CHOOSE(B$1,Tabla2[[#This Row],[Edad]]*12/365,Tabla2[[#This Row],[Tn/Ha]],Tabla2[[#This Row],[Tn]],Tabla2[[#This Row],[Area_Cosecha]])</f>
        <v>11.339985084586093</v>
      </c>
      <c r="C143" s="87" t="s">
        <v>550</v>
      </c>
      <c r="D143" s="23" t="s">
        <v>551</v>
      </c>
      <c r="E143" s="23" t="s">
        <v>551</v>
      </c>
      <c r="F143" s="23" t="s">
        <v>127</v>
      </c>
      <c r="G143" s="23" t="s">
        <v>0</v>
      </c>
      <c r="H143" s="23" t="s">
        <v>1</v>
      </c>
      <c r="I143" s="23" t="s">
        <v>11</v>
      </c>
      <c r="J143" s="23" t="s">
        <v>7</v>
      </c>
      <c r="K143" s="23" t="s">
        <v>762</v>
      </c>
      <c r="L143" s="23">
        <v>2023</v>
      </c>
      <c r="M143" s="24" t="s">
        <v>304</v>
      </c>
      <c r="N143" s="24">
        <v>45174</v>
      </c>
      <c r="O143" s="24" t="s">
        <v>50</v>
      </c>
      <c r="P143" s="86">
        <v>344.92454632282698</v>
      </c>
      <c r="Q143" s="86">
        <v>41.88</v>
      </c>
      <c r="R143" s="25">
        <v>41.88</v>
      </c>
      <c r="S143" s="25">
        <v>81.25</v>
      </c>
      <c r="T143" s="25">
        <v>7.16</v>
      </c>
      <c r="U143" s="25">
        <v>15.5269249171689</v>
      </c>
      <c r="V143" s="25">
        <v>14.0665162550467</v>
      </c>
      <c r="W143" s="25">
        <v>3402.71</v>
      </c>
      <c r="X143" s="34">
        <v>922309.83</v>
      </c>
      <c r="Y143" s="30">
        <v>45520</v>
      </c>
      <c r="Z143" s="85">
        <v>2024</v>
      </c>
      <c r="AA143" s="28">
        <v>8</v>
      </c>
      <c r="AB143" s="84">
        <v>52833.622684900001</v>
      </c>
      <c r="AC143" s="84">
        <v>47864.275526209902</v>
      </c>
      <c r="AD143" s="84">
        <v>14445.44</v>
      </c>
      <c r="AE143" s="34">
        <v>528336.22684899997</v>
      </c>
      <c r="AF143" s="28" t="s">
        <v>551</v>
      </c>
      <c r="AG143" s="28" t="s">
        <v>66</v>
      </c>
    </row>
    <row r="144" spans="2:33" x14ac:dyDescent="0.2">
      <c r="B144" s="34">
        <f>CHOOSE(B$1,Tabla2[[#This Row],[Edad]]*12/365,Tabla2[[#This Row],[Tn/Ha]],Tabla2[[#This Row],[Tn]],Tabla2[[#This Row],[Area_Cosecha]])</f>
        <v>11.198108778709019</v>
      </c>
      <c r="C144" s="87" t="s">
        <v>550</v>
      </c>
      <c r="D144" s="23" t="s">
        <v>551</v>
      </c>
      <c r="E144" s="23" t="s">
        <v>551</v>
      </c>
      <c r="F144" s="23" t="s">
        <v>128</v>
      </c>
      <c r="G144" s="23" t="s">
        <v>0</v>
      </c>
      <c r="H144" s="23" t="s">
        <v>1</v>
      </c>
      <c r="I144" s="23" t="s">
        <v>11</v>
      </c>
      <c r="J144" s="23" t="s">
        <v>8</v>
      </c>
      <c r="K144" s="23" t="s">
        <v>763</v>
      </c>
      <c r="L144" s="23">
        <v>2023</v>
      </c>
      <c r="M144" s="24" t="s">
        <v>304</v>
      </c>
      <c r="N144" s="24">
        <v>45180</v>
      </c>
      <c r="O144" s="24" t="s">
        <v>50</v>
      </c>
      <c r="P144" s="86">
        <v>340.60914201906598</v>
      </c>
      <c r="Q144" s="86">
        <v>40.909999999999997</v>
      </c>
      <c r="R144" s="25">
        <v>40.909999999999997</v>
      </c>
      <c r="S144" s="25">
        <v>61.59</v>
      </c>
      <c r="T144" s="25">
        <v>5.5</v>
      </c>
      <c r="U144" s="25">
        <v>15.4513372098749</v>
      </c>
      <c r="V144" s="25">
        <v>13.9852703943083</v>
      </c>
      <c r="W144" s="25">
        <v>2519.5</v>
      </c>
      <c r="X144" s="34">
        <v>393599.25</v>
      </c>
      <c r="Y144" s="30">
        <v>45522</v>
      </c>
      <c r="Z144" s="85">
        <v>2024</v>
      </c>
      <c r="AA144" s="28">
        <v>8</v>
      </c>
      <c r="AB144" s="84">
        <v>38929.644100279998</v>
      </c>
      <c r="AC144" s="84">
        <v>35235.888758460002</v>
      </c>
      <c r="AD144" s="84">
        <v>13934.32</v>
      </c>
      <c r="AE144" s="34">
        <v>389296.44100280001</v>
      </c>
      <c r="AF144" s="28" t="s">
        <v>551</v>
      </c>
      <c r="AG144" s="28" t="s">
        <v>66</v>
      </c>
    </row>
    <row r="145" spans="2:33" x14ac:dyDescent="0.2">
      <c r="B145" s="34">
        <f>CHOOSE(B$1,Tabla2[[#This Row],[Edad]]*12/365,Tabla2[[#This Row],[Tn/Ha]],Tabla2[[#This Row],[Tn]],Tabla2[[#This Row],[Area_Cosecha]])</f>
        <v>10.635749892059474</v>
      </c>
      <c r="C145" s="87" t="s">
        <v>550</v>
      </c>
      <c r="D145" s="23" t="s">
        <v>551</v>
      </c>
      <c r="E145" s="23" t="s">
        <v>551</v>
      </c>
      <c r="F145" s="23" t="s">
        <v>475</v>
      </c>
      <c r="G145" s="23" t="s">
        <v>0</v>
      </c>
      <c r="H145" s="23" t="s">
        <v>1</v>
      </c>
      <c r="I145" s="23" t="s">
        <v>12</v>
      </c>
      <c r="J145" s="23" t="s">
        <v>3</v>
      </c>
      <c r="K145" s="23" t="s">
        <v>820</v>
      </c>
      <c r="L145" s="23">
        <v>2023</v>
      </c>
      <c r="M145" s="24" t="s">
        <v>60</v>
      </c>
      <c r="N145" s="24">
        <v>45254</v>
      </c>
      <c r="O145" s="24" t="s">
        <v>50</v>
      </c>
      <c r="P145" s="86">
        <v>323.50405921680903</v>
      </c>
      <c r="Q145" s="86">
        <v>41.88</v>
      </c>
      <c r="R145" s="25">
        <v>41.88</v>
      </c>
      <c r="S145" s="25">
        <v>154.16</v>
      </c>
      <c r="T145" s="25">
        <v>14.49</v>
      </c>
      <c r="U145" s="25">
        <v>14.299022505918501</v>
      </c>
      <c r="V145" s="25">
        <v>12.8486936199141</v>
      </c>
      <c r="W145" s="25">
        <v>6456.0969999999998</v>
      </c>
      <c r="X145" s="34">
        <v>2485864.44</v>
      </c>
      <c r="Y145" s="30">
        <v>45579</v>
      </c>
      <c r="Z145" s="85">
        <v>2024</v>
      </c>
      <c r="AA145" s="28">
        <v>10</v>
      </c>
      <c r="AB145" s="84">
        <v>92315.876303393001</v>
      </c>
      <c r="AC145" s="84">
        <v>82952.412333447006</v>
      </c>
      <c r="AD145" s="84">
        <v>13548.35</v>
      </c>
      <c r="AE145" s="34">
        <v>923158.76303392998</v>
      </c>
      <c r="AF145" s="28" t="s">
        <v>551</v>
      </c>
      <c r="AG145" s="28" t="s">
        <v>66</v>
      </c>
    </row>
    <row r="146" spans="2:33" x14ac:dyDescent="0.2">
      <c r="B146" s="34">
        <f>CHOOSE(B$1,Tabla2[[#This Row],[Edad]]*12/365,Tabla2[[#This Row],[Tn/Ha]],Tabla2[[#This Row],[Tn]],Tabla2[[#This Row],[Area_Cosecha]])</f>
        <v>11.684915806413599</v>
      </c>
      <c r="C146" s="87" t="s">
        <v>550</v>
      </c>
      <c r="D146" s="23" t="s">
        <v>551</v>
      </c>
      <c r="E146" s="23" t="s">
        <v>551</v>
      </c>
      <c r="F146" s="23" t="s">
        <v>467</v>
      </c>
      <c r="G146" s="23" t="s">
        <v>0</v>
      </c>
      <c r="H146" s="23" t="s">
        <v>1</v>
      </c>
      <c r="I146" s="23" t="s">
        <v>12</v>
      </c>
      <c r="J146" s="23" t="s">
        <v>4</v>
      </c>
      <c r="K146" s="23" t="s">
        <v>796</v>
      </c>
      <c r="L146" s="23">
        <v>2023</v>
      </c>
      <c r="M146" s="24" t="s">
        <v>283</v>
      </c>
      <c r="N146" s="24">
        <v>45190</v>
      </c>
      <c r="O146" s="24" t="s">
        <v>50</v>
      </c>
      <c r="P146" s="86">
        <v>355.41618911174697</v>
      </c>
      <c r="Q146" s="86">
        <v>41.88</v>
      </c>
      <c r="R146" s="25">
        <v>41.88</v>
      </c>
      <c r="S146" s="25">
        <v>61.2</v>
      </c>
      <c r="T146" s="25">
        <v>5.24</v>
      </c>
      <c r="U146" s="25">
        <v>15.1742958072177</v>
      </c>
      <c r="V146" s="25">
        <v>13.7273732366813</v>
      </c>
      <c r="W146" s="25">
        <v>2563.2439999999901</v>
      </c>
      <c r="X146" s="34">
        <v>523185.35</v>
      </c>
      <c r="Y146" s="30">
        <v>45546</v>
      </c>
      <c r="Z146" s="85">
        <v>2024</v>
      </c>
      <c r="AA146" s="28">
        <v>9</v>
      </c>
      <c r="AB146" s="84">
        <v>38895.4226820759</v>
      </c>
      <c r="AC146" s="84">
        <v>35186.607084683899</v>
      </c>
      <c r="AD146" s="84">
        <v>14884.83</v>
      </c>
      <c r="AE146" s="34">
        <v>388954.22682075901</v>
      </c>
      <c r="AF146" s="28" t="s">
        <v>551</v>
      </c>
      <c r="AG146" s="28" t="s">
        <v>66</v>
      </c>
    </row>
    <row r="147" spans="2:33" x14ac:dyDescent="0.2">
      <c r="B147" s="34">
        <f>CHOOSE(B$1,Tabla2[[#This Row],[Edad]]*12/365,Tabla2[[#This Row],[Tn/Ha]],Tabla2[[#This Row],[Tn]],Tabla2[[#This Row],[Area_Cosecha]])</f>
        <v>12.482963534632439</v>
      </c>
      <c r="C147" s="87" t="s">
        <v>550</v>
      </c>
      <c r="D147" s="23" t="s">
        <v>551</v>
      </c>
      <c r="E147" s="23" t="s">
        <v>551</v>
      </c>
      <c r="F147" s="23" t="s">
        <v>402</v>
      </c>
      <c r="G147" s="23" t="s">
        <v>0</v>
      </c>
      <c r="H147" s="23" t="s">
        <v>1</v>
      </c>
      <c r="I147" s="23" t="s">
        <v>12</v>
      </c>
      <c r="J147" s="23" t="s">
        <v>5</v>
      </c>
      <c r="K147" s="23" t="s">
        <v>578</v>
      </c>
      <c r="L147" s="23">
        <v>2023</v>
      </c>
      <c r="M147" s="24" t="s">
        <v>283</v>
      </c>
      <c r="N147" s="24">
        <v>44942</v>
      </c>
      <c r="O147" s="24" t="s">
        <v>403</v>
      </c>
      <c r="P147" s="86">
        <v>379.69014084507</v>
      </c>
      <c r="Q147" s="86">
        <v>41.88</v>
      </c>
      <c r="R147" s="25">
        <v>11.36</v>
      </c>
      <c r="S147" s="25">
        <v>82.5</v>
      </c>
      <c r="T147" s="25">
        <v>6.61</v>
      </c>
      <c r="U147" s="25">
        <v>13.720169594195401</v>
      </c>
      <c r="V147" s="25">
        <v>12.237082085723401</v>
      </c>
      <c r="W147" s="25">
        <v>937.2</v>
      </c>
      <c r="X147" s="34">
        <v>143738.71</v>
      </c>
      <c r="Y147" s="30">
        <v>45322</v>
      </c>
      <c r="Z147" s="85">
        <v>2024</v>
      </c>
      <c r="AA147" s="28">
        <v>1</v>
      </c>
      <c r="AB147" s="84">
        <v>12858.54294368</v>
      </c>
      <c r="AC147" s="84">
        <v>11468.593330739999</v>
      </c>
      <c r="AD147" s="84">
        <v>4313.28</v>
      </c>
      <c r="AE147" s="34">
        <v>128585.4294368</v>
      </c>
      <c r="AF147" s="28" t="s">
        <v>551</v>
      </c>
      <c r="AG147" s="28" t="s">
        <v>66</v>
      </c>
    </row>
    <row r="148" spans="2:33" x14ac:dyDescent="0.2">
      <c r="B148" s="34">
        <f>CHOOSE(B$1,Tabla2[[#This Row],[Edad]]*12/365,Tabla2[[#This Row],[Tn/Ha]],Tabla2[[#This Row],[Tn]],Tabla2[[#This Row],[Area_Cosecha]])</f>
        <v>12.537219698737841</v>
      </c>
      <c r="C148" s="87" t="s">
        <v>550</v>
      </c>
      <c r="D148" s="23" t="s">
        <v>551</v>
      </c>
      <c r="E148" s="23" t="s">
        <v>551</v>
      </c>
      <c r="F148" s="23" t="s">
        <v>402</v>
      </c>
      <c r="G148" s="23" t="s">
        <v>0</v>
      </c>
      <c r="H148" s="23" t="s">
        <v>1</v>
      </c>
      <c r="I148" s="23" t="s">
        <v>12</v>
      </c>
      <c r="J148" s="23" t="s">
        <v>5</v>
      </c>
      <c r="K148" s="23" t="s">
        <v>578</v>
      </c>
      <c r="L148" s="23">
        <v>2023</v>
      </c>
      <c r="M148" s="24" t="s">
        <v>283</v>
      </c>
      <c r="N148" s="24">
        <v>44942</v>
      </c>
      <c r="O148" s="24" t="s">
        <v>403</v>
      </c>
      <c r="P148" s="86">
        <v>381.34043250327602</v>
      </c>
      <c r="Q148" s="86">
        <v>41.88</v>
      </c>
      <c r="R148" s="25">
        <v>30.52</v>
      </c>
      <c r="S148" s="25">
        <v>113.74</v>
      </c>
      <c r="T148" s="25">
        <v>9.07</v>
      </c>
      <c r="U148" s="25">
        <v>13.8842969904586</v>
      </c>
      <c r="V148" s="25">
        <v>12.4022367846586</v>
      </c>
      <c r="W148" s="25">
        <v>3471.21</v>
      </c>
      <c r="X148" s="34">
        <v>1967539.41</v>
      </c>
      <c r="Y148" s="30">
        <v>45324</v>
      </c>
      <c r="Z148" s="85">
        <v>2024</v>
      </c>
      <c r="AA148" s="28">
        <v>2</v>
      </c>
      <c r="AB148" s="84">
        <v>48195.310556249999</v>
      </c>
      <c r="AC148" s="84">
        <v>43050.768349275</v>
      </c>
      <c r="AD148" s="84">
        <v>11638.51</v>
      </c>
      <c r="AE148" s="34">
        <v>481953.10556249903</v>
      </c>
      <c r="AF148" s="28" t="s">
        <v>551</v>
      </c>
      <c r="AG148" s="28" t="s">
        <v>66</v>
      </c>
    </row>
    <row r="149" spans="2:33" x14ac:dyDescent="0.2">
      <c r="B149" s="34">
        <f>CHOOSE(B$1,Tabla2[[#This Row],[Edad]]*12/365,Tabla2[[#This Row],[Tn/Ha]],Tabla2[[#This Row],[Tn]],Tabla2[[#This Row],[Area_Cosecha]])</f>
        <v>15.763844837836833</v>
      </c>
      <c r="C149" s="87" t="s">
        <v>550</v>
      </c>
      <c r="D149" s="23" t="s">
        <v>551</v>
      </c>
      <c r="E149" s="23" t="s">
        <v>551</v>
      </c>
      <c r="F149" s="23" t="s">
        <v>433</v>
      </c>
      <c r="G149" s="23" t="s">
        <v>0</v>
      </c>
      <c r="H149" s="23" t="s">
        <v>1</v>
      </c>
      <c r="I149" s="23" t="s">
        <v>12</v>
      </c>
      <c r="J149" s="23" t="s">
        <v>7</v>
      </c>
      <c r="K149" s="23" t="s">
        <v>624</v>
      </c>
      <c r="L149" s="23">
        <v>2023</v>
      </c>
      <c r="M149" s="24" t="s">
        <v>63</v>
      </c>
      <c r="N149" s="24">
        <v>44895</v>
      </c>
      <c r="O149" s="24" t="s">
        <v>50</v>
      </c>
      <c r="P149" s="86">
        <v>479.48361381753699</v>
      </c>
      <c r="Q149" s="86">
        <v>39.36</v>
      </c>
      <c r="R149" s="25">
        <v>22.58</v>
      </c>
      <c r="S149" s="25">
        <v>181.19</v>
      </c>
      <c r="T149" s="25">
        <v>11.49</v>
      </c>
      <c r="U149" s="25">
        <v>13.3114887694627</v>
      </c>
      <c r="V149" s="25">
        <v>11.782963646496</v>
      </c>
      <c r="W149" s="25">
        <v>4091.27</v>
      </c>
      <c r="X149" s="34">
        <v>1444971.16</v>
      </c>
      <c r="Y149" s="30">
        <v>45381</v>
      </c>
      <c r="Z149" s="85">
        <v>2024</v>
      </c>
      <c r="AA149" s="28">
        <v>3</v>
      </c>
      <c r="AB149" s="84">
        <v>54460.894657839999</v>
      </c>
      <c r="AC149" s="84">
        <v>48207.285678</v>
      </c>
      <c r="AD149" s="84">
        <v>10826.7399999999</v>
      </c>
      <c r="AE149" s="34">
        <v>544608.94657839998</v>
      </c>
      <c r="AF149" s="28" t="s">
        <v>551</v>
      </c>
      <c r="AG149" s="28" t="s">
        <v>66</v>
      </c>
    </row>
    <row r="150" spans="2:33" x14ac:dyDescent="0.2">
      <c r="B150" s="34">
        <f>CHOOSE(B$1,Tabla2[[#This Row],[Edad]]*12/365,Tabla2[[#This Row],[Tn/Ha]],Tabla2[[#This Row],[Tn]],Tabla2[[#This Row],[Area_Cosecha]])</f>
        <v>16.256593792348998</v>
      </c>
      <c r="C150" s="87" t="s">
        <v>550</v>
      </c>
      <c r="D150" s="23" t="s">
        <v>551</v>
      </c>
      <c r="E150" s="23" t="s">
        <v>551</v>
      </c>
      <c r="F150" s="23" t="s">
        <v>433</v>
      </c>
      <c r="G150" s="23" t="s">
        <v>0</v>
      </c>
      <c r="H150" s="23" t="s">
        <v>1</v>
      </c>
      <c r="I150" s="23" t="s">
        <v>12</v>
      </c>
      <c r="J150" s="23" t="s">
        <v>7</v>
      </c>
      <c r="K150" s="23" t="s">
        <v>624</v>
      </c>
      <c r="L150" s="23">
        <v>2023</v>
      </c>
      <c r="M150" s="24" t="s">
        <v>63</v>
      </c>
      <c r="N150" s="24">
        <v>44895</v>
      </c>
      <c r="O150" s="24" t="s">
        <v>50</v>
      </c>
      <c r="P150" s="86">
        <v>494.47139451728202</v>
      </c>
      <c r="Q150" s="86">
        <v>39.36</v>
      </c>
      <c r="R150" s="25">
        <v>16.78</v>
      </c>
      <c r="S150" s="25">
        <v>177.91</v>
      </c>
      <c r="T150" s="25">
        <v>10.94</v>
      </c>
      <c r="U150" s="25">
        <v>14.0720516419149</v>
      </c>
      <c r="V150" s="25">
        <v>12.5580232121203</v>
      </c>
      <c r="W150" s="25">
        <v>2985.38</v>
      </c>
      <c r="X150" s="34">
        <v>1788382.27</v>
      </c>
      <c r="Y150" s="30">
        <v>45390</v>
      </c>
      <c r="Z150" s="85">
        <v>2024</v>
      </c>
      <c r="AA150" s="28">
        <v>4</v>
      </c>
      <c r="AB150" s="84">
        <v>42010.421530740001</v>
      </c>
      <c r="AC150" s="84">
        <v>37490.471336999901</v>
      </c>
      <c r="AD150" s="84">
        <v>8297.23</v>
      </c>
      <c r="AE150" s="34">
        <v>420104.21530739998</v>
      </c>
      <c r="AF150" s="28" t="s">
        <v>551</v>
      </c>
      <c r="AG150" s="28" t="s">
        <v>66</v>
      </c>
    </row>
    <row r="151" spans="2:33" x14ac:dyDescent="0.2">
      <c r="B151" s="34">
        <f>CHOOSE(B$1,Tabla2[[#This Row],[Edad]]*12/365,Tabla2[[#This Row],[Tn/Ha]],Tabla2[[#This Row],[Tn]],Tabla2[[#This Row],[Area_Cosecha]])</f>
        <v>11.17716338122284</v>
      </c>
      <c r="C151" s="87" t="s">
        <v>550</v>
      </c>
      <c r="D151" s="23" t="s">
        <v>551</v>
      </c>
      <c r="E151" s="23" t="s">
        <v>551</v>
      </c>
      <c r="F151" s="23" t="s">
        <v>464</v>
      </c>
      <c r="G151" s="23" t="s">
        <v>0</v>
      </c>
      <c r="H151" s="23" t="s">
        <v>1</v>
      </c>
      <c r="I151" s="23" t="s">
        <v>12</v>
      </c>
      <c r="J151" s="23" t="s">
        <v>8</v>
      </c>
      <c r="K151" s="23" t="s">
        <v>859</v>
      </c>
      <c r="L151" s="23">
        <v>2024</v>
      </c>
      <c r="M151" s="24" t="s">
        <v>289</v>
      </c>
      <c r="N151" s="24">
        <v>45265</v>
      </c>
      <c r="O151" s="24" t="s">
        <v>50</v>
      </c>
      <c r="P151" s="86">
        <v>339.97205284552803</v>
      </c>
      <c r="Q151" s="86">
        <v>39.36</v>
      </c>
      <c r="R151" s="25">
        <v>39.36</v>
      </c>
      <c r="S151" s="25">
        <v>34.22</v>
      </c>
      <c r="T151" s="25">
        <v>3.06</v>
      </c>
      <c r="U151" s="25">
        <v>15.1947398945863</v>
      </c>
      <c r="V151" s="25">
        <v>13.762203785059199</v>
      </c>
      <c r="W151" s="25">
        <v>1346.79</v>
      </c>
      <c r="X151" s="34">
        <v>91966.83</v>
      </c>
      <c r="Y151" s="30">
        <v>45607</v>
      </c>
      <c r="Z151" s="85">
        <v>2024</v>
      </c>
      <c r="AA151" s="28">
        <v>11</v>
      </c>
      <c r="AB151" s="84">
        <v>20464.123742629999</v>
      </c>
      <c r="AC151" s="84">
        <v>18534.798435680001</v>
      </c>
      <c r="AD151" s="84">
        <v>13381.3</v>
      </c>
      <c r="AE151" s="34">
        <v>204641.23742629899</v>
      </c>
      <c r="AF151" s="28" t="s">
        <v>551</v>
      </c>
      <c r="AG151" s="28" t="s">
        <v>66</v>
      </c>
    </row>
    <row r="152" spans="2:33" x14ac:dyDescent="0.2">
      <c r="B152" s="34">
        <f>CHOOSE(B$1,Tabla2[[#This Row],[Edad]]*12/365,Tabla2[[#This Row],[Tn/Ha]],Tabla2[[#This Row],[Tn]],Tabla2[[#This Row],[Area_Cosecha]])</f>
        <v>10.698988972995616</v>
      </c>
      <c r="C152" s="87" t="s">
        <v>550</v>
      </c>
      <c r="D152" s="23" t="s">
        <v>551</v>
      </c>
      <c r="E152" s="23" t="s">
        <v>551</v>
      </c>
      <c r="F152" s="23" t="s">
        <v>129</v>
      </c>
      <c r="G152" s="23" t="s">
        <v>0</v>
      </c>
      <c r="H152" s="23" t="s">
        <v>1</v>
      </c>
      <c r="I152" s="23" t="s">
        <v>13</v>
      </c>
      <c r="J152" s="23" t="s">
        <v>3</v>
      </c>
      <c r="K152" s="23" t="s">
        <v>814</v>
      </c>
      <c r="L152" s="23">
        <v>2022</v>
      </c>
      <c r="M152" s="24" t="s">
        <v>64</v>
      </c>
      <c r="N152" s="24">
        <v>45237</v>
      </c>
      <c r="O152" s="24" t="s">
        <v>50</v>
      </c>
      <c r="P152" s="86">
        <v>325.42758126195002</v>
      </c>
      <c r="Q152" s="86">
        <v>41.84</v>
      </c>
      <c r="R152" s="25">
        <v>41.839999999999897</v>
      </c>
      <c r="S152" s="25">
        <v>107.32</v>
      </c>
      <c r="T152" s="25">
        <v>10.029999999999999</v>
      </c>
      <c r="U152" s="25">
        <v>14.361948185957001</v>
      </c>
      <c r="V152" s="25">
        <v>12.823175609992701</v>
      </c>
      <c r="W152" s="25">
        <v>4490.07</v>
      </c>
      <c r="X152" s="34">
        <v>1207018.06</v>
      </c>
      <c r="Y152" s="30">
        <v>45564</v>
      </c>
      <c r="Z152" s="85">
        <v>2024</v>
      </c>
      <c r="AA152" s="28">
        <v>9</v>
      </c>
      <c r="AB152" s="84">
        <v>64486.15269132</v>
      </c>
      <c r="AC152" s="84">
        <v>57576.956111159998</v>
      </c>
      <c r="AD152" s="84">
        <v>13615.89</v>
      </c>
      <c r="AE152" s="34">
        <v>644861.52691320004</v>
      </c>
      <c r="AF152" s="28" t="s">
        <v>551</v>
      </c>
      <c r="AG152" s="28" t="s">
        <v>66</v>
      </c>
    </row>
    <row r="153" spans="2:33" x14ac:dyDescent="0.2">
      <c r="B153" s="34">
        <f>CHOOSE(B$1,Tabla2[[#This Row],[Edad]]*12/365,Tabla2[[#This Row],[Tn/Ha]],Tabla2[[#This Row],[Tn]],Tabla2[[#This Row],[Area_Cosecha]])</f>
        <v>10.874325862542674</v>
      </c>
      <c r="C153" s="87" t="s">
        <v>550</v>
      </c>
      <c r="D153" s="23" t="s">
        <v>551</v>
      </c>
      <c r="E153" s="23" t="s">
        <v>551</v>
      </c>
      <c r="F153" s="23" t="s">
        <v>130</v>
      </c>
      <c r="G153" s="23" t="s">
        <v>0</v>
      </c>
      <c r="H153" s="23" t="s">
        <v>1</v>
      </c>
      <c r="I153" s="23" t="s">
        <v>13</v>
      </c>
      <c r="J153" s="23" t="s">
        <v>4</v>
      </c>
      <c r="K153" s="23" t="s">
        <v>797</v>
      </c>
      <c r="L153" s="23">
        <v>2023</v>
      </c>
      <c r="M153" s="24" t="s">
        <v>60</v>
      </c>
      <c r="N153" s="24">
        <v>45220</v>
      </c>
      <c r="O153" s="24" t="s">
        <v>50</v>
      </c>
      <c r="P153" s="86">
        <v>330.760744985673</v>
      </c>
      <c r="Q153" s="86">
        <v>41.88</v>
      </c>
      <c r="R153" s="25">
        <v>41.879999999999903</v>
      </c>
      <c r="S153" s="25">
        <v>136.44999999999999</v>
      </c>
      <c r="T153" s="25">
        <v>12.55</v>
      </c>
      <c r="U153" s="25">
        <v>14.801964874816001</v>
      </c>
      <c r="V153" s="25">
        <v>13.330592244542199</v>
      </c>
      <c r="W153" s="25">
        <v>5714.3899999999903</v>
      </c>
      <c r="X153" s="34">
        <v>1568448.62</v>
      </c>
      <c r="Y153" s="30">
        <v>45553</v>
      </c>
      <c r="Z153" s="85">
        <v>2024</v>
      </c>
      <c r="AA153" s="28">
        <v>9</v>
      </c>
      <c r="AB153" s="84">
        <v>84584.200060999996</v>
      </c>
      <c r="AC153" s="84">
        <v>76176.203016289903</v>
      </c>
      <c r="AD153" s="84">
        <v>13852.26</v>
      </c>
      <c r="AE153" s="34">
        <v>845842.00060999906</v>
      </c>
      <c r="AF153" s="28" t="s">
        <v>551</v>
      </c>
      <c r="AG153" s="28" t="s">
        <v>66</v>
      </c>
    </row>
    <row r="154" spans="2:33" x14ac:dyDescent="0.2">
      <c r="B154" s="34">
        <f>CHOOSE(B$1,Tabla2[[#This Row],[Edad]]*12/365,Tabla2[[#This Row],[Tn/Ha]],Tabla2[[#This Row],[Tn]],Tabla2[[#This Row],[Area_Cosecha]])</f>
        <v>10.108497860815627</v>
      </c>
      <c r="C154" s="87" t="s">
        <v>550</v>
      </c>
      <c r="D154" s="23" t="s">
        <v>551</v>
      </c>
      <c r="E154" s="23" t="s">
        <v>551</v>
      </c>
      <c r="F154" s="23" t="s">
        <v>131</v>
      </c>
      <c r="G154" s="23" t="s">
        <v>0</v>
      </c>
      <c r="H154" s="23" t="s">
        <v>1</v>
      </c>
      <c r="I154" s="23" t="s">
        <v>13</v>
      </c>
      <c r="J154" s="23" t="s">
        <v>5</v>
      </c>
      <c r="K154" s="23" t="s">
        <v>821</v>
      </c>
      <c r="L154" s="23">
        <v>2023</v>
      </c>
      <c r="M154" s="24" t="s">
        <v>351</v>
      </c>
      <c r="N154" s="24">
        <v>45267</v>
      </c>
      <c r="O154" s="24" t="s">
        <v>50</v>
      </c>
      <c r="P154" s="86">
        <v>307.46680993314197</v>
      </c>
      <c r="Q154" s="86">
        <v>41.88</v>
      </c>
      <c r="R154" s="25">
        <v>41.879999999999903</v>
      </c>
      <c r="S154" s="25">
        <v>128.54</v>
      </c>
      <c r="T154" s="25">
        <v>12.72</v>
      </c>
      <c r="U154" s="25">
        <v>14.651471345254301</v>
      </c>
      <c r="V154" s="25">
        <v>13.2114526599228</v>
      </c>
      <c r="W154" s="25">
        <v>5383.22</v>
      </c>
      <c r="X154" s="34">
        <v>1729719.69</v>
      </c>
      <c r="Y154" s="30">
        <v>45576</v>
      </c>
      <c r="Z154" s="85">
        <v>2024</v>
      </c>
      <c r="AA154" s="28">
        <v>10</v>
      </c>
      <c r="AB154" s="84">
        <v>78872.093575199993</v>
      </c>
      <c r="AC154" s="84">
        <v>71120.156187949993</v>
      </c>
      <c r="AD154" s="84">
        <v>12876.71</v>
      </c>
      <c r="AE154" s="34">
        <v>788720.93575199996</v>
      </c>
      <c r="AF154" s="28" t="s">
        <v>551</v>
      </c>
      <c r="AG154" s="28" t="s">
        <v>66</v>
      </c>
    </row>
    <row r="155" spans="2:33" x14ac:dyDescent="0.2">
      <c r="B155" s="34">
        <f>CHOOSE(B$1,Tabla2[[#This Row],[Edad]]*12/365,Tabla2[[#This Row],[Tn/Ha]],Tabla2[[#This Row],[Tn]],Tabla2[[#This Row],[Area_Cosecha]])</f>
        <v>10.297947168033897</v>
      </c>
      <c r="C155" s="87" t="s">
        <v>550</v>
      </c>
      <c r="D155" s="23" t="s">
        <v>551</v>
      </c>
      <c r="E155" s="23" t="s">
        <v>551</v>
      </c>
      <c r="F155" s="23" t="s">
        <v>499</v>
      </c>
      <c r="G155" s="23" t="s">
        <v>0</v>
      </c>
      <c r="H155" s="23" t="s">
        <v>1</v>
      </c>
      <c r="I155" s="23" t="s">
        <v>13</v>
      </c>
      <c r="J155" s="23" t="s">
        <v>8</v>
      </c>
      <c r="K155" s="23" t="s">
        <v>822</v>
      </c>
      <c r="L155" s="23">
        <v>2023</v>
      </c>
      <c r="M155" s="24" t="s">
        <v>60</v>
      </c>
      <c r="N155" s="24">
        <v>45267</v>
      </c>
      <c r="O155" s="24" t="s">
        <v>50</v>
      </c>
      <c r="P155" s="86">
        <v>313.22922636103101</v>
      </c>
      <c r="Q155" s="86">
        <v>41.88</v>
      </c>
      <c r="R155" s="25">
        <v>41.879999999999903</v>
      </c>
      <c r="S155" s="25">
        <v>127.14</v>
      </c>
      <c r="T155" s="25">
        <v>12.35</v>
      </c>
      <c r="U155" s="25">
        <v>14.7637310342294</v>
      </c>
      <c r="V155" s="25">
        <v>13.337621297369701</v>
      </c>
      <c r="W155" s="25">
        <v>5324.5730000000003</v>
      </c>
      <c r="X155" s="34">
        <v>1693519.3</v>
      </c>
      <c r="Y155" s="30">
        <v>45582</v>
      </c>
      <c r="Z155" s="85">
        <v>2024</v>
      </c>
      <c r="AA155" s="28">
        <v>10</v>
      </c>
      <c r="AB155" s="84">
        <v>78610.563644120004</v>
      </c>
      <c r="AC155" s="84">
        <v>71017.138244200003</v>
      </c>
      <c r="AD155" s="84">
        <v>13118.039999999901</v>
      </c>
      <c r="AE155" s="34">
        <v>786105.63644120004</v>
      </c>
      <c r="AF155" s="28" t="s">
        <v>551</v>
      </c>
      <c r="AG155" s="28" t="s">
        <v>66</v>
      </c>
    </row>
    <row r="156" spans="2:33" x14ac:dyDescent="0.2">
      <c r="B156" s="34">
        <f>CHOOSE(B$1,Tabla2[[#This Row],[Edad]]*12/365,Tabla2[[#This Row],[Tn/Ha]],Tabla2[[#This Row],[Tn]],Tabla2[[#This Row],[Area_Cosecha]])</f>
        <v>11.594080560037577</v>
      </c>
      <c r="C156" s="87" t="s">
        <v>550</v>
      </c>
      <c r="D156" s="23" t="s">
        <v>551</v>
      </c>
      <c r="E156" s="23" t="s">
        <v>551</v>
      </c>
      <c r="F156" s="23" t="s">
        <v>132</v>
      </c>
      <c r="G156" s="23" t="s">
        <v>0</v>
      </c>
      <c r="H156" s="23" t="s">
        <v>1</v>
      </c>
      <c r="I156" s="23" t="s">
        <v>14</v>
      </c>
      <c r="J156" s="23" t="s">
        <v>4</v>
      </c>
      <c r="K156" s="23" t="s">
        <v>783</v>
      </c>
      <c r="L156" s="23">
        <v>2023</v>
      </c>
      <c r="M156" s="24" t="s">
        <v>351</v>
      </c>
      <c r="N156" s="24">
        <v>45182</v>
      </c>
      <c r="O156" s="24" t="s">
        <v>50</v>
      </c>
      <c r="P156" s="86">
        <v>352.65328370114298</v>
      </c>
      <c r="Q156" s="86">
        <v>41.88</v>
      </c>
      <c r="R156" s="25">
        <v>37.61</v>
      </c>
      <c r="S156" s="25">
        <v>68.05</v>
      </c>
      <c r="T156" s="25">
        <v>5.87</v>
      </c>
      <c r="U156" s="25">
        <v>15.6759697418782</v>
      </c>
      <c r="V156" s="25">
        <v>14.205447354062599</v>
      </c>
      <c r="W156" s="25">
        <v>2559.1799999999998</v>
      </c>
      <c r="X156" s="34">
        <v>585174.31000000006</v>
      </c>
      <c r="Y156" s="30">
        <v>45535</v>
      </c>
      <c r="Z156" s="85">
        <v>2024</v>
      </c>
      <c r="AA156" s="28">
        <v>8</v>
      </c>
      <c r="AB156" s="84">
        <v>40117.628244020001</v>
      </c>
      <c r="AC156" s="84">
        <v>36354.296759570003</v>
      </c>
      <c r="AD156" s="84">
        <v>13263.29</v>
      </c>
      <c r="AE156" s="34">
        <v>401176.28244019998</v>
      </c>
      <c r="AF156" s="28" t="s">
        <v>551</v>
      </c>
      <c r="AG156" s="28" t="s">
        <v>66</v>
      </c>
    </row>
    <row r="157" spans="2:33" x14ac:dyDescent="0.2">
      <c r="B157" s="34">
        <f>CHOOSE(B$1,Tabla2[[#This Row],[Edad]]*12/365,Tabla2[[#This Row],[Tn/Ha]],Tabla2[[#This Row],[Tn]],Tabla2[[#This Row],[Area_Cosecha]])</f>
        <v>11.638356164383561</v>
      </c>
      <c r="C157" s="87" t="s">
        <v>550</v>
      </c>
      <c r="D157" s="23" t="s">
        <v>551</v>
      </c>
      <c r="E157" s="23" t="s">
        <v>551</v>
      </c>
      <c r="F157" s="23" t="s">
        <v>132</v>
      </c>
      <c r="G157" s="23" t="s">
        <v>0</v>
      </c>
      <c r="H157" s="23" t="s">
        <v>1</v>
      </c>
      <c r="I157" s="23" t="s">
        <v>14</v>
      </c>
      <c r="J157" s="23" t="s">
        <v>4</v>
      </c>
      <c r="K157" s="23" t="s">
        <v>783</v>
      </c>
      <c r="L157" s="23">
        <v>2023</v>
      </c>
      <c r="M157" s="24" t="s">
        <v>351</v>
      </c>
      <c r="N157" s="24">
        <v>45182</v>
      </c>
      <c r="O157" s="24" t="s">
        <v>50</v>
      </c>
      <c r="P157" s="86">
        <v>354</v>
      </c>
      <c r="Q157" s="86">
        <v>41.88</v>
      </c>
      <c r="R157" s="25">
        <v>4.2699999999999996</v>
      </c>
      <c r="S157" s="25">
        <v>66.459999999999994</v>
      </c>
      <c r="T157" s="25">
        <v>5.71</v>
      </c>
      <c r="U157" s="25">
        <v>15.739750000000001</v>
      </c>
      <c r="V157" s="25">
        <v>14.251333000000001</v>
      </c>
      <c r="W157" s="25">
        <v>283.8</v>
      </c>
      <c r="X157" s="34">
        <v>188623.98</v>
      </c>
      <c r="Y157" s="30">
        <v>45536</v>
      </c>
      <c r="Z157" s="85">
        <v>2024</v>
      </c>
      <c r="AA157" s="28">
        <v>9</v>
      </c>
      <c r="AB157" s="84">
        <v>4466.9410500000004</v>
      </c>
      <c r="AC157" s="84">
        <v>4044.5283054000001</v>
      </c>
      <c r="AD157" s="84">
        <v>1511.58</v>
      </c>
      <c r="AE157" s="34">
        <v>44669.410499999998</v>
      </c>
      <c r="AF157" s="28" t="s">
        <v>551</v>
      </c>
      <c r="AG157" s="28" t="s">
        <v>66</v>
      </c>
    </row>
    <row r="158" spans="2:33" x14ac:dyDescent="0.2">
      <c r="B158" s="34">
        <f>CHOOSE(B$1,Tabla2[[#This Row],[Edad]]*12/365,Tabla2[[#This Row],[Tn/Ha]],Tabla2[[#This Row],[Tn]],Tabla2[[#This Row],[Area_Cosecha]])</f>
        <v>11.637312085410343</v>
      </c>
      <c r="C158" s="87" t="s">
        <v>550</v>
      </c>
      <c r="D158" s="23" t="s">
        <v>551</v>
      </c>
      <c r="E158" s="23" t="s">
        <v>551</v>
      </c>
      <c r="F158" s="23" t="s">
        <v>133</v>
      </c>
      <c r="G158" s="23" t="s">
        <v>0</v>
      </c>
      <c r="H158" s="23" t="s">
        <v>1</v>
      </c>
      <c r="I158" s="23" t="s">
        <v>14</v>
      </c>
      <c r="J158" s="23" t="s">
        <v>5</v>
      </c>
      <c r="K158" s="23" t="s">
        <v>764</v>
      </c>
      <c r="L158" s="23">
        <v>2023</v>
      </c>
      <c r="M158" s="24" t="s">
        <v>351</v>
      </c>
      <c r="N158" s="24">
        <v>45167</v>
      </c>
      <c r="O158" s="24" t="s">
        <v>50</v>
      </c>
      <c r="P158" s="86">
        <v>353.96824259789798</v>
      </c>
      <c r="Q158" s="86">
        <v>41.88</v>
      </c>
      <c r="R158" s="25">
        <v>41.88</v>
      </c>
      <c r="S158" s="25">
        <v>75.17</v>
      </c>
      <c r="T158" s="25">
        <v>6.46</v>
      </c>
      <c r="U158" s="25">
        <v>15.601546783295699</v>
      </c>
      <c r="V158" s="25">
        <v>14.1061292281231</v>
      </c>
      <c r="W158" s="25">
        <v>3148.2999999999902</v>
      </c>
      <c r="X158" s="34">
        <v>788471.22</v>
      </c>
      <c r="Y158" s="30">
        <v>45522</v>
      </c>
      <c r="Z158" s="85">
        <v>2024</v>
      </c>
      <c r="AA158" s="28">
        <v>8</v>
      </c>
      <c r="AB158" s="84">
        <v>49118.349737849901</v>
      </c>
      <c r="AC158" s="84">
        <v>44410.3266488999</v>
      </c>
      <c r="AD158" s="84">
        <v>14824.1899999999</v>
      </c>
      <c r="AE158" s="34">
        <v>491183.4973785</v>
      </c>
      <c r="AF158" s="28" t="s">
        <v>551</v>
      </c>
      <c r="AG158" s="28" t="s">
        <v>66</v>
      </c>
    </row>
    <row r="159" spans="2:33" x14ac:dyDescent="0.2">
      <c r="B159" s="34">
        <f>CHOOSE(B$1,Tabla2[[#This Row],[Edad]]*12/365,Tabla2[[#This Row],[Tn/Ha]],Tabla2[[#This Row],[Tn]],Tabla2[[#This Row],[Area_Cosecha]])</f>
        <v>11.485182713820297</v>
      </c>
      <c r="C159" s="87" t="s">
        <v>550</v>
      </c>
      <c r="D159" s="23" t="s">
        <v>551</v>
      </c>
      <c r="E159" s="23" t="s">
        <v>551</v>
      </c>
      <c r="F159" s="23" t="s">
        <v>371</v>
      </c>
      <c r="G159" s="23" t="s">
        <v>0</v>
      </c>
      <c r="H159" s="23" t="s">
        <v>1</v>
      </c>
      <c r="I159" s="23" t="s">
        <v>14</v>
      </c>
      <c r="J159" s="23" t="s">
        <v>6</v>
      </c>
      <c r="K159" s="23" t="s">
        <v>798</v>
      </c>
      <c r="L159" s="23">
        <v>2023</v>
      </c>
      <c r="M159" s="24" t="s">
        <v>351</v>
      </c>
      <c r="N159" s="24">
        <v>45187</v>
      </c>
      <c r="O159" s="24" t="s">
        <v>50</v>
      </c>
      <c r="P159" s="86">
        <v>349.34097421203398</v>
      </c>
      <c r="Q159" s="86">
        <v>41.88</v>
      </c>
      <c r="R159" s="25">
        <v>41.88</v>
      </c>
      <c r="S159" s="25">
        <v>65.59</v>
      </c>
      <c r="T159" s="25">
        <v>5.71</v>
      </c>
      <c r="U159" s="25">
        <v>15.6039370921075</v>
      </c>
      <c r="V159" s="25">
        <v>14.1679834387739</v>
      </c>
      <c r="W159" s="25">
        <v>2746.79</v>
      </c>
      <c r="X159" s="34">
        <v>898195.65</v>
      </c>
      <c r="Y159" s="30">
        <v>45537</v>
      </c>
      <c r="Z159" s="85">
        <v>2024</v>
      </c>
      <c r="AA159" s="28">
        <v>9</v>
      </c>
      <c r="AB159" s="84">
        <v>42860.738365229998</v>
      </c>
      <c r="AC159" s="84">
        <v>38916.475229789998</v>
      </c>
      <c r="AD159" s="84">
        <v>14630.4</v>
      </c>
      <c r="AE159" s="34">
        <v>428607.383652299</v>
      </c>
      <c r="AF159" s="28" t="s">
        <v>551</v>
      </c>
      <c r="AG159" s="28" t="s">
        <v>66</v>
      </c>
    </row>
    <row r="160" spans="2:33" x14ac:dyDescent="0.2">
      <c r="B160" s="34">
        <f>CHOOSE(B$1,Tabla2[[#This Row],[Edad]]*12/365,Tabla2[[#This Row],[Tn/Ha]],Tabla2[[#This Row],[Tn]],Tabla2[[#This Row],[Area_Cosecha]])</f>
        <v>11.719182007300702</v>
      </c>
      <c r="C160" s="87" t="s">
        <v>550</v>
      </c>
      <c r="D160" s="23" t="s">
        <v>551</v>
      </c>
      <c r="E160" s="23" t="s">
        <v>551</v>
      </c>
      <c r="F160" s="23" t="s">
        <v>134</v>
      </c>
      <c r="G160" s="23" t="s">
        <v>0</v>
      </c>
      <c r="H160" s="23" t="s">
        <v>1</v>
      </c>
      <c r="I160" s="23" t="s">
        <v>14</v>
      </c>
      <c r="J160" s="23" t="s">
        <v>7</v>
      </c>
      <c r="K160" s="23" t="s">
        <v>765</v>
      </c>
      <c r="L160" s="23">
        <v>2023</v>
      </c>
      <c r="M160" s="24" t="s">
        <v>351</v>
      </c>
      <c r="N160" s="24">
        <v>45166</v>
      </c>
      <c r="O160" s="24" t="s">
        <v>50</v>
      </c>
      <c r="P160" s="86">
        <v>356.45845272206299</v>
      </c>
      <c r="Q160" s="86">
        <v>41.88</v>
      </c>
      <c r="R160" s="25">
        <v>41.88</v>
      </c>
      <c r="S160" s="25">
        <v>90.49</v>
      </c>
      <c r="T160" s="25">
        <v>7.72</v>
      </c>
      <c r="U160" s="25">
        <v>15.4136569027952</v>
      </c>
      <c r="V160" s="25">
        <v>13.925215239820201</v>
      </c>
      <c r="W160" s="25">
        <v>3789.63</v>
      </c>
      <c r="X160" s="34">
        <v>856164.8</v>
      </c>
      <c r="Y160" s="30">
        <v>45524</v>
      </c>
      <c r="Z160" s="85">
        <v>2024</v>
      </c>
      <c r="AA160" s="28">
        <v>8</v>
      </c>
      <c r="AB160" s="84">
        <v>58412.056608539999</v>
      </c>
      <c r="AC160" s="84">
        <v>52771.413429280001</v>
      </c>
      <c r="AD160" s="84">
        <v>14928.48</v>
      </c>
      <c r="AE160" s="34">
        <v>584120.56608539994</v>
      </c>
      <c r="AF160" s="28" t="s">
        <v>551</v>
      </c>
      <c r="AG160" s="28" t="s">
        <v>66</v>
      </c>
    </row>
    <row r="161" spans="2:33" x14ac:dyDescent="0.2">
      <c r="B161" s="34">
        <f>CHOOSE(B$1,Tabla2[[#This Row],[Edad]]*12/365,Tabla2[[#This Row],[Tn/Ha]],Tabla2[[#This Row],[Tn]],Tabla2[[#This Row],[Area_Cosecha]])</f>
        <v>9.3270365586792305</v>
      </c>
      <c r="C161" s="87" t="s">
        <v>550</v>
      </c>
      <c r="D161" s="23" t="s">
        <v>551</v>
      </c>
      <c r="E161" s="23" t="s">
        <v>551</v>
      </c>
      <c r="F161" s="23" t="s">
        <v>135</v>
      </c>
      <c r="G161" s="23" t="s">
        <v>0</v>
      </c>
      <c r="H161" s="23" t="s">
        <v>1</v>
      </c>
      <c r="I161" s="23" t="s">
        <v>15</v>
      </c>
      <c r="J161" s="23" t="s">
        <v>3</v>
      </c>
      <c r="K161" s="23" t="s">
        <v>799</v>
      </c>
      <c r="L161" s="23">
        <v>2023</v>
      </c>
      <c r="M161" s="24" t="s">
        <v>62</v>
      </c>
      <c r="N161" s="24">
        <v>45271</v>
      </c>
      <c r="O161" s="24" t="s">
        <v>50</v>
      </c>
      <c r="P161" s="86">
        <v>283.69736199315997</v>
      </c>
      <c r="Q161" s="86">
        <v>40.94</v>
      </c>
      <c r="R161" s="25">
        <v>40.94</v>
      </c>
      <c r="S161" s="25">
        <v>113.28</v>
      </c>
      <c r="T161" s="25">
        <v>12.15</v>
      </c>
      <c r="U161" s="25">
        <v>13.9401579683955</v>
      </c>
      <c r="V161" s="25">
        <v>12.430513631240199</v>
      </c>
      <c r="W161" s="25">
        <v>4637.6400000000003</v>
      </c>
      <c r="X161" s="34">
        <v>754564.87</v>
      </c>
      <c r="Y161" s="30">
        <v>45556</v>
      </c>
      <c r="Z161" s="85">
        <v>2024</v>
      </c>
      <c r="AA161" s="28">
        <v>9</v>
      </c>
      <c r="AB161" s="84">
        <v>64649.434200549898</v>
      </c>
      <c r="AC161" s="84">
        <v>57648.247236784999</v>
      </c>
      <c r="AD161" s="84">
        <v>11614.57</v>
      </c>
      <c r="AE161" s="34">
        <v>646494.34200549999</v>
      </c>
      <c r="AF161" s="28" t="s">
        <v>551</v>
      </c>
      <c r="AG161" s="28" t="s">
        <v>66</v>
      </c>
    </row>
    <row r="162" spans="2:33" x14ac:dyDescent="0.2">
      <c r="B162" s="34">
        <f>CHOOSE(B$1,Tabla2[[#This Row],[Edad]]*12/365,Tabla2[[#This Row],[Tn/Ha]],Tabla2[[#This Row],[Tn]],Tabla2[[#This Row],[Area_Cosecha]])</f>
        <v>10.93146759822582</v>
      </c>
      <c r="C162" s="87" t="s">
        <v>550</v>
      </c>
      <c r="D162" s="23" t="s">
        <v>551</v>
      </c>
      <c r="E162" s="23" t="s">
        <v>551</v>
      </c>
      <c r="F162" s="23" t="s">
        <v>520</v>
      </c>
      <c r="G162" s="23" t="s">
        <v>0</v>
      </c>
      <c r="H162" s="23" t="s">
        <v>1</v>
      </c>
      <c r="I162" s="23" t="s">
        <v>15</v>
      </c>
      <c r="J162" s="23" t="s">
        <v>4</v>
      </c>
      <c r="K162" s="23" t="s">
        <v>860</v>
      </c>
      <c r="L162" s="23">
        <v>2024</v>
      </c>
      <c r="M162" s="24" t="s">
        <v>60</v>
      </c>
      <c r="N162" s="24">
        <v>45271</v>
      </c>
      <c r="O162" s="24" t="s">
        <v>50</v>
      </c>
      <c r="P162" s="86">
        <v>332.49880611270203</v>
      </c>
      <c r="Q162" s="86">
        <v>41.88</v>
      </c>
      <c r="R162" s="25">
        <v>41.88</v>
      </c>
      <c r="S162" s="25">
        <v>142.97999999999999</v>
      </c>
      <c r="T162" s="25">
        <v>13.08</v>
      </c>
      <c r="U162" s="25">
        <v>15.1484193872374</v>
      </c>
      <c r="V162" s="25">
        <v>13.692873805309</v>
      </c>
      <c r="W162" s="25">
        <v>5987.85</v>
      </c>
      <c r="X162" s="34">
        <v>1421465.32</v>
      </c>
      <c r="Y162" s="30">
        <v>45606</v>
      </c>
      <c r="Z162" s="85">
        <v>2024</v>
      </c>
      <c r="AA162" s="28">
        <v>11</v>
      </c>
      <c r="AB162" s="84">
        <v>90706.463027869904</v>
      </c>
      <c r="AC162" s="84">
        <v>81990.874415119994</v>
      </c>
      <c r="AD162" s="84">
        <v>13925.05</v>
      </c>
      <c r="AE162" s="34">
        <v>907064.63027870003</v>
      </c>
      <c r="AF162" s="28" t="s">
        <v>551</v>
      </c>
      <c r="AG162" s="28" t="s">
        <v>66</v>
      </c>
    </row>
    <row r="163" spans="2:33" x14ac:dyDescent="0.2">
      <c r="B163" s="34">
        <f>CHOOSE(B$1,Tabla2[[#This Row],[Edad]]*12/365,Tabla2[[#This Row],[Tn/Ha]],Tabla2[[#This Row],[Tn]],Tabla2[[#This Row],[Area_Cosecha]])</f>
        <v>9.4298402453240868</v>
      </c>
      <c r="C163" s="87" t="s">
        <v>550</v>
      </c>
      <c r="D163" s="23" t="s">
        <v>551</v>
      </c>
      <c r="E163" s="23" t="s">
        <v>551</v>
      </c>
      <c r="F163" s="23" t="s">
        <v>136</v>
      </c>
      <c r="G163" s="23" t="s">
        <v>0</v>
      </c>
      <c r="H163" s="23" t="s">
        <v>1</v>
      </c>
      <c r="I163" s="23" t="s">
        <v>15</v>
      </c>
      <c r="J163" s="23" t="s">
        <v>6</v>
      </c>
      <c r="K163" s="23" t="s">
        <v>800</v>
      </c>
      <c r="L163" s="23">
        <v>2022</v>
      </c>
      <c r="M163" s="24" t="s">
        <v>64</v>
      </c>
      <c r="N163" s="24">
        <v>45272</v>
      </c>
      <c r="O163" s="24" t="s">
        <v>50</v>
      </c>
      <c r="P163" s="86">
        <v>286.82430746194098</v>
      </c>
      <c r="Q163" s="86">
        <v>41.07</v>
      </c>
      <c r="R163" s="25">
        <v>40.069999999999901</v>
      </c>
      <c r="S163" s="25">
        <v>146.27000000000001</v>
      </c>
      <c r="T163" s="25">
        <v>15.51</v>
      </c>
      <c r="U163" s="25">
        <v>14.215883508107</v>
      </c>
      <c r="V163" s="25">
        <v>12.725831526824001</v>
      </c>
      <c r="W163" s="25">
        <v>5860.9699999999903</v>
      </c>
      <c r="X163" s="34">
        <v>1079564.8799999999</v>
      </c>
      <c r="Y163" s="30">
        <v>45561</v>
      </c>
      <c r="Z163" s="85">
        <v>2024</v>
      </c>
      <c r="AA163" s="28">
        <v>9</v>
      </c>
      <c r="AB163" s="84">
        <v>83318.866764510007</v>
      </c>
      <c r="AC163" s="84">
        <v>74585.716803770003</v>
      </c>
      <c r="AD163" s="84">
        <v>11493.05</v>
      </c>
      <c r="AE163" s="34">
        <v>833188.66764510004</v>
      </c>
      <c r="AF163" s="28" t="s">
        <v>551</v>
      </c>
      <c r="AG163" s="28" t="s">
        <v>66</v>
      </c>
    </row>
    <row r="164" spans="2:33" x14ac:dyDescent="0.2">
      <c r="B164" s="34">
        <f>CHOOSE(B$1,Tabla2[[#This Row],[Edad]]*12/365,Tabla2[[#This Row],[Tn/Ha]],Tabla2[[#This Row],[Tn]],Tabla2[[#This Row],[Area_Cosecha]])</f>
        <v>11.178082191780822</v>
      </c>
      <c r="C164" s="87" t="s">
        <v>550</v>
      </c>
      <c r="D164" s="23" t="s">
        <v>551</v>
      </c>
      <c r="E164" s="23" t="s">
        <v>551</v>
      </c>
      <c r="F164" s="23" t="s">
        <v>137</v>
      </c>
      <c r="G164" s="23" t="s">
        <v>0</v>
      </c>
      <c r="H164" s="23" t="s">
        <v>1</v>
      </c>
      <c r="I164" s="23" t="s">
        <v>15</v>
      </c>
      <c r="J164" s="23" t="s">
        <v>7</v>
      </c>
      <c r="K164" s="23" t="s">
        <v>709</v>
      </c>
      <c r="L164" s="23">
        <v>2023</v>
      </c>
      <c r="M164" s="24" t="s">
        <v>351</v>
      </c>
      <c r="N164" s="24">
        <v>45131</v>
      </c>
      <c r="O164" s="24" t="s">
        <v>50</v>
      </c>
      <c r="P164" s="86">
        <v>340</v>
      </c>
      <c r="Q164" s="86">
        <v>41.88</v>
      </c>
      <c r="R164" s="25">
        <v>2</v>
      </c>
      <c r="S164" s="25">
        <v>111.92</v>
      </c>
      <c r="T164" s="25">
        <v>10.01</v>
      </c>
      <c r="U164" s="25">
        <v>14.678333</v>
      </c>
      <c r="V164" s="25">
        <v>13.1681659999999</v>
      </c>
      <c r="W164" s="25">
        <v>223.85</v>
      </c>
      <c r="X164" s="34">
        <v>250544.11</v>
      </c>
      <c r="Y164" s="30">
        <v>45471</v>
      </c>
      <c r="Z164" s="85">
        <v>2024</v>
      </c>
      <c r="AA164" s="28">
        <v>6</v>
      </c>
      <c r="AB164" s="84">
        <v>3285.74484205</v>
      </c>
      <c r="AC164" s="84">
        <v>2947.69395909999</v>
      </c>
      <c r="AD164" s="84">
        <v>680</v>
      </c>
      <c r="AE164" s="34">
        <v>32857.448420499997</v>
      </c>
      <c r="AF164" s="28" t="s">
        <v>551</v>
      </c>
      <c r="AG164" s="28" t="s">
        <v>66</v>
      </c>
    </row>
    <row r="165" spans="2:33" x14ac:dyDescent="0.2">
      <c r="B165" s="34">
        <f>CHOOSE(B$1,Tabla2[[#This Row],[Edad]]*12/365,Tabla2[[#This Row],[Tn/Ha]],Tabla2[[#This Row],[Tn]],Tabla2[[#This Row],[Area_Cosecha]])</f>
        <v>11.622618540553152</v>
      </c>
      <c r="C165" s="87" t="s">
        <v>550</v>
      </c>
      <c r="D165" s="23" t="s">
        <v>551</v>
      </c>
      <c r="E165" s="23" t="s">
        <v>551</v>
      </c>
      <c r="F165" s="23" t="s">
        <v>137</v>
      </c>
      <c r="G165" s="23" t="s">
        <v>0</v>
      </c>
      <c r="H165" s="23" t="s">
        <v>1</v>
      </c>
      <c r="I165" s="23" t="s">
        <v>15</v>
      </c>
      <c r="J165" s="23" t="s">
        <v>7</v>
      </c>
      <c r="K165" s="23" t="s">
        <v>709</v>
      </c>
      <c r="L165" s="23">
        <v>2023</v>
      </c>
      <c r="M165" s="24" t="s">
        <v>351</v>
      </c>
      <c r="N165" s="24">
        <v>45131</v>
      </c>
      <c r="O165" s="24" t="s">
        <v>50</v>
      </c>
      <c r="P165" s="86">
        <v>353.52131394182499</v>
      </c>
      <c r="Q165" s="86">
        <v>41.88</v>
      </c>
      <c r="R165" s="25">
        <v>39.880000000000003</v>
      </c>
      <c r="S165" s="25">
        <v>133.83000000000001</v>
      </c>
      <c r="T165" s="25">
        <v>11.51</v>
      </c>
      <c r="U165" s="25">
        <v>15.237017151368301</v>
      </c>
      <c r="V165" s="25">
        <v>13.710593725885801</v>
      </c>
      <c r="W165" s="25">
        <v>5337.2719999999999</v>
      </c>
      <c r="X165" s="34">
        <v>1183406.6299999999</v>
      </c>
      <c r="Y165" s="30">
        <v>45486</v>
      </c>
      <c r="Z165" s="85">
        <v>2024</v>
      </c>
      <c r="AA165" s="28">
        <v>7</v>
      </c>
      <c r="AB165" s="84">
        <v>81324.105005517995</v>
      </c>
      <c r="AC165" s="84">
        <v>73177.167996546006</v>
      </c>
      <c r="AD165" s="84">
        <v>14098.43</v>
      </c>
      <c r="AE165" s="34">
        <v>813241.05005517998</v>
      </c>
      <c r="AF165" s="28" t="s">
        <v>551</v>
      </c>
      <c r="AG165" s="28" t="s">
        <v>66</v>
      </c>
    </row>
    <row r="166" spans="2:33" x14ac:dyDescent="0.2">
      <c r="B166" s="34">
        <f>CHOOSE(B$1,Tabla2[[#This Row],[Edad]]*12/365,Tabla2[[#This Row],[Tn/Ha]],Tabla2[[#This Row],[Tn]],Tabla2[[#This Row],[Area_Cosecha]])</f>
        <v>11.775378644608505</v>
      </c>
      <c r="C166" s="87" t="s">
        <v>550</v>
      </c>
      <c r="D166" s="23" t="s">
        <v>551</v>
      </c>
      <c r="E166" s="23" t="s">
        <v>551</v>
      </c>
      <c r="F166" s="23" t="s">
        <v>138</v>
      </c>
      <c r="G166" s="23" t="s">
        <v>0</v>
      </c>
      <c r="H166" s="23" t="s">
        <v>1</v>
      </c>
      <c r="I166" s="23" t="s">
        <v>15</v>
      </c>
      <c r="J166" s="23" t="s">
        <v>8</v>
      </c>
      <c r="K166" s="23" t="s">
        <v>710</v>
      </c>
      <c r="L166" s="23">
        <v>2023</v>
      </c>
      <c r="M166" s="24" t="s">
        <v>351</v>
      </c>
      <c r="N166" s="24">
        <v>45111</v>
      </c>
      <c r="O166" s="24" t="s">
        <v>50</v>
      </c>
      <c r="P166" s="86">
        <v>358.16776710684201</v>
      </c>
      <c r="Q166" s="86">
        <v>41.47</v>
      </c>
      <c r="R166" s="25">
        <v>33.32</v>
      </c>
      <c r="S166" s="25">
        <v>138.63</v>
      </c>
      <c r="T166" s="25">
        <v>11.77</v>
      </c>
      <c r="U166" s="25">
        <v>15.258813551303801</v>
      </c>
      <c r="V166" s="25">
        <v>13.732113565498199</v>
      </c>
      <c r="W166" s="25">
        <v>4618.9920000000002</v>
      </c>
      <c r="X166" s="34">
        <v>1592327.47</v>
      </c>
      <c r="Y166" s="30">
        <v>45471</v>
      </c>
      <c r="Z166" s="85">
        <v>2024</v>
      </c>
      <c r="AA166" s="28">
        <v>6</v>
      </c>
      <c r="AB166" s="84">
        <v>70480.337722964003</v>
      </c>
      <c r="AC166" s="84">
        <v>63428.522702128001</v>
      </c>
      <c r="AD166" s="84">
        <v>11934.15</v>
      </c>
      <c r="AE166" s="34">
        <v>704803.37722964003</v>
      </c>
      <c r="AF166" s="28" t="s">
        <v>551</v>
      </c>
      <c r="AG166" s="28" t="s">
        <v>66</v>
      </c>
    </row>
    <row r="167" spans="2:33" x14ac:dyDescent="0.2">
      <c r="B167" s="34">
        <f>CHOOSE(B$1,Tabla2[[#This Row],[Edad]]*12/365,Tabla2[[#This Row],[Tn/Ha]],Tabla2[[#This Row],[Tn]],Tabla2[[#This Row],[Area_Cosecha]])</f>
        <v>12.266482897722478</v>
      </c>
      <c r="C167" s="87" t="s">
        <v>550</v>
      </c>
      <c r="D167" s="23" t="s">
        <v>551</v>
      </c>
      <c r="E167" s="23" t="s">
        <v>551</v>
      </c>
      <c r="F167" s="23" t="s">
        <v>138</v>
      </c>
      <c r="G167" s="23" t="s">
        <v>0</v>
      </c>
      <c r="H167" s="23" t="s">
        <v>1</v>
      </c>
      <c r="I167" s="23" t="s">
        <v>15</v>
      </c>
      <c r="J167" s="23" t="s">
        <v>8</v>
      </c>
      <c r="K167" s="23" t="s">
        <v>710</v>
      </c>
      <c r="L167" s="23">
        <v>2023</v>
      </c>
      <c r="M167" s="24" t="s">
        <v>351</v>
      </c>
      <c r="N167" s="24">
        <v>45111</v>
      </c>
      <c r="O167" s="24" t="s">
        <v>50</v>
      </c>
      <c r="P167" s="86">
        <v>373.10552147239201</v>
      </c>
      <c r="Q167" s="86">
        <v>41.47</v>
      </c>
      <c r="R167" s="25">
        <v>8.1499999999999897</v>
      </c>
      <c r="S167" s="25">
        <v>142.19</v>
      </c>
      <c r="T167" s="25">
        <v>11.59</v>
      </c>
      <c r="U167" s="25">
        <v>15.4747815004703</v>
      </c>
      <c r="V167" s="25">
        <v>13.951640225351801</v>
      </c>
      <c r="W167" s="25">
        <v>1158.81</v>
      </c>
      <c r="X167" s="34">
        <v>416930.56</v>
      </c>
      <c r="Y167" s="30">
        <v>45486</v>
      </c>
      <c r="Z167" s="85">
        <v>2024</v>
      </c>
      <c r="AA167" s="28">
        <v>7</v>
      </c>
      <c r="AB167" s="84">
        <v>17932.33155056</v>
      </c>
      <c r="AC167" s="84">
        <v>16167.300209540001</v>
      </c>
      <c r="AD167" s="84">
        <v>3040.81</v>
      </c>
      <c r="AE167" s="34">
        <v>179323.31550560001</v>
      </c>
      <c r="AF167" s="28" t="s">
        <v>551</v>
      </c>
      <c r="AG167" s="28" t="s">
        <v>66</v>
      </c>
    </row>
    <row r="168" spans="2:33" x14ac:dyDescent="0.2">
      <c r="B168" s="34">
        <f>CHOOSE(B$1,Tabla2[[#This Row],[Edad]]*12/365,Tabla2[[#This Row],[Tn/Ha]],Tabla2[[#This Row],[Tn]],Tabla2[[#This Row],[Area_Cosecha]])</f>
        <v>10.71734154510388</v>
      </c>
      <c r="C168" s="87" t="s">
        <v>550</v>
      </c>
      <c r="D168" s="23" t="s">
        <v>551</v>
      </c>
      <c r="E168" s="23" t="s">
        <v>551</v>
      </c>
      <c r="F168" s="23" t="s">
        <v>522</v>
      </c>
      <c r="G168" s="23" t="s">
        <v>75</v>
      </c>
      <c r="H168" s="23" t="s">
        <v>52</v>
      </c>
      <c r="I168" s="23" t="s">
        <v>21</v>
      </c>
      <c r="J168" s="23" t="s">
        <v>5</v>
      </c>
      <c r="K168" s="23" t="s">
        <v>861</v>
      </c>
      <c r="L168" s="23">
        <v>2023</v>
      </c>
      <c r="M168" s="24" t="s">
        <v>60</v>
      </c>
      <c r="N168" s="24">
        <v>45274</v>
      </c>
      <c r="O168" s="24" t="s">
        <v>50</v>
      </c>
      <c r="P168" s="86">
        <v>325.98580533024301</v>
      </c>
      <c r="Q168" s="86">
        <v>34.520000000000003</v>
      </c>
      <c r="R168" s="25">
        <v>34.520000000000003</v>
      </c>
      <c r="S168" s="25">
        <v>162.55000000000001</v>
      </c>
      <c r="T168" s="25">
        <v>15.17</v>
      </c>
      <c r="U168" s="25">
        <v>14.6329419918235</v>
      </c>
      <c r="V168" s="25">
        <v>13.168366905448501</v>
      </c>
      <c r="W168" s="25">
        <v>5611.23</v>
      </c>
      <c r="X168" s="34">
        <v>3043792.57</v>
      </c>
      <c r="Y168" s="30">
        <v>45601</v>
      </c>
      <c r="Z168" s="85">
        <v>2024</v>
      </c>
      <c r="AA168" s="28">
        <v>11</v>
      </c>
      <c r="AB168" s="84">
        <v>82108.803092779999</v>
      </c>
      <c r="AC168" s="84">
        <v>73890.735430860004</v>
      </c>
      <c r="AD168" s="84">
        <v>11253.029999999901</v>
      </c>
      <c r="AE168" s="34">
        <v>821088.03092779999</v>
      </c>
      <c r="AF168" s="28" t="s">
        <v>551</v>
      </c>
      <c r="AG168" s="28" t="s">
        <v>66</v>
      </c>
    </row>
    <row r="169" spans="2:33" x14ac:dyDescent="0.2">
      <c r="B169" s="34">
        <f>CHOOSE(B$1,Tabla2[[#This Row],[Edad]]*12/365,Tabla2[[#This Row],[Tn/Ha]],Tabla2[[#This Row],[Tn]],Tabla2[[#This Row],[Area_Cosecha]])</f>
        <v>12.337930990521205</v>
      </c>
      <c r="C169" s="87" t="s">
        <v>550</v>
      </c>
      <c r="D169" s="23" t="s">
        <v>551</v>
      </c>
      <c r="E169" s="23" t="s">
        <v>551</v>
      </c>
      <c r="F169" s="23" t="s">
        <v>139</v>
      </c>
      <c r="G169" s="23" t="s">
        <v>75</v>
      </c>
      <c r="H169" s="23" t="s">
        <v>52</v>
      </c>
      <c r="I169" s="23" t="s">
        <v>21</v>
      </c>
      <c r="J169" s="23" t="s">
        <v>6</v>
      </c>
      <c r="K169" s="23" t="s">
        <v>665</v>
      </c>
      <c r="L169" s="23">
        <v>2022</v>
      </c>
      <c r="M169" s="24" t="s">
        <v>60</v>
      </c>
      <c r="N169" s="24">
        <v>45058</v>
      </c>
      <c r="O169" s="24" t="s">
        <v>50</v>
      </c>
      <c r="P169" s="86">
        <v>375.27873429502</v>
      </c>
      <c r="Q169" s="86">
        <v>42.98</v>
      </c>
      <c r="R169" s="25">
        <v>42.98</v>
      </c>
      <c r="S169" s="25">
        <v>168.26</v>
      </c>
      <c r="T169" s="25">
        <v>13.64</v>
      </c>
      <c r="U169" s="25">
        <v>14.9026642127829</v>
      </c>
      <c r="V169" s="25">
        <v>13.3869778679953</v>
      </c>
      <c r="W169" s="25">
        <v>7232.02699999999</v>
      </c>
      <c r="X169" s="34">
        <v>1518558.98</v>
      </c>
      <c r="Y169" s="30">
        <v>45440</v>
      </c>
      <c r="Z169" s="85">
        <v>2024</v>
      </c>
      <c r="AA169" s="28">
        <v>5</v>
      </c>
      <c r="AB169" s="84">
        <v>107776.46995878</v>
      </c>
      <c r="AC169" s="84">
        <v>96814.985389744994</v>
      </c>
      <c r="AD169" s="84">
        <v>16129.48</v>
      </c>
      <c r="AE169" s="34">
        <v>1077764.6995878001</v>
      </c>
      <c r="AF169" s="28" t="s">
        <v>551</v>
      </c>
      <c r="AG169" s="28" t="s">
        <v>66</v>
      </c>
    </row>
    <row r="170" spans="2:33" x14ac:dyDescent="0.2">
      <c r="B170" s="34">
        <f>CHOOSE(B$1,Tabla2[[#This Row],[Edad]]*12/365,Tabla2[[#This Row],[Tn/Ha]],Tabla2[[#This Row],[Tn]],Tabla2[[#This Row],[Area_Cosecha]])</f>
        <v>12.870651545838147</v>
      </c>
      <c r="C170" s="87" t="s">
        <v>550</v>
      </c>
      <c r="D170" s="23" t="s">
        <v>551</v>
      </c>
      <c r="E170" s="23" t="s">
        <v>551</v>
      </c>
      <c r="F170" s="23" t="s">
        <v>140</v>
      </c>
      <c r="G170" s="23" t="s">
        <v>75</v>
      </c>
      <c r="H170" s="23" t="s">
        <v>52</v>
      </c>
      <c r="I170" s="23" t="s">
        <v>21</v>
      </c>
      <c r="J170" s="23" t="s">
        <v>7</v>
      </c>
      <c r="K170" s="23" t="s">
        <v>633</v>
      </c>
      <c r="L170" s="23">
        <v>2022</v>
      </c>
      <c r="M170" s="24" t="s">
        <v>64</v>
      </c>
      <c r="N170" s="24">
        <v>44993</v>
      </c>
      <c r="O170" s="24" t="s">
        <v>50</v>
      </c>
      <c r="P170" s="86">
        <v>391.48231785257701</v>
      </c>
      <c r="Q170" s="86">
        <v>36.299999999999997</v>
      </c>
      <c r="R170" s="25">
        <v>23.47</v>
      </c>
      <c r="S170" s="25">
        <v>148.05000000000001</v>
      </c>
      <c r="T170" s="25">
        <v>11.5</v>
      </c>
      <c r="U170" s="25">
        <v>14.974975359607001</v>
      </c>
      <c r="V170" s="25">
        <v>13.4802228896974</v>
      </c>
      <c r="W170" s="25">
        <v>3474.826</v>
      </c>
      <c r="X170" s="34">
        <v>1714919.2</v>
      </c>
      <c r="Y170" s="30">
        <v>45385</v>
      </c>
      <c r="Z170" s="85">
        <v>2024</v>
      </c>
      <c r="AA170" s="28">
        <v>4</v>
      </c>
      <c r="AB170" s="84">
        <v>52035.433728921998</v>
      </c>
      <c r="AC170" s="84">
        <v>46841.428982915997</v>
      </c>
      <c r="AD170" s="84">
        <v>9188.09</v>
      </c>
      <c r="AE170" s="34">
        <v>520354.33728922001</v>
      </c>
      <c r="AF170" s="28" t="s">
        <v>551</v>
      </c>
      <c r="AG170" s="28" t="s">
        <v>66</v>
      </c>
    </row>
    <row r="171" spans="2:33" x14ac:dyDescent="0.2">
      <c r="B171" s="34">
        <f>CHOOSE(B$1,Tabla2[[#This Row],[Edad]]*12/365,Tabla2[[#This Row],[Tn/Ha]],Tabla2[[#This Row],[Tn]],Tabla2[[#This Row],[Area_Cosecha]])</f>
        <v>12.363843982013982</v>
      </c>
      <c r="C171" s="87" t="s">
        <v>550</v>
      </c>
      <c r="D171" s="23" t="s">
        <v>551</v>
      </c>
      <c r="E171" s="23" t="s">
        <v>551</v>
      </c>
      <c r="F171" s="23" t="s">
        <v>141</v>
      </c>
      <c r="G171" s="23" t="s">
        <v>75</v>
      </c>
      <c r="H171" s="23" t="s">
        <v>52</v>
      </c>
      <c r="I171" s="23" t="s">
        <v>26</v>
      </c>
      <c r="J171" s="23" t="s">
        <v>3</v>
      </c>
      <c r="K171" s="23" t="s">
        <v>625</v>
      </c>
      <c r="L171" s="23">
        <v>2022</v>
      </c>
      <c r="M171" s="24" t="s">
        <v>62</v>
      </c>
      <c r="N171" s="24">
        <v>45000</v>
      </c>
      <c r="O171" s="24" t="s">
        <v>50</v>
      </c>
      <c r="P171" s="86">
        <v>376.066921119592</v>
      </c>
      <c r="Q171" s="86">
        <v>39.299999999999997</v>
      </c>
      <c r="R171" s="25">
        <v>39.299999999999997</v>
      </c>
      <c r="S171" s="25">
        <v>132.75</v>
      </c>
      <c r="T171" s="25">
        <v>10.74</v>
      </c>
      <c r="U171" s="25">
        <v>14.700652204462299</v>
      </c>
      <c r="V171" s="25">
        <v>13.233386125314601</v>
      </c>
      <c r="W171" s="25">
        <v>5216.9499999999898</v>
      </c>
      <c r="X171" s="34">
        <v>1391170.03</v>
      </c>
      <c r="Y171" s="30">
        <v>45377</v>
      </c>
      <c r="Z171" s="85">
        <v>2024</v>
      </c>
      <c r="AA171" s="28">
        <v>3</v>
      </c>
      <c r="AB171" s="84">
        <v>76692.567518070005</v>
      </c>
      <c r="AC171" s="84">
        <v>69037.913746459904</v>
      </c>
      <c r="AD171" s="84">
        <v>14779.43</v>
      </c>
      <c r="AE171" s="34">
        <v>766925.67518069898</v>
      </c>
      <c r="AF171" s="28" t="s">
        <v>551</v>
      </c>
      <c r="AG171" s="28" t="s">
        <v>66</v>
      </c>
    </row>
    <row r="172" spans="2:33" x14ac:dyDescent="0.2">
      <c r="B172" s="34">
        <f>CHOOSE(B$1,Tabla2[[#This Row],[Edad]]*12/365,Tabla2[[#This Row],[Tn/Ha]],Tabla2[[#This Row],[Tn]],Tabla2[[#This Row],[Area_Cosecha]])</f>
        <v>11.918300501130149</v>
      </c>
      <c r="C172" s="87" t="s">
        <v>550</v>
      </c>
      <c r="D172" s="23" t="s">
        <v>551</v>
      </c>
      <c r="E172" s="23" t="s">
        <v>551</v>
      </c>
      <c r="F172" s="23" t="s">
        <v>142</v>
      </c>
      <c r="G172" s="23" t="s">
        <v>75</v>
      </c>
      <c r="H172" s="23" t="s">
        <v>52</v>
      </c>
      <c r="I172" s="23" t="s">
        <v>26</v>
      </c>
      <c r="J172" s="23" t="s">
        <v>4</v>
      </c>
      <c r="K172" s="23" t="s">
        <v>722</v>
      </c>
      <c r="L172" s="23">
        <v>2022</v>
      </c>
      <c r="M172" s="24" t="s">
        <v>64</v>
      </c>
      <c r="N172" s="24">
        <v>45141</v>
      </c>
      <c r="O172" s="24" t="s">
        <v>50</v>
      </c>
      <c r="P172" s="86">
        <v>362.514973576042</v>
      </c>
      <c r="Q172" s="86">
        <v>40.840000000000003</v>
      </c>
      <c r="R172" s="25">
        <v>34.06</v>
      </c>
      <c r="S172" s="25">
        <v>158.52000000000001</v>
      </c>
      <c r="T172" s="25">
        <v>13.3</v>
      </c>
      <c r="U172" s="25">
        <v>15.217826058641499</v>
      </c>
      <c r="V172" s="25">
        <v>13.7290724358195</v>
      </c>
      <c r="W172" s="25">
        <v>5399.07</v>
      </c>
      <c r="X172" s="34">
        <v>2851155.7</v>
      </c>
      <c r="Y172" s="30">
        <v>45504</v>
      </c>
      <c r="Z172" s="85">
        <v>2024</v>
      </c>
      <c r="AA172" s="28">
        <v>7</v>
      </c>
      <c r="AB172" s="84">
        <v>82162.108138430005</v>
      </c>
      <c r="AC172" s="84">
        <v>74124.223116059904</v>
      </c>
      <c r="AD172" s="84">
        <v>12347.26</v>
      </c>
      <c r="AE172" s="34">
        <v>821621.08138430002</v>
      </c>
      <c r="AF172" s="28" t="s">
        <v>551</v>
      </c>
      <c r="AG172" s="28" t="s">
        <v>66</v>
      </c>
    </row>
    <row r="173" spans="2:33" x14ac:dyDescent="0.2">
      <c r="B173" s="34">
        <f>CHOOSE(B$1,Tabla2[[#This Row],[Edad]]*12/365,Tabla2[[#This Row],[Tn/Ha]],Tabla2[[#This Row],[Tn]],Tabla2[[#This Row],[Area_Cosecha]])</f>
        <v>11.967123287671233</v>
      </c>
      <c r="C173" s="87" t="s">
        <v>550</v>
      </c>
      <c r="D173" s="23" t="s">
        <v>551</v>
      </c>
      <c r="E173" s="23" t="s">
        <v>551</v>
      </c>
      <c r="F173" s="23" t="s">
        <v>142</v>
      </c>
      <c r="G173" s="23" t="s">
        <v>75</v>
      </c>
      <c r="H173" s="23" t="s">
        <v>52</v>
      </c>
      <c r="I173" s="23" t="s">
        <v>26</v>
      </c>
      <c r="J173" s="23" t="s">
        <v>4</v>
      </c>
      <c r="K173" s="23" t="s">
        <v>722</v>
      </c>
      <c r="L173" s="23">
        <v>2022</v>
      </c>
      <c r="M173" s="24" t="s">
        <v>64</v>
      </c>
      <c r="N173" s="24">
        <v>45141</v>
      </c>
      <c r="O173" s="24" t="s">
        <v>50</v>
      </c>
      <c r="P173" s="86">
        <v>364</v>
      </c>
      <c r="Q173" s="86">
        <v>40.840000000000003</v>
      </c>
      <c r="R173" s="25">
        <v>6.78</v>
      </c>
      <c r="S173" s="25">
        <v>158.54</v>
      </c>
      <c r="T173" s="25">
        <v>13.25</v>
      </c>
      <c r="U173" s="25">
        <v>15.438856999999899</v>
      </c>
      <c r="V173" s="25">
        <v>13.928070999999999</v>
      </c>
      <c r="W173" s="25">
        <v>1074.8689999999999</v>
      </c>
      <c r="X173" s="34">
        <v>1704046.26</v>
      </c>
      <c r="Y173" s="30">
        <v>45505</v>
      </c>
      <c r="Z173" s="85">
        <v>2024</v>
      </c>
      <c r="AA173" s="28">
        <v>8</v>
      </c>
      <c r="AB173" s="84">
        <v>16594.748784732899</v>
      </c>
      <c r="AC173" s="84">
        <v>14970.8517476989</v>
      </c>
      <c r="AD173" s="84">
        <v>2467.92</v>
      </c>
      <c r="AE173" s="34">
        <v>165947.48784732999</v>
      </c>
      <c r="AF173" s="28" t="s">
        <v>551</v>
      </c>
      <c r="AG173" s="28" t="s">
        <v>66</v>
      </c>
    </row>
    <row r="174" spans="2:33" x14ac:dyDescent="0.2">
      <c r="B174" s="34">
        <f>CHOOSE(B$1,Tabla2[[#This Row],[Edad]]*12/365,Tabla2[[#This Row],[Tn/Ha]],Tabla2[[#This Row],[Tn]],Tabla2[[#This Row],[Area_Cosecha]])</f>
        <v>12.85294698195886</v>
      </c>
      <c r="C174" s="87" t="s">
        <v>550</v>
      </c>
      <c r="D174" s="23" t="s">
        <v>551</v>
      </c>
      <c r="E174" s="23" t="s">
        <v>551</v>
      </c>
      <c r="F174" s="23" t="s">
        <v>143</v>
      </c>
      <c r="G174" s="23" t="s">
        <v>75</v>
      </c>
      <c r="H174" s="23" t="s">
        <v>52</v>
      </c>
      <c r="I174" s="23" t="s">
        <v>26</v>
      </c>
      <c r="J174" s="23" t="s">
        <v>5</v>
      </c>
      <c r="K174" s="23" t="s">
        <v>685</v>
      </c>
      <c r="L174" s="23">
        <v>2022</v>
      </c>
      <c r="M174" s="24" t="s">
        <v>60</v>
      </c>
      <c r="N174" s="24">
        <v>45063</v>
      </c>
      <c r="O174" s="24" t="s">
        <v>50</v>
      </c>
      <c r="P174" s="86">
        <v>390.943804034582</v>
      </c>
      <c r="Q174" s="86">
        <v>34.700000000000003</v>
      </c>
      <c r="R174" s="25">
        <v>34.700000000000003</v>
      </c>
      <c r="S174" s="25">
        <v>170.93</v>
      </c>
      <c r="T174" s="25">
        <v>13.3</v>
      </c>
      <c r="U174" s="25">
        <v>14.159276218057199</v>
      </c>
      <c r="V174" s="25">
        <v>12.6748823830952</v>
      </c>
      <c r="W174" s="25">
        <v>5931.24</v>
      </c>
      <c r="X174" s="34">
        <v>2045505.68</v>
      </c>
      <c r="Y174" s="30">
        <v>45456</v>
      </c>
      <c r="Z174" s="85">
        <v>2024</v>
      </c>
      <c r="AA174" s="28">
        <v>6</v>
      </c>
      <c r="AB174" s="84">
        <v>83982.065475590003</v>
      </c>
      <c r="AC174" s="84">
        <v>75177.769385909996</v>
      </c>
      <c r="AD174" s="84">
        <v>13565.75</v>
      </c>
      <c r="AE174" s="34">
        <v>839820.65475590003</v>
      </c>
      <c r="AF174" s="28" t="s">
        <v>551</v>
      </c>
      <c r="AG174" s="28" t="s">
        <v>66</v>
      </c>
    </row>
    <row r="175" spans="2:33" x14ac:dyDescent="0.2">
      <c r="B175" s="34">
        <f>CHOOSE(B$1,Tabla2[[#This Row],[Edad]]*12/365,Tabla2[[#This Row],[Tn/Ha]],Tabla2[[#This Row],[Tn]],Tabla2[[#This Row],[Area_Cosecha]])</f>
        <v>11.957400255371441</v>
      </c>
      <c r="C175" s="87" t="s">
        <v>550</v>
      </c>
      <c r="D175" s="23" t="s">
        <v>551</v>
      </c>
      <c r="E175" s="23" t="s">
        <v>551</v>
      </c>
      <c r="F175" s="23" t="s">
        <v>144</v>
      </c>
      <c r="G175" s="23" t="s">
        <v>75</v>
      </c>
      <c r="H175" s="23" t="s">
        <v>52</v>
      </c>
      <c r="I175" s="23" t="s">
        <v>26</v>
      </c>
      <c r="J175" s="23" t="s">
        <v>6</v>
      </c>
      <c r="K175" s="23" t="s">
        <v>676</v>
      </c>
      <c r="L175" s="23">
        <v>2022</v>
      </c>
      <c r="M175" s="24" t="s">
        <v>60</v>
      </c>
      <c r="N175" s="24">
        <v>45078</v>
      </c>
      <c r="O175" s="24" t="s">
        <v>50</v>
      </c>
      <c r="P175" s="86">
        <v>363.70425776754797</v>
      </c>
      <c r="Q175" s="86">
        <v>34.76</v>
      </c>
      <c r="R175" s="25">
        <v>34.76</v>
      </c>
      <c r="S175" s="25">
        <v>162.66999999999999</v>
      </c>
      <c r="T175" s="25">
        <v>13.6</v>
      </c>
      <c r="U175" s="25">
        <v>14.329842679870101</v>
      </c>
      <c r="V175" s="25">
        <v>12.8215976997992</v>
      </c>
      <c r="W175" s="25">
        <v>5654.55</v>
      </c>
      <c r="X175" s="34">
        <v>1800956.4</v>
      </c>
      <c r="Y175" s="30">
        <v>45443</v>
      </c>
      <c r="Z175" s="85">
        <v>2024</v>
      </c>
      <c r="AA175" s="28">
        <v>5</v>
      </c>
      <c r="AB175" s="84">
        <v>81028.811925460002</v>
      </c>
      <c r="AC175" s="84">
        <v>72500.365273400006</v>
      </c>
      <c r="AD175" s="84">
        <v>12642.359999999901</v>
      </c>
      <c r="AE175" s="34">
        <v>810288.11925460002</v>
      </c>
      <c r="AF175" s="28" t="s">
        <v>551</v>
      </c>
      <c r="AG175" s="28" t="s">
        <v>66</v>
      </c>
    </row>
    <row r="176" spans="2:33" x14ac:dyDescent="0.2">
      <c r="B176" s="34">
        <f>CHOOSE(B$1,Tabla2[[#This Row],[Edad]]*12/365,Tabla2[[#This Row],[Tn/Ha]],Tabla2[[#This Row],[Tn]],Tabla2[[#This Row],[Area_Cosecha]])</f>
        <v>11.607382438021448</v>
      </c>
      <c r="C176" s="87" t="s">
        <v>550</v>
      </c>
      <c r="D176" s="23" t="s">
        <v>551</v>
      </c>
      <c r="E176" s="23" t="s">
        <v>551</v>
      </c>
      <c r="F176" s="23" t="s">
        <v>145</v>
      </c>
      <c r="G176" s="23" t="s">
        <v>75</v>
      </c>
      <c r="H176" s="23" t="s">
        <v>52</v>
      </c>
      <c r="I176" s="23" t="s">
        <v>26</v>
      </c>
      <c r="J176" s="23" t="s">
        <v>7</v>
      </c>
      <c r="K176" s="23" t="s">
        <v>766</v>
      </c>
      <c r="L176" s="23">
        <v>2022</v>
      </c>
      <c r="M176" s="24" t="s">
        <v>64</v>
      </c>
      <c r="N176" s="24">
        <v>45153</v>
      </c>
      <c r="O176" s="24" t="s">
        <v>50</v>
      </c>
      <c r="P176" s="86">
        <v>353.05788248981901</v>
      </c>
      <c r="Q176" s="86">
        <v>34.380000000000003</v>
      </c>
      <c r="R176" s="25">
        <v>34.380000000000003</v>
      </c>
      <c r="S176" s="25">
        <v>133.5</v>
      </c>
      <c r="T176" s="25">
        <v>11.5</v>
      </c>
      <c r="U176" s="25">
        <v>15.3197091522695</v>
      </c>
      <c r="V176" s="25">
        <v>13.8172725389252</v>
      </c>
      <c r="W176" s="25">
        <v>4589.6309999999903</v>
      </c>
      <c r="X176" s="34">
        <v>1536042.93</v>
      </c>
      <c r="Y176" s="30">
        <v>45507</v>
      </c>
      <c r="Z176" s="85">
        <v>2024</v>
      </c>
      <c r="AA176" s="28">
        <v>8</v>
      </c>
      <c r="AB176" s="84">
        <v>70311.812036239993</v>
      </c>
      <c r="AC176" s="84">
        <v>63416.182380099999</v>
      </c>
      <c r="AD176" s="84">
        <v>12138.13</v>
      </c>
      <c r="AE176" s="34">
        <v>703118.12036239996</v>
      </c>
      <c r="AF176" s="28" t="s">
        <v>551</v>
      </c>
      <c r="AG176" s="28" t="s">
        <v>66</v>
      </c>
    </row>
    <row r="177" spans="2:33" x14ac:dyDescent="0.2">
      <c r="B177" s="34">
        <f>CHOOSE(B$1,Tabla2[[#This Row],[Edad]]*12/365,Tabla2[[#This Row],[Tn/Ha]],Tabla2[[#This Row],[Tn]],Tabla2[[#This Row],[Area_Cosecha]])</f>
        <v>11.558672407044988</v>
      </c>
      <c r="C177" s="87" t="s">
        <v>550</v>
      </c>
      <c r="D177" s="23" t="s">
        <v>551</v>
      </c>
      <c r="E177" s="23" t="s">
        <v>551</v>
      </c>
      <c r="F177" s="23" t="s">
        <v>146</v>
      </c>
      <c r="G177" s="23" t="s">
        <v>75</v>
      </c>
      <c r="H177" s="23" t="s">
        <v>52</v>
      </c>
      <c r="I177" s="23" t="s">
        <v>27</v>
      </c>
      <c r="J177" s="23" t="s">
        <v>3</v>
      </c>
      <c r="K177" s="23" t="s">
        <v>640</v>
      </c>
      <c r="L177" s="23">
        <v>2022</v>
      </c>
      <c r="M177" s="24" t="s">
        <v>60</v>
      </c>
      <c r="N177" s="24">
        <v>45048</v>
      </c>
      <c r="O177" s="24" t="s">
        <v>50</v>
      </c>
      <c r="P177" s="86">
        <v>351.57628571428501</v>
      </c>
      <c r="Q177" s="86">
        <v>35</v>
      </c>
      <c r="R177" s="25">
        <v>35</v>
      </c>
      <c r="S177" s="25">
        <v>162.87</v>
      </c>
      <c r="T177" s="25">
        <v>14.09</v>
      </c>
      <c r="U177" s="25">
        <v>14.6024709701496</v>
      </c>
      <c r="V177" s="25">
        <v>13.070601177376</v>
      </c>
      <c r="W177" s="25">
        <v>5700.43</v>
      </c>
      <c r="X177" s="34">
        <v>1544597.74</v>
      </c>
      <c r="Y177" s="30">
        <v>45402</v>
      </c>
      <c r="Z177" s="85">
        <v>2024</v>
      </c>
      <c r="AA177" s="28">
        <v>4</v>
      </c>
      <c r="AB177" s="84">
        <v>83240.363592369904</v>
      </c>
      <c r="AC177" s="84">
        <v>74508.047069549997</v>
      </c>
      <c r="AD177" s="84">
        <v>12305.1699999999</v>
      </c>
      <c r="AE177" s="34">
        <v>832403.63592369901</v>
      </c>
      <c r="AF177" s="28" t="s">
        <v>551</v>
      </c>
      <c r="AG177" s="28" t="s">
        <v>66</v>
      </c>
    </row>
    <row r="178" spans="2:33" x14ac:dyDescent="0.2">
      <c r="B178" s="34">
        <f>CHOOSE(B$1,Tabla2[[#This Row],[Edad]]*12/365,Tabla2[[#This Row],[Tn/Ha]],Tabla2[[#This Row],[Tn]],Tabla2[[#This Row],[Area_Cosecha]])</f>
        <v>11.769863013698631</v>
      </c>
      <c r="C178" s="87" t="s">
        <v>550</v>
      </c>
      <c r="D178" s="23" t="s">
        <v>551</v>
      </c>
      <c r="E178" s="23" t="s">
        <v>551</v>
      </c>
      <c r="F178" s="23" t="s">
        <v>147</v>
      </c>
      <c r="G178" s="23" t="s">
        <v>75</v>
      </c>
      <c r="H178" s="23" t="s">
        <v>52</v>
      </c>
      <c r="I178" s="23" t="s">
        <v>28</v>
      </c>
      <c r="J178" s="23" t="s">
        <v>3</v>
      </c>
      <c r="K178" s="23" t="s">
        <v>653</v>
      </c>
      <c r="L178" s="23">
        <v>2022</v>
      </c>
      <c r="M178" s="24" t="s">
        <v>64</v>
      </c>
      <c r="N178" s="24">
        <v>45054</v>
      </c>
      <c r="O178" s="24" t="s">
        <v>50</v>
      </c>
      <c r="P178" s="86">
        <v>358</v>
      </c>
      <c r="Q178" s="86">
        <v>32.74</v>
      </c>
      <c r="R178" s="25">
        <v>9.3699999999999992</v>
      </c>
      <c r="S178" s="25">
        <v>163.62</v>
      </c>
      <c r="T178" s="25">
        <v>13.9</v>
      </c>
      <c r="U178" s="25">
        <v>15.327599999999901</v>
      </c>
      <c r="V178" s="25">
        <v>13.7818</v>
      </c>
      <c r="W178" s="25">
        <v>1533.12</v>
      </c>
      <c r="X178" s="34">
        <v>2508491.9300000002</v>
      </c>
      <c r="Y178" s="30">
        <v>45412</v>
      </c>
      <c r="Z178" s="85">
        <v>2024</v>
      </c>
      <c r="AA178" s="28">
        <v>4</v>
      </c>
      <c r="AB178" s="84">
        <v>23499.050111999899</v>
      </c>
      <c r="AC178" s="84">
        <v>21129.153215999999</v>
      </c>
      <c r="AD178" s="84">
        <v>3354.45999999999</v>
      </c>
      <c r="AE178" s="34">
        <v>234990.50111999901</v>
      </c>
      <c r="AF178" s="28" t="s">
        <v>551</v>
      </c>
      <c r="AG178" s="28" t="s">
        <v>66</v>
      </c>
    </row>
    <row r="179" spans="2:33" x14ac:dyDescent="0.2">
      <c r="B179" s="34">
        <f>CHOOSE(B$1,Tabla2[[#This Row],[Edad]]*12/365,Tabla2[[#This Row],[Tn/Ha]],Tabla2[[#This Row],[Tn]],Tabla2[[#This Row],[Area_Cosecha]])</f>
        <v>11.813797105526929</v>
      </c>
      <c r="C179" s="87" t="s">
        <v>550</v>
      </c>
      <c r="D179" s="23" t="s">
        <v>551</v>
      </c>
      <c r="E179" s="23" t="s">
        <v>551</v>
      </c>
      <c r="F179" s="23" t="s">
        <v>147</v>
      </c>
      <c r="G179" s="23" t="s">
        <v>75</v>
      </c>
      <c r="H179" s="23" t="s">
        <v>52</v>
      </c>
      <c r="I179" s="23" t="s">
        <v>28</v>
      </c>
      <c r="J179" s="23" t="s">
        <v>3</v>
      </c>
      <c r="K179" s="23" t="s">
        <v>653</v>
      </c>
      <c r="L179" s="23">
        <v>2022</v>
      </c>
      <c r="M179" s="24" t="s">
        <v>64</v>
      </c>
      <c r="N179" s="24">
        <v>45054</v>
      </c>
      <c r="O179" s="24" t="s">
        <v>50</v>
      </c>
      <c r="P179" s="86">
        <v>359.33632862644401</v>
      </c>
      <c r="Q179" s="86">
        <v>32.74</v>
      </c>
      <c r="R179" s="25">
        <v>23.37</v>
      </c>
      <c r="S179" s="25">
        <v>162.28</v>
      </c>
      <c r="T179" s="25">
        <v>13.74</v>
      </c>
      <c r="U179" s="25">
        <v>15.2307646402027</v>
      </c>
      <c r="V179" s="25">
        <v>13.6809311584884</v>
      </c>
      <c r="W179" s="25">
        <v>3792.58</v>
      </c>
      <c r="X179" s="34">
        <v>3063860.84</v>
      </c>
      <c r="Y179" s="30">
        <v>45414</v>
      </c>
      <c r="Z179" s="85">
        <v>2024</v>
      </c>
      <c r="AA179" s="28">
        <v>5</v>
      </c>
      <c r="AB179" s="84">
        <v>57763.893359139998</v>
      </c>
      <c r="AC179" s="84">
        <v>51886.025893059901</v>
      </c>
      <c r="AD179" s="84">
        <v>8397.69</v>
      </c>
      <c r="AE179" s="34">
        <v>577638.93359139899</v>
      </c>
      <c r="AF179" s="28" t="s">
        <v>551</v>
      </c>
      <c r="AG179" s="28" t="s">
        <v>66</v>
      </c>
    </row>
    <row r="180" spans="2:33" x14ac:dyDescent="0.2">
      <c r="B180" s="34">
        <f>CHOOSE(B$1,Tabla2[[#This Row],[Edad]]*12/365,Tabla2[[#This Row],[Tn/Ha]],Tabla2[[#This Row],[Tn]],Tabla2[[#This Row],[Area_Cosecha]])</f>
        <v>11.776244187507846</v>
      </c>
      <c r="C180" s="87" t="s">
        <v>550</v>
      </c>
      <c r="D180" s="23" t="s">
        <v>551</v>
      </c>
      <c r="E180" s="23" t="s">
        <v>551</v>
      </c>
      <c r="F180" s="23" t="s">
        <v>148</v>
      </c>
      <c r="G180" s="23" t="s">
        <v>75</v>
      </c>
      <c r="H180" s="23" t="s">
        <v>52</v>
      </c>
      <c r="I180" s="23" t="s">
        <v>28</v>
      </c>
      <c r="J180" s="23" t="s">
        <v>4</v>
      </c>
      <c r="K180" s="23" t="s">
        <v>686</v>
      </c>
      <c r="L180" s="23">
        <v>2022</v>
      </c>
      <c r="M180" s="24" t="s">
        <v>60</v>
      </c>
      <c r="N180" s="24">
        <v>45093</v>
      </c>
      <c r="O180" s="24" t="s">
        <v>50</v>
      </c>
      <c r="P180" s="86">
        <v>358.19409403669698</v>
      </c>
      <c r="Q180" s="86">
        <v>34.880000000000003</v>
      </c>
      <c r="R180" s="25">
        <v>34.879999999999903</v>
      </c>
      <c r="S180" s="25">
        <v>159.41</v>
      </c>
      <c r="T180" s="25">
        <v>13.54</v>
      </c>
      <c r="U180" s="25">
        <v>15.559547493537099</v>
      </c>
      <c r="V180" s="25">
        <v>14.034316625963999</v>
      </c>
      <c r="W180" s="25">
        <v>5560.2460000000001</v>
      </c>
      <c r="X180" s="34">
        <v>2219625.31</v>
      </c>
      <c r="Y180" s="30">
        <v>45452</v>
      </c>
      <c r="Z180" s="85">
        <v>2024</v>
      </c>
      <c r="AA180" s="28">
        <v>6</v>
      </c>
      <c r="AB180" s="84">
        <v>86514.911712750007</v>
      </c>
      <c r="AC180" s="84">
        <v>78034.252882250003</v>
      </c>
      <c r="AD180" s="84">
        <v>12493.81</v>
      </c>
      <c r="AE180" s="34">
        <v>865149.11712750001</v>
      </c>
      <c r="AF180" s="28" t="s">
        <v>551</v>
      </c>
      <c r="AG180" s="28" t="s">
        <v>66</v>
      </c>
    </row>
    <row r="181" spans="2:33" x14ac:dyDescent="0.2">
      <c r="B181" s="34">
        <f>CHOOSE(B$1,Tabla2[[#This Row],[Edad]]*12/365,Tabla2[[#This Row],[Tn/Ha]],Tabla2[[#This Row],[Tn]],Tabla2[[#This Row],[Area_Cosecha]])</f>
        <v>12.023244552058094</v>
      </c>
      <c r="C181" s="87" t="s">
        <v>550</v>
      </c>
      <c r="D181" s="23" t="s">
        <v>551</v>
      </c>
      <c r="E181" s="23" t="s">
        <v>551</v>
      </c>
      <c r="F181" s="23" t="s">
        <v>149</v>
      </c>
      <c r="G181" s="23" t="s">
        <v>75</v>
      </c>
      <c r="H181" s="23" t="s">
        <v>52</v>
      </c>
      <c r="I181" s="23" t="s">
        <v>28</v>
      </c>
      <c r="J181" s="23" t="s">
        <v>5</v>
      </c>
      <c r="K181" s="23" t="s">
        <v>767</v>
      </c>
      <c r="L181" s="23">
        <v>2022</v>
      </c>
      <c r="M181" s="24" t="s">
        <v>64</v>
      </c>
      <c r="N181" s="24">
        <v>45145</v>
      </c>
      <c r="O181" s="24" t="s">
        <v>50</v>
      </c>
      <c r="P181" s="86">
        <v>365.70702179176698</v>
      </c>
      <c r="Q181" s="86">
        <v>28.91</v>
      </c>
      <c r="R181" s="25">
        <v>28.91</v>
      </c>
      <c r="S181" s="25">
        <v>148.54</v>
      </c>
      <c r="T181" s="25">
        <v>12.35</v>
      </c>
      <c r="U181" s="25">
        <v>15.608627072051901</v>
      </c>
      <c r="V181" s="25">
        <v>14.1426304198721</v>
      </c>
      <c r="W181" s="25">
        <v>4294.26</v>
      </c>
      <c r="X181" s="34">
        <v>2138471.4900000002</v>
      </c>
      <c r="Y181" s="30">
        <v>45512</v>
      </c>
      <c r="Z181" s="85">
        <v>2024</v>
      </c>
      <c r="AA181" s="28">
        <v>8</v>
      </c>
      <c r="AB181" s="84">
        <v>67027.502890429998</v>
      </c>
      <c r="AC181" s="84">
        <v>60732.132106839999</v>
      </c>
      <c r="AD181" s="84">
        <v>10572.59</v>
      </c>
      <c r="AE181" s="34">
        <v>670275.02890429995</v>
      </c>
      <c r="AF181" s="28" t="s">
        <v>551</v>
      </c>
      <c r="AG181" s="28" t="s">
        <v>66</v>
      </c>
    </row>
    <row r="182" spans="2:33" x14ac:dyDescent="0.2">
      <c r="B182" s="34">
        <f>CHOOSE(B$1,Tabla2[[#This Row],[Edad]]*12/365,Tabla2[[#This Row],[Tn/Ha]],Tabla2[[#This Row],[Tn]],Tabla2[[#This Row],[Area_Cosecha]])</f>
        <v>12.364097497677568</v>
      </c>
      <c r="C182" s="87" t="s">
        <v>550</v>
      </c>
      <c r="D182" s="23" t="s">
        <v>551</v>
      </c>
      <c r="E182" s="23" t="s">
        <v>551</v>
      </c>
      <c r="F182" s="23" t="s">
        <v>150</v>
      </c>
      <c r="G182" s="23" t="s">
        <v>75</v>
      </c>
      <c r="H182" s="23" t="s">
        <v>52</v>
      </c>
      <c r="I182" s="23" t="s">
        <v>28</v>
      </c>
      <c r="J182" s="23" t="s">
        <v>6</v>
      </c>
      <c r="K182" s="23" t="s">
        <v>711</v>
      </c>
      <c r="L182" s="23">
        <v>2023</v>
      </c>
      <c r="M182" s="24" t="s">
        <v>60</v>
      </c>
      <c r="N182" s="24">
        <v>45096</v>
      </c>
      <c r="O182" s="24" t="s">
        <v>50</v>
      </c>
      <c r="P182" s="86">
        <v>376.07463222102598</v>
      </c>
      <c r="Q182" s="86">
        <v>27.87</v>
      </c>
      <c r="R182" s="25">
        <v>27.87</v>
      </c>
      <c r="S182" s="25">
        <v>169.41</v>
      </c>
      <c r="T182" s="25">
        <v>13.7</v>
      </c>
      <c r="U182" s="25">
        <v>14.947634284034899</v>
      </c>
      <c r="V182" s="25">
        <v>13.444729147213</v>
      </c>
      <c r="W182" s="25">
        <v>4721.32</v>
      </c>
      <c r="X182" s="34">
        <v>2670452.75</v>
      </c>
      <c r="Y182" s="30">
        <v>45473</v>
      </c>
      <c r="Z182" s="85">
        <v>2024</v>
      </c>
      <c r="AA182" s="28">
        <v>6</v>
      </c>
      <c r="AB182" s="84">
        <v>70572.564697900001</v>
      </c>
      <c r="AC182" s="84">
        <v>63476.868617319997</v>
      </c>
      <c r="AD182" s="84">
        <v>10481.200000000001</v>
      </c>
      <c r="AE182" s="34">
        <v>705725.64697899995</v>
      </c>
      <c r="AF182" s="28" t="s">
        <v>551</v>
      </c>
      <c r="AG182" s="28" t="s">
        <v>66</v>
      </c>
    </row>
    <row r="183" spans="2:33" x14ac:dyDescent="0.2">
      <c r="B183" s="34">
        <f>CHOOSE(B$1,Tabla2[[#This Row],[Edad]]*12/365,Tabla2[[#This Row],[Tn/Ha]],Tabla2[[#This Row],[Tn]],Tabla2[[#This Row],[Area_Cosecha]])</f>
        <v>11.371782513106682</v>
      </c>
      <c r="C183" s="87" t="s">
        <v>550</v>
      </c>
      <c r="D183" s="23" t="s">
        <v>551</v>
      </c>
      <c r="E183" s="23" t="s">
        <v>551</v>
      </c>
      <c r="F183" s="23" t="s">
        <v>151</v>
      </c>
      <c r="G183" s="23" t="s">
        <v>75</v>
      </c>
      <c r="H183" s="23" t="s">
        <v>52</v>
      </c>
      <c r="I183" s="23" t="s">
        <v>30</v>
      </c>
      <c r="J183" s="23" t="s">
        <v>3</v>
      </c>
      <c r="K183" s="23" t="s">
        <v>641</v>
      </c>
      <c r="L183" s="23">
        <v>2022</v>
      </c>
      <c r="M183" s="24" t="s">
        <v>64</v>
      </c>
      <c r="N183" s="24">
        <v>45050</v>
      </c>
      <c r="O183" s="24" t="s">
        <v>473</v>
      </c>
      <c r="P183" s="86">
        <v>345.89171810699497</v>
      </c>
      <c r="Q183" s="86">
        <v>38.880000000000003</v>
      </c>
      <c r="R183" s="25">
        <v>38.880000000000003</v>
      </c>
      <c r="S183" s="25">
        <v>131.74</v>
      </c>
      <c r="T183" s="25">
        <v>11.58</v>
      </c>
      <c r="U183" s="25">
        <v>13.384820074049699</v>
      </c>
      <c r="V183" s="25">
        <v>11.908552013107901</v>
      </c>
      <c r="W183" s="25">
        <v>5122.1000000000004</v>
      </c>
      <c r="X183" s="34">
        <v>1686382.7</v>
      </c>
      <c r="Y183" s="30">
        <v>45397</v>
      </c>
      <c r="Z183" s="85">
        <v>2024</v>
      </c>
      <c r="AA183" s="28">
        <v>4</v>
      </c>
      <c r="AB183" s="84">
        <v>68558.386901289996</v>
      </c>
      <c r="AC183" s="84">
        <v>60996.794266339901</v>
      </c>
      <c r="AD183" s="84">
        <v>13448.27</v>
      </c>
      <c r="AE183" s="34">
        <v>685583.86901290005</v>
      </c>
      <c r="AF183" s="28" t="s">
        <v>551</v>
      </c>
      <c r="AG183" s="28" t="s">
        <v>66</v>
      </c>
    </row>
    <row r="184" spans="2:33" x14ac:dyDescent="0.2">
      <c r="B184" s="34">
        <f>CHOOSE(B$1,Tabla2[[#This Row],[Edad]]*12/365,Tabla2[[#This Row],[Tn/Ha]],Tabla2[[#This Row],[Tn]],Tabla2[[#This Row],[Area_Cosecha]])</f>
        <v>12.831967906609743</v>
      </c>
      <c r="C184" s="87" t="s">
        <v>550</v>
      </c>
      <c r="D184" s="23" t="s">
        <v>551</v>
      </c>
      <c r="E184" s="23" t="s">
        <v>551</v>
      </c>
      <c r="F184" s="23" t="s">
        <v>152</v>
      </c>
      <c r="G184" s="23" t="s">
        <v>75</v>
      </c>
      <c r="H184" s="23" t="s">
        <v>52</v>
      </c>
      <c r="I184" s="23" t="s">
        <v>30</v>
      </c>
      <c r="J184" s="23" t="s">
        <v>4</v>
      </c>
      <c r="K184" s="23" t="s">
        <v>627</v>
      </c>
      <c r="L184" s="23">
        <v>2022</v>
      </c>
      <c r="M184" s="24" t="s">
        <v>64</v>
      </c>
      <c r="N184" s="24">
        <v>44989</v>
      </c>
      <c r="O184" s="24" t="s">
        <v>50</v>
      </c>
      <c r="P184" s="86">
        <v>390.30569049271298</v>
      </c>
      <c r="Q184" s="86">
        <v>38.86</v>
      </c>
      <c r="R184" s="25">
        <v>28.82</v>
      </c>
      <c r="S184" s="25">
        <v>159.43</v>
      </c>
      <c r="T184" s="25">
        <v>12.42</v>
      </c>
      <c r="U184" s="25">
        <v>14.132983030286001</v>
      </c>
      <c r="V184" s="25">
        <v>12.6276084106675</v>
      </c>
      <c r="W184" s="25">
        <v>4594.8599999999997</v>
      </c>
      <c r="X184" s="34">
        <v>1474512.63</v>
      </c>
      <c r="Y184" s="30">
        <v>45381</v>
      </c>
      <c r="Z184" s="85">
        <v>2024</v>
      </c>
      <c r="AA184" s="28">
        <v>3</v>
      </c>
      <c r="AB184" s="84">
        <v>64939.07840654</v>
      </c>
      <c r="AC184" s="84">
        <v>58022.092781840001</v>
      </c>
      <c r="AD184" s="84">
        <v>11248.61</v>
      </c>
      <c r="AE184" s="34">
        <v>649390.78406539897</v>
      </c>
      <c r="AF184" s="28" t="s">
        <v>551</v>
      </c>
      <c r="AG184" s="28" t="s">
        <v>66</v>
      </c>
    </row>
    <row r="185" spans="2:33" x14ac:dyDescent="0.2">
      <c r="B185" s="34">
        <f>CHOOSE(B$1,Tabla2[[#This Row],[Edad]]*12/365,Tabla2[[#This Row],[Tn/Ha]],Tabla2[[#This Row],[Tn]],Tabla2[[#This Row],[Area_Cosecha]])</f>
        <v>13.043835616438356</v>
      </c>
      <c r="C185" s="87" t="s">
        <v>550</v>
      </c>
      <c r="D185" s="23" t="s">
        <v>551</v>
      </c>
      <c r="E185" s="23" t="s">
        <v>551</v>
      </c>
      <c r="F185" s="23" t="s">
        <v>152</v>
      </c>
      <c r="G185" s="23" t="s">
        <v>75</v>
      </c>
      <c r="H185" s="23" t="s">
        <v>52</v>
      </c>
      <c r="I185" s="23" t="s">
        <v>30</v>
      </c>
      <c r="J185" s="23" t="s">
        <v>4</v>
      </c>
      <c r="K185" s="23" t="s">
        <v>627</v>
      </c>
      <c r="L185" s="23">
        <v>2022</v>
      </c>
      <c r="M185" s="24" t="s">
        <v>64</v>
      </c>
      <c r="N185" s="24">
        <v>44989</v>
      </c>
      <c r="O185" s="24" t="s">
        <v>50</v>
      </c>
      <c r="P185" s="86">
        <v>396.75</v>
      </c>
      <c r="Q185" s="86">
        <v>38.86</v>
      </c>
      <c r="R185" s="25">
        <v>3.88</v>
      </c>
      <c r="S185" s="25">
        <v>150.13</v>
      </c>
      <c r="T185" s="25">
        <v>11.51</v>
      </c>
      <c r="U185" s="25">
        <v>14.495739352577599</v>
      </c>
      <c r="V185" s="25">
        <v>13.0130735679559</v>
      </c>
      <c r="W185" s="25">
        <v>582.51</v>
      </c>
      <c r="X185" s="34">
        <v>440368.29</v>
      </c>
      <c r="Y185" s="30">
        <v>45386</v>
      </c>
      <c r="Z185" s="85">
        <v>2024</v>
      </c>
      <c r="AA185" s="28">
        <v>4</v>
      </c>
      <c r="AB185" s="84">
        <v>8443.9131302700007</v>
      </c>
      <c r="AC185" s="84">
        <v>7580.2454840700002</v>
      </c>
      <c r="AD185" s="84">
        <v>1539.3899999999901</v>
      </c>
      <c r="AE185" s="34">
        <v>84439.1313027</v>
      </c>
      <c r="AF185" s="28" t="s">
        <v>551</v>
      </c>
      <c r="AG185" s="28" t="s">
        <v>66</v>
      </c>
    </row>
    <row r="186" spans="2:33" x14ac:dyDescent="0.2">
      <c r="B186" s="34">
        <f>CHOOSE(B$1,Tabla2[[#This Row],[Edad]]*12/365,Tabla2[[#This Row],[Tn/Ha]],Tabla2[[#This Row],[Tn]],Tabla2[[#This Row],[Area_Cosecha]])</f>
        <v>11.744627733224613</v>
      </c>
      <c r="C186" s="87" t="s">
        <v>550</v>
      </c>
      <c r="D186" s="23" t="s">
        <v>551</v>
      </c>
      <c r="E186" s="23" t="s">
        <v>551</v>
      </c>
      <c r="F186" s="23" t="s">
        <v>153</v>
      </c>
      <c r="G186" s="23" t="s">
        <v>75</v>
      </c>
      <c r="H186" s="23" t="s">
        <v>52</v>
      </c>
      <c r="I186" s="23" t="s">
        <v>30</v>
      </c>
      <c r="J186" s="23" t="s">
        <v>5</v>
      </c>
      <c r="K186" s="23" t="s">
        <v>687</v>
      </c>
      <c r="L186" s="23">
        <v>2022</v>
      </c>
      <c r="M186" s="24" t="s">
        <v>60</v>
      </c>
      <c r="N186" s="24">
        <v>45100</v>
      </c>
      <c r="O186" s="24" t="s">
        <v>50</v>
      </c>
      <c r="P186" s="86">
        <v>357.23242688558202</v>
      </c>
      <c r="Q186" s="86">
        <v>38.979999999999997</v>
      </c>
      <c r="R186" s="25">
        <v>38.979999999999997</v>
      </c>
      <c r="S186" s="25">
        <v>160.22</v>
      </c>
      <c r="T186" s="25">
        <v>13.64</v>
      </c>
      <c r="U186" s="25">
        <v>14.4810520384061</v>
      </c>
      <c r="V186" s="25">
        <v>12.9719027877653</v>
      </c>
      <c r="W186" s="25">
        <v>6245.3499999999904</v>
      </c>
      <c r="X186" s="34">
        <v>1987479.99</v>
      </c>
      <c r="Y186" s="30">
        <v>45460</v>
      </c>
      <c r="Z186" s="85">
        <v>2024</v>
      </c>
      <c r="AA186" s="28">
        <v>6</v>
      </c>
      <c r="AB186" s="84">
        <v>90439.238348059996</v>
      </c>
      <c r="AC186" s="84">
        <v>81014.073075570006</v>
      </c>
      <c r="AD186" s="84">
        <v>13924.9199999999</v>
      </c>
      <c r="AE186" s="34">
        <v>904392.38348059996</v>
      </c>
      <c r="AF186" s="28" t="s">
        <v>551</v>
      </c>
      <c r="AG186" s="28" t="s">
        <v>66</v>
      </c>
    </row>
    <row r="187" spans="2:33" x14ac:dyDescent="0.2">
      <c r="B187" s="34">
        <f>CHOOSE(B$1,Tabla2[[#This Row],[Edad]]*12/365,Tabla2[[#This Row],[Tn/Ha]],Tabla2[[#This Row],[Tn]],Tabla2[[#This Row],[Area_Cosecha]])</f>
        <v>12.022072198517817</v>
      </c>
      <c r="C187" s="87" t="s">
        <v>550</v>
      </c>
      <c r="D187" s="23" t="s">
        <v>551</v>
      </c>
      <c r="E187" s="23" t="s">
        <v>551</v>
      </c>
      <c r="F187" s="23" t="s">
        <v>154</v>
      </c>
      <c r="G187" s="23" t="s">
        <v>75</v>
      </c>
      <c r="H187" s="23" t="s">
        <v>52</v>
      </c>
      <c r="I187" s="23" t="s">
        <v>30</v>
      </c>
      <c r="J187" s="23" t="s">
        <v>6</v>
      </c>
      <c r="K187" s="23" t="s">
        <v>666</v>
      </c>
      <c r="L187" s="23">
        <v>2022</v>
      </c>
      <c r="M187" s="24" t="s">
        <v>60</v>
      </c>
      <c r="N187" s="24">
        <v>45056</v>
      </c>
      <c r="O187" s="24" t="s">
        <v>50</v>
      </c>
      <c r="P187" s="86">
        <v>365.67136270491699</v>
      </c>
      <c r="Q187" s="86">
        <v>39.04</v>
      </c>
      <c r="R187" s="25">
        <v>39.04</v>
      </c>
      <c r="S187" s="25">
        <v>150.97</v>
      </c>
      <c r="T187" s="25">
        <v>12.56</v>
      </c>
      <c r="U187" s="25">
        <v>15.2454356555233</v>
      </c>
      <c r="V187" s="25">
        <v>13.7231456746518</v>
      </c>
      <c r="W187" s="25">
        <v>5893.8399999999901</v>
      </c>
      <c r="X187" s="34">
        <v>2228470.17</v>
      </c>
      <c r="Y187" s="30">
        <v>45423</v>
      </c>
      <c r="Z187" s="85">
        <v>2024</v>
      </c>
      <c r="AA187" s="28">
        <v>5</v>
      </c>
      <c r="AB187" s="84">
        <v>89854.158483949897</v>
      </c>
      <c r="AC187" s="84">
        <v>80882.024903090001</v>
      </c>
      <c r="AD187" s="84">
        <v>14275.81</v>
      </c>
      <c r="AE187" s="34">
        <v>898541.58483949897</v>
      </c>
      <c r="AF187" s="28" t="s">
        <v>551</v>
      </c>
      <c r="AG187" s="28" t="s">
        <v>66</v>
      </c>
    </row>
    <row r="188" spans="2:33" x14ac:dyDescent="0.2">
      <c r="B188" s="34">
        <f>CHOOSE(B$1,Tabla2[[#This Row],[Edad]]*12/365,Tabla2[[#This Row],[Tn/Ha]],Tabla2[[#This Row],[Tn]],Tabla2[[#This Row],[Area_Cosecha]])</f>
        <v>11.790520660459595</v>
      </c>
      <c r="C188" s="87" t="s">
        <v>550</v>
      </c>
      <c r="D188" s="23" t="s">
        <v>551</v>
      </c>
      <c r="E188" s="23" t="s">
        <v>551</v>
      </c>
      <c r="F188" s="23" t="s">
        <v>155</v>
      </c>
      <c r="G188" s="23" t="s">
        <v>75</v>
      </c>
      <c r="H188" s="23" t="s">
        <v>52</v>
      </c>
      <c r="I188" s="23" t="s">
        <v>30</v>
      </c>
      <c r="J188" s="23" t="s">
        <v>7</v>
      </c>
      <c r="K188" s="23" t="s">
        <v>768</v>
      </c>
      <c r="L188" s="23">
        <v>2022</v>
      </c>
      <c r="M188" s="24" t="s">
        <v>64</v>
      </c>
      <c r="N188" s="24">
        <v>45150</v>
      </c>
      <c r="O188" s="24" t="s">
        <v>50</v>
      </c>
      <c r="P188" s="86">
        <v>358.62833675564599</v>
      </c>
      <c r="Q188" s="86">
        <v>38.96</v>
      </c>
      <c r="R188" s="25">
        <v>38.96</v>
      </c>
      <c r="S188" s="25">
        <v>143.61000000000001</v>
      </c>
      <c r="T188" s="25">
        <v>12.18</v>
      </c>
      <c r="U188" s="25">
        <v>15.420008177659501</v>
      </c>
      <c r="V188" s="25">
        <v>13.948681859091201</v>
      </c>
      <c r="W188" s="25">
        <v>5594.9699999999903</v>
      </c>
      <c r="X188" s="34">
        <v>1339512.05</v>
      </c>
      <c r="Y188" s="30">
        <v>45510</v>
      </c>
      <c r="Z188" s="85">
        <v>2024</v>
      </c>
      <c r="AA188" s="28">
        <v>8</v>
      </c>
      <c r="AB188" s="84">
        <v>86274.483153759997</v>
      </c>
      <c r="AC188" s="84">
        <v>78042.456541160005</v>
      </c>
      <c r="AD188" s="84">
        <v>13972.16</v>
      </c>
      <c r="AE188" s="34">
        <v>862744.83153760002</v>
      </c>
      <c r="AF188" s="28" t="s">
        <v>551</v>
      </c>
      <c r="AG188" s="28" t="s">
        <v>66</v>
      </c>
    </row>
    <row r="189" spans="2:33" x14ac:dyDescent="0.2">
      <c r="B189" s="34">
        <f>CHOOSE(B$1,Tabla2[[#This Row],[Edad]]*12/365,Tabla2[[#This Row],[Tn/Ha]],Tabla2[[#This Row],[Tn]],Tabla2[[#This Row],[Area_Cosecha]])</f>
        <v>14.68376900842024</v>
      </c>
      <c r="C189" s="87" t="s">
        <v>550</v>
      </c>
      <c r="D189" s="23" t="s">
        <v>551</v>
      </c>
      <c r="E189" s="23" t="s">
        <v>551</v>
      </c>
      <c r="F189" s="23" t="s">
        <v>411</v>
      </c>
      <c r="G189" s="23" t="s">
        <v>75</v>
      </c>
      <c r="H189" s="23" t="s">
        <v>52</v>
      </c>
      <c r="I189" s="23" t="s">
        <v>31</v>
      </c>
      <c r="J189" s="23" t="s">
        <v>3</v>
      </c>
      <c r="K189" s="23" t="s">
        <v>609</v>
      </c>
      <c r="L189" s="23">
        <v>2022</v>
      </c>
      <c r="M189" s="24" t="s">
        <v>63</v>
      </c>
      <c r="N189" s="24">
        <v>44879</v>
      </c>
      <c r="O189" s="24" t="s">
        <v>50</v>
      </c>
      <c r="P189" s="86">
        <v>446.63130733944899</v>
      </c>
      <c r="Q189" s="86">
        <v>34.880000000000003</v>
      </c>
      <c r="R189" s="25">
        <v>34.879999999999903</v>
      </c>
      <c r="S189" s="25">
        <v>161.94</v>
      </c>
      <c r="T189" s="25">
        <v>11.03</v>
      </c>
      <c r="U189" s="25">
        <v>14.1773064171754</v>
      </c>
      <c r="V189" s="25">
        <v>12.694616302495</v>
      </c>
      <c r="W189" s="25">
        <v>5648.6309999999903</v>
      </c>
      <c r="X189" s="34">
        <v>1845963.97</v>
      </c>
      <c r="Y189" s="30">
        <v>45328</v>
      </c>
      <c r="Z189" s="85">
        <v>2024</v>
      </c>
      <c r="AA189" s="28">
        <v>2</v>
      </c>
      <c r="AB189" s="84">
        <v>80082.372524555904</v>
      </c>
      <c r="AC189" s="84">
        <v>71707.203179378994</v>
      </c>
      <c r="AD189" s="84">
        <v>15578.5</v>
      </c>
      <c r="AE189" s="34">
        <v>800823.72524555901</v>
      </c>
      <c r="AF189" s="28" t="s">
        <v>551</v>
      </c>
      <c r="AG189" s="28" t="s">
        <v>66</v>
      </c>
    </row>
    <row r="190" spans="2:33" x14ac:dyDescent="0.2">
      <c r="B190" s="34">
        <f>CHOOSE(B$1,Tabla2[[#This Row],[Edad]]*12/365,Tabla2[[#This Row],[Tn/Ha]],Tabla2[[#This Row],[Tn]],Tabla2[[#This Row],[Area_Cosecha]])</f>
        <v>12.090934189481393</v>
      </c>
      <c r="C190" s="87" t="s">
        <v>550</v>
      </c>
      <c r="D190" s="23" t="s">
        <v>551</v>
      </c>
      <c r="E190" s="23" t="s">
        <v>551</v>
      </c>
      <c r="F190" s="23" t="s">
        <v>156</v>
      </c>
      <c r="G190" s="23" t="s">
        <v>75</v>
      </c>
      <c r="H190" s="23" t="s">
        <v>52</v>
      </c>
      <c r="I190" s="23" t="s">
        <v>31</v>
      </c>
      <c r="J190" s="23" t="s">
        <v>4</v>
      </c>
      <c r="K190" s="23" t="s">
        <v>723</v>
      </c>
      <c r="L190" s="23">
        <v>2022</v>
      </c>
      <c r="M190" s="24" t="s">
        <v>64</v>
      </c>
      <c r="N190" s="24">
        <v>45125</v>
      </c>
      <c r="O190" s="24" t="s">
        <v>50</v>
      </c>
      <c r="P190" s="86">
        <v>367.76591493005901</v>
      </c>
      <c r="Q190" s="86">
        <v>35.03</v>
      </c>
      <c r="R190" s="25">
        <v>35.03</v>
      </c>
      <c r="S190" s="25">
        <v>134.54</v>
      </c>
      <c r="T190" s="25">
        <v>11.13</v>
      </c>
      <c r="U190" s="25">
        <v>16.007755479806601</v>
      </c>
      <c r="V190" s="25">
        <v>14.5148402784843</v>
      </c>
      <c r="W190" s="25">
        <v>4712.9399999999996</v>
      </c>
      <c r="X190" s="34">
        <v>2113294.1800000002</v>
      </c>
      <c r="Y190" s="30">
        <v>45494</v>
      </c>
      <c r="Z190" s="85">
        <v>2024</v>
      </c>
      <c r="AA190" s="28">
        <v>7</v>
      </c>
      <c r="AB190" s="84">
        <v>75443.5911109999</v>
      </c>
      <c r="AC190" s="84">
        <v>68407.571342080002</v>
      </c>
      <c r="AD190" s="84">
        <v>12882.84</v>
      </c>
      <c r="AE190" s="34">
        <v>754435.91110999906</v>
      </c>
      <c r="AF190" s="28" t="s">
        <v>551</v>
      </c>
      <c r="AG190" s="28" t="s">
        <v>66</v>
      </c>
    </row>
    <row r="191" spans="2:33" x14ac:dyDescent="0.2">
      <c r="B191" s="34">
        <f>CHOOSE(B$1,Tabla2[[#This Row],[Edad]]*12/365,Tabla2[[#This Row],[Tn/Ha]],Tabla2[[#This Row],[Tn]],Tabla2[[#This Row],[Area_Cosecha]])</f>
        <v>10.77352133485361</v>
      </c>
      <c r="C191" s="87" t="s">
        <v>550</v>
      </c>
      <c r="D191" s="23" t="s">
        <v>551</v>
      </c>
      <c r="E191" s="23" t="s">
        <v>551</v>
      </c>
      <c r="F191" s="23" t="s">
        <v>511</v>
      </c>
      <c r="G191" s="23" t="s">
        <v>75</v>
      </c>
      <c r="H191" s="23" t="s">
        <v>52</v>
      </c>
      <c r="I191" s="23" t="s">
        <v>31</v>
      </c>
      <c r="J191" s="23" t="s">
        <v>5</v>
      </c>
      <c r="K191" s="23" t="s">
        <v>862</v>
      </c>
      <c r="L191" s="23">
        <v>2023</v>
      </c>
      <c r="M191" s="24" t="s">
        <v>60</v>
      </c>
      <c r="N191" s="24">
        <v>45281</v>
      </c>
      <c r="O191" s="24" t="s">
        <v>50</v>
      </c>
      <c r="P191" s="86">
        <v>327.69460726846398</v>
      </c>
      <c r="Q191" s="86">
        <v>34.119999999999997</v>
      </c>
      <c r="R191" s="25">
        <v>34.119999999999997</v>
      </c>
      <c r="S191" s="25">
        <v>138.82</v>
      </c>
      <c r="T191" s="25">
        <v>12.89</v>
      </c>
      <c r="U191" s="25">
        <v>15.242526957905399</v>
      </c>
      <c r="V191" s="25">
        <v>13.7880336396106</v>
      </c>
      <c r="W191" s="25">
        <v>4736.6000000000004</v>
      </c>
      <c r="X191" s="34">
        <v>1647766.34</v>
      </c>
      <c r="Y191" s="30">
        <v>45610</v>
      </c>
      <c r="Z191" s="85">
        <v>2024</v>
      </c>
      <c r="AA191" s="28">
        <v>11</v>
      </c>
      <c r="AB191" s="84">
        <v>72197.753188814997</v>
      </c>
      <c r="AC191" s="84">
        <v>65308.400137379998</v>
      </c>
      <c r="AD191" s="84">
        <v>11180.94</v>
      </c>
      <c r="AE191" s="34">
        <v>721977.53188815003</v>
      </c>
      <c r="AF191" s="28" t="s">
        <v>551</v>
      </c>
      <c r="AG191" s="28" t="s">
        <v>66</v>
      </c>
    </row>
    <row r="192" spans="2:33" x14ac:dyDescent="0.2">
      <c r="B192" s="34">
        <f>CHOOSE(B$1,Tabla2[[#This Row],[Edad]]*12/365,Tabla2[[#This Row],[Tn/Ha]],Tabla2[[#This Row],[Tn]],Tabla2[[#This Row],[Area_Cosecha]])</f>
        <v>11.167973937536054</v>
      </c>
      <c r="C192" s="87" t="s">
        <v>550</v>
      </c>
      <c r="D192" s="23" t="s">
        <v>551</v>
      </c>
      <c r="E192" s="23" t="s">
        <v>551</v>
      </c>
      <c r="F192" s="23" t="s">
        <v>526</v>
      </c>
      <c r="G192" s="23" t="s">
        <v>75</v>
      </c>
      <c r="H192" s="23" t="s">
        <v>52</v>
      </c>
      <c r="I192" s="23" t="s">
        <v>31</v>
      </c>
      <c r="J192" s="23" t="s">
        <v>6</v>
      </c>
      <c r="K192" s="23" t="s">
        <v>823</v>
      </c>
      <c r="L192" s="23">
        <v>2022</v>
      </c>
      <c r="M192" s="24" t="s">
        <v>64</v>
      </c>
      <c r="N192" s="24">
        <v>45243</v>
      </c>
      <c r="O192" s="24" t="s">
        <v>50</v>
      </c>
      <c r="P192" s="86">
        <v>339.692540600055</v>
      </c>
      <c r="Q192" s="86">
        <v>36.33</v>
      </c>
      <c r="R192" s="25">
        <v>36.33</v>
      </c>
      <c r="S192" s="25">
        <v>121.13</v>
      </c>
      <c r="T192" s="25">
        <v>10.85</v>
      </c>
      <c r="U192" s="25">
        <v>15.484822837831601</v>
      </c>
      <c r="V192" s="25">
        <v>14.0246274061401</v>
      </c>
      <c r="W192" s="25">
        <v>4400.55</v>
      </c>
      <c r="X192" s="34">
        <v>1770840.18</v>
      </c>
      <c r="Y192" s="30">
        <v>45584</v>
      </c>
      <c r="Z192" s="85">
        <v>2024</v>
      </c>
      <c r="AA192" s="28">
        <v>10</v>
      </c>
      <c r="AB192" s="84">
        <v>68141.737139019999</v>
      </c>
      <c r="AC192" s="84">
        <v>61716.074132089998</v>
      </c>
      <c r="AD192" s="84">
        <v>12341.03</v>
      </c>
      <c r="AE192" s="34">
        <v>681417.37139019999</v>
      </c>
      <c r="AF192" s="28" t="s">
        <v>551</v>
      </c>
      <c r="AG192" s="28" t="s">
        <v>66</v>
      </c>
    </row>
    <row r="193" spans="2:33" x14ac:dyDescent="0.2">
      <c r="B193" s="34">
        <f>CHOOSE(B$1,Tabla2[[#This Row],[Edad]]*12/365,Tabla2[[#This Row],[Tn/Ha]],Tabla2[[#This Row],[Tn]],Tabla2[[#This Row],[Area_Cosecha]])</f>
        <v>12.065233634739288</v>
      </c>
      <c r="C193" s="87" t="s">
        <v>550</v>
      </c>
      <c r="D193" s="23" t="s">
        <v>551</v>
      </c>
      <c r="E193" s="23" t="s">
        <v>551</v>
      </c>
      <c r="F193" s="23" t="s">
        <v>157</v>
      </c>
      <c r="G193" s="23" t="s">
        <v>75</v>
      </c>
      <c r="H193" s="23" t="s">
        <v>52</v>
      </c>
      <c r="I193" s="23" t="s">
        <v>31</v>
      </c>
      <c r="J193" s="23" t="s">
        <v>7</v>
      </c>
      <c r="K193" s="23" t="s">
        <v>658</v>
      </c>
      <c r="L193" s="23">
        <v>2022</v>
      </c>
      <c r="M193" s="24" t="s">
        <v>60</v>
      </c>
      <c r="N193" s="24">
        <v>45052</v>
      </c>
      <c r="O193" s="24" t="s">
        <v>50</v>
      </c>
      <c r="P193" s="86">
        <v>366.98418972332001</v>
      </c>
      <c r="Q193" s="86">
        <v>36.33</v>
      </c>
      <c r="R193" s="25">
        <v>32.89</v>
      </c>
      <c r="S193" s="25">
        <v>166.15</v>
      </c>
      <c r="T193" s="25">
        <v>13.77</v>
      </c>
      <c r="U193" s="25">
        <v>15.254785675185</v>
      </c>
      <c r="V193" s="25">
        <v>13.714846811941401</v>
      </c>
      <c r="W193" s="25">
        <v>5464.68</v>
      </c>
      <c r="X193" s="34">
        <v>3026258.65</v>
      </c>
      <c r="Y193" s="30">
        <v>45420</v>
      </c>
      <c r="Z193" s="85">
        <v>2024</v>
      </c>
      <c r="AA193" s="28">
        <v>5</v>
      </c>
      <c r="AB193" s="84">
        <v>83362.522183470006</v>
      </c>
      <c r="AC193" s="84">
        <v>74947.249076279899</v>
      </c>
      <c r="AD193" s="84">
        <v>12070.109999999901</v>
      </c>
      <c r="AE193" s="34">
        <v>833625.22183469997</v>
      </c>
      <c r="AF193" s="28" t="s">
        <v>551</v>
      </c>
      <c r="AG193" s="28" t="s">
        <v>66</v>
      </c>
    </row>
    <row r="194" spans="2:33" x14ac:dyDescent="0.2">
      <c r="B194" s="34">
        <f>CHOOSE(B$1,Tabla2[[#This Row],[Edad]]*12/365,Tabla2[[#This Row],[Tn/Ha]],Tabla2[[#This Row],[Tn]],Tabla2[[#This Row],[Area_Cosecha]])</f>
        <v>11.837268646649754</v>
      </c>
      <c r="C194" s="87" t="s">
        <v>550</v>
      </c>
      <c r="D194" s="23" t="s">
        <v>551</v>
      </c>
      <c r="E194" s="23" t="s">
        <v>551</v>
      </c>
      <c r="F194" s="23" t="s">
        <v>158</v>
      </c>
      <c r="G194" s="23" t="s">
        <v>75</v>
      </c>
      <c r="H194" s="23" t="s">
        <v>52</v>
      </c>
      <c r="I194" s="23" t="s">
        <v>42</v>
      </c>
      <c r="J194" s="23" t="s">
        <v>3</v>
      </c>
      <c r="K194" s="23" t="s">
        <v>724</v>
      </c>
      <c r="L194" s="23">
        <v>2022</v>
      </c>
      <c r="M194" s="24" t="s">
        <v>64</v>
      </c>
      <c r="N194" s="24">
        <v>45129</v>
      </c>
      <c r="O194" s="24" t="s">
        <v>50</v>
      </c>
      <c r="P194" s="86">
        <v>360.05025466892999</v>
      </c>
      <c r="Q194" s="86">
        <v>29.45</v>
      </c>
      <c r="R194" s="25">
        <v>29.45</v>
      </c>
      <c r="S194" s="25">
        <v>100.47</v>
      </c>
      <c r="T194" s="25">
        <v>8.49</v>
      </c>
      <c r="U194" s="25">
        <v>15.456247193713001</v>
      </c>
      <c r="V194" s="25">
        <v>13.9729001273822</v>
      </c>
      <c r="W194" s="25">
        <v>2958.81</v>
      </c>
      <c r="X194" s="34">
        <v>989315.91</v>
      </c>
      <c r="Y194" s="30">
        <v>45490</v>
      </c>
      <c r="Z194" s="85">
        <v>2024</v>
      </c>
      <c r="AA194" s="28">
        <v>7</v>
      </c>
      <c r="AB194" s="84">
        <v>45732.098759230001</v>
      </c>
      <c r="AC194" s="84">
        <v>41343.156625899901</v>
      </c>
      <c r="AD194" s="84">
        <v>10603.48</v>
      </c>
      <c r="AE194" s="34">
        <v>457320.98759229999</v>
      </c>
      <c r="AF194" s="28" t="s">
        <v>551</v>
      </c>
      <c r="AG194" s="28" t="s">
        <v>66</v>
      </c>
    </row>
    <row r="195" spans="2:33" x14ac:dyDescent="0.2">
      <c r="B195" s="34">
        <f>CHOOSE(B$1,Tabla2[[#This Row],[Edad]]*12/365,Tabla2[[#This Row],[Tn/Ha]],Tabla2[[#This Row],[Tn]],Tabla2[[#This Row],[Area_Cosecha]])</f>
        <v>11.957884643856756</v>
      </c>
      <c r="C195" s="87" t="s">
        <v>550</v>
      </c>
      <c r="D195" s="23" t="s">
        <v>551</v>
      </c>
      <c r="E195" s="23" t="s">
        <v>551</v>
      </c>
      <c r="F195" s="23" t="s">
        <v>159</v>
      </c>
      <c r="G195" s="23" t="s">
        <v>75</v>
      </c>
      <c r="H195" s="23" t="s">
        <v>52</v>
      </c>
      <c r="I195" s="23" t="s">
        <v>42</v>
      </c>
      <c r="J195" s="23" t="s">
        <v>4</v>
      </c>
      <c r="K195" s="23" t="s">
        <v>725</v>
      </c>
      <c r="L195" s="23">
        <v>2022</v>
      </c>
      <c r="M195" s="24" t="s">
        <v>64</v>
      </c>
      <c r="N195" s="24">
        <v>45127</v>
      </c>
      <c r="O195" s="24" t="s">
        <v>50</v>
      </c>
      <c r="P195" s="86">
        <v>363.718991250643</v>
      </c>
      <c r="Q195" s="86">
        <v>38.86</v>
      </c>
      <c r="R195" s="25">
        <v>38.86</v>
      </c>
      <c r="S195" s="25">
        <v>123.46</v>
      </c>
      <c r="T195" s="25">
        <v>10.32</v>
      </c>
      <c r="U195" s="25">
        <v>15.3056474323977</v>
      </c>
      <c r="V195" s="25">
        <v>13.8230462848183</v>
      </c>
      <c r="W195" s="25">
        <v>4797.62</v>
      </c>
      <c r="X195" s="34">
        <v>1972534.84</v>
      </c>
      <c r="Y195" s="30">
        <v>45492</v>
      </c>
      <c r="Z195" s="85">
        <v>2024</v>
      </c>
      <c r="AA195" s="28">
        <v>7</v>
      </c>
      <c r="AB195" s="84">
        <v>73430.680234619998</v>
      </c>
      <c r="AC195" s="84">
        <v>66317.723316970005</v>
      </c>
      <c r="AD195" s="84">
        <v>14134.12</v>
      </c>
      <c r="AE195" s="34">
        <v>734306.80234619998</v>
      </c>
      <c r="AF195" s="28" t="s">
        <v>551</v>
      </c>
      <c r="AG195" s="28" t="s">
        <v>66</v>
      </c>
    </row>
    <row r="196" spans="2:33" x14ac:dyDescent="0.2">
      <c r="B196" s="34">
        <f>CHOOSE(B$1,Tabla2[[#This Row],[Edad]]*12/365,Tabla2[[#This Row],[Tn/Ha]],Tabla2[[#This Row],[Tn]],Tabla2[[#This Row],[Area_Cosecha]])</f>
        <v>13.152090787830016</v>
      </c>
      <c r="C196" s="87" t="s">
        <v>550</v>
      </c>
      <c r="D196" s="23" t="s">
        <v>551</v>
      </c>
      <c r="E196" s="23" t="s">
        <v>551</v>
      </c>
      <c r="F196" s="23" t="s">
        <v>160</v>
      </c>
      <c r="G196" s="23" t="s">
        <v>75</v>
      </c>
      <c r="H196" s="23" t="s">
        <v>52</v>
      </c>
      <c r="I196" s="23" t="s">
        <v>42</v>
      </c>
      <c r="J196" s="23" t="s">
        <v>5</v>
      </c>
      <c r="K196" s="23" t="s">
        <v>634</v>
      </c>
      <c r="L196" s="23">
        <v>2022</v>
      </c>
      <c r="M196" s="24" t="s">
        <v>64</v>
      </c>
      <c r="N196" s="24">
        <v>44987</v>
      </c>
      <c r="O196" s="24" t="s">
        <v>50</v>
      </c>
      <c r="P196" s="86">
        <v>400.042761463163</v>
      </c>
      <c r="Q196" s="86">
        <v>38.82</v>
      </c>
      <c r="R196" s="25">
        <v>38.82</v>
      </c>
      <c r="S196" s="25">
        <v>139.02000000000001</v>
      </c>
      <c r="T196" s="25">
        <v>10.57</v>
      </c>
      <c r="U196" s="25">
        <v>14.6639080434528</v>
      </c>
      <c r="V196" s="25">
        <v>13.165549217184701</v>
      </c>
      <c r="W196" s="25">
        <v>5396.88</v>
      </c>
      <c r="X196" s="34">
        <v>1499289.16</v>
      </c>
      <c r="Y196" s="30">
        <v>45389</v>
      </c>
      <c r="Z196" s="85">
        <v>2024</v>
      </c>
      <c r="AA196" s="28">
        <v>4</v>
      </c>
      <c r="AB196" s="84">
        <v>79139.352041549995</v>
      </c>
      <c r="AC196" s="84">
        <v>71052.889259239993</v>
      </c>
      <c r="AD196" s="84">
        <v>15529.66</v>
      </c>
      <c r="AE196" s="34">
        <v>791393.52041550004</v>
      </c>
      <c r="AF196" s="28" t="s">
        <v>551</v>
      </c>
      <c r="AG196" s="28" t="s">
        <v>66</v>
      </c>
    </row>
    <row r="197" spans="2:33" x14ac:dyDescent="0.2">
      <c r="B197" s="34">
        <f>CHOOSE(B$1,Tabla2[[#This Row],[Edad]]*12/365,Tabla2[[#This Row],[Tn/Ha]],Tabla2[[#This Row],[Tn]],Tabla2[[#This Row],[Area_Cosecha]])</f>
        <v>12.450798143326161</v>
      </c>
      <c r="C197" s="87" t="s">
        <v>550</v>
      </c>
      <c r="D197" s="23" t="s">
        <v>551</v>
      </c>
      <c r="E197" s="23" t="s">
        <v>551</v>
      </c>
      <c r="F197" s="23" t="s">
        <v>161</v>
      </c>
      <c r="G197" s="23" t="s">
        <v>75</v>
      </c>
      <c r="H197" s="23" t="s">
        <v>52</v>
      </c>
      <c r="I197" s="23" t="s">
        <v>42</v>
      </c>
      <c r="J197" s="23" t="s">
        <v>6</v>
      </c>
      <c r="K197" s="23" t="s">
        <v>726</v>
      </c>
      <c r="L197" s="23">
        <v>2022</v>
      </c>
      <c r="M197" s="24" t="s">
        <v>64</v>
      </c>
      <c r="N197" s="24">
        <v>45122</v>
      </c>
      <c r="O197" s="24" t="s">
        <v>50</v>
      </c>
      <c r="P197" s="86">
        <v>378.71177685950403</v>
      </c>
      <c r="Q197" s="86">
        <v>38.72</v>
      </c>
      <c r="R197" s="25">
        <v>38.72</v>
      </c>
      <c r="S197" s="25">
        <v>149.33000000000001</v>
      </c>
      <c r="T197" s="25">
        <v>11.99</v>
      </c>
      <c r="U197" s="25">
        <v>15.123773440121401</v>
      </c>
      <c r="V197" s="25">
        <v>13.622324633157101</v>
      </c>
      <c r="W197" s="25">
        <v>5782.04</v>
      </c>
      <c r="X197" s="34">
        <v>2163675.54</v>
      </c>
      <c r="Y197" s="30">
        <v>45502</v>
      </c>
      <c r="Z197" s="85">
        <v>2024</v>
      </c>
      <c r="AA197" s="28">
        <v>7</v>
      </c>
      <c r="AB197" s="84">
        <v>87446.262981720007</v>
      </c>
      <c r="AC197" s="84">
        <v>78764.825921900003</v>
      </c>
      <c r="AD197" s="84">
        <v>14663.72</v>
      </c>
      <c r="AE197" s="34">
        <v>874462.62981720001</v>
      </c>
      <c r="AF197" s="28" t="s">
        <v>551</v>
      </c>
      <c r="AG197" s="28" t="s">
        <v>66</v>
      </c>
    </row>
    <row r="198" spans="2:33" x14ac:dyDescent="0.2">
      <c r="B198" s="34">
        <f>CHOOSE(B$1,Tabla2[[#This Row],[Edad]]*12/365,Tabla2[[#This Row],[Tn/Ha]],Tabla2[[#This Row],[Tn]],Tabla2[[#This Row],[Area_Cosecha]])</f>
        <v>14.287645793353644</v>
      </c>
      <c r="C198" s="87" t="s">
        <v>550</v>
      </c>
      <c r="D198" s="23" t="s">
        <v>551</v>
      </c>
      <c r="E198" s="23" t="s">
        <v>551</v>
      </c>
      <c r="F198" s="23" t="s">
        <v>380</v>
      </c>
      <c r="G198" s="23" t="s">
        <v>75</v>
      </c>
      <c r="H198" s="23" t="s">
        <v>52</v>
      </c>
      <c r="I198" s="23" t="s">
        <v>42</v>
      </c>
      <c r="J198" s="23" t="s">
        <v>7</v>
      </c>
      <c r="K198" s="23" t="s">
        <v>646</v>
      </c>
      <c r="L198" s="23">
        <v>2021</v>
      </c>
      <c r="M198" s="24" t="s">
        <v>60</v>
      </c>
      <c r="N198" s="24">
        <v>44970</v>
      </c>
      <c r="O198" s="24" t="s">
        <v>50</v>
      </c>
      <c r="P198" s="86">
        <v>434.58255954783999</v>
      </c>
      <c r="Q198" s="86">
        <v>24.77</v>
      </c>
      <c r="R198" s="25">
        <v>24.77</v>
      </c>
      <c r="S198" s="25">
        <v>151.6</v>
      </c>
      <c r="T198" s="25">
        <v>10.61</v>
      </c>
      <c r="U198" s="25">
        <v>15.363279035102</v>
      </c>
      <c r="V198" s="25">
        <v>13.8442280026311</v>
      </c>
      <c r="W198" s="25">
        <v>3755.05</v>
      </c>
      <c r="X198" s="34">
        <v>816352.23</v>
      </c>
      <c r="Y198" s="30">
        <v>45408</v>
      </c>
      <c r="Z198" s="85">
        <v>2024</v>
      </c>
      <c r="AA198" s="28">
        <v>4</v>
      </c>
      <c r="AB198" s="84">
        <v>57689.880940759998</v>
      </c>
      <c r="AC198" s="84">
        <v>51985.768361280003</v>
      </c>
      <c r="AD198" s="84">
        <v>10764.61</v>
      </c>
      <c r="AE198" s="34">
        <v>576898.80940759997</v>
      </c>
      <c r="AF198" s="28" t="s">
        <v>551</v>
      </c>
      <c r="AG198" s="28" t="s">
        <v>66</v>
      </c>
    </row>
    <row r="199" spans="2:33" x14ac:dyDescent="0.2">
      <c r="B199" s="34">
        <f>CHOOSE(B$1,Tabla2[[#This Row],[Edad]]*12/365,Tabla2[[#This Row],[Tn/Ha]],Tabla2[[#This Row],[Tn]],Tabla2[[#This Row],[Area_Cosecha]])</f>
        <v>11.995338518021391</v>
      </c>
      <c r="C199" s="87" t="s">
        <v>550</v>
      </c>
      <c r="D199" s="23" t="s">
        <v>551</v>
      </c>
      <c r="E199" s="23" t="s">
        <v>551</v>
      </c>
      <c r="F199" s="23" t="s">
        <v>162</v>
      </c>
      <c r="G199" s="23" t="s">
        <v>75</v>
      </c>
      <c r="H199" s="23" t="s">
        <v>52</v>
      </c>
      <c r="I199" s="23" t="s">
        <v>43</v>
      </c>
      <c r="J199" s="23" t="s">
        <v>4</v>
      </c>
      <c r="K199" s="23" t="s">
        <v>769</v>
      </c>
      <c r="L199" s="23">
        <v>2022</v>
      </c>
      <c r="M199" s="24" t="s">
        <v>60</v>
      </c>
      <c r="N199" s="24">
        <v>45148</v>
      </c>
      <c r="O199" s="24" t="s">
        <v>50</v>
      </c>
      <c r="P199" s="86">
        <v>364.85821325648402</v>
      </c>
      <c r="Q199" s="86">
        <v>34.700000000000003</v>
      </c>
      <c r="R199" s="25">
        <v>34.699999999999903</v>
      </c>
      <c r="S199" s="25">
        <v>159.41999999999999</v>
      </c>
      <c r="T199" s="25">
        <v>13.29</v>
      </c>
      <c r="U199" s="25">
        <v>15.087496464808201</v>
      </c>
      <c r="V199" s="25">
        <v>13.561895945943601</v>
      </c>
      <c r="W199" s="25">
        <v>5531.8979999999901</v>
      </c>
      <c r="X199" s="34">
        <v>2937306.91</v>
      </c>
      <c r="Y199" s="30">
        <v>45514</v>
      </c>
      <c r="Z199" s="85">
        <v>2024</v>
      </c>
      <c r="AA199" s="28">
        <v>8</v>
      </c>
      <c r="AB199" s="84">
        <v>83462.491518680006</v>
      </c>
      <c r="AC199" s="84">
        <v>75023.025059573905</v>
      </c>
      <c r="AD199" s="84">
        <v>12660.58</v>
      </c>
      <c r="AE199" s="34">
        <v>834624.91518679995</v>
      </c>
      <c r="AF199" s="28" t="s">
        <v>551</v>
      </c>
      <c r="AG199" s="28" t="s">
        <v>66</v>
      </c>
    </row>
    <row r="200" spans="2:33" x14ac:dyDescent="0.2">
      <c r="B200" s="34">
        <f>CHOOSE(B$1,Tabla2[[#This Row],[Edad]]*12/365,Tabla2[[#This Row],[Tn/Ha]],Tabla2[[#This Row],[Tn]],Tabla2[[#This Row],[Area_Cosecha]])</f>
        <v>14.307083020804537</v>
      </c>
      <c r="C200" s="87" t="s">
        <v>550</v>
      </c>
      <c r="D200" s="23" t="s">
        <v>551</v>
      </c>
      <c r="E200" s="23" t="s">
        <v>551</v>
      </c>
      <c r="F200" s="23" t="s">
        <v>400</v>
      </c>
      <c r="G200" s="23" t="s">
        <v>75</v>
      </c>
      <c r="H200" s="23" t="s">
        <v>52</v>
      </c>
      <c r="I200" s="23" t="s">
        <v>43</v>
      </c>
      <c r="J200" s="23" t="s">
        <v>5</v>
      </c>
      <c r="K200" s="23" t="s">
        <v>610</v>
      </c>
      <c r="L200" s="23">
        <v>2022</v>
      </c>
      <c r="M200" s="24" t="s">
        <v>63</v>
      </c>
      <c r="N200" s="24">
        <v>44909</v>
      </c>
      <c r="O200" s="24" t="s">
        <v>50</v>
      </c>
      <c r="P200" s="86">
        <v>435.17377521613798</v>
      </c>
      <c r="Q200" s="86">
        <v>34.699999999999903</v>
      </c>
      <c r="R200" s="25">
        <v>34.700000000000003</v>
      </c>
      <c r="S200" s="25">
        <v>162.74</v>
      </c>
      <c r="T200" s="25">
        <v>11.37</v>
      </c>
      <c r="U200" s="25">
        <v>12.8973152831602</v>
      </c>
      <c r="V200" s="25">
        <v>11.3982520773625</v>
      </c>
      <c r="W200" s="25">
        <v>5647.0499999999902</v>
      </c>
      <c r="X200" s="34">
        <v>1530988.18</v>
      </c>
      <c r="Y200" s="30">
        <v>45346</v>
      </c>
      <c r="Z200" s="85">
        <v>2024</v>
      </c>
      <c r="AA200" s="28">
        <v>2</v>
      </c>
      <c r="AB200" s="84">
        <v>72831.784269769996</v>
      </c>
      <c r="AC200" s="84">
        <v>64366.499393469901</v>
      </c>
      <c r="AD200" s="84">
        <v>15100.529999999901</v>
      </c>
      <c r="AE200" s="34">
        <v>728317.84269770002</v>
      </c>
      <c r="AF200" s="28" t="s">
        <v>551</v>
      </c>
      <c r="AG200" s="28" t="s">
        <v>66</v>
      </c>
    </row>
    <row r="201" spans="2:33" x14ac:dyDescent="0.2">
      <c r="B201" s="34">
        <f>CHOOSE(B$1,Tabla2[[#This Row],[Edad]]*12/365,Tabla2[[#This Row],[Tn/Ha]],Tabla2[[#This Row],[Tn]],Tabla2[[#This Row],[Area_Cosecha]])</f>
        <v>13.924644966695967</v>
      </c>
      <c r="C201" s="87" t="s">
        <v>550</v>
      </c>
      <c r="D201" s="23" t="s">
        <v>551</v>
      </c>
      <c r="E201" s="23" t="s">
        <v>551</v>
      </c>
      <c r="F201" s="23" t="s">
        <v>422</v>
      </c>
      <c r="G201" s="23" t="s">
        <v>75</v>
      </c>
      <c r="H201" s="23" t="s">
        <v>52</v>
      </c>
      <c r="I201" s="23" t="s">
        <v>43</v>
      </c>
      <c r="J201" s="23" t="s">
        <v>6</v>
      </c>
      <c r="K201" s="23" t="s">
        <v>622</v>
      </c>
      <c r="L201" s="23">
        <v>2022</v>
      </c>
      <c r="M201" s="24" t="s">
        <v>63</v>
      </c>
      <c r="N201" s="24">
        <v>44926</v>
      </c>
      <c r="O201" s="24" t="s">
        <v>50</v>
      </c>
      <c r="P201" s="86">
        <v>423.54128440366901</v>
      </c>
      <c r="Q201" s="86">
        <v>34.699999999999903</v>
      </c>
      <c r="R201" s="25">
        <v>33.79</v>
      </c>
      <c r="S201" s="25">
        <v>175.88</v>
      </c>
      <c r="T201" s="25">
        <v>12.63</v>
      </c>
      <c r="U201" s="25">
        <v>11.732645733274101</v>
      </c>
      <c r="V201" s="25">
        <v>10.272330152737201</v>
      </c>
      <c r="W201" s="25">
        <v>5943.0159999999996</v>
      </c>
      <c r="X201" s="34">
        <v>1719283.96</v>
      </c>
      <c r="Y201" s="30">
        <v>45351</v>
      </c>
      <c r="Z201" s="85">
        <v>2024</v>
      </c>
      <c r="AA201" s="28">
        <v>2</v>
      </c>
      <c r="AB201" s="84">
        <v>69727.301315179997</v>
      </c>
      <c r="AC201" s="84">
        <v>61048.622454999902</v>
      </c>
      <c r="AD201" s="84">
        <v>14311.46</v>
      </c>
      <c r="AE201" s="34">
        <v>697273.01315180003</v>
      </c>
      <c r="AF201" s="28" t="s">
        <v>551</v>
      </c>
      <c r="AG201" s="28" t="s">
        <v>66</v>
      </c>
    </row>
    <row r="202" spans="2:33" x14ac:dyDescent="0.2">
      <c r="B202" s="34">
        <f>CHOOSE(B$1,Tabla2[[#This Row],[Edad]]*12/365,Tabla2[[#This Row],[Tn/Ha]],Tabla2[[#This Row],[Tn]],Tabla2[[#This Row],[Area_Cosecha]])</f>
        <v>14.005479452054795</v>
      </c>
      <c r="C202" s="87" t="s">
        <v>550</v>
      </c>
      <c r="D202" s="23" t="s">
        <v>551</v>
      </c>
      <c r="E202" s="23" t="s">
        <v>551</v>
      </c>
      <c r="F202" s="23" t="s">
        <v>422</v>
      </c>
      <c r="G202" s="23" t="s">
        <v>75</v>
      </c>
      <c r="H202" s="23" t="s">
        <v>52</v>
      </c>
      <c r="I202" s="23" t="s">
        <v>43</v>
      </c>
      <c r="J202" s="23" t="s">
        <v>6</v>
      </c>
      <c r="K202" s="23" t="s">
        <v>622</v>
      </c>
      <c r="L202" s="23">
        <v>2022</v>
      </c>
      <c r="M202" s="24" t="s">
        <v>63</v>
      </c>
      <c r="N202" s="24">
        <v>44926</v>
      </c>
      <c r="O202" s="24" t="s">
        <v>50</v>
      </c>
      <c r="P202" s="86">
        <v>426</v>
      </c>
      <c r="Q202" s="86">
        <v>34.700000000000003</v>
      </c>
      <c r="R202" s="25">
        <v>0.91</v>
      </c>
      <c r="S202" s="25">
        <v>127.77</v>
      </c>
      <c r="T202" s="25">
        <v>9.1199999999999992</v>
      </c>
      <c r="U202" s="25">
        <v>11.033625000000001</v>
      </c>
      <c r="V202" s="25">
        <v>9.5401249999999997</v>
      </c>
      <c r="W202" s="25">
        <v>116.27</v>
      </c>
      <c r="X202" s="34">
        <v>148557.28</v>
      </c>
      <c r="Y202" s="30">
        <v>45352</v>
      </c>
      <c r="Z202" s="85">
        <v>2024</v>
      </c>
      <c r="AA202" s="28">
        <v>3</v>
      </c>
      <c r="AB202" s="84">
        <v>1282.8795787500001</v>
      </c>
      <c r="AC202" s="84">
        <v>1109.23033375</v>
      </c>
      <c r="AD202" s="84">
        <v>387.66</v>
      </c>
      <c r="AE202" s="34">
        <v>12828.795787499999</v>
      </c>
      <c r="AF202" s="28" t="s">
        <v>551</v>
      </c>
      <c r="AG202" s="28" t="s">
        <v>66</v>
      </c>
    </row>
    <row r="203" spans="2:33" x14ac:dyDescent="0.2">
      <c r="B203" s="34">
        <f>CHOOSE(B$1,Tabla2[[#This Row],[Edad]]*12/365,Tabla2[[#This Row],[Tn/Ha]],Tabla2[[#This Row],[Tn]],Tabla2[[#This Row],[Area_Cosecha]])</f>
        <v>10.967772047326783</v>
      </c>
      <c r="C203" s="87" t="s">
        <v>550</v>
      </c>
      <c r="D203" s="23" t="s">
        <v>551</v>
      </c>
      <c r="E203" s="23" t="s">
        <v>551</v>
      </c>
      <c r="F203" s="23" t="s">
        <v>502</v>
      </c>
      <c r="G203" s="23" t="s">
        <v>75</v>
      </c>
      <c r="H203" s="23" t="s">
        <v>52</v>
      </c>
      <c r="I203" s="23" t="s">
        <v>43</v>
      </c>
      <c r="J203" s="23" t="s">
        <v>7</v>
      </c>
      <c r="K203" s="23" t="s">
        <v>886</v>
      </c>
      <c r="L203" s="23">
        <v>2023</v>
      </c>
      <c r="M203" s="24" t="s">
        <v>283</v>
      </c>
      <c r="N203" s="24">
        <v>45282</v>
      </c>
      <c r="O203" s="24" t="s">
        <v>50</v>
      </c>
      <c r="P203" s="86">
        <v>333.60306643952299</v>
      </c>
      <c r="Q203" s="86">
        <v>23.48</v>
      </c>
      <c r="R203" s="25">
        <v>23.48</v>
      </c>
      <c r="S203" s="25">
        <v>154.13999999999999</v>
      </c>
      <c r="T203" s="25">
        <v>14.05</v>
      </c>
      <c r="U203" s="25">
        <v>14.6141615826165</v>
      </c>
      <c r="V203" s="25">
        <v>13.152780678947</v>
      </c>
      <c r="W203" s="25">
        <v>3619.31</v>
      </c>
      <c r="X203" s="34">
        <v>1856936.89</v>
      </c>
      <c r="Y203" s="30">
        <v>45617</v>
      </c>
      <c r="Z203" s="85">
        <v>2024</v>
      </c>
      <c r="AA203" s="28">
        <v>11</v>
      </c>
      <c r="AB203" s="84">
        <v>52893.181157580002</v>
      </c>
      <c r="AC203" s="84">
        <v>47603.990639119897</v>
      </c>
      <c r="AD203" s="84">
        <v>7833</v>
      </c>
      <c r="AE203" s="34">
        <v>528931.81157579995</v>
      </c>
      <c r="AF203" s="28" t="s">
        <v>551</v>
      </c>
      <c r="AG203" s="28" t="s">
        <v>66</v>
      </c>
    </row>
    <row r="204" spans="2:33" x14ac:dyDescent="0.2">
      <c r="B204" s="34">
        <f>CHOOSE(B$1,Tabla2[[#This Row],[Edad]]*12/365,Tabla2[[#This Row],[Tn/Ha]],Tabla2[[#This Row],[Tn]],Tabla2[[#This Row],[Area_Cosecha]])</f>
        <v>11.834975097954706</v>
      </c>
      <c r="C204" s="87" t="s">
        <v>550</v>
      </c>
      <c r="D204" s="23" t="s">
        <v>551</v>
      </c>
      <c r="E204" s="23" t="s">
        <v>551</v>
      </c>
      <c r="F204" s="23" t="s">
        <v>163</v>
      </c>
      <c r="G204" s="23" t="s">
        <v>75</v>
      </c>
      <c r="H204" s="23" t="s">
        <v>52</v>
      </c>
      <c r="I204" s="23" t="s">
        <v>44</v>
      </c>
      <c r="J204" s="23" t="s">
        <v>3</v>
      </c>
      <c r="K204" s="23" t="s">
        <v>688</v>
      </c>
      <c r="L204" s="23">
        <v>2022</v>
      </c>
      <c r="M204" s="24" t="s">
        <v>60</v>
      </c>
      <c r="N204" s="24">
        <v>45103</v>
      </c>
      <c r="O204" s="24" t="s">
        <v>50</v>
      </c>
      <c r="P204" s="86">
        <v>359.98049256278898</v>
      </c>
      <c r="Q204" s="86">
        <v>41.01</v>
      </c>
      <c r="R204" s="25">
        <v>41.01</v>
      </c>
      <c r="S204" s="25">
        <v>163.13999999999999</v>
      </c>
      <c r="T204" s="25">
        <v>13.78</v>
      </c>
      <c r="U204" s="25">
        <v>15.5053261123211</v>
      </c>
      <c r="V204" s="25">
        <v>13.9700700669027</v>
      </c>
      <c r="W204" s="25">
        <v>6690.46</v>
      </c>
      <c r="X204" s="34">
        <v>2175201.0699999998</v>
      </c>
      <c r="Y204" s="30">
        <v>45465</v>
      </c>
      <c r="Z204" s="85">
        <v>2024</v>
      </c>
      <c r="AA204" s="28">
        <v>6</v>
      </c>
      <c r="AB204" s="84">
        <v>103737.76414144</v>
      </c>
      <c r="AC204" s="84">
        <v>93466.194979809996</v>
      </c>
      <c r="AD204" s="84">
        <v>14762.8</v>
      </c>
      <c r="AE204" s="34">
        <v>1037377.6414144</v>
      </c>
      <c r="AF204" s="28" t="s">
        <v>551</v>
      </c>
      <c r="AG204" s="28" t="s">
        <v>66</v>
      </c>
    </row>
    <row r="205" spans="2:33" x14ac:dyDescent="0.2">
      <c r="B205" s="34">
        <f>CHOOSE(B$1,Tabla2[[#This Row],[Edad]]*12/365,Tabla2[[#This Row],[Tn/Ha]],Tabla2[[#This Row],[Tn]],Tabla2[[#This Row],[Area_Cosecha]])</f>
        <v>11.405244167225918</v>
      </c>
      <c r="C205" s="87" t="s">
        <v>550</v>
      </c>
      <c r="D205" s="23" t="s">
        <v>551</v>
      </c>
      <c r="E205" s="23" t="s">
        <v>551</v>
      </c>
      <c r="F205" s="23" t="s">
        <v>483</v>
      </c>
      <c r="G205" s="23" t="s">
        <v>75</v>
      </c>
      <c r="H205" s="23" t="s">
        <v>52</v>
      </c>
      <c r="I205" s="23" t="s">
        <v>44</v>
      </c>
      <c r="J205" s="23" t="s">
        <v>4</v>
      </c>
      <c r="K205" s="23" t="s">
        <v>824</v>
      </c>
      <c r="L205" s="23">
        <v>2022</v>
      </c>
      <c r="M205" s="24" t="s">
        <v>60</v>
      </c>
      <c r="N205" s="24">
        <v>45223</v>
      </c>
      <c r="O205" s="24" t="s">
        <v>50</v>
      </c>
      <c r="P205" s="86">
        <v>346.90951008645499</v>
      </c>
      <c r="Q205" s="86">
        <v>34.700000000000003</v>
      </c>
      <c r="R205" s="25">
        <v>34.700000000000003</v>
      </c>
      <c r="S205" s="25">
        <v>156.85</v>
      </c>
      <c r="T205" s="25">
        <v>13.75</v>
      </c>
      <c r="U205" s="25">
        <v>14.6641533423845</v>
      </c>
      <c r="V205" s="25">
        <v>13.180833634789501</v>
      </c>
      <c r="W205" s="25">
        <v>5442.6639999999998</v>
      </c>
      <c r="X205" s="34">
        <v>2847111.87</v>
      </c>
      <c r="Y205" s="30">
        <v>45571</v>
      </c>
      <c r="Z205" s="85">
        <v>2024</v>
      </c>
      <c r="AA205" s="28">
        <v>10</v>
      </c>
      <c r="AB205" s="84">
        <v>79812.059487075996</v>
      </c>
      <c r="AC205" s="84">
        <v>71738.848714057996</v>
      </c>
      <c r="AD205" s="84">
        <v>12037.76</v>
      </c>
      <c r="AE205" s="34">
        <v>798120.59487075906</v>
      </c>
      <c r="AF205" s="28" t="s">
        <v>551</v>
      </c>
      <c r="AG205" s="28" t="s">
        <v>66</v>
      </c>
    </row>
    <row r="206" spans="2:33" x14ac:dyDescent="0.2">
      <c r="B206" s="34">
        <f>CHOOSE(B$1,Tabla2[[#This Row],[Edad]]*12/365,Tabla2[[#This Row],[Tn/Ha]],Tabla2[[#This Row],[Tn]],Tabla2[[#This Row],[Area_Cosecha]])</f>
        <v>12.723287671232876</v>
      </c>
      <c r="C206" s="87" t="s">
        <v>550</v>
      </c>
      <c r="D206" s="23" t="s">
        <v>551</v>
      </c>
      <c r="E206" s="23" t="s">
        <v>551</v>
      </c>
      <c r="F206" s="23" t="s">
        <v>164</v>
      </c>
      <c r="G206" s="23" t="s">
        <v>75</v>
      </c>
      <c r="H206" s="23" t="s">
        <v>52</v>
      </c>
      <c r="I206" s="23" t="s">
        <v>44</v>
      </c>
      <c r="J206" s="23" t="s">
        <v>5</v>
      </c>
      <c r="K206" s="23" t="s">
        <v>712</v>
      </c>
      <c r="L206" s="23">
        <v>2022</v>
      </c>
      <c r="M206" s="24" t="s">
        <v>60</v>
      </c>
      <c r="N206" s="24">
        <v>45086</v>
      </c>
      <c r="O206" s="24" t="s">
        <v>50</v>
      </c>
      <c r="P206" s="86">
        <v>387</v>
      </c>
      <c r="Q206" s="86">
        <v>34.700000000000003</v>
      </c>
      <c r="R206" s="25">
        <v>0.83</v>
      </c>
      <c r="S206" s="25">
        <v>191.6</v>
      </c>
      <c r="T206" s="25">
        <v>15.06</v>
      </c>
      <c r="U206" s="25">
        <v>14.255784999999999</v>
      </c>
      <c r="V206" s="25">
        <v>12.774744999999999</v>
      </c>
      <c r="W206" s="25">
        <v>159.03</v>
      </c>
      <c r="X206" s="34">
        <v>304705.31</v>
      </c>
      <c r="Y206" s="30">
        <v>45473</v>
      </c>
      <c r="Z206" s="85">
        <v>2024</v>
      </c>
      <c r="AA206" s="28">
        <v>6</v>
      </c>
      <c r="AB206" s="84">
        <v>2267.09748855</v>
      </c>
      <c r="AC206" s="84">
        <v>2031.5676973499999</v>
      </c>
      <c r="AD206" s="84">
        <v>321.20999999999998</v>
      </c>
      <c r="AE206" s="34">
        <v>22670.9748855</v>
      </c>
      <c r="AF206" s="28" t="s">
        <v>551</v>
      </c>
      <c r="AG206" s="28" t="s">
        <v>66</v>
      </c>
    </row>
    <row r="207" spans="2:33" x14ac:dyDescent="0.2">
      <c r="B207" s="34">
        <f>CHOOSE(B$1,Tabla2[[#This Row],[Edad]]*12/365,Tabla2[[#This Row],[Tn/Ha]],Tabla2[[#This Row],[Tn]],Tabla2[[#This Row],[Area_Cosecha]])</f>
        <v>12.813307934042729</v>
      </c>
      <c r="C207" s="87" t="s">
        <v>550</v>
      </c>
      <c r="D207" s="23" t="s">
        <v>551</v>
      </c>
      <c r="E207" s="23" t="s">
        <v>551</v>
      </c>
      <c r="F207" s="23" t="s">
        <v>164</v>
      </c>
      <c r="G207" s="23" t="s">
        <v>75</v>
      </c>
      <c r="H207" s="23" t="s">
        <v>52</v>
      </c>
      <c r="I207" s="23" t="s">
        <v>44</v>
      </c>
      <c r="J207" s="23" t="s">
        <v>5</v>
      </c>
      <c r="K207" s="23" t="s">
        <v>712</v>
      </c>
      <c r="L207" s="23">
        <v>2022</v>
      </c>
      <c r="M207" s="24" t="s">
        <v>60</v>
      </c>
      <c r="N207" s="24">
        <v>45086</v>
      </c>
      <c r="O207" s="24" t="s">
        <v>50</v>
      </c>
      <c r="P207" s="86">
        <v>389.73811632713301</v>
      </c>
      <c r="Q207" s="86">
        <v>34.700000000000003</v>
      </c>
      <c r="R207" s="25">
        <v>33.869999999999997</v>
      </c>
      <c r="S207" s="25">
        <v>194.86</v>
      </c>
      <c r="T207" s="25">
        <v>15.21</v>
      </c>
      <c r="U207" s="25">
        <v>14.2557853004995</v>
      </c>
      <c r="V207" s="25">
        <v>12.7747456611072</v>
      </c>
      <c r="W207" s="25">
        <v>6599.9470000000001</v>
      </c>
      <c r="X207" s="34">
        <v>2566487.2400000002</v>
      </c>
      <c r="Y207" s="30">
        <v>45478</v>
      </c>
      <c r="Z207" s="85">
        <v>2024</v>
      </c>
      <c r="AA207" s="28">
        <v>7</v>
      </c>
      <c r="AB207" s="84">
        <v>94087.427426675902</v>
      </c>
      <c r="AC207" s="84">
        <v>84312.644301787994</v>
      </c>
      <c r="AD207" s="84">
        <v>13200.4299999999</v>
      </c>
      <c r="AE207" s="34">
        <v>940874.27426675905</v>
      </c>
      <c r="AF207" s="28" t="s">
        <v>551</v>
      </c>
      <c r="AG207" s="28" t="s">
        <v>66</v>
      </c>
    </row>
    <row r="208" spans="2:33" x14ac:dyDescent="0.2">
      <c r="B208" s="34">
        <f>CHOOSE(B$1,Tabla2[[#This Row],[Edad]]*12/365,Tabla2[[#This Row],[Tn/Ha]],Tabla2[[#This Row],[Tn]],Tabla2[[#This Row],[Area_Cosecha]])</f>
        <v>11.272443915028768</v>
      </c>
      <c r="C208" s="87" t="s">
        <v>550</v>
      </c>
      <c r="D208" s="23" t="s">
        <v>551</v>
      </c>
      <c r="E208" s="23" t="s">
        <v>551</v>
      </c>
      <c r="F208" s="23" t="s">
        <v>165</v>
      </c>
      <c r="G208" s="23" t="s">
        <v>75</v>
      </c>
      <c r="H208" s="23" t="s">
        <v>52</v>
      </c>
      <c r="I208" s="23" t="s">
        <v>44</v>
      </c>
      <c r="J208" s="23" t="s">
        <v>6</v>
      </c>
      <c r="K208" s="23" t="s">
        <v>825</v>
      </c>
      <c r="L208" s="23">
        <v>2022</v>
      </c>
      <c r="M208" s="24" t="s">
        <v>60</v>
      </c>
      <c r="N208" s="24">
        <v>45229</v>
      </c>
      <c r="O208" s="24" t="s">
        <v>50</v>
      </c>
      <c r="P208" s="86">
        <v>342.87016908212502</v>
      </c>
      <c r="Q208" s="86">
        <v>33.119999999999997</v>
      </c>
      <c r="R208" s="25">
        <v>33.119999999999997</v>
      </c>
      <c r="S208" s="25">
        <v>165.7</v>
      </c>
      <c r="T208" s="25">
        <v>14.7</v>
      </c>
      <c r="U208" s="25">
        <v>14.470819481535599</v>
      </c>
      <c r="V208" s="25">
        <v>13.017731000788901</v>
      </c>
      <c r="W208" s="25">
        <v>5488.13</v>
      </c>
      <c r="X208" s="34">
        <v>3024757.72</v>
      </c>
      <c r="Y208" s="30">
        <v>45573</v>
      </c>
      <c r="Z208" s="85">
        <v>2024</v>
      </c>
      <c r="AA208" s="28">
        <v>10</v>
      </c>
      <c r="AB208" s="84">
        <v>79417.738521199994</v>
      </c>
      <c r="AC208" s="84">
        <v>71443.000037360005</v>
      </c>
      <c r="AD208" s="84">
        <v>11355.86</v>
      </c>
      <c r="AE208" s="34">
        <v>794177.38521199895</v>
      </c>
      <c r="AF208" s="28" t="s">
        <v>551</v>
      </c>
      <c r="AG208" s="28" t="s">
        <v>66</v>
      </c>
    </row>
    <row r="209" spans="2:33" x14ac:dyDescent="0.2">
      <c r="B209" s="34">
        <f>CHOOSE(B$1,Tabla2[[#This Row],[Edad]]*12/365,Tabla2[[#This Row],[Tn/Ha]],Tabla2[[#This Row],[Tn]],Tabla2[[#This Row],[Area_Cosecha]])</f>
        <v>16.267425270252527</v>
      </c>
      <c r="C209" s="87" t="s">
        <v>550</v>
      </c>
      <c r="D209" s="23" t="s">
        <v>551</v>
      </c>
      <c r="E209" s="23" t="s">
        <v>551</v>
      </c>
      <c r="F209" s="23" t="s">
        <v>401</v>
      </c>
      <c r="G209" s="23" t="s">
        <v>75</v>
      </c>
      <c r="H209" s="23" t="s">
        <v>52</v>
      </c>
      <c r="I209" s="23" t="s">
        <v>44</v>
      </c>
      <c r="J209" s="23" t="s">
        <v>7</v>
      </c>
      <c r="K209" s="23" t="s">
        <v>667</v>
      </c>
      <c r="L209" s="23">
        <v>2022</v>
      </c>
      <c r="M209" s="24" t="s">
        <v>63</v>
      </c>
      <c r="N209" s="24">
        <v>44939</v>
      </c>
      <c r="O209" s="24" t="s">
        <v>50</v>
      </c>
      <c r="P209" s="86">
        <v>494.80085197018099</v>
      </c>
      <c r="Q209" s="86">
        <v>28.17</v>
      </c>
      <c r="R209" s="25">
        <v>28.17</v>
      </c>
      <c r="S209" s="25">
        <v>176.57</v>
      </c>
      <c r="T209" s="25">
        <v>10.85</v>
      </c>
      <c r="U209" s="25">
        <v>14.5897089799927</v>
      </c>
      <c r="V209" s="25">
        <v>13.0964712207871</v>
      </c>
      <c r="W209" s="25">
        <v>4974.0929999999998</v>
      </c>
      <c r="X209" s="34">
        <v>1759806.14</v>
      </c>
      <c r="Y209" s="30">
        <v>45436</v>
      </c>
      <c r="Z209" s="85">
        <v>2024</v>
      </c>
      <c r="AA209" s="28">
        <v>5</v>
      </c>
      <c r="AB209" s="84">
        <v>72570.569309419006</v>
      </c>
      <c r="AC209" s="84">
        <v>65143.065824019002</v>
      </c>
      <c r="AD209" s="84">
        <v>13938.539999999901</v>
      </c>
      <c r="AE209" s="34">
        <v>725705.69309418998</v>
      </c>
      <c r="AF209" s="28" t="s">
        <v>551</v>
      </c>
      <c r="AG209" s="28" t="s">
        <v>66</v>
      </c>
    </row>
    <row r="210" spans="2:33" x14ac:dyDescent="0.2">
      <c r="B210" s="34">
        <f>CHOOSE(B$1,Tabla2[[#This Row],[Edad]]*12/365,Tabla2[[#This Row],[Tn/Ha]],Tabla2[[#This Row],[Tn]],Tabla2[[#This Row],[Area_Cosecha]])</f>
        <v>12.715220014254182</v>
      </c>
      <c r="C210" s="87" t="s">
        <v>550</v>
      </c>
      <c r="D210" s="23" t="s">
        <v>551</v>
      </c>
      <c r="E210" s="23" t="s">
        <v>551</v>
      </c>
      <c r="F210" s="23" t="s">
        <v>166</v>
      </c>
      <c r="G210" s="23" t="s">
        <v>75</v>
      </c>
      <c r="H210" s="23" t="s">
        <v>52</v>
      </c>
      <c r="I210" s="23" t="s">
        <v>33</v>
      </c>
      <c r="J210" s="23" t="s">
        <v>3</v>
      </c>
      <c r="K210" s="23" t="s">
        <v>689</v>
      </c>
      <c r="L210" s="23">
        <v>2022</v>
      </c>
      <c r="M210" s="24" t="s">
        <v>80</v>
      </c>
      <c r="N210" s="24">
        <v>45073</v>
      </c>
      <c r="O210" s="24" t="s">
        <v>50</v>
      </c>
      <c r="P210" s="86">
        <v>386.754608766898</v>
      </c>
      <c r="Q210" s="86">
        <v>24.41</v>
      </c>
      <c r="R210" s="25">
        <v>24.41</v>
      </c>
      <c r="S210" s="25">
        <v>124.99</v>
      </c>
      <c r="T210" s="25">
        <v>9.83</v>
      </c>
      <c r="U210" s="25">
        <v>15.4424468970861</v>
      </c>
      <c r="V210" s="25">
        <v>13.950728407440399</v>
      </c>
      <c r="W210" s="25">
        <v>3050.9</v>
      </c>
      <c r="X210" s="34">
        <v>1281711.67</v>
      </c>
      <c r="Y210" s="30">
        <v>45461</v>
      </c>
      <c r="Z210" s="85">
        <v>2024</v>
      </c>
      <c r="AA210" s="28">
        <v>6</v>
      </c>
      <c r="AB210" s="84">
        <v>47113.3612383199</v>
      </c>
      <c r="AC210" s="84">
        <v>42562.27729826</v>
      </c>
      <c r="AD210" s="84">
        <v>9440.68</v>
      </c>
      <c r="AE210" s="34">
        <v>471133.61238319997</v>
      </c>
      <c r="AF210" s="28" t="s">
        <v>551</v>
      </c>
      <c r="AG210" s="28" t="s">
        <v>66</v>
      </c>
    </row>
    <row r="211" spans="2:33" x14ac:dyDescent="0.2">
      <c r="B211" s="34">
        <f>CHOOSE(B$1,Tabla2[[#This Row],[Edad]]*12/365,Tabla2[[#This Row],[Tn/Ha]],Tabla2[[#This Row],[Tn]],Tabla2[[#This Row],[Area_Cosecha]])</f>
        <v>16.338745990182773</v>
      </c>
      <c r="C211" s="87" t="s">
        <v>550</v>
      </c>
      <c r="D211" s="23" t="s">
        <v>551</v>
      </c>
      <c r="E211" s="23" t="s">
        <v>551</v>
      </c>
      <c r="F211" s="23" t="s">
        <v>420</v>
      </c>
      <c r="G211" s="23" t="s">
        <v>75</v>
      </c>
      <c r="H211" s="23" t="s">
        <v>52</v>
      </c>
      <c r="I211" s="23" t="s">
        <v>33</v>
      </c>
      <c r="J211" s="23" t="s">
        <v>4</v>
      </c>
      <c r="K211" s="23" t="s">
        <v>647</v>
      </c>
      <c r="L211" s="23">
        <v>2022</v>
      </c>
      <c r="M211" s="24" t="s">
        <v>63</v>
      </c>
      <c r="N211" s="24">
        <v>44913</v>
      </c>
      <c r="O211" s="24" t="s">
        <v>50</v>
      </c>
      <c r="P211" s="86">
        <v>496.97019053472599</v>
      </c>
      <c r="Q211" s="86">
        <v>32.54</v>
      </c>
      <c r="R211" s="25">
        <v>32.5399999999999</v>
      </c>
      <c r="S211" s="25">
        <v>173.63</v>
      </c>
      <c r="T211" s="25">
        <v>10.63</v>
      </c>
      <c r="U211" s="25">
        <v>15.085040525924899</v>
      </c>
      <c r="V211" s="25">
        <v>13.570969018482099</v>
      </c>
      <c r="W211" s="25">
        <v>5649.78</v>
      </c>
      <c r="X211" s="34">
        <v>1982249.41</v>
      </c>
      <c r="Y211" s="30">
        <v>45412</v>
      </c>
      <c r="Z211" s="85">
        <v>2024</v>
      </c>
      <c r="AA211" s="28">
        <v>4</v>
      </c>
      <c r="AB211" s="84">
        <v>85227.160262559904</v>
      </c>
      <c r="AC211" s="84">
        <v>76672.989341239998</v>
      </c>
      <c r="AD211" s="84">
        <v>16171.41</v>
      </c>
      <c r="AE211" s="34">
        <v>852271.60262559995</v>
      </c>
      <c r="AF211" s="28" t="s">
        <v>551</v>
      </c>
      <c r="AG211" s="28" t="s">
        <v>66</v>
      </c>
    </row>
    <row r="212" spans="2:33" x14ac:dyDescent="0.2">
      <c r="B212" s="34">
        <f>CHOOSE(B$1,Tabla2[[#This Row],[Edad]]*12/365,Tabla2[[#This Row],[Tn/Ha]],Tabla2[[#This Row],[Tn]],Tabla2[[#This Row],[Area_Cosecha]])</f>
        <v>11.842636695187988</v>
      </c>
      <c r="C212" s="87" t="s">
        <v>550</v>
      </c>
      <c r="D212" s="23" t="s">
        <v>551</v>
      </c>
      <c r="E212" s="23" t="s">
        <v>551</v>
      </c>
      <c r="F212" s="23" t="s">
        <v>167</v>
      </c>
      <c r="G212" s="23" t="s">
        <v>75</v>
      </c>
      <c r="H212" s="23" t="s">
        <v>52</v>
      </c>
      <c r="I212" s="23" t="s">
        <v>33</v>
      </c>
      <c r="J212" s="23" t="s">
        <v>5</v>
      </c>
      <c r="K212" s="23" t="s">
        <v>727</v>
      </c>
      <c r="L212" s="23">
        <v>2022</v>
      </c>
      <c r="M212" s="24" t="s">
        <v>60</v>
      </c>
      <c r="N212" s="24">
        <v>45138</v>
      </c>
      <c r="O212" s="24" t="s">
        <v>50</v>
      </c>
      <c r="P212" s="86">
        <v>360.21353281196798</v>
      </c>
      <c r="Q212" s="86">
        <v>34.700000000000003</v>
      </c>
      <c r="R212" s="25">
        <v>29.41</v>
      </c>
      <c r="S212" s="25">
        <v>168.08</v>
      </c>
      <c r="T212" s="25">
        <v>14.19</v>
      </c>
      <c r="U212" s="25">
        <v>14.345053519993</v>
      </c>
      <c r="V212" s="25">
        <v>12.880912863512</v>
      </c>
      <c r="W212" s="25">
        <v>4943.22</v>
      </c>
      <c r="X212" s="34">
        <v>1993980.53</v>
      </c>
      <c r="Y212" s="30">
        <v>45503</v>
      </c>
      <c r="Z212" s="85">
        <v>2024</v>
      </c>
      <c r="AA212" s="28">
        <v>7</v>
      </c>
      <c r="AB212" s="84">
        <v>70910.755461099994</v>
      </c>
      <c r="AC212" s="84">
        <v>63673.186085169997</v>
      </c>
      <c r="AD212" s="84">
        <v>10593.88</v>
      </c>
      <c r="AE212" s="34">
        <v>709107.554611</v>
      </c>
      <c r="AF212" s="28" t="s">
        <v>551</v>
      </c>
      <c r="AG212" s="28" t="s">
        <v>66</v>
      </c>
    </row>
    <row r="213" spans="2:33" x14ac:dyDescent="0.2">
      <c r="B213" s="34">
        <f>CHOOSE(B$1,Tabla2[[#This Row],[Edad]]*12/365,Tabla2[[#This Row],[Tn/Ha]],Tabla2[[#This Row],[Tn]],Tabla2[[#This Row],[Area_Cosecha]])</f>
        <v>12.128585855970147</v>
      </c>
      <c r="C213" s="87" t="s">
        <v>550</v>
      </c>
      <c r="D213" s="23" t="s">
        <v>551</v>
      </c>
      <c r="E213" s="23" t="s">
        <v>551</v>
      </c>
      <c r="F213" s="23" t="s">
        <v>167</v>
      </c>
      <c r="G213" s="23" t="s">
        <v>75</v>
      </c>
      <c r="H213" s="23" t="s">
        <v>52</v>
      </c>
      <c r="I213" s="23" t="s">
        <v>33</v>
      </c>
      <c r="J213" s="23" t="s">
        <v>5</v>
      </c>
      <c r="K213" s="23" t="s">
        <v>727</v>
      </c>
      <c r="L213" s="23">
        <v>2022</v>
      </c>
      <c r="M213" s="24" t="s">
        <v>60</v>
      </c>
      <c r="N213" s="24">
        <v>45138</v>
      </c>
      <c r="O213" s="24" t="s">
        <v>50</v>
      </c>
      <c r="P213" s="86">
        <v>368.91115311909198</v>
      </c>
      <c r="Q213" s="86">
        <v>34.700000000000003</v>
      </c>
      <c r="R213" s="25">
        <v>5.29</v>
      </c>
      <c r="S213" s="25">
        <v>154.29</v>
      </c>
      <c r="T213" s="25">
        <v>12.72</v>
      </c>
      <c r="U213" s="25">
        <v>14.954068582056401</v>
      </c>
      <c r="V213" s="25">
        <v>13.4437234006263</v>
      </c>
      <c r="W213" s="25">
        <v>816.18199999999899</v>
      </c>
      <c r="X213" s="34">
        <v>302474.23</v>
      </c>
      <c r="Y213" s="30">
        <v>45514</v>
      </c>
      <c r="Z213" s="85">
        <v>2024</v>
      </c>
      <c r="AA213" s="28">
        <v>8</v>
      </c>
      <c r="AB213" s="84">
        <v>12205.241603439999</v>
      </c>
      <c r="AC213" s="84">
        <v>10972.525052569999</v>
      </c>
      <c r="AD213" s="84">
        <v>1951.54</v>
      </c>
      <c r="AE213" s="34">
        <v>122052.4160344</v>
      </c>
      <c r="AF213" s="28" t="s">
        <v>551</v>
      </c>
      <c r="AG213" s="28" t="s">
        <v>66</v>
      </c>
    </row>
    <row r="214" spans="2:33" x14ac:dyDescent="0.2">
      <c r="B214" s="34">
        <f>CHOOSE(B$1,Tabla2[[#This Row],[Edad]]*12/365,Tabla2[[#This Row],[Tn/Ha]],Tabla2[[#This Row],[Tn]],Tabla2[[#This Row],[Area_Cosecha]])</f>
        <v>10.783561643835617</v>
      </c>
      <c r="C214" s="87" t="s">
        <v>550</v>
      </c>
      <c r="D214" s="23" t="s">
        <v>551</v>
      </c>
      <c r="E214" s="23" t="s">
        <v>551</v>
      </c>
      <c r="F214" s="23" t="s">
        <v>500</v>
      </c>
      <c r="G214" s="23" t="s">
        <v>75</v>
      </c>
      <c r="H214" s="23" t="s">
        <v>52</v>
      </c>
      <c r="I214" s="23" t="s">
        <v>33</v>
      </c>
      <c r="J214" s="23" t="s">
        <v>6</v>
      </c>
      <c r="K214" s="23" t="s">
        <v>815</v>
      </c>
      <c r="L214" s="23">
        <v>2022</v>
      </c>
      <c r="M214" s="24" t="s">
        <v>60</v>
      </c>
      <c r="N214" s="24">
        <v>45236</v>
      </c>
      <c r="O214" s="24" t="s">
        <v>50</v>
      </c>
      <c r="P214" s="86">
        <v>328</v>
      </c>
      <c r="Q214" s="86">
        <v>34.799999999999997</v>
      </c>
      <c r="R214" s="25">
        <v>7.1</v>
      </c>
      <c r="S214" s="25">
        <v>155.30000000000001</v>
      </c>
      <c r="T214" s="25">
        <v>14.4</v>
      </c>
      <c r="U214" s="25">
        <v>14.785500000000001</v>
      </c>
      <c r="V214" s="25">
        <v>13.30425</v>
      </c>
      <c r="W214" s="25">
        <v>1102.6300000000001</v>
      </c>
      <c r="X214" s="34">
        <v>1712384.39</v>
      </c>
      <c r="Y214" s="30">
        <v>45564</v>
      </c>
      <c r="Z214" s="85">
        <v>2024</v>
      </c>
      <c r="AA214" s="28">
        <v>9</v>
      </c>
      <c r="AB214" s="84">
        <v>16302.935864999999</v>
      </c>
      <c r="AC214" s="84">
        <v>14669.665177499999</v>
      </c>
      <c r="AD214" s="84">
        <v>2328.7999999999902</v>
      </c>
      <c r="AE214" s="34">
        <v>163029.35865000001</v>
      </c>
      <c r="AF214" s="28" t="s">
        <v>551</v>
      </c>
      <c r="AG214" s="28" t="s">
        <v>66</v>
      </c>
    </row>
    <row r="215" spans="2:33" x14ac:dyDescent="0.2">
      <c r="B215" s="34">
        <f>CHOOSE(B$1,Tabla2[[#This Row],[Edad]]*12/365,Tabla2[[#This Row],[Tn/Ha]],Tabla2[[#This Row],[Tn]],Tabla2[[#This Row],[Area_Cosecha]])</f>
        <v>10.90886108501063</v>
      </c>
      <c r="C215" s="87" t="s">
        <v>550</v>
      </c>
      <c r="D215" s="23" t="s">
        <v>551</v>
      </c>
      <c r="E215" s="23" t="s">
        <v>551</v>
      </c>
      <c r="F215" s="23" t="s">
        <v>500</v>
      </c>
      <c r="G215" s="23" t="s">
        <v>75</v>
      </c>
      <c r="H215" s="23" t="s">
        <v>52</v>
      </c>
      <c r="I215" s="23" t="s">
        <v>33</v>
      </c>
      <c r="J215" s="23" t="s">
        <v>6</v>
      </c>
      <c r="K215" s="23" t="s">
        <v>815</v>
      </c>
      <c r="L215" s="23">
        <v>2022</v>
      </c>
      <c r="M215" s="24" t="s">
        <v>60</v>
      </c>
      <c r="N215" s="24">
        <v>45236</v>
      </c>
      <c r="O215" s="24" t="s">
        <v>50</v>
      </c>
      <c r="P215" s="86">
        <v>331.81119133573998</v>
      </c>
      <c r="Q215" s="86">
        <v>34.799999999999997</v>
      </c>
      <c r="R215" s="25">
        <v>27.7</v>
      </c>
      <c r="S215" s="25">
        <v>150.22999999999999</v>
      </c>
      <c r="T215" s="25">
        <v>13.77</v>
      </c>
      <c r="U215" s="25">
        <v>14.7109210019473</v>
      </c>
      <c r="V215" s="25">
        <v>13.2234983747238</v>
      </c>
      <c r="W215" s="25">
        <v>4161.4960000000001</v>
      </c>
      <c r="X215" s="34">
        <v>2084595.53</v>
      </c>
      <c r="Y215" s="30">
        <v>45569</v>
      </c>
      <c r="Z215" s="85">
        <v>2024</v>
      </c>
      <c r="AA215" s="28">
        <v>10</v>
      </c>
      <c r="AB215" s="84">
        <v>61219.438905919997</v>
      </c>
      <c r="AC215" s="84">
        <v>55029.535592419998</v>
      </c>
      <c r="AD215" s="84">
        <v>9191.17</v>
      </c>
      <c r="AE215" s="34">
        <v>612194.38905919995</v>
      </c>
      <c r="AF215" s="28" t="s">
        <v>551</v>
      </c>
      <c r="AG215" s="28" t="s">
        <v>66</v>
      </c>
    </row>
    <row r="216" spans="2:33" x14ac:dyDescent="0.2">
      <c r="B216" s="34">
        <f>CHOOSE(B$1,Tabla2[[#This Row],[Edad]]*12/365,Tabla2[[#This Row],[Tn/Ha]],Tabla2[[#This Row],[Tn]],Tabla2[[#This Row],[Area_Cosecha]])</f>
        <v>12.382944475719848</v>
      </c>
      <c r="C216" s="87" t="s">
        <v>550</v>
      </c>
      <c r="D216" s="23" t="s">
        <v>551</v>
      </c>
      <c r="E216" s="23" t="s">
        <v>551</v>
      </c>
      <c r="F216" s="23" t="s">
        <v>168</v>
      </c>
      <c r="G216" s="23" t="s">
        <v>75</v>
      </c>
      <c r="H216" s="23" t="s">
        <v>52</v>
      </c>
      <c r="I216" s="23" t="s">
        <v>33</v>
      </c>
      <c r="J216" s="23" t="s">
        <v>7</v>
      </c>
      <c r="K216" s="23" t="s">
        <v>728</v>
      </c>
      <c r="L216" s="23">
        <v>2022</v>
      </c>
      <c r="M216" s="24" t="s">
        <v>60</v>
      </c>
      <c r="N216" s="24">
        <v>45119</v>
      </c>
      <c r="O216" s="24" t="s">
        <v>50</v>
      </c>
      <c r="P216" s="86">
        <v>376.647894469812</v>
      </c>
      <c r="Q216" s="86">
        <v>39.42</v>
      </c>
      <c r="R216" s="25">
        <v>39.42</v>
      </c>
      <c r="S216" s="25">
        <v>172.49</v>
      </c>
      <c r="T216" s="25">
        <v>13.93</v>
      </c>
      <c r="U216" s="25">
        <v>15.1611079712641</v>
      </c>
      <c r="V216" s="25">
        <v>13.686323468201399</v>
      </c>
      <c r="W216" s="25">
        <v>6799.53</v>
      </c>
      <c r="X216" s="34">
        <v>2909161.12</v>
      </c>
      <c r="Y216" s="30">
        <v>45497</v>
      </c>
      <c r="Z216" s="85">
        <v>2024</v>
      </c>
      <c r="AA216" s="28">
        <v>7</v>
      </c>
      <c r="AB216" s="84">
        <v>103088.40848385</v>
      </c>
      <c r="AC216" s="84">
        <v>93060.56701174</v>
      </c>
      <c r="AD216" s="84">
        <v>14847.46</v>
      </c>
      <c r="AE216" s="34">
        <v>1030884.0848385</v>
      </c>
      <c r="AF216" s="28" t="s">
        <v>551</v>
      </c>
      <c r="AG216" s="28" t="s">
        <v>66</v>
      </c>
    </row>
    <row r="217" spans="2:33" x14ac:dyDescent="0.2">
      <c r="B217" s="34">
        <f>CHOOSE(B$1,Tabla2[[#This Row],[Edad]]*12/365,Tabla2[[#This Row],[Tn/Ha]],Tabla2[[#This Row],[Tn]],Tabla2[[#This Row],[Area_Cosecha]])</f>
        <v>10.564272457546847</v>
      </c>
      <c r="C217" s="87" t="s">
        <v>550</v>
      </c>
      <c r="D217" s="23" t="s">
        <v>551</v>
      </c>
      <c r="E217" s="23" t="s">
        <v>551</v>
      </c>
      <c r="F217" s="23" t="s">
        <v>169</v>
      </c>
      <c r="G217" s="23" t="s">
        <v>75</v>
      </c>
      <c r="H217" s="23" t="s">
        <v>52</v>
      </c>
      <c r="I217" s="23" t="s">
        <v>34</v>
      </c>
      <c r="J217" s="23" t="s">
        <v>3</v>
      </c>
      <c r="K217" s="23" t="s">
        <v>801</v>
      </c>
      <c r="L217" s="23">
        <v>2022</v>
      </c>
      <c r="M217" s="24" t="s">
        <v>60</v>
      </c>
      <c r="N217" s="24">
        <v>45217</v>
      </c>
      <c r="O217" s="24" t="s">
        <v>50</v>
      </c>
      <c r="P217" s="86">
        <v>321.32995391704998</v>
      </c>
      <c r="Q217" s="86">
        <v>32.549999999999997</v>
      </c>
      <c r="R217" s="25">
        <v>32.549999999999997</v>
      </c>
      <c r="S217" s="25">
        <v>145.76</v>
      </c>
      <c r="T217" s="25">
        <v>13.8</v>
      </c>
      <c r="U217" s="25">
        <v>14.907351201434899</v>
      </c>
      <c r="V217" s="25">
        <v>13.4713621913367</v>
      </c>
      <c r="W217" s="25">
        <v>4744.41</v>
      </c>
      <c r="X217" s="34">
        <v>1717810.26</v>
      </c>
      <c r="Y217" s="30">
        <v>45540</v>
      </c>
      <c r="Z217" s="85">
        <v>2024</v>
      </c>
      <c r="AA217" s="28">
        <v>9</v>
      </c>
      <c r="AB217" s="84">
        <v>70726.586113600002</v>
      </c>
      <c r="AC217" s="84">
        <v>63913.665494200002</v>
      </c>
      <c r="AD217" s="84">
        <v>10459.290000000001</v>
      </c>
      <c r="AE217" s="34">
        <v>707265.86113599897</v>
      </c>
      <c r="AF217" s="28" t="s">
        <v>551</v>
      </c>
      <c r="AG217" s="28" t="s">
        <v>66</v>
      </c>
    </row>
    <row r="218" spans="2:33" x14ac:dyDescent="0.2">
      <c r="B218" s="34">
        <f>CHOOSE(B$1,Tabla2[[#This Row],[Edad]]*12/365,Tabla2[[#This Row],[Tn/Ha]],Tabla2[[#This Row],[Tn]],Tabla2[[#This Row],[Area_Cosecha]])</f>
        <v>12.732159797968045</v>
      </c>
      <c r="C218" s="87" t="s">
        <v>550</v>
      </c>
      <c r="D218" s="23" t="s">
        <v>551</v>
      </c>
      <c r="E218" s="23" t="s">
        <v>551</v>
      </c>
      <c r="F218" s="23" t="s">
        <v>170</v>
      </c>
      <c r="G218" s="23" t="s">
        <v>75</v>
      </c>
      <c r="H218" s="23" t="s">
        <v>52</v>
      </c>
      <c r="I218" s="23" t="s">
        <v>34</v>
      </c>
      <c r="J218" s="23" t="s">
        <v>4</v>
      </c>
      <c r="K218" s="23" t="s">
        <v>690</v>
      </c>
      <c r="L218" s="23">
        <v>2022</v>
      </c>
      <c r="M218" s="24" t="s">
        <v>80</v>
      </c>
      <c r="N218" s="24">
        <v>45062</v>
      </c>
      <c r="O218" s="24" t="s">
        <v>50</v>
      </c>
      <c r="P218" s="86">
        <v>387.26986052152802</v>
      </c>
      <c r="Q218" s="86">
        <v>34.6</v>
      </c>
      <c r="R218" s="25">
        <v>32.979999999999997</v>
      </c>
      <c r="S218" s="25">
        <v>136.94999999999999</v>
      </c>
      <c r="T218" s="25">
        <v>10.76</v>
      </c>
      <c r="U218" s="25">
        <v>15.5866908216378</v>
      </c>
      <c r="V218" s="25">
        <v>14.082406318026401</v>
      </c>
      <c r="W218" s="25">
        <v>4516.4740000000002</v>
      </c>
      <c r="X218" s="34">
        <v>2062014.65</v>
      </c>
      <c r="Y218" s="30">
        <v>45450</v>
      </c>
      <c r="Z218" s="85">
        <v>2024</v>
      </c>
      <c r="AA218" s="28">
        <v>6</v>
      </c>
      <c r="AB218" s="84">
        <v>70396.883841965901</v>
      </c>
      <c r="AC218" s="84">
        <v>63602.821992801997</v>
      </c>
      <c r="AD218" s="84">
        <v>12772.16</v>
      </c>
      <c r="AE218" s="34">
        <v>703968.83841965895</v>
      </c>
      <c r="AF218" s="28" t="s">
        <v>551</v>
      </c>
      <c r="AG218" s="28" t="s">
        <v>66</v>
      </c>
    </row>
    <row r="219" spans="2:33" x14ac:dyDescent="0.2">
      <c r="B219" s="34">
        <f>CHOOSE(B$1,Tabla2[[#This Row],[Edad]]*12/365,Tabla2[[#This Row],[Tn/Ha]],Tabla2[[#This Row],[Tn]],Tabla2[[#This Row],[Area_Cosecha]])</f>
        <v>12.206140095210312</v>
      </c>
      <c r="C219" s="87" t="s">
        <v>550</v>
      </c>
      <c r="D219" s="23" t="s">
        <v>551</v>
      </c>
      <c r="E219" s="23" t="s">
        <v>551</v>
      </c>
      <c r="F219" s="23" t="s">
        <v>171</v>
      </c>
      <c r="G219" s="23" t="s">
        <v>75</v>
      </c>
      <c r="H219" s="23" t="s">
        <v>52</v>
      </c>
      <c r="I219" s="23" t="s">
        <v>34</v>
      </c>
      <c r="J219" s="23" t="s">
        <v>5</v>
      </c>
      <c r="K219" s="23" t="s">
        <v>802</v>
      </c>
      <c r="L219" s="23">
        <v>2022</v>
      </c>
      <c r="M219" s="24" t="s">
        <v>60</v>
      </c>
      <c r="N219" s="24">
        <v>45170</v>
      </c>
      <c r="O219" s="24" t="s">
        <v>50</v>
      </c>
      <c r="P219" s="86">
        <v>371.27009456264699</v>
      </c>
      <c r="Q219" s="86">
        <v>33.840000000000003</v>
      </c>
      <c r="R219" s="25">
        <v>33.839999999999897</v>
      </c>
      <c r="S219" s="25">
        <v>142.47999999999999</v>
      </c>
      <c r="T219" s="25">
        <v>11.67</v>
      </c>
      <c r="U219" s="25">
        <v>15.051349799578499</v>
      </c>
      <c r="V219" s="25">
        <v>13.5848075794291</v>
      </c>
      <c r="W219" s="25">
        <v>4821.59</v>
      </c>
      <c r="X219" s="34">
        <v>1365280.35</v>
      </c>
      <c r="Y219" s="30">
        <v>45543</v>
      </c>
      <c r="Z219" s="85">
        <v>2024</v>
      </c>
      <c r="AA219" s="28">
        <v>9</v>
      </c>
      <c r="AB219" s="84">
        <v>72571.437680149902</v>
      </c>
      <c r="AC219" s="84">
        <v>65500.372376899999</v>
      </c>
      <c r="AD219" s="84">
        <v>12563.78</v>
      </c>
      <c r="AE219" s="34">
        <v>725714.37680149905</v>
      </c>
      <c r="AF219" s="28" t="s">
        <v>551</v>
      </c>
      <c r="AG219" s="28" t="s">
        <v>66</v>
      </c>
    </row>
    <row r="220" spans="2:33" x14ac:dyDescent="0.2">
      <c r="B220" s="34">
        <f>CHOOSE(B$1,Tabla2[[#This Row],[Edad]]*12/365,Tabla2[[#This Row],[Tn/Ha]],Tabla2[[#This Row],[Tn]],Tabla2[[#This Row],[Area_Cosecha]])</f>
        <v>12.765899882187156</v>
      </c>
      <c r="C220" s="87" t="s">
        <v>550</v>
      </c>
      <c r="D220" s="23" t="s">
        <v>551</v>
      </c>
      <c r="E220" s="23" t="s">
        <v>551</v>
      </c>
      <c r="F220" s="23" t="s">
        <v>172</v>
      </c>
      <c r="G220" s="23" t="s">
        <v>75</v>
      </c>
      <c r="H220" s="23" t="s">
        <v>52</v>
      </c>
      <c r="I220" s="23" t="s">
        <v>34</v>
      </c>
      <c r="J220" s="23" t="s">
        <v>6</v>
      </c>
      <c r="K220" s="23" t="s">
        <v>803</v>
      </c>
      <c r="L220" s="23">
        <v>2022</v>
      </c>
      <c r="M220" s="24" t="s">
        <v>60</v>
      </c>
      <c r="N220" s="24">
        <v>45155</v>
      </c>
      <c r="O220" s="24" t="s">
        <v>50</v>
      </c>
      <c r="P220" s="86">
        <v>388.29612141652598</v>
      </c>
      <c r="Q220" s="86">
        <v>29.649999999999899</v>
      </c>
      <c r="R220" s="25">
        <v>29.65</v>
      </c>
      <c r="S220" s="25">
        <v>143.22999999999999</v>
      </c>
      <c r="T220" s="25">
        <v>11.22</v>
      </c>
      <c r="U220" s="25">
        <v>15.6950330748278</v>
      </c>
      <c r="V220" s="25">
        <v>14.213285966293601</v>
      </c>
      <c r="W220" s="25">
        <v>4246.68</v>
      </c>
      <c r="X220" s="34">
        <v>2022415.25</v>
      </c>
      <c r="Y220" s="30">
        <v>45544</v>
      </c>
      <c r="Z220" s="85">
        <v>2024</v>
      </c>
      <c r="AA220" s="28">
        <v>9</v>
      </c>
      <c r="AB220" s="84">
        <v>66651.78305821</v>
      </c>
      <c r="AC220" s="84">
        <v>60359.277247339996</v>
      </c>
      <c r="AD220" s="84">
        <v>11512.98</v>
      </c>
      <c r="AE220" s="34">
        <v>666517.83058209997</v>
      </c>
      <c r="AF220" s="28" t="s">
        <v>551</v>
      </c>
      <c r="AG220" s="28" t="s">
        <v>66</v>
      </c>
    </row>
    <row r="221" spans="2:33" x14ac:dyDescent="0.2">
      <c r="B221" s="34">
        <f>CHOOSE(B$1,Tabla2[[#This Row],[Edad]]*12/365,Tabla2[[#This Row],[Tn/Ha]],Tabla2[[#This Row],[Tn]],Tabla2[[#This Row],[Area_Cosecha]])</f>
        <v>10.551969768540362</v>
      </c>
      <c r="C221" s="87" t="s">
        <v>550</v>
      </c>
      <c r="D221" s="23" t="s">
        <v>551</v>
      </c>
      <c r="E221" s="23" t="s">
        <v>551</v>
      </c>
      <c r="F221" s="23" t="s">
        <v>476</v>
      </c>
      <c r="G221" s="23" t="s">
        <v>75</v>
      </c>
      <c r="H221" s="23" t="s">
        <v>52</v>
      </c>
      <c r="I221" s="23" t="s">
        <v>34</v>
      </c>
      <c r="J221" s="23" t="s">
        <v>7</v>
      </c>
      <c r="K221" s="23" t="s">
        <v>826</v>
      </c>
      <c r="L221" s="23">
        <v>2022</v>
      </c>
      <c r="M221" s="24" t="s">
        <v>60</v>
      </c>
      <c r="N221" s="24">
        <v>45264</v>
      </c>
      <c r="O221" s="24" t="s">
        <v>50</v>
      </c>
      <c r="P221" s="86">
        <v>320.95574712643599</v>
      </c>
      <c r="Q221" s="86">
        <v>34.799999999999997</v>
      </c>
      <c r="R221" s="25">
        <v>34.799999999999997</v>
      </c>
      <c r="S221" s="25">
        <v>138.34</v>
      </c>
      <c r="T221" s="25">
        <v>13.11</v>
      </c>
      <c r="U221" s="25">
        <v>15.064396176098199</v>
      </c>
      <c r="V221" s="25">
        <v>13.6121280978349</v>
      </c>
      <c r="W221" s="25">
        <v>4814.13</v>
      </c>
      <c r="X221" s="34">
        <v>2220199.59</v>
      </c>
      <c r="Y221" s="30">
        <v>45586</v>
      </c>
      <c r="Z221" s="85">
        <v>2024</v>
      </c>
      <c r="AA221" s="28">
        <v>10</v>
      </c>
      <c r="AB221" s="84">
        <v>72521.961563239995</v>
      </c>
      <c r="AC221" s="84">
        <v>65530.554239630001</v>
      </c>
      <c r="AD221" s="84">
        <v>11169.26</v>
      </c>
      <c r="AE221" s="34">
        <v>725219.61563240003</v>
      </c>
      <c r="AF221" s="28" t="s">
        <v>551</v>
      </c>
      <c r="AG221" s="28" t="s">
        <v>66</v>
      </c>
    </row>
    <row r="222" spans="2:33" x14ac:dyDescent="0.2">
      <c r="B222" s="34">
        <f>CHOOSE(B$1,Tabla2[[#This Row],[Edad]]*12/365,Tabla2[[#This Row],[Tn/Ha]],Tabla2[[#This Row],[Tn]],Tabla2[[#This Row],[Area_Cosecha]])</f>
        <v>11.833341948823955</v>
      </c>
      <c r="C222" s="87" t="s">
        <v>550</v>
      </c>
      <c r="D222" s="23" t="s">
        <v>551</v>
      </c>
      <c r="E222" s="23" t="s">
        <v>551</v>
      </c>
      <c r="F222" s="23" t="s">
        <v>173</v>
      </c>
      <c r="G222" s="23" t="s">
        <v>75</v>
      </c>
      <c r="H222" s="23" t="s">
        <v>52</v>
      </c>
      <c r="I222" s="23" t="s">
        <v>35</v>
      </c>
      <c r="J222" s="23" t="s">
        <v>3</v>
      </c>
      <c r="K222" s="23" t="s">
        <v>770</v>
      </c>
      <c r="L222" s="23">
        <v>2022</v>
      </c>
      <c r="M222" s="24" t="s">
        <v>60</v>
      </c>
      <c r="N222" s="24">
        <v>45156</v>
      </c>
      <c r="O222" s="24" t="s">
        <v>50</v>
      </c>
      <c r="P222" s="86">
        <v>359.93081761006198</v>
      </c>
      <c r="Q222" s="86">
        <v>14.309999999999899</v>
      </c>
      <c r="R222" s="25">
        <v>14.31</v>
      </c>
      <c r="S222" s="25">
        <v>152.74</v>
      </c>
      <c r="T222" s="25">
        <v>12.91</v>
      </c>
      <c r="U222" s="25">
        <v>14.7663233074906</v>
      </c>
      <c r="V222" s="25">
        <v>13.273661695551899</v>
      </c>
      <c r="W222" s="25">
        <v>2185.66</v>
      </c>
      <c r="X222" s="34">
        <v>664278.43000000005</v>
      </c>
      <c r="Y222" s="30">
        <v>45518</v>
      </c>
      <c r="Z222" s="85">
        <v>2024</v>
      </c>
      <c r="AA222" s="28">
        <v>8</v>
      </c>
      <c r="AB222" s="84">
        <v>32274.162200249899</v>
      </c>
      <c r="AC222" s="84">
        <v>29011.7114215</v>
      </c>
      <c r="AD222" s="84">
        <v>5150.6099999999997</v>
      </c>
      <c r="AE222" s="34">
        <v>322741.62200249999</v>
      </c>
      <c r="AF222" s="28" t="s">
        <v>551</v>
      </c>
      <c r="AG222" s="28" t="s">
        <v>66</v>
      </c>
    </row>
    <row r="223" spans="2:33" x14ac:dyDescent="0.2">
      <c r="B223" s="34">
        <f>CHOOSE(B$1,Tabla2[[#This Row],[Edad]]*12/365,Tabla2[[#This Row],[Tn/Ha]],Tabla2[[#This Row],[Tn]],Tabla2[[#This Row],[Area_Cosecha]])</f>
        <v>11.73609393346379</v>
      </c>
      <c r="C223" s="87" t="s">
        <v>550</v>
      </c>
      <c r="D223" s="23" t="s">
        <v>551</v>
      </c>
      <c r="E223" s="23" t="s">
        <v>551</v>
      </c>
      <c r="F223" s="23" t="s">
        <v>174</v>
      </c>
      <c r="G223" s="23" t="s">
        <v>75</v>
      </c>
      <c r="H223" s="23" t="s">
        <v>52</v>
      </c>
      <c r="I223" s="23" t="s">
        <v>35</v>
      </c>
      <c r="J223" s="23" t="s">
        <v>4</v>
      </c>
      <c r="K223" s="23" t="s">
        <v>771</v>
      </c>
      <c r="L223" s="23">
        <v>2022</v>
      </c>
      <c r="M223" s="24" t="s">
        <v>60</v>
      </c>
      <c r="N223" s="24">
        <v>45159</v>
      </c>
      <c r="O223" s="24" t="s">
        <v>50</v>
      </c>
      <c r="P223" s="86">
        <v>356.97285714285698</v>
      </c>
      <c r="Q223" s="86">
        <v>14</v>
      </c>
      <c r="R223" s="25">
        <v>14</v>
      </c>
      <c r="S223" s="25">
        <v>152.26</v>
      </c>
      <c r="T223" s="25">
        <v>12.97</v>
      </c>
      <c r="U223" s="25">
        <v>15.1778106513637</v>
      </c>
      <c r="V223" s="25">
        <v>13.6766945126101</v>
      </c>
      <c r="W223" s="25">
        <v>2131.62</v>
      </c>
      <c r="X223" s="34">
        <v>649621.85</v>
      </c>
      <c r="Y223" s="30">
        <v>45518</v>
      </c>
      <c r="Z223" s="85">
        <v>2024</v>
      </c>
      <c r="AA223" s="28">
        <v>8</v>
      </c>
      <c r="AB223" s="84">
        <v>32353.324740659998</v>
      </c>
      <c r="AC223" s="84">
        <v>29153.515556969902</v>
      </c>
      <c r="AD223" s="84">
        <v>4997.62</v>
      </c>
      <c r="AE223" s="34">
        <v>323533.24740659998</v>
      </c>
      <c r="AF223" s="28" t="s">
        <v>551</v>
      </c>
      <c r="AG223" s="28" t="s">
        <v>66</v>
      </c>
    </row>
    <row r="224" spans="2:33" x14ac:dyDescent="0.2">
      <c r="B224" s="34">
        <f>CHOOSE(B$1,Tabla2[[#This Row],[Edad]]*12/365,Tabla2[[#This Row],[Tn/Ha]],Tabla2[[#This Row],[Tn]],Tabla2[[#This Row],[Area_Cosecha]])</f>
        <v>11.664699683877764</v>
      </c>
      <c r="C224" s="87" t="s">
        <v>550</v>
      </c>
      <c r="D224" s="23" t="s">
        <v>551</v>
      </c>
      <c r="E224" s="23" t="s">
        <v>551</v>
      </c>
      <c r="F224" s="23" t="s">
        <v>175</v>
      </c>
      <c r="G224" s="23" t="s">
        <v>75</v>
      </c>
      <c r="H224" s="23" t="s">
        <v>52</v>
      </c>
      <c r="I224" s="23" t="s">
        <v>35</v>
      </c>
      <c r="J224" s="23" t="s">
        <v>5</v>
      </c>
      <c r="K224" s="23" t="s">
        <v>772</v>
      </c>
      <c r="L224" s="23">
        <v>2022</v>
      </c>
      <c r="M224" s="24" t="s">
        <v>60</v>
      </c>
      <c r="N224" s="24">
        <v>45161</v>
      </c>
      <c r="O224" s="24" t="s">
        <v>50</v>
      </c>
      <c r="P224" s="86">
        <v>354.80128205128199</v>
      </c>
      <c r="Q224" s="86">
        <v>14.04</v>
      </c>
      <c r="R224" s="25">
        <v>14.04</v>
      </c>
      <c r="S224" s="25">
        <v>153.82</v>
      </c>
      <c r="T224" s="25">
        <v>13.19</v>
      </c>
      <c r="U224" s="25">
        <v>15.352631207112999</v>
      </c>
      <c r="V224" s="25">
        <v>13.8484364782306</v>
      </c>
      <c r="W224" s="25">
        <v>2159.69</v>
      </c>
      <c r="X224" s="34">
        <v>823686.29</v>
      </c>
      <c r="Y224" s="30">
        <v>45517</v>
      </c>
      <c r="Z224" s="85">
        <v>2024</v>
      </c>
      <c r="AA224" s="28">
        <v>8</v>
      </c>
      <c r="AB224" s="84">
        <v>33156.924091690002</v>
      </c>
      <c r="AC224" s="84">
        <v>29908.329777669998</v>
      </c>
      <c r="AD224" s="84">
        <v>4981.41</v>
      </c>
      <c r="AE224" s="34">
        <v>331569.24091689999</v>
      </c>
      <c r="AF224" s="28" t="s">
        <v>551</v>
      </c>
      <c r="AG224" s="28" t="s">
        <v>66</v>
      </c>
    </row>
    <row r="225" spans="2:33" x14ac:dyDescent="0.2">
      <c r="B225" s="34">
        <f>CHOOSE(B$1,Tabla2[[#This Row],[Edad]]*12/365,Tabla2[[#This Row],[Tn/Ha]],Tabla2[[#This Row],[Tn]],Tabla2[[#This Row],[Area_Cosecha]])</f>
        <v>11.614918769134487</v>
      </c>
      <c r="C225" s="87" t="s">
        <v>550</v>
      </c>
      <c r="D225" s="23" t="s">
        <v>551</v>
      </c>
      <c r="E225" s="23" t="s">
        <v>551</v>
      </c>
      <c r="F225" s="23" t="s">
        <v>176</v>
      </c>
      <c r="G225" s="23" t="s">
        <v>75</v>
      </c>
      <c r="H225" s="23" t="s">
        <v>52</v>
      </c>
      <c r="I225" s="23" t="s">
        <v>35</v>
      </c>
      <c r="J225" s="23" t="s">
        <v>6</v>
      </c>
      <c r="K225" s="23" t="s">
        <v>773</v>
      </c>
      <c r="L225" s="23">
        <v>2022</v>
      </c>
      <c r="M225" s="24" t="s">
        <v>60</v>
      </c>
      <c r="N225" s="24">
        <v>45164</v>
      </c>
      <c r="O225" s="24" t="s">
        <v>50</v>
      </c>
      <c r="P225" s="86">
        <v>353.28711256117401</v>
      </c>
      <c r="Q225" s="86">
        <v>12.26</v>
      </c>
      <c r="R225" s="25">
        <v>12.26</v>
      </c>
      <c r="S225" s="25">
        <v>141.68</v>
      </c>
      <c r="T225" s="25">
        <v>12.2</v>
      </c>
      <c r="U225" s="25">
        <v>15.0631846035163</v>
      </c>
      <c r="V225" s="25">
        <v>13.5756421357554</v>
      </c>
      <c r="W225" s="25">
        <v>1737.02</v>
      </c>
      <c r="X225" s="34">
        <v>607673.82999999996</v>
      </c>
      <c r="Y225" s="30">
        <v>45518</v>
      </c>
      <c r="Z225" s="85">
        <v>2024</v>
      </c>
      <c r="AA225" s="28">
        <v>8</v>
      </c>
      <c r="AB225" s="84">
        <v>26165.052919999998</v>
      </c>
      <c r="AC225" s="84">
        <v>23581.161902649899</v>
      </c>
      <c r="AD225" s="84">
        <v>4331.3</v>
      </c>
      <c r="AE225" s="34">
        <v>261650.529199999</v>
      </c>
      <c r="AF225" s="28" t="s">
        <v>551</v>
      </c>
      <c r="AG225" s="28" t="s">
        <v>66</v>
      </c>
    </row>
    <row r="226" spans="2:33" x14ac:dyDescent="0.2">
      <c r="B226" s="34">
        <f>CHOOSE(B$1,Tabla2[[#This Row],[Edad]]*12/365,Tabla2[[#This Row],[Tn/Ha]],Tabla2[[#This Row],[Tn]],Tabla2[[#This Row],[Area_Cosecha]])</f>
        <v>10.516369713791144</v>
      </c>
      <c r="C226" s="87" t="s">
        <v>550</v>
      </c>
      <c r="D226" s="23" t="s">
        <v>551</v>
      </c>
      <c r="E226" s="23" t="s">
        <v>551</v>
      </c>
      <c r="F226" s="23" t="s">
        <v>513</v>
      </c>
      <c r="G226" s="23" t="s">
        <v>75</v>
      </c>
      <c r="H226" s="23" t="s">
        <v>52</v>
      </c>
      <c r="I226" s="23" t="s">
        <v>35</v>
      </c>
      <c r="J226" s="23" t="s">
        <v>7</v>
      </c>
      <c r="K226" s="23" t="s">
        <v>863</v>
      </c>
      <c r="L226" s="23">
        <v>2022</v>
      </c>
      <c r="M226" s="24" t="s">
        <v>60</v>
      </c>
      <c r="N226" s="24">
        <v>45287</v>
      </c>
      <c r="O226" s="24" t="s">
        <v>473</v>
      </c>
      <c r="P226" s="86">
        <v>319.872912127814</v>
      </c>
      <c r="Q226" s="86">
        <v>13.77</v>
      </c>
      <c r="R226" s="25">
        <v>13.77</v>
      </c>
      <c r="S226" s="25">
        <v>131.16999999999999</v>
      </c>
      <c r="T226" s="25">
        <v>12.47</v>
      </c>
      <c r="U226" s="25">
        <v>15.3948394481445</v>
      </c>
      <c r="V226" s="25">
        <v>13.949050002109299</v>
      </c>
      <c r="W226" s="25">
        <v>1806.27</v>
      </c>
      <c r="X226" s="34">
        <v>595292.39</v>
      </c>
      <c r="Y226" s="30">
        <v>45608</v>
      </c>
      <c r="Z226" s="85">
        <v>2024</v>
      </c>
      <c r="AA226" s="28">
        <v>11</v>
      </c>
      <c r="AB226" s="84">
        <v>27807.236649999999</v>
      </c>
      <c r="AC226" s="84">
        <v>25195.750547309999</v>
      </c>
      <c r="AD226" s="84">
        <v>4404.6499999999996</v>
      </c>
      <c r="AE226" s="34">
        <v>278072.3665</v>
      </c>
      <c r="AF226" s="28" t="s">
        <v>551</v>
      </c>
      <c r="AG226" s="28" t="s">
        <v>66</v>
      </c>
    </row>
    <row r="227" spans="2:33" x14ac:dyDescent="0.2">
      <c r="B227" s="34">
        <f>CHOOSE(B$1,Tabla2[[#This Row],[Edad]]*12/365,Tabla2[[#This Row],[Tn/Ha]],Tabla2[[#This Row],[Tn]],Tabla2[[#This Row],[Area_Cosecha]])</f>
        <v>12.488397425317677</v>
      </c>
      <c r="C227" s="87" t="s">
        <v>550</v>
      </c>
      <c r="D227" s="23" t="s">
        <v>551</v>
      </c>
      <c r="E227" s="23" t="s">
        <v>551</v>
      </c>
      <c r="F227" s="23" t="s">
        <v>493</v>
      </c>
      <c r="G227" s="23" t="s">
        <v>22</v>
      </c>
      <c r="H227" s="23" t="s">
        <v>23</v>
      </c>
      <c r="I227" s="23" t="s">
        <v>2</v>
      </c>
      <c r="J227" s="23" t="s">
        <v>3</v>
      </c>
      <c r="K227" s="23" t="s">
        <v>556</v>
      </c>
      <c r="L227" s="23">
        <v>2022</v>
      </c>
      <c r="M227" s="24" t="s">
        <v>304</v>
      </c>
      <c r="N227" s="24">
        <v>44913</v>
      </c>
      <c r="O227" s="24" t="s">
        <v>50</v>
      </c>
      <c r="P227" s="86">
        <v>379.85542168674601</v>
      </c>
      <c r="Q227" s="86">
        <v>20.170000000000002</v>
      </c>
      <c r="R227" s="25">
        <v>6.64</v>
      </c>
      <c r="S227" s="25">
        <v>109.72</v>
      </c>
      <c r="T227" s="25">
        <v>8.7899999999999991</v>
      </c>
      <c r="U227" s="25">
        <v>14.5402393906084</v>
      </c>
      <c r="V227" s="25">
        <v>13.059822414464699</v>
      </c>
      <c r="W227" s="25">
        <v>728.53</v>
      </c>
      <c r="X227" s="34">
        <v>269279.34999999998</v>
      </c>
      <c r="Y227" s="30">
        <v>45294</v>
      </c>
      <c r="Z227" s="85">
        <v>2024</v>
      </c>
      <c r="AA227" s="28">
        <v>1</v>
      </c>
      <c r="AB227" s="84">
        <v>10593.00060324</v>
      </c>
      <c r="AC227" s="84">
        <v>9514.4724236099992</v>
      </c>
      <c r="AD227" s="84">
        <v>2522.2399999999998</v>
      </c>
      <c r="AE227" s="34">
        <v>105930.00603239999</v>
      </c>
      <c r="AF227" s="28" t="s">
        <v>551</v>
      </c>
      <c r="AG227" s="28" t="s">
        <v>66</v>
      </c>
    </row>
    <row r="228" spans="2:33" x14ac:dyDescent="0.2">
      <c r="B228" s="34">
        <f>CHOOSE(B$1,Tabla2[[#This Row],[Edad]]*12/365,Tabla2[[#This Row],[Tn/Ha]],Tabla2[[#This Row],[Tn]],Tabla2[[#This Row],[Area_Cosecha]])</f>
        <v>12.847310390912121</v>
      </c>
      <c r="C228" s="87" t="s">
        <v>550</v>
      </c>
      <c r="D228" s="23" t="s">
        <v>551</v>
      </c>
      <c r="E228" s="23" t="s">
        <v>551</v>
      </c>
      <c r="F228" s="23" t="s">
        <v>510</v>
      </c>
      <c r="G228" s="23" t="s">
        <v>22</v>
      </c>
      <c r="H228" s="23" t="s">
        <v>23</v>
      </c>
      <c r="I228" s="23" t="s">
        <v>2</v>
      </c>
      <c r="J228" s="23" t="s">
        <v>5</v>
      </c>
      <c r="K228" s="23" t="s">
        <v>557</v>
      </c>
      <c r="L228" s="23">
        <v>2022</v>
      </c>
      <c r="M228" s="24" t="s">
        <v>304</v>
      </c>
      <c r="N228" s="24">
        <v>44902</v>
      </c>
      <c r="O228" s="24" t="s">
        <v>50</v>
      </c>
      <c r="P228" s="86">
        <v>390.77235772357699</v>
      </c>
      <c r="Q228" s="86">
        <v>18.920000000000002</v>
      </c>
      <c r="R228" s="25">
        <v>1.23</v>
      </c>
      <c r="S228" s="25">
        <v>112.37</v>
      </c>
      <c r="T228" s="25">
        <v>8.75</v>
      </c>
      <c r="U228" s="25">
        <v>14.719214686523699</v>
      </c>
      <c r="V228" s="25">
        <v>13.2161522358107</v>
      </c>
      <c r="W228" s="25">
        <v>138.221</v>
      </c>
      <c r="X228" s="34">
        <v>78648.899999999994</v>
      </c>
      <c r="Y228" s="30">
        <v>45293</v>
      </c>
      <c r="Z228" s="85">
        <v>2024</v>
      </c>
      <c r="AA228" s="28">
        <v>1</v>
      </c>
      <c r="AB228" s="84">
        <v>2034.50457318599</v>
      </c>
      <c r="AC228" s="84">
        <v>1826.749778186</v>
      </c>
      <c r="AD228" s="84">
        <v>480.65</v>
      </c>
      <c r="AE228" s="34">
        <v>20345.045731859998</v>
      </c>
      <c r="AF228" s="28" t="s">
        <v>551</v>
      </c>
      <c r="AG228" s="28" t="s">
        <v>66</v>
      </c>
    </row>
    <row r="229" spans="2:33" x14ac:dyDescent="0.2">
      <c r="B229" s="34">
        <f>CHOOSE(B$1,Tabla2[[#This Row],[Edad]]*12/365,Tabla2[[#This Row],[Tn/Ha]],Tabla2[[#This Row],[Tn]],Tabla2[[#This Row],[Area_Cosecha]])</f>
        <v>13.699315068493151</v>
      </c>
      <c r="C229" s="87" t="s">
        <v>550</v>
      </c>
      <c r="D229" s="23" t="s">
        <v>551</v>
      </c>
      <c r="E229" s="23" t="s">
        <v>551</v>
      </c>
      <c r="F229" s="23" t="s">
        <v>398</v>
      </c>
      <c r="G229" s="23" t="s">
        <v>22</v>
      </c>
      <c r="H229" s="23" t="s">
        <v>23</v>
      </c>
      <c r="I229" s="23" t="s">
        <v>2</v>
      </c>
      <c r="J229" s="23" t="s">
        <v>6</v>
      </c>
      <c r="K229" s="23" t="s">
        <v>601</v>
      </c>
      <c r="L229" s="23">
        <v>2023</v>
      </c>
      <c r="M229" s="24" t="s">
        <v>545</v>
      </c>
      <c r="N229" s="24">
        <v>44905</v>
      </c>
      <c r="O229" s="24" t="s">
        <v>79</v>
      </c>
      <c r="P229" s="86">
        <v>416.6875</v>
      </c>
      <c r="Q229" s="86">
        <v>18.45</v>
      </c>
      <c r="R229" s="25">
        <v>5.2799999999999896</v>
      </c>
      <c r="S229" s="25">
        <v>95.2</v>
      </c>
      <c r="T229" s="25">
        <v>6.95</v>
      </c>
      <c r="U229" s="25">
        <v>14.484197711608401</v>
      </c>
      <c r="V229" s="25">
        <v>12.948763553168201</v>
      </c>
      <c r="W229" s="25">
        <v>502.65</v>
      </c>
      <c r="X229" s="34">
        <v>239258.37</v>
      </c>
      <c r="Y229" s="30">
        <v>45322</v>
      </c>
      <c r="Z229" s="85">
        <v>2024</v>
      </c>
      <c r="AA229" s="28">
        <v>1</v>
      </c>
      <c r="AB229" s="84">
        <v>7280.4819797399996</v>
      </c>
      <c r="AC229" s="84">
        <v>6508.6959999999999</v>
      </c>
      <c r="AD229" s="84">
        <v>2200.11</v>
      </c>
      <c r="AE229" s="34">
        <v>72804.819797399905</v>
      </c>
      <c r="AF229" s="28" t="s">
        <v>551</v>
      </c>
      <c r="AG229" s="28" t="s">
        <v>66</v>
      </c>
    </row>
    <row r="230" spans="2:33" x14ac:dyDescent="0.2">
      <c r="B230" s="34">
        <f>CHOOSE(B$1,Tabla2[[#This Row],[Edad]]*12/365,Tabla2[[#This Row],[Tn/Ha]],Tabla2[[#This Row],[Tn]],Tabla2[[#This Row],[Area_Cosecha]])</f>
        <v>13.752820623449459</v>
      </c>
      <c r="C230" s="87" t="s">
        <v>550</v>
      </c>
      <c r="D230" s="23" t="s">
        <v>551</v>
      </c>
      <c r="E230" s="23" t="s">
        <v>551</v>
      </c>
      <c r="F230" s="23" t="s">
        <v>398</v>
      </c>
      <c r="G230" s="23" t="s">
        <v>22</v>
      </c>
      <c r="H230" s="23" t="s">
        <v>23</v>
      </c>
      <c r="I230" s="23" t="s">
        <v>2</v>
      </c>
      <c r="J230" s="23" t="s">
        <v>6</v>
      </c>
      <c r="K230" s="23" t="s">
        <v>601</v>
      </c>
      <c r="L230" s="23">
        <v>2023</v>
      </c>
      <c r="M230" s="24" t="s">
        <v>545</v>
      </c>
      <c r="N230" s="24">
        <v>44905</v>
      </c>
      <c r="O230" s="24" t="s">
        <v>79</v>
      </c>
      <c r="P230" s="86">
        <v>418.31496062992102</v>
      </c>
      <c r="Q230" s="86">
        <v>18.45</v>
      </c>
      <c r="R230" s="25">
        <v>1.27</v>
      </c>
      <c r="S230" s="25">
        <v>107.5</v>
      </c>
      <c r="T230" s="25">
        <v>7.82</v>
      </c>
      <c r="U230" s="25">
        <v>14.684031918546699</v>
      </c>
      <c r="V230" s="25">
        <v>13.1699956806328</v>
      </c>
      <c r="W230" s="25">
        <v>136.52000000000001</v>
      </c>
      <c r="X230" s="34">
        <v>74286.23</v>
      </c>
      <c r="Y230" s="30">
        <v>45324</v>
      </c>
      <c r="Z230" s="85">
        <v>2024</v>
      </c>
      <c r="AA230" s="28">
        <v>2</v>
      </c>
      <c r="AB230" s="84">
        <v>2004.66403752</v>
      </c>
      <c r="AC230" s="84">
        <v>1797.9678103199999</v>
      </c>
      <c r="AD230" s="84">
        <v>531.26</v>
      </c>
      <c r="AE230" s="34">
        <v>20046.640375200001</v>
      </c>
      <c r="AF230" s="28" t="s">
        <v>551</v>
      </c>
      <c r="AG230" s="28" t="s">
        <v>66</v>
      </c>
    </row>
    <row r="231" spans="2:33" x14ac:dyDescent="0.2">
      <c r="B231" s="34">
        <f>CHOOSE(B$1,Tabla2[[#This Row],[Edad]]*12/365,Tabla2[[#This Row],[Tn/Ha]],Tabla2[[#This Row],[Tn]],Tabla2[[#This Row],[Area_Cosecha]])</f>
        <v>10.206867238509764</v>
      </c>
      <c r="C231" s="87" t="s">
        <v>550</v>
      </c>
      <c r="D231" s="23" t="s">
        <v>551</v>
      </c>
      <c r="E231" s="23" t="s">
        <v>551</v>
      </c>
      <c r="F231" s="23" t="s">
        <v>177</v>
      </c>
      <c r="G231" s="23" t="s">
        <v>22</v>
      </c>
      <c r="H231" s="23" t="s">
        <v>23</v>
      </c>
      <c r="I231" s="23" t="s">
        <v>2</v>
      </c>
      <c r="J231" s="23" t="s">
        <v>7</v>
      </c>
      <c r="K231" s="23" t="s">
        <v>827</v>
      </c>
      <c r="L231" s="23">
        <v>2023</v>
      </c>
      <c r="M231" s="24" t="s">
        <v>315</v>
      </c>
      <c r="N231" s="24">
        <v>45259</v>
      </c>
      <c r="O231" s="24" t="s">
        <v>50</v>
      </c>
      <c r="P231" s="86">
        <v>310.45887850467199</v>
      </c>
      <c r="Q231" s="86">
        <v>21.4</v>
      </c>
      <c r="R231" s="25">
        <v>21.399999999999899</v>
      </c>
      <c r="S231" s="25">
        <v>130.38</v>
      </c>
      <c r="T231" s="25">
        <v>12.77</v>
      </c>
      <c r="U231" s="25">
        <v>13.8811472152252</v>
      </c>
      <c r="V231" s="25">
        <v>12.3962641575033</v>
      </c>
      <c r="W231" s="25">
        <v>2790.1</v>
      </c>
      <c r="X231" s="34">
        <v>725782.27</v>
      </c>
      <c r="Y231" s="30">
        <v>45575</v>
      </c>
      <c r="Z231" s="85">
        <v>2024</v>
      </c>
      <c r="AA231" s="28">
        <v>10</v>
      </c>
      <c r="AB231" s="84">
        <v>38729.788845199997</v>
      </c>
      <c r="AC231" s="84">
        <v>34586.816625849999</v>
      </c>
      <c r="AD231" s="84">
        <v>6643.82</v>
      </c>
      <c r="AE231" s="34">
        <v>387297.88845199998</v>
      </c>
      <c r="AF231" s="28" t="s">
        <v>551</v>
      </c>
      <c r="AG231" s="28" t="s">
        <v>66</v>
      </c>
    </row>
    <row r="232" spans="2:33" x14ac:dyDescent="0.2">
      <c r="B232" s="34">
        <f>CHOOSE(B$1,Tabla2[[#This Row],[Edad]]*12/365,Tabla2[[#This Row],[Tn/Ha]],Tabla2[[#This Row],[Tn]],Tabla2[[#This Row],[Area_Cosecha]])</f>
        <v>10.069049205016043</v>
      </c>
      <c r="C232" s="87" t="s">
        <v>550</v>
      </c>
      <c r="D232" s="23" t="s">
        <v>551</v>
      </c>
      <c r="E232" s="23" t="s">
        <v>551</v>
      </c>
      <c r="F232" s="23" t="s">
        <v>178</v>
      </c>
      <c r="G232" s="23" t="s">
        <v>22</v>
      </c>
      <c r="H232" s="23" t="s">
        <v>23</v>
      </c>
      <c r="I232" s="23" t="s">
        <v>2</v>
      </c>
      <c r="J232" s="23" t="s">
        <v>8</v>
      </c>
      <c r="K232" s="23" t="s">
        <v>828</v>
      </c>
      <c r="L232" s="23">
        <v>2022</v>
      </c>
      <c r="M232" s="24" t="s">
        <v>410</v>
      </c>
      <c r="N232" s="24">
        <v>45264</v>
      </c>
      <c r="O232" s="24" t="s">
        <v>50</v>
      </c>
      <c r="P232" s="86">
        <v>306.26691331923797</v>
      </c>
      <c r="Q232" s="86">
        <v>18.920000000000002</v>
      </c>
      <c r="R232" s="25">
        <v>18.920000000000002</v>
      </c>
      <c r="S232" s="25">
        <v>150.75</v>
      </c>
      <c r="T232" s="25">
        <v>14.97</v>
      </c>
      <c r="U232" s="25">
        <v>13.419099842577801</v>
      </c>
      <c r="V232" s="25">
        <v>11.9557197129909</v>
      </c>
      <c r="W232" s="25">
        <v>2852.14</v>
      </c>
      <c r="X232" s="34">
        <v>849081.67</v>
      </c>
      <c r="Y232" s="30">
        <v>45572</v>
      </c>
      <c r="Z232" s="85">
        <v>2024</v>
      </c>
      <c r="AA232" s="28">
        <v>10</v>
      </c>
      <c r="AB232" s="84">
        <v>38273.151425010001</v>
      </c>
      <c r="AC232" s="84">
        <v>34099.3864222099</v>
      </c>
      <c r="AD232" s="84">
        <v>5794.57</v>
      </c>
      <c r="AE232" s="34">
        <v>382731.51425010001</v>
      </c>
      <c r="AF232" s="28" t="s">
        <v>551</v>
      </c>
      <c r="AG232" s="28" t="s">
        <v>66</v>
      </c>
    </row>
    <row r="233" spans="2:33" x14ac:dyDescent="0.2">
      <c r="B233" s="34">
        <f>CHOOSE(B$1,Tabla2[[#This Row],[Edad]]*12/365,Tabla2[[#This Row],[Tn/Ha]],Tabla2[[#This Row],[Tn]],Tabla2[[#This Row],[Area_Cosecha]])</f>
        <v>12.898170093035668</v>
      </c>
      <c r="C233" s="87" t="s">
        <v>550</v>
      </c>
      <c r="D233" s="23" t="s">
        <v>551</v>
      </c>
      <c r="E233" s="23" t="s">
        <v>551</v>
      </c>
      <c r="F233" s="23" t="s">
        <v>416</v>
      </c>
      <c r="G233" s="23" t="s">
        <v>22</v>
      </c>
      <c r="H233" s="23" t="s">
        <v>23</v>
      </c>
      <c r="I233" s="23" t="s">
        <v>9</v>
      </c>
      <c r="J233" s="23" t="s">
        <v>3</v>
      </c>
      <c r="K233" s="23" t="s">
        <v>579</v>
      </c>
      <c r="L233" s="23">
        <v>2023</v>
      </c>
      <c r="M233" s="24" t="s">
        <v>381</v>
      </c>
      <c r="N233" s="24">
        <v>44915</v>
      </c>
      <c r="O233" s="24" t="s">
        <v>50</v>
      </c>
      <c r="P233" s="86">
        <v>392.31934032983497</v>
      </c>
      <c r="Q233" s="86">
        <v>20.010000000000002</v>
      </c>
      <c r="R233" s="25">
        <v>20.010000000000002</v>
      </c>
      <c r="S233" s="25">
        <v>140.5</v>
      </c>
      <c r="T233" s="25">
        <v>10.89</v>
      </c>
      <c r="U233" s="25">
        <v>14.4583231939125</v>
      </c>
      <c r="V233" s="25">
        <v>12.906106496562099</v>
      </c>
      <c r="W233" s="25">
        <v>2811.37</v>
      </c>
      <c r="X233" s="34">
        <v>1304064.1399999999</v>
      </c>
      <c r="Y233" s="30">
        <v>45308</v>
      </c>
      <c r="Z233" s="85">
        <v>2024</v>
      </c>
      <c r="AA233" s="28">
        <v>1</v>
      </c>
      <c r="AB233" s="84">
        <v>40647.69607767</v>
      </c>
      <c r="AC233" s="84">
        <v>36283.84062124</v>
      </c>
      <c r="AD233" s="84">
        <v>7850.31</v>
      </c>
      <c r="AE233" s="34">
        <v>406476.96077669901</v>
      </c>
      <c r="AF233" s="28" t="s">
        <v>551</v>
      </c>
      <c r="AG233" s="28" t="s">
        <v>66</v>
      </c>
    </row>
    <row r="234" spans="2:33" x14ac:dyDescent="0.2">
      <c r="B234" s="34">
        <f>CHOOSE(B$1,Tabla2[[#This Row],[Edad]]*12/365,Tabla2[[#This Row],[Tn/Ha]],Tabla2[[#This Row],[Tn]],Tabla2[[#This Row],[Area_Cosecha]])</f>
        <v>14.810665192846685</v>
      </c>
      <c r="C234" s="87" t="s">
        <v>550</v>
      </c>
      <c r="D234" s="23" t="s">
        <v>551</v>
      </c>
      <c r="E234" s="23" t="s">
        <v>551</v>
      </c>
      <c r="F234" s="23" t="s">
        <v>179</v>
      </c>
      <c r="G234" s="23" t="s">
        <v>22</v>
      </c>
      <c r="H234" s="23" t="s">
        <v>23</v>
      </c>
      <c r="I234" s="23" t="s">
        <v>9</v>
      </c>
      <c r="J234" s="23" t="s">
        <v>4</v>
      </c>
      <c r="K234" s="23" t="s">
        <v>668</v>
      </c>
      <c r="L234" s="23">
        <v>2023</v>
      </c>
      <c r="M234" s="24" t="s">
        <v>381</v>
      </c>
      <c r="N234" s="24">
        <v>44980</v>
      </c>
      <c r="O234" s="24" t="s">
        <v>50</v>
      </c>
      <c r="P234" s="86">
        <v>450.49106628241998</v>
      </c>
      <c r="Q234" s="86">
        <v>17.349999999999898</v>
      </c>
      <c r="R234" s="25">
        <v>17.349999999999898</v>
      </c>
      <c r="S234" s="25">
        <v>127.72</v>
      </c>
      <c r="T234" s="25">
        <v>8.6199999999999992</v>
      </c>
      <c r="U234" s="25">
        <v>14.995383286632199</v>
      </c>
      <c r="V234" s="25">
        <v>13.465123329455199</v>
      </c>
      <c r="W234" s="25">
        <v>2215.864</v>
      </c>
      <c r="X234" s="34">
        <v>407591.34</v>
      </c>
      <c r="Y234" s="30">
        <v>45437</v>
      </c>
      <c r="Z234" s="85">
        <v>2024</v>
      </c>
      <c r="AA234" s="28">
        <v>5</v>
      </c>
      <c r="AB234" s="84">
        <v>33227.729991050001</v>
      </c>
      <c r="AC234" s="84">
        <v>29836.882041299999</v>
      </c>
      <c r="AD234" s="84">
        <v>7816.02</v>
      </c>
      <c r="AE234" s="34">
        <v>332277.29991050001</v>
      </c>
      <c r="AF234" s="28" t="s">
        <v>551</v>
      </c>
      <c r="AG234" s="28" t="s">
        <v>66</v>
      </c>
    </row>
    <row r="235" spans="2:33" x14ac:dyDescent="0.2">
      <c r="B235" s="34">
        <f>CHOOSE(B$1,Tabla2[[#This Row],[Edad]]*12/365,Tabla2[[#This Row],[Tn/Ha]],Tabla2[[#This Row],[Tn]],Tabla2[[#This Row],[Area_Cosecha]])</f>
        <v>12.895092432504295</v>
      </c>
      <c r="C235" s="87" t="s">
        <v>550</v>
      </c>
      <c r="D235" s="23" t="s">
        <v>551</v>
      </c>
      <c r="E235" s="23" t="s">
        <v>551</v>
      </c>
      <c r="F235" s="23" t="s">
        <v>457</v>
      </c>
      <c r="G235" s="23" t="s">
        <v>22</v>
      </c>
      <c r="H235" s="23" t="s">
        <v>23</v>
      </c>
      <c r="I235" s="23" t="s">
        <v>9</v>
      </c>
      <c r="J235" s="23" t="s">
        <v>5</v>
      </c>
      <c r="K235" s="23" t="s">
        <v>580</v>
      </c>
      <c r="L235" s="23">
        <v>2023</v>
      </c>
      <c r="M235" s="24" t="s">
        <v>381</v>
      </c>
      <c r="N235" s="24">
        <v>44921</v>
      </c>
      <c r="O235" s="24" t="s">
        <v>50</v>
      </c>
      <c r="P235" s="86">
        <v>392.22572815533903</v>
      </c>
      <c r="Q235" s="86">
        <v>20.92</v>
      </c>
      <c r="R235" s="25">
        <v>20.6</v>
      </c>
      <c r="S235" s="25">
        <v>128.88</v>
      </c>
      <c r="T235" s="25">
        <v>9.99</v>
      </c>
      <c r="U235" s="25">
        <v>14.5627966904887</v>
      </c>
      <c r="V235" s="25">
        <v>13.052905770418301</v>
      </c>
      <c r="W235" s="25">
        <v>2654.96</v>
      </c>
      <c r="X235" s="34">
        <v>861943.39</v>
      </c>
      <c r="Y235" s="30">
        <v>45319</v>
      </c>
      <c r="Z235" s="85">
        <v>2024</v>
      </c>
      <c r="AA235" s="28">
        <v>1</v>
      </c>
      <c r="AB235" s="84">
        <v>38663.642701379998</v>
      </c>
      <c r="AC235" s="84">
        <v>34654.942704229899</v>
      </c>
      <c r="AD235" s="84">
        <v>8079.8499999999904</v>
      </c>
      <c r="AE235" s="34">
        <v>386636.42701380001</v>
      </c>
      <c r="AF235" s="28" t="s">
        <v>551</v>
      </c>
      <c r="AG235" s="28" t="s">
        <v>66</v>
      </c>
    </row>
    <row r="236" spans="2:33" x14ac:dyDescent="0.2">
      <c r="B236" s="34">
        <f>CHOOSE(B$1,Tabla2[[#This Row],[Edad]]*12/365,Tabla2[[#This Row],[Tn/Ha]],Tabla2[[#This Row],[Tn]],Tabla2[[#This Row],[Area_Cosecha]])</f>
        <v>13.315068493150685</v>
      </c>
      <c r="C236" s="87" t="s">
        <v>550</v>
      </c>
      <c r="D236" s="23" t="s">
        <v>551</v>
      </c>
      <c r="E236" s="23" t="s">
        <v>551</v>
      </c>
      <c r="F236" s="23" t="s">
        <v>457</v>
      </c>
      <c r="G236" s="23" t="s">
        <v>22</v>
      </c>
      <c r="H236" s="23" t="s">
        <v>23</v>
      </c>
      <c r="I236" s="23" t="s">
        <v>9</v>
      </c>
      <c r="J236" s="23" t="s">
        <v>5</v>
      </c>
      <c r="K236" s="23" t="s">
        <v>580</v>
      </c>
      <c r="L236" s="23">
        <v>2023</v>
      </c>
      <c r="M236" s="24" t="s">
        <v>381</v>
      </c>
      <c r="N236" s="24">
        <v>44921</v>
      </c>
      <c r="O236" s="24" t="s">
        <v>50</v>
      </c>
      <c r="P236" s="86">
        <v>405</v>
      </c>
      <c r="Q236" s="86">
        <v>20.92</v>
      </c>
      <c r="R236" s="25">
        <v>0.32</v>
      </c>
      <c r="S236" s="25">
        <v>103.13</v>
      </c>
      <c r="T236" s="25">
        <v>7.74</v>
      </c>
      <c r="U236" s="25">
        <v>14.562796000000001</v>
      </c>
      <c r="V236" s="25">
        <v>13.0529049999999</v>
      </c>
      <c r="W236" s="25">
        <v>33</v>
      </c>
      <c r="X236" s="34">
        <v>17015.63</v>
      </c>
      <c r="Y236" s="30">
        <v>45327</v>
      </c>
      <c r="Z236" s="85">
        <v>2024</v>
      </c>
      <c r="AA236" s="28">
        <v>2</v>
      </c>
      <c r="AB236" s="84">
        <v>480.57226800000001</v>
      </c>
      <c r="AC236" s="84">
        <v>430.74586499999998</v>
      </c>
      <c r="AD236" s="84">
        <v>129.6</v>
      </c>
      <c r="AE236" s="34">
        <v>4805.7226799999999</v>
      </c>
      <c r="AF236" s="28" t="s">
        <v>551</v>
      </c>
      <c r="AG236" s="28" t="s">
        <v>66</v>
      </c>
    </row>
    <row r="237" spans="2:33" x14ac:dyDescent="0.2">
      <c r="B237" s="34">
        <f>CHOOSE(B$1,Tabla2[[#This Row],[Edad]]*12/365,Tabla2[[#This Row],[Tn/Ha]],Tabla2[[#This Row],[Tn]],Tabla2[[#This Row],[Area_Cosecha]])</f>
        <v>15.088815524118248</v>
      </c>
      <c r="C237" s="87" t="s">
        <v>550</v>
      </c>
      <c r="D237" s="23" t="s">
        <v>551</v>
      </c>
      <c r="E237" s="23" t="s">
        <v>551</v>
      </c>
      <c r="F237" s="23" t="s">
        <v>180</v>
      </c>
      <c r="G237" s="23" t="s">
        <v>22</v>
      </c>
      <c r="H237" s="23" t="s">
        <v>23</v>
      </c>
      <c r="I237" s="23" t="s">
        <v>9</v>
      </c>
      <c r="J237" s="23" t="s">
        <v>6</v>
      </c>
      <c r="K237" s="23" t="s">
        <v>669</v>
      </c>
      <c r="L237" s="23">
        <v>2022</v>
      </c>
      <c r="M237" s="24" t="s">
        <v>62</v>
      </c>
      <c r="N237" s="24">
        <v>44968</v>
      </c>
      <c r="O237" s="24" t="s">
        <v>79</v>
      </c>
      <c r="P237" s="86">
        <v>458.95147219193001</v>
      </c>
      <c r="Q237" s="86">
        <v>18.34</v>
      </c>
      <c r="R237" s="25">
        <v>18.34</v>
      </c>
      <c r="S237" s="25">
        <v>132.32</v>
      </c>
      <c r="T237" s="25">
        <v>8.77</v>
      </c>
      <c r="U237" s="25">
        <v>14.4727198461475</v>
      </c>
      <c r="V237" s="25">
        <v>12.9629584356626</v>
      </c>
      <c r="W237" s="25">
        <v>2426.7399999999998</v>
      </c>
      <c r="X237" s="34">
        <v>534526.39</v>
      </c>
      <c r="Y237" s="30">
        <v>45429</v>
      </c>
      <c r="Z237" s="85">
        <v>2024</v>
      </c>
      <c r="AA237" s="28">
        <v>5</v>
      </c>
      <c r="AB237" s="84">
        <v>35121.52815944</v>
      </c>
      <c r="AC237" s="84">
        <v>31457.729754159998</v>
      </c>
      <c r="AD237" s="84">
        <v>8417.17</v>
      </c>
      <c r="AE237" s="34">
        <v>351215.2815944</v>
      </c>
      <c r="AF237" s="28" t="s">
        <v>551</v>
      </c>
      <c r="AG237" s="28" t="s">
        <v>66</v>
      </c>
    </row>
    <row r="238" spans="2:33" x14ac:dyDescent="0.2">
      <c r="B238" s="34">
        <f>CHOOSE(B$1,Tabla2[[#This Row],[Edad]]*12/365,Tabla2[[#This Row],[Tn/Ha]],Tabla2[[#This Row],[Tn]],Tabla2[[#This Row],[Area_Cosecha]])</f>
        <v>14.743112971118499</v>
      </c>
      <c r="C238" s="87" t="s">
        <v>550</v>
      </c>
      <c r="D238" s="23" t="s">
        <v>551</v>
      </c>
      <c r="E238" s="23" t="s">
        <v>551</v>
      </c>
      <c r="F238" s="23" t="s">
        <v>181</v>
      </c>
      <c r="G238" s="23" t="s">
        <v>22</v>
      </c>
      <c r="H238" s="23" t="s">
        <v>23</v>
      </c>
      <c r="I238" s="23" t="s">
        <v>9</v>
      </c>
      <c r="J238" s="23" t="s">
        <v>7</v>
      </c>
      <c r="K238" s="23" t="s">
        <v>670</v>
      </c>
      <c r="L238" s="23">
        <v>2022</v>
      </c>
      <c r="M238" s="24" t="s">
        <v>62</v>
      </c>
      <c r="N238" s="24">
        <v>44977</v>
      </c>
      <c r="O238" s="24" t="s">
        <v>79</v>
      </c>
      <c r="P238" s="86">
        <v>448.43635287152102</v>
      </c>
      <c r="Q238" s="86">
        <v>16.89</v>
      </c>
      <c r="R238" s="25">
        <v>16.89</v>
      </c>
      <c r="S238" s="25">
        <v>130.72999999999999</v>
      </c>
      <c r="T238" s="25">
        <v>8.8699999999999992</v>
      </c>
      <c r="U238" s="25">
        <v>14.4364224150988</v>
      </c>
      <c r="V238" s="25">
        <v>12.9438425524755</v>
      </c>
      <c r="W238" s="25">
        <v>2207.97999999999</v>
      </c>
      <c r="X238" s="34">
        <v>360650.59</v>
      </c>
      <c r="Y238" s="30">
        <v>45428</v>
      </c>
      <c r="Z238" s="85">
        <v>2024</v>
      </c>
      <c r="AA238" s="28">
        <v>5</v>
      </c>
      <c r="AB238" s="84">
        <v>31875.331964090001</v>
      </c>
      <c r="AC238" s="84">
        <v>28579.745479014899</v>
      </c>
      <c r="AD238" s="84">
        <v>7574.09</v>
      </c>
      <c r="AE238" s="34">
        <v>318753.31964090001</v>
      </c>
      <c r="AF238" s="28" t="s">
        <v>551</v>
      </c>
      <c r="AG238" s="28" t="s">
        <v>66</v>
      </c>
    </row>
    <row r="239" spans="2:33" x14ac:dyDescent="0.2">
      <c r="B239" s="34">
        <f>CHOOSE(B$1,Tabla2[[#This Row],[Edad]]*12/365,Tabla2[[#This Row],[Tn/Ha]],Tabla2[[#This Row],[Tn]],Tabla2[[#This Row],[Area_Cosecha]])</f>
        <v>14.911964526090742</v>
      </c>
      <c r="C239" s="87" t="s">
        <v>550</v>
      </c>
      <c r="D239" s="23" t="s">
        <v>551</v>
      </c>
      <c r="E239" s="23" t="s">
        <v>551</v>
      </c>
      <c r="F239" s="23" t="s">
        <v>182</v>
      </c>
      <c r="G239" s="23" t="s">
        <v>22</v>
      </c>
      <c r="H239" s="23" t="s">
        <v>23</v>
      </c>
      <c r="I239" s="23" t="s">
        <v>9</v>
      </c>
      <c r="J239" s="23" t="s">
        <v>8</v>
      </c>
      <c r="K239" s="23" t="s">
        <v>671</v>
      </c>
      <c r="L239" s="23">
        <v>2023</v>
      </c>
      <c r="M239" s="24" t="s">
        <v>62</v>
      </c>
      <c r="N239" s="24">
        <v>44980</v>
      </c>
      <c r="O239" s="24" t="s">
        <v>79</v>
      </c>
      <c r="P239" s="86">
        <v>453.57225433526003</v>
      </c>
      <c r="Q239" s="86">
        <v>17.4499999999999</v>
      </c>
      <c r="R239" s="25">
        <v>17.3</v>
      </c>
      <c r="S239" s="25">
        <v>142.08000000000001</v>
      </c>
      <c r="T239" s="25">
        <v>9.5299999999999994</v>
      </c>
      <c r="U239" s="25">
        <v>14.3849684340266</v>
      </c>
      <c r="V239" s="25">
        <v>12.8906961834931</v>
      </c>
      <c r="W239" s="25">
        <v>2458.0540000000001</v>
      </c>
      <c r="X239" s="34">
        <v>313849.7</v>
      </c>
      <c r="Y239" s="30">
        <v>45443</v>
      </c>
      <c r="Z239" s="85">
        <v>2024</v>
      </c>
      <c r="AA239" s="28">
        <v>5</v>
      </c>
      <c r="AB239" s="84">
        <v>35359.029199133001</v>
      </c>
      <c r="AC239" s="84">
        <v>31686.027316619999</v>
      </c>
      <c r="AD239" s="84">
        <v>7846.7999999999902</v>
      </c>
      <c r="AE239" s="34">
        <v>353590.29199132998</v>
      </c>
      <c r="AF239" s="28" t="s">
        <v>551</v>
      </c>
      <c r="AG239" s="28" t="s">
        <v>66</v>
      </c>
    </row>
    <row r="240" spans="2:33" x14ac:dyDescent="0.2">
      <c r="B240" s="34">
        <f>CHOOSE(B$1,Tabla2[[#This Row],[Edad]]*12/365,Tabla2[[#This Row],[Tn/Ha]],Tabla2[[#This Row],[Tn]],Tabla2[[#This Row],[Area_Cosecha]])</f>
        <v>15.272328767123277</v>
      </c>
      <c r="C240" s="87" t="s">
        <v>550</v>
      </c>
      <c r="D240" s="23" t="s">
        <v>551</v>
      </c>
      <c r="E240" s="23" t="s">
        <v>551</v>
      </c>
      <c r="F240" s="23" t="s">
        <v>182</v>
      </c>
      <c r="G240" s="23" t="s">
        <v>22</v>
      </c>
      <c r="H240" s="23" t="s">
        <v>23</v>
      </c>
      <c r="I240" s="23" t="s">
        <v>9</v>
      </c>
      <c r="J240" s="23" t="s">
        <v>8</v>
      </c>
      <c r="K240" s="23" t="s">
        <v>671</v>
      </c>
      <c r="L240" s="23">
        <v>2023</v>
      </c>
      <c r="M240" s="24" t="s">
        <v>62</v>
      </c>
      <c r="N240" s="24">
        <v>44980</v>
      </c>
      <c r="O240" s="24" t="s">
        <v>79</v>
      </c>
      <c r="P240" s="86">
        <v>464.53333333333302</v>
      </c>
      <c r="Q240" s="86">
        <v>17.45</v>
      </c>
      <c r="R240" s="25">
        <v>0.15</v>
      </c>
      <c r="S240" s="25">
        <v>452</v>
      </c>
      <c r="T240" s="25">
        <v>29.6</v>
      </c>
      <c r="U240" s="25">
        <v>14.0413101769911</v>
      </c>
      <c r="V240" s="25">
        <v>12.5755001943952</v>
      </c>
      <c r="W240" s="25">
        <v>67.8</v>
      </c>
      <c r="X240" s="34">
        <v>152899.26</v>
      </c>
      <c r="Y240" s="30">
        <v>45445</v>
      </c>
      <c r="Z240" s="85">
        <v>2024</v>
      </c>
      <c r="AA240" s="28">
        <v>6</v>
      </c>
      <c r="AB240" s="84">
        <v>952.00082999999995</v>
      </c>
      <c r="AC240" s="84">
        <v>852.61891317999903</v>
      </c>
      <c r="AD240" s="84">
        <v>69.680000000000007</v>
      </c>
      <c r="AE240" s="34">
        <v>9520.0082999999904</v>
      </c>
      <c r="AF240" s="28" t="s">
        <v>551</v>
      </c>
      <c r="AG240" s="28" t="s">
        <v>66</v>
      </c>
    </row>
    <row r="241" spans="2:33" x14ac:dyDescent="0.2">
      <c r="B241" s="34">
        <f>CHOOSE(B$1,Tabla2[[#This Row],[Edad]]*12/365,Tabla2[[#This Row],[Tn/Ha]],Tabla2[[#This Row],[Tn]],Tabla2[[#This Row],[Area_Cosecha]])</f>
        <v>10.799904760393019</v>
      </c>
      <c r="C241" s="87" t="s">
        <v>550</v>
      </c>
      <c r="D241" s="23" t="s">
        <v>551</v>
      </c>
      <c r="E241" s="23" t="s">
        <v>551</v>
      </c>
      <c r="F241" s="23" t="s">
        <v>503</v>
      </c>
      <c r="G241" s="23" t="s">
        <v>22</v>
      </c>
      <c r="H241" s="23" t="s">
        <v>23</v>
      </c>
      <c r="I241" s="23" t="s">
        <v>10</v>
      </c>
      <c r="J241" s="23" t="s">
        <v>3</v>
      </c>
      <c r="K241" s="23" t="s">
        <v>864</v>
      </c>
      <c r="L241" s="23">
        <v>2023</v>
      </c>
      <c r="M241" s="24" t="s">
        <v>351</v>
      </c>
      <c r="N241" s="24">
        <v>45272</v>
      </c>
      <c r="O241" s="24" t="s">
        <v>50</v>
      </c>
      <c r="P241" s="86">
        <v>328.49710312862101</v>
      </c>
      <c r="Q241" s="86">
        <v>17.260000000000002</v>
      </c>
      <c r="R241" s="25">
        <v>17.259999999999899</v>
      </c>
      <c r="S241" s="25">
        <v>130.44999999999999</v>
      </c>
      <c r="T241" s="25">
        <v>12.08</v>
      </c>
      <c r="U241" s="25">
        <v>14.818325048814099</v>
      </c>
      <c r="V241" s="25">
        <v>13.3769413233906</v>
      </c>
      <c r="W241" s="25">
        <v>2251.4969999999998</v>
      </c>
      <c r="X241" s="34">
        <v>588080.91</v>
      </c>
      <c r="Y241" s="30">
        <v>45614</v>
      </c>
      <c r="Z241" s="85">
        <v>2024</v>
      </c>
      <c r="AA241" s="28">
        <v>11</v>
      </c>
      <c r="AB241" s="84">
        <v>33363.414392430001</v>
      </c>
      <c r="AC241" s="84">
        <v>30118.1432587899</v>
      </c>
      <c r="AD241" s="84">
        <v>5669.86</v>
      </c>
      <c r="AE241" s="34">
        <v>333634.14392429998</v>
      </c>
      <c r="AF241" s="28" t="s">
        <v>551</v>
      </c>
      <c r="AG241" s="28" t="s">
        <v>66</v>
      </c>
    </row>
    <row r="242" spans="2:33" x14ac:dyDescent="0.2">
      <c r="B242" s="34">
        <f>CHOOSE(B$1,Tabla2[[#This Row],[Edad]]*12/365,Tabla2[[#This Row],[Tn/Ha]],Tabla2[[#This Row],[Tn]],Tabla2[[#This Row],[Area_Cosecha]])</f>
        <v>10.780069457842947</v>
      </c>
      <c r="C242" s="87" t="s">
        <v>550</v>
      </c>
      <c r="D242" s="23" t="s">
        <v>551</v>
      </c>
      <c r="E242" s="23" t="s">
        <v>551</v>
      </c>
      <c r="F242" s="23" t="s">
        <v>523</v>
      </c>
      <c r="G242" s="23" t="s">
        <v>22</v>
      </c>
      <c r="H242" s="23" t="s">
        <v>23</v>
      </c>
      <c r="I242" s="23" t="s">
        <v>10</v>
      </c>
      <c r="J242" s="23" t="s">
        <v>4</v>
      </c>
      <c r="K242" s="23" t="s">
        <v>865</v>
      </c>
      <c r="L242" s="23">
        <v>2023</v>
      </c>
      <c r="M242" s="24" t="s">
        <v>304</v>
      </c>
      <c r="N242" s="24">
        <v>45273</v>
      </c>
      <c r="O242" s="24" t="s">
        <v>50</v>
      </c>
      <c r="P242" s="86">
        <v>327.89377934272301</v>
      </c>
      <c r="Q242" s="86">
        <v>17.04</v>
      </c>
      <c r="R242" s="25">
        <v>17.04</v>
      </c>
      <c r="S242" s="25">
        <v>125.88</v>
      </c>
      <c r="T242" s="25">
        <v>11.68</v>
      </c>
      <c r="U242" s="25">
        <v>15.4152177249315</v>
      </c>
      <c r="V242" s="25">
        <v>13.9519506140613</v>
      </c>
      <c r="W242" s="25">
        <v>2145.0299999999902</v>
      </c>
      <c r="X242" s="34">
        <v>670507.06000000006</v>
      </c>
      <c r="Y242" s="30">
        <v>45603</v>
      </c>
      <c r="Z242" s="85">
        <v>2024</v>
      </c>
      <c r="AA242" s="28">
        <v>11</v>
      </c>
      <c r="AB242" s="84">
        <v>33066.104476510001</v>
      </c>
      <c r="AC242" s="84">
        <v>29927.352625679901</v>
      </c>
      <c r="AD242" s="84">
        <v>5587.31</v>
      </c>
      <c r="AE242" s="34">
        <v>330661.0447651</v>
      </c>
      <c r="AF242" s="28" t="s">
        <v>551</v>
      </c>
      <c r="AG242" s="28" t="s">
        <v>66</v>
      </c>
    </row>
    <row r="243" spans="2:33" x14ac:dyDescent="0.2">
      <c r="B243" s="34">
        <f>CHOOSE(B$1,Tabla2[[#This Row],[Edad]]*12/365,Tabla2[[#This Row],[Tn/Ha]],Tabla2[[#This Row],[Tn]],Tabla2[[#This Row],[Area_Cosecha]])</f>
        <v>10.651918940337371</v>
      </c>
      <c r="C243" s="87" t="s">
        <v>550</v>
      </c>
      <c r="D243" s="23" t="s">
        <v>551</v>
      </c>
      <c r="E243" s="23" t="s">
        <v>551</v>
      </c>
      <c r="F243" s="23" t="s">
        <v>517</v>
      </c>
      <c r="G243" s="23" t="s">
        <v>22</v>
      </c>
      <c r="H243" s="23" t="s">
        <v>23</v>
      </c>
      <c r="I243" s="23" t="s">
        <v>10</v>
      </c>
      <c r="J243" s="23" t="s">
        <v>5</v>
      </c>
      <c r="K243" s="23" t="s">
        <v>866</v>
      </c>
      <c r="L243" s="23">
        <v>2023</v>
      </c>
      <c r="M243" s="24" t="s">
        <v>304</v>
      </c>
      <c r="N243" s="24">
        <v>45278</v>
      </c>
      <c r="O243" s="24" t="s">
        <v>50</v>
      </c>
      <c r="P243" s="86">
        <v>323.99586776859502</v>
      </c>
      <c r="Q243" s="86">
        <v>19.36</v>
      </c>
      <c r="R243" s="25">
        <v>19.36</v>
      </c>
      <c r="S243" s="25">
        <v>124.04</v>
      </c>
      <c r="T243" s="25">
        <v>11.64</v>
      </c>
      <c r="U243" s="25">
        <v>14.7995255131757</v>
      </c>
      <c r="V243" s="25">
        <v>13.3441826908027</v>
      </c>
      <c r="W243" s="25">
        <v>2401.38</v>
      </c>
      <c r="X243" s="34">
        <v>731505.26</v>
      </c>
      <c r="Y243" s="30">
        <v>45603</v>
      </c>
      <c r="Z243" s="85">
        <v>2024</v>
      </c>
      <c r="AA243" s="28">
        <v>11</v>
      </c>
      <c r="AB243" s="84">
        <v>35539.284576830003</v>
      </c>
      <c r="AC243" s="84">
        <v>32044.453430039899</v>
      </c>
      <c r="AD243" s="84">
        <v>6272.56</v>
      </c>
      <c r="AE243" s="34">
        <v>355392.8457683</v>
      </c>
      <c r="AF243" s="28" t="s">
        <v>551</v>
      </c>
      <c r="AG243" s="28" t="s">
        <v>66</v>
      </c>
    </row>
    <row r="244" spans="2:33" x14ac:dyDescent="0.2">
      <c r="B244" s="34">
        <f>CHOOSE(B$1,Tabla2[[#This Row],[Edad]]*12/365,Tabla2[[#This Row],[Tn/Ha]],Tabla2[[#This Row],[Tn]],Tabla2[[#This Row],[Area_Cosecha]])</f>
        <v>14.323774360695616</v>
      </c>
      <c r="C244" s="87" t="s">
        <v>550</v>
      </c>
      <c r="D244" s="23" t="s">
        <v>551</v>
      </c>
      <c r="E244" s="23" t="s">
        <v>551</v>
      </c>
      <c r="F244" s="23" t="s">
        <v>183</v>
      </c>
      <c r="G244" s="23" t="s">
        <v>22</v>
      </c>
      <c r="H244" s="23" t="s">
        <v>23</v>
      </c>
      <c r="I244" s="23" t="s">
        <v>10</v>
      </c>
      <c r="J244" s="23" t="s">
        <v>6</v>
      </c>
      <c r="K244" s="23" t="s">
        <v>642</v>
      </c>
      <c r="L244" s="23">
        <v>2022</v>
      </c>
      <c r="M244" s="24" t="s">
        <v>289</v>
      </c>
      <c r="N244" s="24">
        <v>44963</v>
      </c>
      <c r="O244" s="24" t="s">
        <v>50</v>
      </c>
      <c r="P244" s="86">
        <v>435.68147013782499</v>
      </c>
      <c r="Q244" s="86">
        <v>19.59</v>
      </c>
      <c r="R244" s="25">
        <v>19.5899999999999</v>
      </c>
      <c r="S244" s="25">
        <v>127.22</v>
      </c>
      <c r="T244" s="25">
        <v>8.8800000000000008</v>
      </c>
      <c r="U244" s="25">
        <v>14.165806018784499</v>
      </c>
      <c r="V244" s="25">
        <v>12.614658019425701</v>
      </c>
      <c r="W244" s="25">
        <v>2492.1610000000001</v>
      </c>
      <c r="X244" s="34">
        <v>632110.11</v>
      </c>
      <c r="Y244" s="30">
        <v>45404</v>
      </c>
      <c r="Z244" s="85">
        <v>2024</v>
      </c>
      <c r="AA244" s="28">
        <v>4</v>
      </c>
      <c r="AB244" s="84">
        <v>35303.469293579998</v>
      </c>
      <c r="AC244" s="84">
        <v>31437.758744350002</v>
      </c>
      <c r="AD244" s="84">
        <v>8535</v>
      </c>
      <c r="AE244" s="34">
        <v>353034.69293579902</v>
      </c>
      <c r="AF244" s="28" t="s">
        <v>551</v>
      </c>
      <c r="AG244" s="28" t="s">
        <v>66</v>
      </c>
    </row>
    <row r="245" spans="2:33" x14ac:dyDescent="0.2">
      <c r="B245" s="34">
        <f>CHOOSE(B$1,Tabla2[[#This Row],[Edad]]*12/365,Tabla2[[#This Row],[Tn/Ha]],Tabla2[[#This Row],[Tn]],Tabla2[[#This Row],[Area_Cosecha]])</f>
        <v>14.375389865857676</v>
      </c>
      <c r="C245" s="87" t="s">
        <v>550</v>
      </c>
      <c r="D245" s="23" t="s">
        <v>551</v>
      </c>
      <c r="E245" s="23" t="s">
        <v>551</v>
      </c>
      <c r="F245" s="23" t="s">
        <v>184</v>
      </c>
      <c r="G245" s="23" t="s">
        <v>22</v>
      </c>
      <c r="H245" s="23" t="s">
        <v>23</v>
      </c>
      <c r="I245" s="23" t="s">
        <v>10</v>
      </c>
      <c r="J245" s="23" t="s">
        <v>7</v>
      </c>
      <c r="K245" s="23" t="s">
        <v>648</v>
      </c>
      <c r="L245" s="23">
        <v>2022</v>
      </c>
      <c r="M245" s="24" t="s">
        <v>289</v>
      </c>
      <c r="N245" s="24">
        <v>44963</v>
      </c>
      <c r="O245" s="24" t="s">
        <v>50</v>
      </c>
      <c r="P245" s="86">
        <v>437.25144175317098</v>
      </c>
      <c r="Q245" s="86">
        <v>19.059999999999999</v>
      </c>
      <c r="R245" s="25">
        <v>8.67</v>
      </c>
      <c r="S245" s="25">
        <v>136.44999999999999</v>
      </c>
      <c r="T245" s="25">
        <v>9.49</v>
      </c>
      <c r="U245" s="25">
        <v>13.9062282833113</v>
      </c>
      <c r="V245" s="25">
        <v>12.3489579282941</v>
      </c>
      <c r="W245" s="25">
        <v>1183.0129999999999</v>
      </c>
      <c r="X245" s="34">
        <v>807303.12</v>
      </c>
      <c r="Y245" s="30">
        <v>45401</v>
      </c>
      <c r="Z245" s="85">
        <v>2024</v>
      </c>
      <c r="AA245" s="28">
        <v>4</v>
      </c>
      <c r="AB245" s="84">
        <v>16451.248840125001</v>
      </c>
      <c r="AC245" s="84">
        <v>14608.977765625001</v>
      </c>
      <c r="AD245" s="84">
        <v>3790.97</v>
      </c>
      <c r="AE245" s="34">
        <v>164512.48840124899</v>
      </c>
      <c r="AF245" s="28" t="s">
        <v>551</v>
      </c>
      <c r="AG245" s="28" t="s">
        <v>66</v>
      </c>
    </row>
    <row r="246" spans="2:33" x14ac:dyDescent="0.2">
      <c r="B246" s="34">
        <f>CHOOSE(B$1,Tabla2[[#This Row],[Edad]]*12/365,Tabla2[[#This Row],[Tn/Ha]],Tabla2[[#This Row],[Tn]],Tabla2[[#This Row],[Area_Cosecha]])</f>
        <v>14.966719843896263</v>
      </c>
      <c r="C246" s="87" t="s">
        <v>550</v>
      </c>
      <c r="D246" s="23" t="s">
        <v>551</v>
      </c>
      <c r="E246" s="23" t="s">
        <v>551</v>
      </c>
      <c r="F246" s="23" t="s">
        <v>184</v>
      </c>
      <c r="G246" s="23" t="s">
        <v>22</v>
      </c>
      <c r="H246" s="23" t="s">
        <v>23</v>
      </c>
      <c r="I246" s="23" t="s">
        <v>10</v>
      </c>
      <c r="J246" s="23" t="s">
        <v>7</v>
      </c>
      <c r="K246" s="23" t="s">
        <v>648</v>
      </c>
      <c r="L246" s="23">
        <v>2022</v>
      </c>
      <c r="M246" s="24" t="s">
        <v>289</v>
      </c>
      <c r="N246" s="24">
        <v>44963</v>
      </c>
      <c r="O246" s="24" t="s">
        <v>50</v>
      </c>
      <c r="P246" s="86">
        <v>455.23772858517799</v>
      </c>
      <c r="Q246" s="86">
        <v>19.059999999999999</v>
      </c>
      <c r="R246" s="25">
        <v>10.39</v>
      </c>
      <c r="S246" s="25">
        <v>142.22</v>
      </c>
      <c r="T246" s="25">
        <v>9.5</v>
      </c>
      <c r="U246" s="25">
        <v>15.097833537686901</v>
      </c>
      <c r="V246" s="25">
        <v>13.519412948040801</v>
      </c>
      <c r="W246" s="25">
        <v>1477.7</v>
      </c>
      <c r="X246" s="34">
        <v>1057373.9099999999</v>
      </c>
      <c r="Y246" s="30">
        <v>45419</v>
      </c>
      <c r="Z246" s="85">
        <v>2024</v>
      </c>
      <c r="AA246" s="28">
        <v>5</v>
      </c>
      <c r="AB246" s="84">
        <v>22310.0686186399</v>
      </c>
      <c r="AC246" s="84">
        <v>19977.636513320002</v>
      </c>
      <c r="AD246" s="84">
        <v>4729.92</v>
      </c>
      <c r="AE246" s="34">
        <v>223100.68618639899</v>
      </c>
      <c r="AF246" s="28" t="s">
        <v>551</v>
      </c>
      <c r="AG246" s="28" t="s">
        <v>66</v>
      </c>
    </row>
    <row r="247" spans="2:33" x14ac:dyDescent="0.2">
      <c r="B247" s="34">
        <f>CHOOSE(B$1,Tabla2[[#This Row],[Edad]]*12/365,Tabla2[[#This Row],[Tn/Ha]],Tabla2[[#This Row],[Tn]],Tabla2[[#This Row],[Area_Cosecha]])</f>
        <v>10.935616438356131</v>
      </c>
      <c r="C247" s="87" t="s">
        <v>550</v>
      </c>
      <c r="D247" s="23" t="s">
        <v>551</v>
      </c>
      <c r="E247" s="23" t="s">
        <v>551</v>
      </c>
      <c r="F247" s="23" t="s">
        <v>185</v>
      </c>
      <c r="G247" s="23" t="s">
        <v>22</v>
      </c>
      <c r="H247" s="23" t="s">
        <v>23</v>
      </c>
      <c r="I247" s="23" t="s">
        <v>10</v>
      </c>
      <c r="J247" s="23" t="s">
        <v>8</v>
      </c>
      <c r="K247" s="23" t="s">
        <v>691</v>
      </c>
      <c r="L247" s="23">
        <v>2022</v>
      </c>
      <c r="M247" s="24" t="s">
        <v>68</v>
      </c>
      <c r="N247" s="24">
        <v>45124</v>
      </c>
      <c r="O247" s="24" t="s">
        <v>354</v>
      </c>
      <c r="P247" s="86">
        <v>332.62499999999898</v>
      </c>
      <c r="Q247" s="86">
        <v>20.16</v>
      </c>
      <c r="R247" s="25">
        <v>20.16</v>
      </c>
      <c r="S247" s="25">
        <v>155.55000000000001</v>
      </c>
      <c r="T247" s="25">
        <v>14.22</v>
      </c>
      <c r="U247" s="25">
        <v>13.6962825838483</v>
      </c>
      <c r="V247" s="25">
        <v>12.235720547888899</v>
      </c>
      <c r="W247" s="25">
        <v>3135.8999999999901</v>
      </c>
      <c r="X247" s="34">
        <v>991865.87</v>
      </c>
      <c r="Y247" s="30">
        <v>45458</v>
      </c>
      <c r="Z247" s="85">
        <v>2024</v>
      </c>
      <c r="AA247" s="28">
        <v>6</v>
      </c>
      <c r="AB247" s="84">
        <v>42950.172554689998</v>
      </c>
      <c r="AC247" s="84">
        <v>38369.996066125001</v>
      </c>
      <c r="AD247" s="84">
        <v>6705.7199999999903</v>
      </c>
      <c r="AE247" s="34">
        <v>429501.72554690001</v>
      </c>
      <c r="AF247" s="28" t="s">
        <v>551</v>
      </c>
      <c r="AG247" s="28" t="s">
        <v>66</v>
      </c>
    </row>
    <row r="248" spans="2:33" x14ac:dyDescent="0.2">
      <c r="B248" s="34">
        <f>CHOOSE(B$1,Tabla2[[#This Row],[Edad]]*12/365,Tabla2[[#This Row],[Tn/Ha]],Tabla2[[#This Row],[Tn]],Tabla2[[#This Row],[Area_Cosecha]])</f>
        <v>14.169863013698631</v>
      </c>
      <c r="C248" s="87" t="s">
        <v>550</v>
      </c>
      <c r="D248" s="23" t="s">
        <v>551</v>
      </c>
      <c r="E248" s="23" t="s">
        <v>551</v>
      </c>
      <c r="F248" s="23" t="s">
        <v>186</v>
      </c>
      <c r="G248" s="23" t="s">
        <v>22</v>
      </c>
      <c r="H248" s="23" t="s">
        <v>23</v>
      </c>
      <c r="I248" s="23" t="s">
        <v>11</v>
      </c>
      <c r="J248" s="23" t="s">
        <v>3</v>
      </c>
      <c r="K248" s="23" t="s">
        <v>628</v>
      </c>
      <c r="L248" s="23">
        <v>2023</v>
      </c>
      <c r="M248" s="24" t="s">
        <v>80</v>
      </c>
      <c r="N248" s="24">
        <v>44951</v>
      </c>
      <c r="O248" s="24" t="s">
        <v>474</v>
      </c>
      <c r="P248" s="86">
        <v>431</v>
      </c>
      <c r="Q248" s="86">
        <v>18.3</v>
      </c>
      <c r="R248" s="25">
        <v>3.58</v>
      </c>
      <c r="S248" s="25">
        <v>156.46</v>
      </c>
      <c r="T248" s="25">
        <v>11.04</v>
      </c>
      <c r="U248" s="25">
        <v>12.268833000000001</v>
      </c>
      <c r="V248" s="25">
        <v>10.686</v>
      </c>
      <c r="W248" s="25">
        <v>560.13800000000003</v>
      </c>
      <c r="X248" s="34">
        <v>876409.44</v>
      </c>
      <c r="Y248" s="30">
        <v>45382</v>
      </c>
      <c r="Z248" s="85">
        <v>2024</v>
      </c>
      <c r="AA248" s="28">
        <v>3</v>
      </c>
      <c r="AB248" s="84">
        <v>6872.2395789539996</v>
      </c>
      <c r="AC248" s="84">
        <v>5985.6346679999997</v>
      </c>
      <c r="AD248" s="84">
        <v>1542.98</v>
      </c>
      <c r="AE248" s="34">
        <v>68722.395789539994</v>
      </c>
      <c r="AF248" s="28" t="s">
        <v>551</v>
      </c>
      <c r="AG248" s="28" t="s">
        <v>66</v>
      </c>
    </row>
    <row r="249" spans="2:33" x14ac:dyDescent="0.2">
      <c r="B249" s="34">
        <f>CHOOSE(B$1,Tabla2[[#This Row],[Edad]]*12/365,Tabla2[[#This Row],[Tn/Ha]],Tabla2[[#This Row],[Tn]],Tabla2[[#This Row],[Area_Cosecha]])</f>
        <v>14.332124776652744</v>
      </c>
      <c r="C249" s="87" t="s">
        <v>550</v>
      </c>
      <c r="D249" s="23" t="s">
        <v>551</v>
      </c>
      <c r="E249" s="23" t="s">
        <v>551</v>
      </c>
      <c r="F249" s="23" t="s">
        <v>186</v>
      </c>
      <c r="G249" s="23" t="s">
        <v>22</v>
      </c>
      <c r="H249" s="23" t="s">
        <v>23</v>
      </c>
      <c r="I249" s="23" t="s">
        <v>11</v>
      </c>
      <c r="J249" s="23" t="s">
        <v>3</v>
      </c>
      <c r="K249" s="23" t="s">
        <v>628</v>
      </c>
      <c r="L249" s="23">
        <v>2023</v>
      </c>
      <c r="M249" s="24" t="s">
        <v>80</v>
      </c>
      <c r="N249" s="24">
        <v>44951</v>
      </c>
      <c r="O249" s="24" t="s">
        <v>474</v>
      </c>
      <c r="P249" s="86">
        <v>435.93546195652101</v>
      </c>
      <c r="Q249" s="86">
        <v>18.3</v>
      </c>
      <c r="R249" s="25">
        <v>14.719999999999899</v>
      </c>
      <c r="S249" s="25">
        <v>140.49</v>
      </c>
      <c r="T249" s="25">
        <v>9.8000000000000007</v>
      </c>
      <c r="U249" s="25">
        <v>12.2777971749121</v>
      </c>
      <c r="V249" s="25">
        <v>10.690477734870701</v>
      </c>
      <c r="W249" s="25">
        <v>2068.0100000000002</v>
      </c>
      <c r="X249" s="34">
        <v>971422.05</v>
      </c>
      <c r="Y249" s="30">
        <v>45393</v>
      </c>
      <c r="Z249" s="85">
        <v>2024</v>
      </c>
      <c r="AA249" s="28">
        <v>4</v>
      </c>
      <c r="AB249" s="84">
        <v>25390.607335690001</v>
      </c>
      <c r="AC249" s="84">
        <v>22108.014860489999</v>
      </c>
      <c r="AD249" s="84">
        <v>6416.9699999999903</v>
      </c>
      <c r="AE249" s="34">
        <v>253906.07335689999</v>
      </c>
      <c r="AF249" s="28" t="s">
        <v>551</v>
      </c>
      <c r="AG249" s="28" t="s">
        <v>66</v>
      </c>
    </row>
    <row r="250" spans="2:33" x14ac:dyDescent="0.2">
      <c r="B250" s="34">
        <f>CHOOSE(B$1,Tabla2[[#This Row],[Edad]]*12/365,Tabla2[[#This Row],[Tn/Ha]],Tabla2[[#This Row],[Tn]],Tabla2[[#This Row],[Area_Cosecha]])</f>
        <v>14.715364198300572</v>
      </c>
      <c r="C250" s="87" t="s">
        <v>550</v>
      </c>
      <c r="D250" s="23" t="s">
        <v>551</v>
      </c>
      <c r="E250" s="23" t="s">
        <v>551</v>
      </c>
      <c r="F250" s="23" t="s">
        <v>187</v>
      </c>
      <c r="G250" s="23" t="s">
        <v>22</v>
      </c>
      <c r="H250" s="23" t="s">
        <v>23</v>
      </c>
      <c r="I250" s="23" t="s">
        <v>11</v>
      </c>
      <c r="J250" s="23" t="s">
        <v>4</v>
      </c>
      <c r="K250" s="23" t="s">
        <v>643</v>
      </c>
      <c r="L250" s="23">
        <v>2023</v>
      </c>
      <c r="M250" s="24" t="s">
        <v>80</v>
      </c>
      <c r="N250" s="24">
        <v>44949</v>
      </c>
      <c r="O250" s="24" t="s">
        <v>79</v>
      </c>
      <c r="P250" s="86">
        <v>447.59232769830902</v>
      </c>
      <c r="Q250" s="86">
        <v>15.38</v>
      </c>
      <c r="R250" s="25">
        <v>15.3799999999999</v>
      </c>
      <c r="S250" s="25">
        <v>136.72</v>
      </c>
      <c r="T250" s="25">
        <v>9.2899999999999991</v>
      </c>
      <c r="U250" s="25">
        <v>12.837362054916699</v>
      </c>
      <c r="V250" s="25">
        <v>11.2230352328967</v>
      </c>
      <c r="W250" s="25">
        <v>2102.8200000000002</v>
      </c>
      <c r="X250" s="34">
        <v>719301.48</v>
      </c>
      <c r="Y250" s="30">
        <v>45398</v>
      </c>
      <c r="Z250" s="85">
        <v>2024</v>
      </c>
      <c r="AA250" s="28">
        <v>4</v>
      </c>
      <c r="AB250" s="84">
        <v>26994.66167632</v>
      </c>
      <c r="AC250" s="84">
        <v>23600.022948439899</v>
      </c>
      <c r="AD250" s="84">
        <v>6883.97</v>
      </c>
      <c r="AE250" s="34">
        <v>269946.61676319898</v>
      </c>
      <c r="AF250" s="28" t="s">
        <v>551</v>
      </c>
      <c r="AG250" s="28" t="s">
        <v>66</v>
      </c>
    </row>
    <row r="251" spans="2:33" x14ac:dyDescent="0.2">
      <c r="B251" s="34">
        <f>CHOOSE(B$1,Tabla2[[#This Row],[Edad]]*12/365,Tabla2[[#This Row],[Tn/Ha]],Tabla2[[#This Row],[Tn]],Tabla2[[#This Row],[Area_Cosecha]])</f>
        <v>13.116260405345688</v>
      </c>
      <c r="C251" s="87" t="s">
        <v>550</v>
      </c>
      <c r="D251" s="23" t="s">
        <v>551</v>
      </c>
      <c r="E251" s="23" t="s">
        <v>551</v>
      </c>
      <c r="F251" s="23" t="s">
        <v>286</v>
      </c>
      <c r="G251" s="23" t="s">
        <v>22</v>
      </c>
      <c r="H251" s="23" t="s">
        <v>23</v>
      </c>
      <c r="I251" s="23" t="s">
        <v>11</v>
      </c>
      <c r="J251" s="23" t="s">
        <v>5</v>
      </c>
      <c r="K251" s="23" t="s">
        <v>644</v>
      </c>
      <c r="L251" s="23">
        <v>2023</v>
      </c>
      <c r="M251" s="24" t="s">
        <v>61</v>
      </c>
      <c r="N251" s="24">
        <v>44996</v>
      </c>
      <c r="O251" s="24" t="s">
        <v>79</v>
      </c>
      <c r="P251" s="86">
        <v>398.95292066259799</v>
      </c>
      <c r="Q251" s="86">
        <v>22.94</v>
      </c>
      <c r="R251" s="25">
        <v>22.939999999999898</v>
      </c>
      <c r="S251" s="25">
        <v>134.32</v>
      </c>
      <c r="T251" s="25">
        <v>10.24</v>
      </c>
      <c r="U251" s="25">
        <v>12.92812937529</v>
      </c>
      <c r="V251" s="25">
        <v>11.361789096089399</v>
      </c>
      <c r="W251" s="25">
        <v>3081.19</v>
      </c>
      <c r="X251" s="34">
        <v>1017262.84</v>
      </c>
      <c r="Y251" s="30">
        <v>45397</v>
      </c>
      <c r="Z251" s="85">
        <v>2024</v>
      </c>
      <c r="AA251" s="28">
        <v>4</v>
      </c>
      <c r="AB251" s="84">
        <v>39834.022949849998</v>
      </c>
      <c r="AC251" s="84">
        <v>35007.83094498</v>
      </c>
      <c r="AD251" s="84">
        <v>9151.98</v>
      </c>
      <c r="AE251" s="34">
        <v>398340.2294985</v>
      </c>
      <c r="AF251" s="28" t="s">
        <v>551</v>
      </c>
      <c r="AG251" s="28" t="s">
        <v>66</v>
      </c>
    </row>
    <row r="252" spans="2:33" x14ac:dyDescent="0.2">
      <c r="B252" s="34">
        <f>CHOOSE(B$1,Tabla2[[#This Row],[Edad]]*12/365,Tabla2[[#This Row],[Tn/Ha]],Tabla2[[#This Row],[Tn]],Tabla2[[#This Row],[Area_Cosecha]])</f>
        <v>13.370861547102674</v>
      </c>
      <c r="C252" s="87" t="s">
        <v>550</v>
      </c>
      <c r="D252" s="23" t="s">
        <v>551</v>
      </c>
      <c r="E252" s="23" t="s">
        <v>551</v>
      </c>
      <c r="F252" s="23" t="s">
        <v>470</v>
      </c>
      <c r="G252" s="23" t="s">
        <v>22</v>
      </c>
      <c r="H252" s="23" t="s">
        <v>23</v>
      </c>
      <c r="I252" s="23" t="s">
        <v>11</v>
      </c>
      <c r="J252" s="23" t="s">
        <v>6</v>
      </c>
      <c r="K252" s="23" t="s">
        <v>581</v>
      </c>
      <c r="L252" s="23">
        <v>2023</v>
      </c>
      <c r="M252" s="24" t="s">
        <v>289</v>
      </c>
      <c r="N252" s="24">
        <v>44907</v>
      </c>
      <c r="O252" s="24" t="s">
        <v>50</v>
      </c>
      <c r="P252" s="86">
        <v>406.69703872437299</v>
      </c>
      <c r="Q252" s="86">
        <v>19.850000000000001</v>
      </c>
      <c r="R252" s="25">
        <v>13.17</v>
      </c>
      <c r="S252" s="25">
        <v>141.83000000000001</v>
      </c>
      <c r="T252" s="25">
        <v>10.61</v>
      </c>
      <c r="U252" s="25">
        <v>13.505762661404001</v>
      </c>
      <c r="V252" s="25">
        <v>11.9817289063809</v>
      </c>
      <c r="W252" s="25">
        <v>1867.89</v>
      </c>
      <c r="X252" s="34">
        <v>537656.97</v>
      </c>
      <c r="Y252" s="30">
        <v>45322</v>
      </c>
      <c r="Z252" s="85">
        <v>2024</v>
      </c>
      <c r="AA252" s="28">
        <v>1</v>
      </c>
      <c r="AB252" s="84">
        <v>25227.279017609999</v>
      </c>
      <c r="AC252" s="84">
        <v>22380.551606939898</v>
      </c>
      <c r="AD252" s="84">
        <v>5356.2</v>
      </c>
      <c r="AE252" s="34">
        <v>252272.79017610001</v>
      </c>
      <c r="AF252" s="28" t="s">
        <v>551</v>
      </c>
      <c r="AG252" s="28" t="s">
        <v>66</v>
      </c>
    </row>
    <row r="253" spans="2:33" x14ac:dyDescent="0.2">
      <c r="B253" s="34">
        <f>CHOOSE(B$1,Tabla2[[#This Row],[Edad]]*12/365,Tabla2[[#This Row],[Tn/Ha]],Tabla2[[#This Row],[Tn]],Tabla2[[#This Row],[Area_Cosecha]])</f>
        <v>13.723861865310475</v>
      </c>
      <c r="C253" s="87" t="s">
        <v>550</v>
      </c>
      <c r="D253" s="23" t="s">
        <v>551</v>
      </c>
      <c r="E253" s="23" t="s">
        <v>551</v>
      </c>
      <c r="F253" s="23" t="s">
        <v>470</v>
      </c>
      <c r="G253" s="23" t="s">
        <v>22</v>
      </c>
      <c r="H253" s="23" t="s">
        <v>23</v>
      </c>
      <c r="I253" s="23" t="s">
        <v>11</v>
      </c>
      <c r="J253" s="23" t="s">
        <v>6</v>
      </c>
      <c r="K253" s="23" t="s">
        <v>581</v>
      </c>
      <c r="L253" s="23">
        <v>2023</v>
      </c>
      <c r="M253" s="24" t="s">
        <v>289</v>
      </c>
      <c r="N253" s="24">
        <v>44907</v>
      </c>
      <c r="O253" s="24" t="s">
        <v>50</v>
      </c>
      <c r="P253" s="86">
        <v>417.43413173652698</v>
      </c>
      <c r="Q253" s="86">
        <v>19.850000000000001</v>
      </c>
      <c r="R253" s="25">
        <v>6.68</v>
      </c>
      <c r="S253" s="25">
        <v>168.19</v>
      </c>
      <c r="T253" s="25">
        <v>12.26</v>
      </c>
      <c r="U253" s="25">
        <v>13.2503995198842</v>
      </c>
      <c r="V253" s="25">
        <v>11.752894804299</v>
      </c>
      <c r="W253" s="25">
        <v>1123.5</v>
      </c>
      <c r="X253" s="34">
        <v>468642.43</v>
      </c>
      <c r="Y253" s="30">
        <v>45326</v>
      </c>
      <c r="Z253" s="85">
        <v>2024</v>
      </c>
      <c r="AA253" s="28">
        <v>2</v>
      </c>
      <c r="AB253" s="84">
        <v>14886.823860590001</v>
      </c>
      <c r="AC253" s="84">
        <v>13204.37731263</v>
      </c>
      <c r="AD253" s="84">
        <v>2788.46</v>
      </c>
      <c r="AE253" s="34">
        <v>148868.2386059</v>
      </c>
      <c r="AF253" s="28" t="s">
        <v>551</v>
      </c>
      <c r="AG253" s="28" t="s">
        <v>66</v>
      </c>
    </row>
    <row r="254" spans="2:33" x14ac:dyDescent="0.2">
      <c r="B254" s="34">
        <f>CHOOSE(B$1,Tabla2[[#This Row],[Edad]]*12/365,Tabla2[[#This Row],[Tn/Ha]],Tabla2[[#This Row],[Tn]],Tabla2[[#This Row],[Area_Cosecha]])</f>
        <v>9.6038590800869255</v>
      </c>
      <c r="C254" s="87" t="s">
        <v>550</v>
      </c>
      <c r="D254" s="23" t="s">
        <v>551</v>
      </c>
      <c r="E254" s="23" t="s">
        <v>551</v>
      </c>
      <c r="F254" s="23" t="s">
        <v>470</v>
      </c>
      <c r="G254" s="23" t="s">
        <v>22</v>
      </c>
      <c r="H254" s="23" t="s">
        <v>23</v>
      </c>
      <c r="I254" s="23" t="s">
        <v>11</v>
      </c>
      <c r="J254" s="23" t="s">
        <v>6</v>
      </c>
      <c r="K254" s="23" t="s">
        <v>581</v>
      </c>
      <c r="L254" s="23">
        <v>2024</v>
      </c>
      <c r="M254" s="24" t="s">
        <v>304</v>
      </c>
      <c r="N254" s="24">
        <v>45332</v>
      </c>
      <c r="O254" s="24" t="s">
        <v>50</v>
      </c>
      <c r="P254" s="86">
        <v>292.11738035264398</v>
      </c>
      <c r="Q254" s="86">
        <v>19.850000000000001</v>
      </c>
      <c r="R254" s="25">
        <v>19.850000000000001</v>
      </c>
      <c r="S254" s="25">
        <v>136.09</v>
      </c>
      <c r="T254" s="25">
        <v>14.17</v>
      </c>
      <c r="U254" s="25">
        <v>15.633428546777401</v>
      </c>
      <c r="V254" s="25">
        <v>14.122502857624101</v>
      </c>
      <c r="W254" s="25">
        <v>2701.2999999999902</v>
      </c>
      <c r="X254" s="34">
        <v>736676.59</v>
      </c>
      <c r="Y254" s="30">
        <v>45626</v>
      </c>
      <c r="Z254" s="85">
        <v>2024</v>
      </c>
      <c r="AA254" s="28">
        <v>11</v>
      </c>
      <c r="AB254" s="84">
        <v>42230.58053341</v>
      </c>
      <c r="AC254" s="84">
        <v>38149.116969299997</v>
      </c>
      <c r="AD254" s="84">
        <v>5798.53</v>
      </c>
      <c r="AE254" s="34">
        <v>422305.80533409899</v>
      </c>
      <c r="AF254" s="28" t="s">
        <v>551</v>
      </c>
      <c r="AG254" s="28" t="s">
        <v>66</v>
      </c>
    </row>
    <row r="255" spans="2:33" x14ac:dyDescent="0.2">
      <c r="B255" s="34">
        <f>CHOOSE(B$1,Tabla2[[#This Row],[Edad]]*12/365,Tabla2[[#This Row],[Tn/Ha]],Tabla2[[#This Row],[Tn]],Tabla2[[#This Row],[Area_Cosecha]])</f>
        <v>13.226381739313251</v>
      </c>
      <c r="C255" s="87" t="s">
        <v>550</v>
      </c>
      <c r="D255" s="23" t="s">
        <v>551</v>
      </c>
      <c r="E255" s="23" t="s">
        <v>551</v>
      </c>
      <c r="F255" s="23" t="s">
        <v>440</v>
      </c>
      <c r="G255" s="23" t="s">
        <v>22</v>
      </c>
      <c r="H255" s="23" t="s">
        <v>23</v>
      </c>
      <c r="I255" s="23" t="s">
        <v>11</v>
      </c>
      <c r="J255" s="23" t="s">
        <v>7</v>
      </c>
      <c r="K255" s="23" t="s">
        <v>582</v>
      </c>
      <c r="L255" s="23">
        <v>2022</v>
      </c>
      <c r="M255" s="24" t="s">
        <v>289</v>
      </c>
      <c r="N255" s="24">
        <v>44909</v>
      </c>
      <c r="O255" s="24" t="s">
        <v>50</v>
      </c>
      <c r="P255" s="86">
        <v>402.30244457077799</v>
      </c>
      <c r="Q255" s="86">
        <v>17.59</v>
      </c>
      <c r="R255" s="25">
        <v>17.59</v>
      </c>
      <c r="S255" s="25">
        <v>153.58000000000001</v>
      </c>
      <c r="T255" s="25">
        <v>11.61</v>
      </c>
      <c r="U255" s="25">
        <v>13.381947361341</v>
      </c>
      <c r="V255" s="25">
        <v>11.860425679587699</v>
      </c>
      <c r="W255" s="25">
        <v>2701.52</v>
      </c>
      <c r="X255" s="34">
        <v>811815.09</v>
      </c>
      <c r="Y255" s="30">
        <v>45313</v>
      </c>
      <c r="Z255" s="85">
        <v>2024</v>
      </c>
      <c r="AA255" s="28">
        <v>1</v>
      </c>
      <c r="AB255" s="84">
        <v>36151.598435610002</v>
      </c>
      <c r="AC255" s="84">
        <v>32041.17718192</v>
      </c>
      <c r="AD255" s="84">
        <v>7076.5</v>
      </c>
      <c r="AE255" s="34">
        <v>361515.98435609997</v>
      </c>
      <c r="AF255" s="28" t="s">
        <v>551</v>
      </c>
      <c r="AG255" s="28" t="s">
        <v>66</v>
      </c>
    </row>
    <row r="256" spans="2:33" x14ac:dyDescent="0.2">
      <c r="B256" s="34">
        <f>CHOOSE(B$1,Tabla2[[#This Row],[Edad]]*12/365,Tabla2[[#This Row],[Tn/Ha]],Tabla2[[#This Row],[Tn]],Tabla2[[#This Row],[Area_Cosecha]])</f>
        <v>9.948930994750981</v>
      </c>
      <c r="C256" s="87" t="s">
        <v>550</v>
      </c>
      <c r="D256" s="23" t="s">
        <v>551</v>
      </c>
      <c r="E256" s="23" t="s">
        <v>551</v>
      </c>
      <c r="F256" s="23" t="s">
        <v>440</v>
      </c>
      <c r="G256" s="23" t="s">
        <v>22</v>
      </c>
      <c r="H256" s="23" t="s">
        <v>23</v>
      </c>
      <c r="I256" s="23" t="s">
        <v>11</v>
      </c>
      <c r="J256" s="23" t="s">
        <v>7</v>
      </c>
      <c r="K256" s="23" t="s">
        <v>582</v>
      </c>
      <c r="L256" s="23">
        <v>2023</v>
      </c>
      <c r="M256" s="24" t="s">
        <v>304</v>
      </c>
      <c r="N256" s="24">
        <v>45322</v>
      </c>
      <c r="O256" s="24" t="s">
        <v>50</v>
      </c>
      <c r="P256" s="86">
        <v>302.61331775700899</v>
      </c>
      <c r="Q256" s="86">
        <v>17.12</v>
      </c>
      <c r="R256" s="25">
        <v>17.12</v>
      </c>
      <c r="S256" s="25">
        <v>144.71</v>
      </c>
      <c r="T256" s="25">
        <v>14.55</v>
      </c>
      <c r="U256" s="25">
        <v>15.8005737952862</v>
      </c>
      <c r="V256" s="25">
        <v>14.276018498605399</v>
      </c>
      <c r="W256" s="25">
        <v>2477.41</v>
      </c>
      <c r="X256" s="34">
        <v>715218.28</v>
      </c>
      <c r="Y256" s="30">
        <v>45626</v>
      </c>
      <c r="Z256" s="85">
        <v>2024</v>
      </c>
      <c r="AA256" s="28">
        <v>11</v>
      </c>
      <c r="AB256" s="84">
        <v>39144.49952618</v>
      </c>
      <c r="AC256" s="84">
        <v>35367.550988629999</v>
      </c>
      <c r="AD256" s="84">
        <v>5180.74</v>
      </c>
      <c r="AE256" s="34">
        <v>391444.99526180001</v>
      </c>
      <c r="AF256" s="28" t="s">
        <v>551</v>
      </c>
      <c r="AG256" s="28" t="s">
        <v>66</v>
      </c>
    </row>
    <row r="257" spans="2:33" x14ac:dyDescent="0.2">
      <c r="B257" s="34">
        <f>CHOOSE(B$1,Tabla2[[#This Row],[Edad]]*12/365,Tabla2[[#This Row],[Tn/Ha]],Tabla2[[#This Row],[Tn]],Tabla2[[#This Row],[Area_Cosecha]])</f>
        <v>13.144419421932131</v>
      </c>
      <c r="C257" s="87" t="s">
        <v>550</v>
      </c>
      <c r="D257" s="23" t="s">
        <v>551</v>
      </c>
      <c r="E257" s="23" t="s">
        <v>551</v>
      </c>
      <c r="F257" s="23" t="s">
        <v>521</v>
      </c>
      <c r="G257" s="23" t="s">
        <v>22</v>
      </c>
      <c r="H257" s="23" t="s">
        <v>23</v>
      </c>
      <c r="I257" s="23" t="s">
        <v>11</v>
      </c>
      <c r="J257" s="23" t="s">
        <v>8</v>
      </c>
      <c r="K257" s="23" t="s">
        <v>583</v>
      </c>
      <c r="L257" s="23">
        <v>2022</v>
      </c>
      <c r="M257" s="24" t="s">
        <v>289</v>
      </c>
      <c r="N257" s="24">
        <v>44910</v>
      </c>
      <c r="O257" s="24" t="s">
        <v>50</v>
      </c>
      <c r="P257" s="86">
        <v>399.80942408376899</v>
      </c>
      <c r="Q257" s="86">
        <v>19.100000000000001</v>
      </c>
      <c r="R257" s="25">
        <v>19.100000000000001</v>
      </c>
      <c r="S257" s="25">
        <v>144.57</v>
      </c>
      <c r="T257" s="25">
        <v>11</v>
      </c>
      <c r="U257" s="25">
        <v>13.820126846182999</v>
      </c>
      <c r="V257" s="25">
        <v>12.2967458417105</v>
      </c>
      <c r="W257" s="25">
        <v>2761.27</v>
      </c>
      <c r="X257" s="34">
        <v>811211.61</v>
      </c>
      <c r="Y257" s="30">
        <v>45312</v>
      </c>
      <c r="Z257" s="85">
        <v>2024</v>
      </c>
      <c r="AA257" s="28">
        <v>1</v>
      </c>
      <c r="AB257" s="84">
        <v>38161.101656559898</v>
      </c>
      <c r="AC257" s="84">
        <v>33954.635390340001</v>
      </c>
      <c r="AD257" s="84">
        <v>7636.36</v>
      </c>
      <c r="AE257" s="34">
        <v>381611.01656559901</v>
      </c>
      <c r="AF257" s="28" t="s">
        <v>551</v>
      </c>
      <c r="AG257" s="28" t="s">
        <v>66</v>
      </c>
    </row>
    <row r="258" spans="2:33" x14ac:dyDescent="0.2">
      <c r="B258" s="34">
        <f>CHOOSE(B$1,Tabla2[[#This Row],[Edad]]*12/365,Tabla2[[#This Row],[Tn/Ha]],Tabla2[[#This Row],[Tn]],Tabla2[[#This Row],[Area_Cosecha]])</f>
        <v>10.122623141941117</v>
      </c>
      <c r="C258" s="87" t="s">
        <v>550</v>
      </c>
      <c r="D258" s="23" t="s">
        <v>551</v>
      </c>
      <c r="E258" s="23" t="s">
        <v>551</v>
      </c>
      <c r="F258" s="23" t="s">
        <v>521</v>
      </c>
      <c r="G258" s="23" t="s">
        <v>22</v>
      </c>
      <c r="H258" s="23" t="s">
        <v>23</v>
      </c>
      <c r="I258" s="23" t="s">
        <v>11</v>
      </c>
      <c r="J258" s="23" t="s">
        <v>8</v>
      </c>
      <c r="K258" s="23" t="s">
        <v>583</v>
      </c>
      <c r="L258" s="23">
        <v>2023</v>
      </c>
      <c r="M258" s="24" t="s">
        <v>304</v>
      </c>
      <c r="N258" s="24">
        <v>45318</v>
      </c>
      <c r="O258" s="24" t="s">
        <v>50</v>
      </c>
      <c r="P258" s="86">
        <v>307.89645390070899</v>
      </c>
      <c r="Q258" s="86">
        <v>18.41</v>
      </c>
      <c r="R258" s="25">
        <v>14.1</v>
      </c>
      <c r="S258" s="25">
        <v>112.2</v>
      </c>
      <c r="T258" s="25">
        <v>11.08</v>
      </c>
      <c r="U258" s="25">
        <v>16.1857167069174</v>
      </c>
      <c r="V258" s="25">
        <v>14.6170796444174</v>
      </c>
      <c r="W258" s="25">
        <v>1582.08</v>
      </c>
      <c r="X258" s="34">
        <v>891484.38</v>
      </c>
      <c r="Y258" s="30">
        <v>45626</v>
      </c>
      <c r="Z258" s="85">
        <v>2024</v>
      </c>
      <c r="AA258" s="28">
        <v>11</v>
      </c>
      <c r="AB258" s="84">
        <v>25607.098687680002</v>
      </c>
      <c r="AC258" s="84">
        <v>23125.38936384</v>
      </c>
      <c r="AD258" s="84">
        <v>4341.34</v>
      </c>
      <c r="AE258" s="34">
        <v>256070.98687679999</v>
      </c>
      <c r="AF258" s="28" t="s">
        <v>551</v>
      </c>
      <c r="AG258" s="28" t="s">
        <v>66</v>
      </c>
    </row>
    <row r="259" spans="2:33" x14ac:dyDescent="0.2">
      <c r="B259" s="34">
        <f>CHOOSE(B$1,Tabla2[[#This Row],[Edad]]*12/365,Tabla2[[#This Row],[Tn/Ha]],Tabla2[[#This Row],[Tn]],Tabla2[[#This Row],[Area_Cosecha]])</f>
        <v>11.046575342465754</v>
      </c>
      <c r="C259" s="87" t="s">
        <v>550</v>
      </c>
      <c r="D259" s="23" t="s">
        <v>551</v>
      </c>
      <c r="E259" s="23" t="s">
        <v>551</v>
      </c>
      <c r="F259" s="23" t="s">
        <v>543</v>
      </c>
      <c r="G259" s="23" t="s">
        <v>22</v>
      </c>
      <c r="H259" s="23" t="s">
        <v>24</v>
      </c>
      <c r="I259" s="23" t="s">
        <v>12</v>
      </c>
      <c r="J259" s="23" t="s">
        <v>4</v>
      </c>
      <c r="K259" s="23" t="s">
        <v>893</v>
      </c>
      <c r="L259" s="23">
        <v>2023</v>
      </c>
      <c r="M259" s="24" t="s">
        <v>304</v>
      </c>
      <c r="N259" s="24">
        <v>45290</v>
      </c>
      <c r="O259" s="24" t="s">
        <v>50</v>
      </c>
      <c r="P259" s="86">
        <v>336</v>
      </c>
      <c r="Q259" s="86">
        <v>17.190000000000001</v>
      </c>
      <c r="R259" s="25">
        <v>0.95</v>
      </c>
      <c r="S259" s="25">
        <v>126.82</v>
      </c>
      <c r="T259" s="25">
        <v>11.48</v>
      </c>
      <c r="U259" s="25">
        <v>16.05425</v>
      </c>
      <c r="V259" s="25">
        <v>14.516249999999999</v>
      </c>
      <c r="W259" s="25">
        <v>120.48</v>
      </c>
      <c r="X259" s="34">
        <v>152794</v>
      </c>
      <c r="Y259" s="30">
        <v>45626</v>
      </c>
      <c r="Z259" s="85">
        <v>2024</v>
      </c>
      <c r="AA259" s="28">
        <v>11</v>
      </c>
      <c r="AB259" s="84">
        <v>1934.21604</v>
      </c>
      <c r="AC259" s="84">
        <v>1748.9177999999999</v>
      </c>
      <c r="AD259" s="84">
        <v>319.2</v>
      </c>
      <c r="AE259" s="34">
        <v>19342.160400000001</v>
      </c>
      <c r="AF259" s="28" t="s">
        <v>551</v>
      </c>
      <c r="AG259" s="28" t="s">
        <v>66</v>
      </c>
    </row>
    <row r="260" spans="2:33" x14ac:dyDescent="0.2">
      <c r="B260" s="34">
        <f>CHOOSE(B$1,Tabla2[[#This Row],[Edad]]*12/365,Tabla2[[#This Row],[Tn/Ha]],Tabla2[[#This Row],[Tn]],Tabla2[[#This Row],[Area_Cosecha]])</f>
        <v>11.71144828715931</v>
      </c>
      <c r="C260" s="87" t="s">
        <v>550</v>
      </c>
      <c r="D260" s="23" t="s">
        <v>551</v>
      </c>
      <c r="E260" s="23" t="s">
        <v>551</v>
      </c>
      <c r="F260" s="23" t="s">
        <v>188</v>
      </c>
      <c r="G260" s="23" t="s">
        <v>22</v>
      </c>
      <c r="H260" s="23" t="s">
        <v>24</v>
      </c>
      <c r="I260" s="23" t="s">
        <v>12</v>
      </c>
      <c r="J260" s="23" t="s">
        <v>6</v>
      </c>
      <c r="K260" s="23" t="s">
        <v>729</v>
      </c>
      <c r="L260" s="23">
        <v>2022</v>
      </c>
      <c r="M260" s="24" t="s">
        <v>304</v>
      </c>
      <c r="N260" s="24">
        <v>45127</v>
      </c>
      <c r="O260" s="24" t="s">
        <v>50</v>
      </c>
      <c r="P260" s="86">
        <v>356.223218734429</v>
      </c>
      <c r="Q260" s="86">
        <v>20.069999999999901</v>
      </c>
      <c r="R260" s="25">
        <v>20.069999999999901</v>
      </c>
      <c r="S260" s="25">
        <v>147.34</v>
      </c>
      <c r="T260" s="25">
        <v>12.58</v>
      </c>
      <c r="U260" s="25">
        <v>14.0588204457042</v>
      </c>
      <c r="V260" s="25">
        <v>12.568671740167799</v>
      </c>
      <c r="W260" s="25">
        <v>2957.14</v>
      </c>
      <c r="X260" s="34">
        <v>445593.45</v>
      </c>
      <c r="Y260" s="30">
        <v>45497</v>
      </c>
      <c r="Z260" s="85">
        <v>2024</v>
      </c>
      <c r="AA260" s="28">
        <v>7</v>
      </c>
      <c r="AB260" s="84">
        <v>41573.900292810002</v>
      </c>
      <c r="AC260" s="84">
        <v>37167.321949719997</v>
      </c>
      <c r="AD260" s="84">
        <v>7149.3999999999896</v>
      </c>
      <c r="AE260" s="34">
        <v>415739.0029281</v>
      </c>
      <c r="AF260" s="28" t="s">
        <v>551</v>
      </c>
      <c r="AG260" s="28" t="s">
        <v>66</v>
      </c>
    </row>
    <row r="261" spans="2:33" x14ac:dyDescent="0.2">
      <c r="B261" s="34">
        <f>CHOOSE(B$1,Tabla2[[#This Row],[Edad]]*12/365,Tabla2[[#This Row],[Tn/Ha]],Tabla2[[#This Row],[Tn]],Tabla2[[#This Row],[Area_Cosecha]])</f>
        <v>11.889164137478467</v>
      </c>
      <c r="C261" s="87" t="s">
        <v>550</v>
      </c>
      <c r="D261" s="23" t="s">
        <v>551</v>
      </c>
      <c r="E261" s="23" t="s">
        <v>551</v>
      </c>
      <c r="F261" s="23" t="s">
        <v>189</v>
      </c>
      <c r="G261" s="23" t="s">
        <v>22</v>
      </c>
      <c r="H261" s="23" t="s">
        <v>24</v>
      </c>
      <c r="I261" s="23" t="s">
        <v>12</v>
      </c>
      <c r="J261" s="23" t="s">
        <v>7</v>
      </c>
      <c r="K261" s="23" t="s">
        <v>730</v>
      </c>
      <c r="L261" s="23">
        <v>2022</v>
      </c>
      <c r="M261" s="24" t="s">
        <v>304</v>
      </c>
      <c r="N261" s="24">
        <v>45125</v>
      </c>
      <c r="O261" s="24" t="s">
        <v>50</v>
      </c>
      <c r="P261" s="86">
        <v>361.62874251496999</v>
      </c>
      <c r="Q261" s="86">
        <v>18.37</v>
      </c>
      <c r="R261" s="25">
        <v>18.37</v>
      </c>
      <c r="S261" s="25">
        <v>126.17</v>
      </c>
      <c r="T261" s="25">
        <v>10.61</v>
      </c>
      <c r="U261" s="25">
        <v>14.6457981588362</v>
      </c>
      <c r="V261" s="25">
        <v>13.135526356487301</v>
      </c>
      <c r="W261" s="25">
        <v>2317.67</v>
      </c>
      <c r="X261" s="34">
        <v>410260.83</v>
      </c>
      <c r="Y261" s="30">
        <v>45495</v>
      </c>
      <c r="Z261" s="85">
        <v>2024</v>
      </c>
      <c r="AA261" s="28">
        <v>7</v>
      </c>
      <c r="AB261" s="84">
        <v>33944.127018790001</v>
      </c>
      <c r="AC261" s="84">
        <v>30443.815370640001</v>
      </c>
      <c r="AD261" s="84">
        <v>6643.1199999999899</v>
      </c>
      <c r="AE261" s="34">
        <v>339441.27018789999</v>
      </c>
      <c r="AF261" s="28" t="s">
        <v>551</v>
      </c>
      <c r="AG261" s="28" t="s">
        <v>66</v>
      </c>
    </row>
    <row r="262" spans="2:33" x14ac:dyDescent="0.2">
      <c r="B262" s="34">
        <f>CHOOSE(B$1,Tabla2[[#This Row],[Edad]]*12/365,Tabla2[[#This Row],[Tn/Ha]],Tabla2[[#This Row],[Tn]],Tabla2[[#This Row],[Area_Cosecha]])</f>
        <v>11.987785388127847</v>
      </c>
      <c r="C262" s="87" t="s">
        <v>550</v>
      </c>
      <c r="D262" s="23" t="s">
        <v>551</v>
      </c>
      <c r="E262" s="23" t="s">
        <v>551</v>
      </c>
      <c r="F262" s="23" t="s">
        <v>190</v>
      </c>
      <c r="G262" s="23" t="s">
        <v>22</v>
      </c>
      <c r="H262" s="23" t="s">
        <v>24</v>
      </c>
      <c r="I262" s="23" t="s">
        <v>12</v>
      </c>
      <c r="J262" s="23" t="s">
        <v>8</v>
      </c>
      <c r="K262" s="23" t="s">
        <v>731</v>
      </c>
      <c r="L262" s="23">
        <v>2022</v>
      </c>
      <c r="M262" s="24" t="s">
        <v>304</v>
      </c>
      <c r="N262" s="24">
        <v>45121</v>
      </c>
      <c r="O262" s="24" t="s">
        <v>50</v>
      </c>
      <c r="P262" s="86">
        <v>364.628472222222</v>
      </c>
      <c r="Q262" s="86">
        <v>17.28</v>
      </c>
      <c r="R262" s="25">
        <v>17.28</v>
      </c>
      <c r="S262" s="25">
        <v>137.12</v>
      </c>
      <c r="T262" s="25">
        <v>11.44</v>
      </c>
      <c r="U262" s="25">
        <v>15.193681222753</v>
      </c>
      <c r="V262" s="25">
        <v>13.676182625542801</v>
      </c>
      <c r="W262" s="25">
        <v>2369.35</v>
      </c>
      <c r="X262" s="34">
        <v>656906.12</v>
      </c>
      <c r="Y262" s="30">
        <v>45493</v>
      </c>
      <c r="Z262" s="85">
        <v>2024</v>
      </c>
      <c r="AA262" s="28">
        <v>7</v>
      </c>
      <c r="AB262" s="84">
        <v>35999.148605130002</v>
      </c>
      <c r="AC262" s="84">
        <v>32403.663303829999</v>
      </c>
      <c r="AD262" s="84">
        <v>6300.78</v>
      </c>
      <c r="AE262" s="34">
        <v>359991.48605129903</v>
      </c>
      <c r="AF262" s="28" t="s">
        <v>551</v>
      </c>
      <c r="AG262" s="28" t="s">
        <v>66</v>
      </c>
    </row>
    <row r="263" spans="2:33" x14ac:dyDescent="0.2">
      <c r="B263" s="34">
        <f>CHOOSE(B$1,Tabla2[[#This Row],[Edad]]*12/365,Tabla2[[#This Row],[Tn/Ha]],Tabla2[[#This Row],[Tn]],Tabla2[[#This Row],[Area_Cosecha]])</f>
        <v>10.326950900415552</v>
      </c>
      <c r="C263" s="87" t="s">
        <v>550</v>
      </c>
      <c r="D263" s="23" t="s">
        <v>551</v>
      </c>
      <c r="E263" s="23" t="s">
        <v>551</v>
      </c>
      <c r="F263" s="23" t="s">
        <v>191</v>
      </c>
      <c r="G263" s="23" t="s">
        <v>22</v>
      </c>
      <c r="H263" s="23" t="s">
        <v>24</v>
      </c>
      <c r="I263" s="23" t="s">
        <v>13</v>
      </c>
      <c r="J263" s="23" t="s">
        <v>3</v>
      </c>
      <c r="K263" s="23" t="s">
        <v>784</v>
      </c>
      <c r="L263" s="23">
        <v>2022</v>
      </c>
      <c r="M263" s="24" t="s">
        <v>62</v>
      </c>
      <c r="N263" s="24">
        <v>45220</v>
      </c>
      <c r="O263" s="24" t="s">
        <v>79</v>
      </c>
      <c r="P263" s="86">
        <v>314.11142322097299</v>
      </c>
      <c r="Q263" s="86">
        <v>14.55</v>
      </c>
      <c r="R263" s="25">
        <v>10.68</v>
      </c>
      <c r="S263" s="25">
        <v>119.05</v>
      </c>
      <c r="T263" s="25">
        <v>11.53</v>
      </c>
      <c r="U263" s="25">
        <v>15.1666217908421</v>
      </c>
      <c r="V263" s="25">
        <v>13.721728029469499</v>
      </c>
      <c r="W263" s="25">
        <v>1271.48</v>
      </c>
      <c r="X263" s="34">
        <v>509231.94</v>
      </c>
      <c r="Y263" s="30">
        <v>45535</v>
      </c>
      <c r="Z263" s="85">
        <v>2024</v>
      </c>
      <c r="AA263" s="28">
        <v>8</v>
      </c>
      <c r="AB263" s="84">
        <v>19284.056274620001</v>
      </c>
      <c r="AC263" s="84">
        <v>17446.902754909999</v>
      </c>
      <c r="AD263" s="84">
        <v>3354.71</v>
      </c>
      <c r="AE263" s="34">
        <v>192840.56274620001</v>
      </c>
      <c r="AF263" s="28" t="s">
        <v>551</v>
      </c>
      <c r="AG263" s="28" t="s">
        <v>66</v>
      </c>
    </row>
    <row r="264" spans="2:33" x14ac:dyDescent="0.2">
      <c r="B264" s="34">
        <f>CHOOSE(B$1,Tabla2[[#This Row],[Edad]]*12/365,Tabla2[[#This Row],[Tn/Ha]],Tabla2[[#This Row],[Tn]],Tabla2[[#This Row],[Area_Cosecha]])</f>
        <v>10.389041095890411</v>
      </c>
      <c r="C264" s="87" t="s">
        <v>550</v>
      </c>
      <c r="D264" s="23" t="s">
        <v>551</v>
      </c>
      <c r="E264" s="23" t="s">
        <v>551</v>
      </c>
      <c r="F264" s="23" t="s">
        <v>191</v>
      </c>
      <c r="G264" s="23" t="s">
        <v>22</v>
      </c>
      <c r="H264" s="23" t="s">
        <v>24</v>
      </c>
      <c r="I264" s="23" t="s">
        <v>13</v>
      </c>
      <c r="J264" s="23" t="s">
        <v>3</v>
      </c>
      <c r="K264" s="23" t="s">
        <v>784</v>
      </c>
      <c r="L264" s="23">
        <v>2022</v>
      </c>
      <c r="M264" s="24" t="s">
        <v>62</v>
      </c>
      <c r="N264" s="24">
        <v>45220</v>
      </c>
      <c r="O264" s="24" t="s">
        <v>79</v>
      </c>
      <c r="P264" s="86">
        <v>316</v>
      </c>
      <c r="Q264" s="86">
        <v>14.55</v>
      </c>
      <c r="R264" s="25">
        <v>3.87</v>
      </c>
      <c r="S264" s="25">
        <v>118.63</v>
      </c>
      <c r="T264" s="25">
        <v>11.42</v>
      </c>
      <c r="U264" s="25">
        <v>15.264374999999999</v>
      </c>
      <c r="V264" s="25">
        <v>13.772500000000001</v>
      </c>
      <c r="W264" s="25">
        <v>459.11</v>
      </c>
      <c r="X264" s="34">
        <v>544656.31000000006</v>
      </c>
      <c r="Y264" s="30">
        <v>45536</v>
      </c>
      <c r="Z264" s="85">
        <v>2024</v>
      </c>
      <c r="AA264" s="28">
        <v>9</v>
      </c>
      <c r="AB264" s="84">
        <v>7008.0272062499998</v>
      </c>
      <c r="AC264" s="84">
        <v>6323.0924750000004</v>
      </c>
      <c r="AD264" s="84">
        <v>1222.92</v>
      </c>
      <c r="AE264" s="34">
        <v>70080.272062499993</v>
      </c>
      <c r="AF264" s="28" t="s">
        <v>551</v>
      </c>
      <c r="AG264" s="28" t="s">
        <v>66</v>
      </c>
    </row>
    <row r="265" spans="2:33" x14ac:dyDescent="0.2">
      <c r="B265" s="34">
        <f>CHOOSE(B$1,Tabla2[[#This Row],[Edad]]*12/365,Tabla2[[#This Row],[Tn/Ha]],Tabla2[[#This Row],[Tn]],Tabla2[[#This Row],[Area_Cosecha]])</f>
        <v>11.877184124487847</v>
      </c>
      <c r="C265" s="87" t="s">
        <v>550</v>
      </c>
      <c r="D265" s="23" t="s">
        <v>551</v>
      </c>
      <c r="E265" s="23" t="s">
        <v>551</v>
      </c>
      <c r="F265" s="23" t="s">
        <v>192</v>
      </c>
      <c r="G265" s="23" t="s">
        <v>22</v>
      </c>
      <c r="H265" s="23" t="s">
        <v>24</v>
      </c>
      <c r="I265" s="23" t="s">
        <v>13</v>
      </c>
      <c r="J265" s="23" t="s">
        <v>4</v>
      </c>
      <c r="K265" s="23" t="s">
        <v>812</v>
      </c>
      <c r="L265" s="23">
        <v>2022</v>
      </c>
      <c r="M265" s="24" t="s">
        <v>304</v>
      </c>
      <c r="N265" s="24">
        <v>45198</v>
      </c>
      <c r="O265" s="24" t="s">
        <v>50</v>
      </c>
      <c r="P265" s="86">
        <v>361.26435045317203</v>
      </c>
      <c r="Q265" s="86">
        <v>19.86</v>
      </c>
      <c r="R265" s="25">
        <v>19.86</v>
      </c>
      <c r="S265" s="25">
        <v>150.24</v>
      </c>
      <c r="T265" s="25">
        <v>12.65</v>
      </c>
      <c r="U265" s="25">
        <v>14.389089486066799</v>
      </c>
      <c r="V265" s="25">
        <v>12.914901502368799</v>
      </c>
      <c r="W265" s="25">
        <v>2983.672</v>
      </c>
      <c r="X265" s="34">
        <v>1505567.8</v>
      </c>
      <c r="Y265" s="30">
        <v>45560</v>
      </c>
      <c r="Z265" s="85">
        <v>2024</v>
      </c>
      <c r="AA265" s="28">
        <v>9</v>
      </c>
      <c r="AB265" s="84">
        <v>42932.323405071998</v>
      </c>
      <c r="AC265" s="84">
        <v>38533.829995376</v>
      </c>
      <c r="AD265" s="84">
        <v>7174.71</v>
      </c>
      <c r="AE265" s="34">
        <v>429323.23405072</v>
      </c>
      <c r="AF265" s="28" t="s">
        <v>551</v>
      </c>
      <c r="AG265" s="28" t="s">
        <v>66</v>
      </c>
    </row>
    <row r="266" spans="2:33" x14ac:dyDescent="0.2">
      <c r="B266" s="34">
        <f>CHOOSE(B$1,Tabla2[[#This Row],[Edad]]*12/365,Tabla2[[#This Row],[Tn/Ha]],Tabla2[[#This Row],[Tn]],Tabla2[[#This Row],[Area_Cosecha]])</f>
        <v>13.929588810284908</v>
      </c>
      <c r="C266" s="87" t="s">
        <v>550</v>
      </c>
      <c r="D266" s="23" t="s">
        <v>551</v>
      </c>
      <c r="E266" s="23" t="s">
        <v>551</v>
      </c>
      <c r="F266" s="23" t="s">
        <v>471</v>
      </c>
      <c r="G266" s="23" t="s">
        <v>22</v>
      </c>
      <c r="H266" s="23" t="s">
        <v>24</v>
      </c>
      <c r="I266" s="23" t="s">
        <v>13</v>
      </c>
      <c r="J266" s="23" t="s">
        <v>5</v>
      </c>
      <c r="K266" s="23" t="s">
        <v>602</v>
      </c>
      <c r="L266" s="23">
        <v>2022</v>
      </c>
      <c r="M266" s="24" t="s">
        <v>68</v>
      </c>
      <c r="N266" s="24">
        <v>44898</v>
      </c>
      <c r="O266" s="24" t="s">
        <v>50</v>
      </c>
      <c r="P266" s="86">
        <v>423.69165964616599</v>
      </c>
      <c r="Q266" s="86">
        <v>17.920000000000002</v>
      </c>
      <c r="R266" s="25">
        <v>11.87</v>
      </c>
      <c r="S266" s="25">
        <v>147.34</v>
      </c>
      <c r="T266" s="25">
        <v>10.58</v>
      </c>
      <c r="U266" s="25">
        <v>13.5200894989079</v>
      </c>
      <c r="V266" s="25">
        <v>11.985344849615201</v>
      </c>
      <c r="W266" s="25">
        <v>1748.98</v>
      </c>
      <c r="X266" s="34">
        <v>1286099.32</v>
      </c>
      <c r="Y266" s="30">
        <v>45322</v>
      </c>
      <c r="Z266" s="85">
        <v>2024</v>
      </c>
      <c r="AA266" s="28">
        <v>1</v>
      </c>
      <c r="AB266" s="84">
        <v>23646.366131800001</v>
      </c>
      <c r="AC266" s="84">
        <v>20962.128435080002</v>
      </c>
      <c r="AD266" s="84">
        <v>5029.22</v>
      </c>
      <c r="AE266" s="34">
        <v>236463.66131799901</v>
      </c>
      <c r="AF266" s="28" t="s">
        <v>551</v>
      </c>
      <c r="AG266" s="28" t="s">
        <v>66</v>
      </c>
    </row>
    <row r="267" spans="2:33" x14ac:dyDescent="0.2">
      <c r="B267" s="34">
        <f>CHOOSE(B$1,Tabla2[[#This Row],[Edad]]*12/365,Tabla2[[#This Row],[Tn/Ha]],Tabla2[[#This Row],[Tn]],Tabla2[[#This Row],[Area_Cosecha]])</f>
        <v>14.432224612249511</v>
      </c>
      <c r="C267" s="87" t="s">
        <v>550</v>
      </c>
      <c r="D267" s="23" t="s">
        <v>551</v>
      </c>
      <c r="E267" s="23" t="s">
        <v>551</v>
      </c>
      <c r="F267" s="23" t="s">
        <v>471</v>
      </c>
      <c r="G267" s="23" t="s">
        <v>22</v>
      </c>
      <c r="H267" s="23" t="s">
        <v>24</v>
      </c>
      <c r="I267" s="23" t="s">
        <v>13</v>
      </c>
      <c r="J267" s="23" t="s">
        <v>5</v>
      </c>
      <c r="K267" s="23" t="s">
        <v>602</v>
      </c>
      <c r="L267" s="23">
        <v>2022</v>
      </c>
      <c r="M267" s="24" t="s">
        <v>68</v>
      </c>
      <c r="N267" s="24">
        <v>44898</v>
      </c>
      <c r="O267" s="24" t="s">
        <v>50</v>
      </c>
      <c r="P267" s="86">
        <v>438.98016528925598</v>
      </c>
      <c r="Q267" s="86">
        <v>17.920000000000002</v>
      </c>
      <c r="R267" s="25">
        <v>6.05</v>
      </c>
      <c r="S267" s="25">
        <v>100.43</v>
      </c>
      <c r="T267" s="25">
        <v>6.96</v>
      </c>
      <c r="U267" s="25">
        <v>13.5777774651207</v>
      </c>
      <c r="V267" s="25">
        <v>12.047038177235301</v>
      </c>
      <c r="W267" s="25">
        <v>607.61</v>
      </c>
      <c r="X267" s="34">
        <v>47655.53</v>
      </c>
      <c r="Y267" s="30">
        <v>45347</v>
      </c>
      <c r="Z267" s="85">
        <v>2024</v>
      </c>
      <c r="AA267" s="28">
        <v>2</v>
      </c>
      <c r="AB267" s="84">
        <v>8249.9933655820005</v>
      </c>
      <c r="AC267" s="84">
        <v>7319.9008668699998</v>
      </c>
      <c r="AD267" s="84">
        <v>2655.83</v>
      </c>
      <c r="AE267" s="34">
        <v>82499.933655820001</v>
      </c>
      <c r="AF267" s="28" t="s">
        <v>551</v>
      </c>
      <c r="AG267" s="28" t="s">
        <v>66</v>
      </c>
    </row>
    <row r="268" spans="2:33" x14ac:dyDescent="0.2">
      <c r="B268" s="34">
        <f>CHOOSE(B$1,Tabla2[[#This Row],[Edad]]*12/365,Tabla2[[#This Row],[Tn/Ha]],Tabla2[[#This Row],[Tn]],Tabla2[[#This Row],[Area_Cosecha]])</f>
        <v>11.901369863013699</v>
      </c>
      <c r="C268" s="87" t="s">
        <v>550</v>
      </c>
      <c r="D268" s="23" t="s">
        <v>551</v>
      </c>
      <c r="E268" s="23" t="s">
        <v>551</v>
      </c>
      <c r="F268" s="23" t="s">
        <v>193</v>
      </c>
      <c r="G268" s="23" t="s">
        <v>22</v>
      </c>
      <c r="H268" s="23" t="s">
        <v>24</v>
      </c>
      <c r="I268" s="23" t="s">
        <v>13</v>
      </c>
      <c r="J268" s="23" t="s">
        <v>6</v>
      </c>
      <c r="K268" s="23" t="s">
        <v>732</v>
      </c>
      <c r="L268" s="23">
        <v>2023</v>
      </c>
      <c r="M268" s="24" t="s">
        <v>304</v>
      </c>
      <c r="N268" s="24">
        <v>45142</v>
      </c>
      <c r="O268" s="24" t="s">
        <v>50</v>
      </c>
      <c r="P268" s="86">
        <v>362</v>
      </c>
      <c r="Q268" s="86">
        <v>20.99</v>
      </c>
      <c r="R268" s="25">
        <v>2.93</v>
      </c>
      <c r="S268" s="25">
        <v>151.06</v>
      </c>
      <c r="T268" s="25">
        <v>12.69</v>
      </c>
      <c r="U268" s="25">
        <v>14.3895</v>
      </c>
      <c r="V268" s="25">
        <v>12.890999999999901</v>
      </c>
      <c r="W268" s="25">
        <v>442.6</v>
      </c>
      <c r="X268" s="34">
        <v>668582.80000000005</v>
      </c>
      <c r="Y268" s="30">
        <v>45504</v>
      </c>
      <c r="Z268" s="85">
        <v>2024</v>
      </c>
      <c r="AA268" s="28">
        <v>7</v>
      </c>
      <c r="AB268" s="84">
        <v>6368.7927</v>
      </c>
      <c r="AC268" s="84">
        <v>5705.5565999999999</v>
      </c>
      <c r="AD268" s="84">
        <v>1060.6600000000001</v>
      </c>
      <c r="AE268" s="34">
        <v>63687.926999999901</v>
      </c>
      <c r="AF268" s="28" t="s">
        <v>551</v>
      </c>
      <c r="AG268" s="28" t="s">
        <v>66</v>
      </c>
    </row>
    <row r="269" spans="2:33" x14ac:dyDescent="0.2">
      <c r="B269" s="34">
        <f>CHOOSE(B$1,Tabla2[[#This Row],[Edad]]*12/365,Tabla2[[#This Row],[Tn/Ha]],Tabla2[[#This Row],[Tn]],Tabla2[[#This Row],[Area_Cosecha]])</f>
        <v>11.954416784235189</v>
      </c>
      <c r="C269" s="87" t="s">
        <v>550</v>
      </c>
      <c r="D269" s="23" t="s">
        <v>551</v>
      </c>
      <c r="E269" s="23" t="s">
        <v>551</v>
      </c>
      <c r="F269" s="23" t="s">
        <v>193</v>
      </c>
      <c r="G269" s="23" t="s">
        <v>22</v>
      </c>
      <c r="H269" s="23" t="s">
        <v>24</v>
      </c>
      <c r="I269" s="23" t="s">
        <v>13</v>
      </c>
      <c r="J269" s="23" t="s">
        <v>6</v>
      </c>
      <c r="K269" s="23" t="s">
        <v>732</v>
      </c>
      <c r="L269" s="23">
        <v>2023</v>
      </c>
      <c r="M269" s="24" t="s">
        <v>304</v>
      </c>
      <c r="N269" s="24">
        <v>45142</v>
      </c>
      <c r="O269" s="24" t="s">
        <v>50</v>
      </c>
      <c r="P269" s="86">
        <v>363.61351052048701</v>
      </c>
      <c r="Q269" s="86">
        <v>20.99</v>
      </c>
      <c r="R269" s="25">
        <v>18.059999999999999</v>
      </c>
      <c r="S269" s="25">
        <v>151.27000000000001</v>
      </c>
      <c r="T269" s="25">
        <v>12.65</v>
      </c>
      <c r="U269" s="25">
        <v>14.2377246899729</v>
      </c>
      <c r="V269" s="25">
        <v>12.750824248943999</v>
      </c>
      <c r="W269" s="25">
        <v>2732.02</v>
      </c>
      <c r="X269" s="34">
        <v>1379797.15</v>
      </c>
      <c r="Y269" s="30">
        <v>45507</v>
      </c>
      <c r="Z269" s="85">
        <v>2024</v>
      </c>
      <c r="AA269" s="28">
        <v>8</v>
      </c>
      <c r="AB269" s="84">
        <v>38897.748607499903</v>
      </c>
      <c r="AC269" s="84">
        <v>34835.506864599898</v>
      </c>
      <c r="AD269" s="84">
        <v>6566.86</v>
      </c>
      <c r="AE269" s="34">
        <v>388977.48607499897</v>
      </c>
      <c r="AF269" s="28" t="s">
        <v>551</v>
      </c>
      <c r="AG269" s="28" t="s">
        <v>66</v>
      </c>
    </row>
    <row r="270" spans="2:33" x14ac:dyDescent="0.2">
      <c r="B270" s="34">
        <f>CHOOSE(B$1,Tabla2[[#This Row],[Edad]]*12/365,Tabla2[[#This Row],[Tn/Ha]],Tabla2[[#This Row],[Tn]],Tabla2[[#This Row],[Area_Cosecha]])</f>
        <v>12.561095890410938</v>
      </c>
      <c r="C270" s="87" t="s">
        <v>550</v>
      </c>
      <c r="D270" s="23" t="s">
        <v>551</v>
      </c>
      <c r="E270" s="23" t="s">
        <v>551</v>
      </c>
      <c r="F270" s="23" t="s">
        <v>194</v>
      </c>
      <c r="G270" s="23" t="s">
        <v>22</v>
      </c>
      <c r="H270" s="23" t="s">
        <v>24</v>
      </c>
      <c r="I270" s="23" t="s">
        <v>13</v>
      </c>
      <c r="J270" s="23" t="s">
        <v>7</v>
      </c>
      <c r="K270" s="23" t="s">
        <v>692</v>
      </c>
      <c r="L270" s="23">
        <v>2023</v>
      </c>
      <c r="M270" s="24" t="s">
        <v>304</v>
      </c>
      <c r="N270" s="24">
        <v>45072</v>
      </c>
      <c r="O270" s="24" t="s">
        <v>50</v>
      </c>
      <c r="P270" s="86">
        <v>382.06666666666598</v>
      </c>
      <c r="Q270" s="86">
        <v>19.2</v>
      </c>
      <c r="R270" s="25">
        <v>19.2</v>
      </c>
      <c r="S270" s="25">
        <v>165.35</v>
      </c>
      <c r="T270" s="25">
        <v>13.16</v>
      </c>
      <c r="U270" s="25">
        <v>13.4664791310538</v>
      </c>
      <c r="V270" s="25">
        <v>11.9573103169294</v>
      </c>
      <c r="W270" s="25">
        <v>3174.65</v>
      </c>
      <c r="X270" s="34">
        <v>1304050.2</v>
      </c>
      <c r="Y270" s="30">
        <v>45456</v>
      </c>
      <c r="Z270" s="85">
        <v>2024</v>
      </c>
      <c r="AA270" s="28">
        <v>6</v>
      </c>
      <c r="AB270" s="84">
        <v>42751.357973400001</v>
      </c>
      <c r="AC270" s="84">
        <v>37960.275197640003</v>
      </c>
      <c r="AD270" s="84">
        <v>7335.68</v>
      </c>
      <c r="AE270" s="34">
        <v>427513.57973400003</v>
      </c>
      <c r="AF270" s="28" t="s">
        <v>551</v>
      </c>
      <c r="AG270" s="28" t="s">
        <v>66</v>
      </c>
    </row>
    <row r="271" spans="2:33" x14ac:dyDescent="0.2">
      <c r="B271" s="34">
        <f>CHOOSE(B$1,Tabla2[[#This Row],[Edad]]*12/365,Tabla2[[#This Row],[Tn/Ha]],Tabla2[[#This Row],[Tn]],Tabla2[[#This Row],[Area_Cosecha]])</f>
        <v>13.992073059360722</v>
      </c>
      <c r="C271" s="87" t="s">
        <v>550</v>
      </c>
      <c r="D271" s="23" t="s">
        <v>551</v>
      </c>
      <c r="E271" s="23" t="s">
        <v>551</v>
      </c>
      <c r="F271" s="23" t="s">
        <v>442</v>
      </c>
      <c r="G271" s="23" t="s">
        <v>22</v>
      </c>
      <c r="H271" s="23" t="s">
        <v>24</v>
      </c>
      <c r="I271" s="23" t="s">
        <v>13</v>
      </c>
      <c r="J271" s="23" t="s">
        <v>8</v>
      </c>
      <c r="K271" s="23" t="s">
        <v>599</v>
      </c>
      <c r="L271" s="23">
        <v>2022</v>
      </c>
      <c r="M271" s="24" t="s">
        <v>289</v>
      </c>
      <c r="N271" s="24">
        <v>44895</v>
      </c>
      <c r="O271" s="24" t="s">
        <v>50</v>
      </c>
      <c r="P271" s="86">
        <v>425.59222222222201</v>
      </c>
      <c r="Q271" s="86">
        <v>18.59</v>
      </c>
      <c r="R271" s="25">
        <v>18</v>
      </c>
      <c r="S271" s="25">
        <v>131.91</v>
      </c>
      <c r="T271" s="25">
        <v>9.43</v>
      </c>
      <c r="U271" s="25">
        <v>13.7744589616882</v>
      </c>
      <c r="V271" s="25">
        <v>12.2572637053616</v>
      </c>
      <c r="W271" s="25">
        <v>2374.4699999999998</v>
      </c>
      <c r="X271" s="34">
        <v>1041225.38</v>
      </c>
      <c r="Y271" s="30">
        <v>45321</v>
      </c>
      <c r="Z271" s="85">
        <v>2024</v>
      </c>
      <c r="AA271" s="28">
        <v>1</v>
      </c>
      <c r="AB271" s="84">
        <v>32707.03957076</v>
      </c>
      <c r="AC271" s="84">
        <v>29104.50495047</v>
      </c>
      <c r="AD271" s="84">
        <v>7660.66</v>
      </c>
      <c r="AE271" s="34">
        <v>327070.39570759999</v>
      </c>
      <c r="AF271" s="28" t="s">
        <v>551</v>
      </c>
      <c r="AG271" s="28" t="s">
        <v>66</v>
      </c>
    </row>
    <row r="272" spans="2:33" x14ac:dyDescent="0.2">
      <c r="B272" s="34">
        <f>CHOOSE(B$1,Tabla2[[#This Row],[Edad]]*12/365,Tabla2[[#This Row],[Tn/Ha]],Tabla2[[#This Row],[Tn]],Tabla2[[#This Row],[Area_Cosecha]])</f>
        <v>14.203296958439736</v>
      </c>
      <c r="C272" s="87" t="s">
        <v>550</v>
      </c>
      <c r="D272" s="23" t="s">
        <v>551</v>
      </c>
      <c r="E272" s="23" t="s">
        <v>551</v>
      </c>
      <c r="F272" s="23" t="s">
        <v>442</v>
      </c>
      <c r="G272" s="23" t="s">
        <v>22</v>
      </c>
      <c r="H272" s="23" t="s">
        <v>24</v>
      </c>
      <c r="I272" s="23" t="s">
        <v>13</v>
      </c>
      <c r="J272" s="23" t="s">
        <v>8</v>
      </c>
      <c r="K272" s="23" t="s">
        <v>599</v>
      </c>
      <c r="L272" s="23">
        <v>2022</v>
      </c>
      <c r="M272" s="24" t="s">
        <v>289</v>
      </c>
      <c r="N272" s="24">
        <v>44895</v>
      </c>
      <c r="O272" s="24" t="s">
        <v>50</v>
      </c>
      <c r="P272" s="86">
        <v>432.016949152542</v>
      </c>
      <c r="Q272" s="86">
        <v>18.59</v>
      </c>
      <c r="R272" s="25">
        <v>0.59</v>
      </c>
      <c r="S272" s="25">
        <v>268.51</v>
      </c>
      <c r="T272" s="25">
        <v>18.899999999999999</v>
      </c>
      <c r="U272" s="25">
        <v>14.485469821666101</v>
      </c>
      <c r="V272" s="25">
        <v>12.939028023633</v>
      </c>
      <c r="W272" s="25">
        <v>158.422</v>
      </c>
      <c r="X272" s="34">
        <v>143664.74</v>
      </c>
      <c r="Y272" s="30">
        <v>45330</v>
      </c>
      <c r="Z272" s="85">
        <v>2024</v>
      </c>
      <c r="AA272" s="28">
        <v>2</v>
      </c>
      <c r="AB272" s="84">
        <v>2294.8171000880002</v>
      </c>
      <c r="AC272" s="84">
        <v>2049.82669756</v>
      </c>
      <c r="AD272" s="84">
        <v>254.89</v>
      </c>
      <c r="AE272" s="34">
        <v>22948.17100088</v>
      </c>
      <c r="AF272" s="28" t="s">
        <v>551</v>
      </c>
      <c r="AG272" s="28" t="s">
        <v>66</v>
      </c>
    </row>
    <row r="273" spans="2:33" x14ac:dyDescent="0.2">
      <c r="B273" s="34">
        <f>CHOOSE(B$1,Tabla2[[#This Row],[Edad]]*12/365,Tabla2[[#This Row],[Tn/Ha]],Tabla2[[#This Row],[Tn]],Tabla2[[#This Row],[Area_Cosecha]])</f>
        <v>10.132433858791661</v>
      </c>
      <c r="C273" s="87" t="s">
        <v>550</v>
      </c>
      <c r="D273" s="23" t="s">
        <v>551</v>
      </c>
      <c r="E273" s="23" t="s">
        <v>551</v>
      </c>
      <c r="F273" s="23" t="s">
        <v>515</v>
      </c>
      <c r="G273" s="23" t="s">
        <v>22</v>
      </c>
      <c r="H273" s="23" t="s">
        <v>24</v>
      </c>
      <c r="I273" s="23" t="s">
        <v>14</v>
      </c>
      <c r="J273" s="23" t="s">
        <v>3</v>
      </c>
      <c r="K273" s="23" t="s">
        <v>867</v>
      </c>
      <c r="L273" s="23">
        <v>2023</v>
      </c>
      <c r="M273" s="24" t="s">
        <v>304</v>
      </c>
      <c r="N273" s="24">
        <v>45295</v>
      </c>
      <c r="O273" s="24" t="s">
        <v>50</v>
      </c>
      <c r="P273" s="86">
        <v>308.19486320491302</v>
      </c>
      <c r="Q273" s="86">
        <v>17.91</v>
      </c>
      <c r="R273" s="25">
        <v>17.909999999999901</v>
      </c>
      <c r="S273" s="25">
        <v>144.33000000000001</v>
      </c>
      <c r="T273" s="25">
        <v>14.24</v>
      </c>
      <c r="U273" s="25">
        <v>14.987576238200599</v>
      </c>
      <c r="V273" s="25">
        <v>13.5243578327311</v>
      </c>
      <c r="W273" s="25">
        <v>2584.88</v>
      </c>
      <c r="X273" s="34">
        <v>1237274.72</v>
      </c>
      <c r="Y273" s="30">
        <v>45604</v>
      </c>
      <c r="Z273" s="85">
        <v>2024</v>
      </c>
      <c r="AA273" s="28">
        <v>11</v>
      </c>
      <c r="AB273" s="84">
        <v>38741.086066600001</v>
      </c>
      <c r="AC273" s="84">
        <v>34958.842074669999</v>
      </c>
      <c r="AD273" s="84">
        <v>5519.7699999999904</v>
      </c>
      <c r="AE273" s="34">
        <v>387410.86066599999</v>
      </c>
      <c r="AF273" s="28" t="s">
        <v>551</v>
      </c>
      <c r="AG273" s="28" t="s">
        <v>66</v>
      </c>
    </row>
    <row r="274" spans="2:33" x14ac:dyDescent="0.2">
      <c r="B274" s="34">
        <f>CHOOSE(B$1,Tabla2[[#This Row],[Edad]]*12/365,Tabla2[[#This Row],[Tn/Ha]],Tabla2[[#This Row],[Tn]],Tabla2[[#This Row],[Area_Cosecha]])</f>
        <v>13.855707762557063</v>
      </c>
      <c r="C274" s="87" t="s">
        <v>550</v>
      </c>
      <c r="D274" s="23" t="s">
        <v>551</v>
      </c>
      <c r="E274" s="23" t="s">
        <v>551</v>
      </c>
      <c r="F274" s="23" t="s">
        <v>505</v>
      </c>
      <c r="G274" s="23" t="s">
        <v>22</v>
      </c>
      <c r="H274" s="23" t="s">
        <v>24</v>
      </c>
      <c r="I274" s="23" t="s">
        <v>14</v>
      </c>
      <c r="J274" s="23" t="s">
        <v>4</v>
      </c>
      <c r="K274" s="23" t="s">
        <v>558</v>
      </c>
      <c r="L274" s="23">
        <v>2022</v>
      </c>
      <c r="M274" s="24" t="s">
        <v>304</v>
      </c>
      <c r="N274" s="24">
        <v>44874</v>
      </c>
      <c r="O274" s="24" t="s">
        <v>50</v>
      </c>
      <c r="P274" s="86">
        <v>421.444444444444</v>
      </c>
      <c r="Q274" s="86">
        <v>21.87</v>
      </c>
      <c r="R274" s="25">
        <v>0.27</v>
      </c>
      <c r="S274" s="25">
        <v>126.85</v>
      </c>
      <c r="T274" s="25">
        <v>9.16</v>
      </c>
      <c r="U274" s="25">
        <v>15.1744261451094</v>
      </c>
      <c r="V274" s="25">
        <v>13.664010411678801</v>
      </c>
      <c r="W274" s="25">
        <v>34.25</v>
      </c>
      <c r="X274" s="34">
        <v>21728.77</v>
      </c>
      <c r="Y274" s="30">
        <v>45296</v>
      </c>
      <c r="Z274" s="85">
        <v>2024</v>
      </c>
      <c r="AA274" s="28">
        <v>1</v>
      </c>
      <c r="AB274" s="84">
        <v>519.72409546999995</v>
      </c>
      <c r="AC274" s="84">
        <v>467.99235659999999</v>
      </c>
      <c r="AD274" s="84">
        <v>113.789999999999</v>
      </c>
      <c r="AE274" s="34">
        <v>5197.2409546999997</v>
      </c>
      <c r="AF274" s="28" t="s">
        <v>551</v>
      </c>
      <c r="AG274" s="28" t="s">
        <v>66</v>
      </c>
    </row>
    <row r="275" spans="2:33" x14ac:dyDescent="0.2">
      <c r="B275" s="34">
        <f>CHOOSE(B$1,Tabla2[[#This Row],[Edad]]*12/365,Tabla2[[#This Row],[Tn/Ha]],Tabla2[[#This Row],[Tn]],Tabla2[[#This Row],[Area_Cosecha]])</f>
        <v>10.175616976612734</v>
      </c>
      <c r="C275" s="87" t="s">
        <v>550</v>
      </c>
      <c r="D275" s="23" t="s">
        <v>551</v>
      </c>
      <c r="E275" s="23" t="s">
        <v>551</v>
      </c>
      <c r="F275" s="23" t="s">
        <v>505</v>
      </c>
      <c r="G275" s="23" t="s">
        <v>22</v>
      </c>
      <c r="H275" s="23" t="s">
        <v>24</v>
      </c>
      <c r="I275" s="23" t="s">
        <v>14</v>
      </c>
      <c r="J275" s="23" t="s">
        <v>4</v>
      </c>
      <c r="K275" s="23" t="s">
        <v>558</v>
      </c>
      <c r="L275" s="23">
        <v>2023</v>
      </c>
      <c r="M275" s="24" t="s">
        <v>315</v>
      </c>
      <c r="N275" s="24">
        <v>45295</v>
      </c>
      <c r="O275" s="24" t="s">
        <v>50</v>
      </c>
      <c r="P275" s="86">
        <v>309.508349705304</v>
      </c>
      <c r="Q275" s="86">
        <v>20.36</v>
      </c>
      <c r="R275" s="25">
        <v>20.36</v>
      </c>
      <c r="S275" s="25">
        <v>154.4</v>
      </c>
      <c r="T275" s="25">
        <v>15.17</v>
      </c>
      <c r="U275" s="25">
        <v>15.0687134127487</v>
      </c>
      <c r="V275" s="25">
        <v>13.595111472045501</v>
      </c>
      <c r="W275" s="25">
        <v>3143.68</v>
      </c>
      <c r="X275" s="34">
        <v>1220322.55</v>
      </c>
      <c r="Y275" s="30">
        <v>45606</v>
      </c>
      <c r="Z275" s="85">
        <v>2024</v>
      </c>
      <c r="AA275" s="28">
        <v>11</v>
      </c>
      <c r="AB275" s="84">
        <v>47371.212981390003</v>
      </c>
      <c r="AC275" s="84">
        <v>42738.680032440003</v>
      </c>
      <c r="AD275" s="84">
        <v>6301.5899999999901</v>
      </c>
      <c r="AE275" s="34">
        <v>473712.12981389998</v>
      </c>
      <c r="AF275" s="28" t="s">
        <v>551</v>
      </c>
      <c r="AG275" s="28" t="s">
        <v>66</v>
      </c>
    </row>
    <row r="276" spans="2:33" x14ac:dyDescent="0.2">
      <c r="B276" s="34">
        <f>CHOOSE(B$1,Tabla2[[#This Row],[Edad]]*12/365,Tabla2[[#This Row],[Tn/Ha]],Tabla2[[#This Row],[Tn]],Tabla2[[#This Row],[Area_Cosecha]])</f>
        <v>10.897225435137042</v>
      </c>
      <c r="C276" s="87" t="s">
        <v>550</v>
      </c>
      <c r="D276" s="23" t="s">
        <v>551</v>
      </c>
      <c r="E276" s="23" t="s">
        <v>551</v>
      </c>
      <c r="F276" s="23" t="s">
        <v>195</v>
      </c>
      <c r="G276" s="23" t="s">
        <v>22</v>
      </c>
      <c r="H276" s="23" t="s">
        <v>24</v>
      </c>
      <c r="I276" s="23" t="s">
        <v>14</v>
      </c>
      <c r="J276" s="23" t="s">
        <v>5</v>
      </c>
      <c r="K276" s="23" t="s">
        <v>785</v>
      </c>
      <c r="L276" s="23">
        <v>2023</v>
      </c>
      <c r="M276" s="24" t="s">
        <v>315</v>
      </c>
      <c r="N276" s="24">
        <v>45197</v>
      </c>
      <c r="O276" s="24" t="s">
        <v>50</v>
      </c>
      <c r="P276" s="86">
        <v>331.45727365208501</v>
      </c>
      <c r="Q276" s="86">
        <v>19.66</v>
      </c>
      <c r="R276" s="25">
        <v>19.659999999999901</v>
      </c>
      <c r="S276" s="25">
        <v>117.51</v>
      </c>
      <c r="T276" s="25">
        <v>10.78</v>
      </c>
      <c r="U276" s="25">
        <v>14.983729375002101</v>
      </c>
      <c r="V276" s="25">
        <v>13.521104655054801</v>
      </c>
      <c r="W276" s="25">
        <v>2310.2799999999902</v>
      </c>
      <c r="X276" s="34">
        <v>686846.6</v>
      </c>
      <c r="Y276" s="30">
        <v>45530</v>
      </c>
      <c r="Z276" s="85">
        <v>2024</v>
      </c>
      <c r="AA276" s="28">
        <v>8</v>
      </c>
      <c r="AB276" s="84">
        <v>34616.610300479901</v>
      </c>
      <c r="AC276" s="84">
        <v>31237.537662480001</v>
      </c>
      <c r="AD276" s="84">
        <v>6516.4499999999898</v>
      </c>
      <c r="AE276" s="34">
        <v>346166.10300479998</v>
      </c>
      <c r="AF276" s="28" t="s">
        <v>551</v>
      </c>
      <c r="AG276" s="28" t="s">
        <v>66</v>
      </c>
    </row>
    <row r="277" spans="2:33" x14ac:dyDescent="0.2">
      <c r="B277" s="34">
        <f>CHOOSE(B$1,Tabla2[[#This Row],[Edad]]*12/365,Tabla2[[#This Row],[Tn/Ha]],Tabla2[[#This Row],[Tn]],Tabla2[[#This Row],[Area_Cosecha]])</f>
        <v>10.763640940653238</v>
      </c>
      <c r="C277" s="87" t="s">
        <v>550</v>
      </c>
      <c r="D277" s="23" t="s">
        <v>551</v>
      </c>
      <c r="E277" s="23" t="s">
        <v>551</v>
      </c>
      <c r="F277" s="23" t="s">
        <v>196</v>
      </c>
      <c r="G277" s="23" t="s">
        <v>22</v>
      </c>
      <c r="H277" s="23" t="s">
        <v>24</v>
      </c>
      <c r="I277" s="23" t="s">
        <v>14</v>
      </c>
      <c r="J277" s="23" t="s">
        <v>6</v>
      </c>
      <c r="K277" s="23" t="s">
        <v>786</v>
      </c>
      <c r="L277" s="23">
        <v>2023</v>
      </c>
      <c r="M277" s="24" t="s">
        <v>315</v>
      </c>
      <c r="N277" s="24">
        <v>45203</v>
      </c>
      <c r="O277" s="24" t="s">
        <v>50</v>
      </c>
      <c r="P277" s="86">
        <v>327.39407861153597</v>
      </c>
      <c r="Q277" s="86">
        <v>20.14</v>
      </c>
      <c r="R277" s="25">
        <v>19.59</v>
      </c>
      <c r="S277" s="25">
        <v>115.14</v>
      </c>
      <c r="T277" s="25">
        <v>10.7</v>
      </c>
      <c r="U277" s="25">
        <v>14.880776728459701</v>
      </c>
      <c r="V277" s="25">
        <v>13.420366130341201</v>
      </c>
      <c r="W277" s="25">
        <v>2255.54</v>
      </c>
      <c r="X277" s="34">
        <v>507926.86</v>
      </c>
      <c r="Y277" s="30">
        <v>45533</v>
      </c>
      <c r="Z277" s="85">
        <v>2024</v>
      </c>
      <c r="AA277" s="28">
        <v>8</v>
      </c>
      <c r="AB277" s="84">
        <v>33564.18714211</v>
      </c>
      <c r="AC277" s="84">
        <v>30270.172621629899</v>
      </c>
      <c r="AD277" s="84">
        <v>6413.65</v>
      </c>
      <c r="AE277" s="34">
        <v>335641.87142109999</v>
      </c>
      <c r="AF277" s="28" t="s">
        <v>551</v>
      </c>
      <c r="AG277" s="28" t="s">
        <v>66</v>
      </c>
    </row>
    <row r="278" spans="2:33" x14ac:dyDescent="0.2">
      <c r="B278" s="34">
        <f>CHOOSE(B$1,Tabla2[[#This Row],[Edad]]*12/365,Tabla2[[#This Row],[Tn/Ha]],Tabla2[[#This Row],[Tn]],Tabla2[[#This Row],[Area_Cosecha]])</f>
        <v>11.112328767123287</v>
      </c>
      <c r="C278" s="87" t="s">
        <v>550</v>
      </c>
      <c r="D278" s="23" t="s">
        <v>551</v>
      </c>
      <c r="E278" s="23" t="s">
        <v>551</v>
      </c>
      <c r="F278" s="23" t="s">
        <v>196</v>
      </c>
      <c r="G278" s="23" t="s">
        <v>22</v>
      </c>
      <c r="H278" s="23" t="s">
        <v>24</v>
      </c>
      <c r="I278" s="23" t="s">
        <v>14</v>
      </c>
      <c r="J278" s="23" t="s">
        <v>6</v>
      </c>
      <c r="K278" s="23" t="s">
        <v>786</v>
      </c>
      <c r="L278" s="23">
        <v>2023</v>
      </c>
      <c r="M278" s="24" t="s">
        <v>315</v>
      </c>
      <c r="N278" s="24">
        <v>45203</v>
      </c>
      <c r="O278" s="24" t="s">
        <v>50</v>
      </c>
      <c r="P278" s="86">
        <v>338</v>
      </c>
      <c r="Q278" s="86">
        <v>20.14</v>
      </c>
      <c r="R278" s="25">
        <v>0.55000000000000004</v>
      </c>
      <c r="S278" s="25">
        <v>92.07</v>
      </c>
      <c r="T278" s="25">
        <v>8.2899999999999991</v>
      </c>
      <c r="U278" s="25">
        <v>14.503500000000001</v>
      </c>
      <c r="V278" s="25">
        <v>13.0915</v>
      </c>
      <c r="W278" s="25">
        <v>50.64</v>
      </c>
      <c r="X278" s="34">
        <v>46625.63</v>
      </c>
      <c r="Y278" s="30">
        <v>45541</v>
      </c>
      <c r="Z278" s="85">
        <v>2024</v>
      </c>
      <c r="AA278" s="28">
        <v>9</v>
      </c>
      <c r="AB278" s="84">
        <v>734.45723999999996</v>
      </c>
      <c r="AC278" s="84">
        <v>662.95356000000004</v>
      </c>
      <c r="AD278" s="84">
        <v>185.9</v>
      </c>
      <c r="AE278" s="34">
        <v>7344.5724</v>
      </c>
      <c r="AF278" s="28" t="s">
        <v>551</v>
      </c>
      <c r="AG278" s="28" t="s">
        <v>66</v>
      </c>
    </row>
    <row r="279" spans="2:33" x14ac:dyDescent="0.2">
      <c r="B279" s="34">
        <f>CHOOSE(B$1,Tabla2[[#This Row],[Edad]]*12/365,Tabla2[[#This Row],[Tn/Ha]],Tabla2[[#This Row],[Tn]],Tabla2[[#This Row],[Area_Cosecha]])</f>
        <v>10.459755263716307</v>
      </c>
      <c r="C279" s="87" t="s">
        <v>550</v>
      </c>
      <c r="D279" s="23" t="s">
        <v>551</v>
      </c>
      <c r="E279" s="23" t="s">
        <v>551</v>
      </c>
      <c r="F279" s="23" t="s">
        <v>197</v>
      </c>
      <c r="G279" s="23" t="s">
        <v>22</v>
      </c>
      <c r="H279" s="23" t="s">
        <v>24</v>
      </c>
      <c r="I279" s="23" t="s">
        <v>14</v>
      </c>
      <c r="J279" s="23" t="s">
        <v>7</v>
      </c>
      <c r="K279" s="23" t="s">
        <v>774</v>
      </c>
      <c r="L279" s="23">
        <v>2023</v>
      </c>
      <c r="M279" s="24" t="s">
        <v>304</v>
      </c>
      <c r="N279" s="24">
        <v>45208</v>
      </c>
      <c r="O279" s="24" t="s">
        <v>50</v>
      </c>
      <c r="P279" s="86">
        <v>318.150889271371</v>
      </c>
      <c r="Q279" s="86">
        <v>18.829999999999998</v>
      </c>
      <c r="R279" s="25">
        <v>17.43</v>
      </c>
      <c r="S279" s="25">
        <v>127.34</v>
      </c>
      <c r="T279" s="25">
        <v>12.17</v>
      </c>
      <c r="U279" s="25">
        <v>15.241794865800699</v>
      </c>
      <c r="V279" s="25">
        <v>13.747270043271699</v>
      </c>
      <c r="W279" s="25">
        <v>2219.5059999999999</v>
      </c>
      <c r="X279" s="34">
        <v>470661.03</v>
      </c>
      <c r="Y279" s="30">
        <v>45532</v>
      </c>
      <c r="Z279" s="85">
        <v>2024</v>
      </c>
      <c r="AA279" s="28">
        <v>8</v>
      </c>
      <c r="AB279" s="84">
        <v>33829.255155414001</v>
      </c>
      <c r="AC279" s="84">
        <v>30512.148344662</v>
      </c>
      <c r="AD279" s="84">
        <v>5545.37</v>
      </c>
      <c r="AE279" s="34">
        <v>338292.55155413999</v>
      </c>
      <c r="AF279" s="28" t="s">
        <v>551</v>
      </c>
      <c r="AG279" s="28" t="s">
        <v>66</v>
      </c>
    </row>
    <row r="280" spans="2:33" x14ac:dyDescent="0.2">
      <c r="B280" s="34">
        <f>CHOOSE(B$1,Tabla2[[#This Row],[Edad]]*12/365,Tabla2[[#This Row],[Tn/Ha]],Tabla2[[#This Row],[Tn]],Tabla2[[#This Row],[Area_Cosecha]])</f>
        <v>10.816438356164383</v>
      </c>
      <c r="C280" s="87" t="s">
        <v>550</v>
      </c>
      <c r="D280" s="23" t="s">
        <v>551</v>
      </c>
      <c r="E280" s="23" t="s">
        <v>551</v>
      </c>
      <c r="F280" s="23" t="s">
        <v>197</v>
      </c>
      <c r="G280" s="23" t="s">
        <v>22</v>
      </c>
      <c r="H280" s="23" t="s">
        <v>24</v>
      </c>
      <c r="I280" s="23" t="s">
        <v>14</v>
      </c>
      <c r="J280" s="23" t="s">
        <v>7</v>
      </c>
      <c r="K280" s="23" t="s">
        <v>774</v>
      </c>
      <c r="L280" s="23">
        <v>2023</v>
      </c>
      <c r="M280" s="24" t="s">
        <v>304</v>
      </c>
      <c r="N280" s="24">
        <v>45208</v>
      </c>
      <c r="O280" s="24" t="s">
        <v>50</v>
      </c>
      <c r="P280" s="86">
        <v>329</v>
      </c>
      <c r="Q280" s="86">
        <v>18.829999999999998</v>
      </c>
      <c r="R280" s="25">
        <v>1.4</v>
      </c>
      <c r="S280" s="25">
        <v>118.03</v>
      </c>
      <c r="T280" s="25">
        <v>10.91</v>
      </c>
      <c r="U280" s="25">
        <v>15.241794000000001</v>
      </c>
      <c r="V280" s="25">
        <v>13.74727</v>
      </c>
      <c r="W280" s="25">
        <v>165.24</v>
      </c>
      <c r="X280" s="34">
        <v>195030.41</v>
      </c>
      <c r="Y280" s="30">
        <v>45537</v>
      </c>
      <c r="Z280" s="85">
        <v>2024</v>
      </c>
      <c r="AA280" s="28">
        <v>9</v>
      </c>
      <c r="AB280" s="84">
        <v>2518.55404056</v>
      </c>
      <c r="AC280" s="84">
        <v>2271.5988947999999</v>
      </c>
      <c r="AD280" s="84">
        <v>460.599999999999</v>
      </c>
      <c r="AE280" s="34">
        <v>25185.540405600001</v>
      </c>
      <c r="AF280" s="28" t="s">
        <v>551</v>
      </c>
      <c r="AG280" s="28" t="s">
        <v>66</v>
      </c>
    </row>
    <row r="281" spans="2:33" x14ac:dyDescent="0.2">
      <c r="B281" s="34">
        <f>CHOOSE(B$1,Tabla2[[#This Row],[Edad]]*12/365,Tabla2[[#This Row],[Tn/Ha]],Tabla2[[#This Row],[Tn]],Tabla2[[#This Row],[Area_Cosecha]])</f>
        <v>10.661040278497447</v>
      </c>
      <c r="C281" s="87" t="s">
        <v>550</v>
      </c>
      <c r="D281" s="23" t="s">
        <v>551</v>
      </c>
      <c r="E281" s="23" t="s">
        <v>551</v>
      </c>
      <c r="F281" s="23" t="s">
        <v>198</v>
      </c>
      <c r="G281" s="23" t="s">
        <v>22</v>
      </c>
      <c r="H281" s="23" t="s">
        <v>24</v>
      </c>
      <c r="I281" s="23" t="s">
        <v>14</v>
      </c>
      <c r="J281" s="23" t="s">
        <v>8</v>
      </c>
      <c r="K281" s="23" t="s">
        <v>787</v>
      </c>
      <c r="L281" s="23">
        <v>2022</v>
      </c>
      <c r="M281" s="24" t="s">
        <v>304</v>
      </c>
      <c r="N281" s="24">
        <v>45208</v>
      </c>
      <c r="O281" s="24" t="s">
        <v>50</v>
      </c>
      <c r="P281" s="86">
        <v>324.27330847096403</v>
      </c>
      <c r="Q281" s="86">
        <v>19.170000000000002</v>
      </c>
      <c r="R281" s="25">
        <v>18.77</v>
      </c>
      <c r="S281" s="25">
        <v>106.87</v>
      </c>
      <c r="T281" s="25">
        <v>10.02</v>
      </c>
      <c r="U281" s="25">
        <v>15.3131262710285</v>
      </c>
      <c r="V281" s="25">
        <v>13.850780181568</v>
      </c>
      <c r="W281" s="25">
        <v>2006.0249999999901</v>
      </c>
      <c r="X281" s="34">
        <v>427186.49</v>
      </c>
      <c r="Y281" s="30">
        <v>45535</v>
      </c>
      <c r="Z281" s="85">
        <v>2024</v>
      </c>
      <c r="AA281" s="28">
        <v>8</v>
      </c>
      <c r="AB281" s="84">
        <v>30718.514127839899</v>
      </c>
      <c r="AC281" s="84">
        <v>27785.01131373</v>
      </c>
      <c r="AD281" s="84">
        <v>6086.6099999999897</v>
      </c>
      <c r="AE281" s="34">
        <v>307185.14127839898</v>
      </c>
      <c r="AF281" s="28" t="s">
        <v>551</v>
      </c>
      <c r="AG281" s="28" t="s">
        <v>66</v>
      </c>
    </row>
    <row r="282" spans="2:33" x14ac:dyDescent="0.2">
      <c r="B282" s="34">
        <f>CHOOSE(B$1,Tabla2[[#This Row],[Edad]]*12/365,Tabla2[[#This Row],[Tn/Ha]],Tabla2[[#This Row],[Tn]],Tabla2[[#This Row],[Area_Cosecha]])</f>
        <v>10.964383561643835</v>
      </c>
      <c r="C282" s="87" t="s">
        <v>550</v>
      </c>
      <c r="D282" s="23" t="s">
        <v>551</v>
      </c>
      <c r="E282" s="23" t="s">
        <v>551</v>
      </c>
      <c r="F282" s="23" t="s">
        <v>198</v>
      </c>
      <c r="G282" s="23" t="s">
        <v>22</v>
      </c>
      <c r="H282" s="23" t="s">
        <v>24</v>
      </c>
      <c r="I282" s="23" t="s">
        <v>14</v>
      </c>
      <c r="J282" s="23" t="s">
        <v>8</v>
      </c>
      <c r="K282" s="23" t="s">
        <v>787</v>
      </c>
      <c r="L282" s="23">
        <v>2022</v>
      </c>
      <c r="M282" s="24" t="s">
        <v>304</v>
      </c>
      <c r="N282" s="24">
        <v>45208</v>
      </c>
      <c r="O282" s="24" t="s">
        <v>50</v>
      </c>
      <c r="P282" s="86">
        <v>333.5</v>
      </c>
      <c r="Q282" s="86">
        <v>19.170000000000002</v>
      </c>
      <c r="R282" s="25">
        <v>0.4</v>
      </c>
      <c r="S282" s="25">
        <v>120.27</v>
      </c>
      <c r="T282" s="25">
        <v>10.97</v>
      </c>
      <c r="U282" s="25">
        <v>15.683969514861699</v>
      </c>
      <c r="V282" s="25">
        <v>14.164958135107</v>
      </c>
      <c r="W282" s="25">
        <v>48.11</v>
      </c>
      <c r="X282" s="34">
        <v>28811.03</v>
      </c>
      <c r="Y282" s="30">
        <v>45544</v>
      </c>
      <c r="Z282" s="85">
        <v>2024</v>
      </c>
      <c r="AA282" s="28">
        <v>9</v>
      </c>
      <c r="AB282" s="84">
        <v>754.55577335999999</v>
      </c>
      <c r="AC282" s="84">
        <v>681.47613588000002</v>
      </c>
      <c r="AD282" s="84">
        <v>133.4</v>
      </c>
      <c r="AE282" s="34">
        <v>7545.5577335999997</v>
      </c>
      <c r="AF282" s="28" t="s">
        <v>551</v>
      </c>
      <c r="AG282" s="28" t="s">
        <v>66</v>
      </c>
    </row>
    <row r="283" spans="2:33" x14ac:dyDescent="0.2">
      <c r="B283" s="34">
        <f>CHOOSE(B$1,Tabla2[[#This Row],[Edad]]*12/365,Tabla2[[#This Row],[Tn/Ha]],Tabla2[[#This Row],[Tn]],Tabla2[[#This Row],[Area_Cosecha]])</f>
        <v>11.709586067980274</v>
      </c>
      <c r="C283" s="87" t="s">
        <v>550</v>
      </c>
      <c r="D283" s="23" t="s">
        <v>551</v>
      </c>
      <c r="E283" s="23" t="s">
        <v>551</v>
      </c>
      <c r="F283" s="23" t="s">
        <v>199</v>
      </c>
      <c r="G283" s="23" t="s">
        <v>22</v>
      </c>
      <c r="H283" s="23" t="s">
        <v>24</v>
      </c>
      <c r="I283" s="23" t="s">
        <v>15</v>
      </c>
      <c r="J283" s="23" t="s">
        <v>3</v>
      </c>
      <c r="K283" s="23" t="s">
        <v>788</v>
      </c>
      <c r="L283" s="23">
        <v>2023</v>
      </c>
      <c r="M283" s="24" t="s">
        <v>315</v>
      </c>
      <c r="N283" s="24">
        <v>45177</v>
      </c>
      <c r="O283" s="24" t="s">
        <v>50</v>
      </c>
      <c r="P283" s="86">
        <v>356.1665762344</v>
      </c>
      <c r="Q283" s="86">
        <v>18.43</v>
      </c>
      <c r="R283" s="25">
        <v>18.43</v>
      </c>
      <c r="S283" s="25">
        <v>111.72</v>
      </c>
      <c r="T283" s="25">
        <v>9.5399999999999991</v>
      </c>
      <c r="U283" s="25">
        <v>15.416912513530299</v>
      </c>
      <c r="V283" s="25">
        <v>13.9436252718981</v>
      </c>
      <c r="W283" s="25">
        <v>2059.08</v>
      </c>
      <c r="X283" s="34">
        <v>572969.66</v>
      </c>
      <c r="Y283" s="30">
        <v>45535</v>
      </c>
      <c r="Z283" s="85">
        <v>2024</v>
      </c>
      <c r="AA283" s="28">
        <v>8</v>
      </c>
      <c r="AB283" s="84">
        <v>31744.656218359902</v>
      </c>
      <c r="AC283" s="84">
        <v>28711.039924860001</v>
      </c>
      <c r="AD283" s="84">
        <v>6564.15</v>
      </c>
      <c r="AE283" s="34">
        <v>317446.56218359899</v>
      </c>
      <c r="AF283" s="28" t="s">
        <v>551</v>
      </c>
      <c r="AG283" s="28" t="s">
        <v>66</v>
      </c>
    </row>
    <row r="284" spans="2:33" x14ac:dyDescent="0.2">
      <c r="B284" s="34">
        <f>CHOOSE(B$1,Tabla2[[#This Row],[Edad]]*12/365,Tabla2[[#This Row],[Tn/Ha]],Tabla2[[#This Row],[Tn]],Tabla2[[#This Row],[Area_Cosecha]])</f>
        <v>11.669917808219177</v>
      </c>
      <c r="C284" s="87" t="s">
        <v>550</v>
      </c>
      <c r="D284" s="23" t="s">
        <v>551</v>
      </c>
      <c r="E284" s="23" t="s">
        <v>551</v>
      </c>
      <c r="F284" s="23" t="s">
        <v>200</v>
      </c>
      <c r="G284" s="23" t="s">
        <v>22</v>
      </c>
      <c r="H284" s="23" t="s">
        <v>24</v>
      </c>
      <c r="I284" s="23" t="s">
        <v>15</v>
      </c>
      <c r="J284" s="23" t="s">
        <v>4</v>
      </c>
      <c r="K284" s="23" t="s">
        <v>789</v>
      </c>
      <c r="L284" s="23">
        <v>2023</v>
      </c>
      <c r="M284" s="24" t="s">
        <v>304</v>
      </c>
      <c r="N284" s="24">
        <v>45179</v>
      </c>
      <c r="O284" s="24" t="s">
        <v>50</v>
      </c>
      <c r="P284" s="86">
        <v>354.96</v>
      </c>
      <c r="Q284" s="86">
        <v>17.37</v>
      </c>
      <c r="R284" s="25">
        <v>1.5</v>
      </c>
      <c r="S284" s="25">
        <v>196.69</v>
      </c>
      <c r="T284" s="25">
        <v>16.850000000000001</v>
      </c>
      <c r="U284" s="25">
        <v>15.771993242543299</v>
      </c>
      <c r="V284" s="25">
        <v>14.3084922674891</v>
      </c>
      <c r="W284" s="25">
        <v>295.04000000000002</v>
      </c>
      <c r="X284" s="34">
        <v>192986.7</v>
      </c>
      <c r="Y284" s="30">
        <v>45535</v>
      </c>
      <c r="Z284" s="85">
        <v>2024</v>
      </c>
      <c r="AA284" s="28">
        <v>8</v>
      </c>
      <c r="AB284" s="84">
        <v>4653.36888628</v>
      </c>
      <c r="AC284" s="84">
        <v>4221.5775586</v>
      </c>
      <c r="AD284" s="84">
        <v>532.44000000000005</v>
      </c>
      <c r="AE284" s="34">
        <v>46533.688862800002</v>
      </c>
      <c r="AF284" s="28" t="s">
        <v>551</v>
      </c>
      <c r="AG284" s="28" t="s">
        <v>66</v>
      </c>
    </row>
    <row r="285" spans="2:33" x14ac:dyDescent="0.2">
      <c r="B285" s="34">
        <f>CHOOSE(B$1,Tabla2[[#This Row],[Edad]]*12/365,Tabla2[[#This Row],[Tn/Ha]],Tabla2[[#This Row],[Tn]],Tabla2[[#This Row],[Area_Cosecha]])</f>
        <v>11.81483802470413</v>
      </c>
      <c r="C285" s="87" t="s">
        <v>550</v>
      </c>
      <c r="D285" s="23" t="s">
        <v>551</v>
      </c>
      <c r="E285" s="23" t="s">
        <v>551</v>
      </c>
      <c r="F285" s="23" t="s">
        <v>200</v>
      </c>
      <c r="G285" s="23" t="s">
        <v>22</v>
      </c>
      <c r="H285" s="23" t="s">
        <v>24</v>
      </c>
      <c r="I285" s="23" t="s">
        <v>15</v>
      </c>
      <c r="J285" s="23" t="s">
        <v>4</v>
      </c>
      <c r="K285" s="23" t="s">
        <v>789</v>
      </c>
      <c r="L285" s="23">
        <v>2023</v>
      </c>
      <c r="M285" s="24" t="s">
        <v>304</v>
      </c>
      <c r="N285" s="24">
        <v>45179</v>
      </c>
      <c r="O285" s="24" t="s">
        <v>50</v>
      </c>
      <c r="P285" s="86">
        <v>359.36798991808399</v>
      </c>
      <c r="Q285" s="86">
        <v>17.37</v>
      </c>
      <c r="R285" s="25">
        <v>15.87</v>
      </c>
      <c r="S285" s="25">
        <v>90.99</v>
      </c>
      <c r="T285" s="25">
        <v>7.7</v>
      </c>
      <c r="U285" s="25">
        <v>15.678903631581999</v>
      </c>
      <c r="V285" s="25">
        <v>14.206760966251901</v>
      </c>
      <c r="W285" s="25">
        <v>1444.0229999999999</v>
      </c>
      <c r="X285" s="34">
        <v>163490.82</v>
      </c>
      <c r="Y285" s="30">
        <v>45546</v>
      </c>
      <c r="Z285" s="85">
        <v>2024</v>
      </c>
      <c r="AA285" s="28">
        <v>9</v>
      </c>
      <c r="AB285" s="84">
        <v>22640.697458787999</v>
      </c>
      <c r="AC285" s="84">
        <v>20514.889590769999</v>
      </c>
      <c r="AD285" s="84">
        <v>5703.17</v>
      </c>
      <c r="AE285" s="34">
        <v>226406.97458787999</v>
      </c>
      <c r="AF285" s="28" t="s">
        <v>551</v>
      </c>
      <c r="AG285" s="28" t="s">
        <v>66</v>
      </c>
    </row>
    <row r="286" spans="2:33" x14ac:dyDescent="0.2">
      <c r="B286" s="34">
        <f>CHOOSE(B$1,Tabla2[[#This Row],[Edad]]*12/365,Tabla2[[#This Row],[Tn/Ha]],Tabla2[[#This Row],[Tn]],Tabla2[[#This Row],[Area_Cosecha]])</f>
        <v>11.829780550059651</v>
      </c>
      <c r="C286" s="87" t="s">
        <v>550</v>
      </c>
      <c r="D286" s="23" t="s">
        <v>551</v>
      </c>
      <c r="E286" s="23" t="s">
        <v>551</v>
      </c>
      <c r="F286" s="23" t="s">
        <v>201</v>
      </c>
      <c r="G286" s="23" t="s">
        <v>22</v>
      </c>
      <c r="H286" s="23" t="s">
        <v>24</v>
      </c>
      <c r="I286" s="23" t="s">
        <v>15</v>
      </c>
      <c r="J286" s="23" t="s">
        <v>5</v>
      </c>
      <c r="K286" s="23" t="s">
        <v>790</v>
      </c>
      <c r="L286" s="23">
        <v>2023</v>
      </c>
      <c r="M286" s="24" t="s">
        <v>304</v>
      </c>
      <c r="N286" s="24">
        <v>45175</v>
      </c>
      <c r="O286" s="24" t="s">
        <v>50</v>
      </c>
      <c r="P286" s="86">
        <v>359.82249173098103</v>
      </c>
      <c r="Q286" s="86">
        <v>19.8</v>
      </c>
      <c r="R286" s="25">
        <v>9.07</v>
      </c>
      <c r="S286" s="25">
        <v>111.33</v>
      </c>
      <c r="T286" s="25">
        <v>9.41</v>
      </c>
      <c r="U286" s="25">
        <v>15.2771264182244</v>
      </c>
      <c r="V286" s="25">
        <v>13.8308318973552</v>
      </c>
      <c r="W286" s="25">
        <v>1009.745</v>
      </c>
      <c r="X286" s="34">
        <v>554966.52</v>
      </c>
      <c r="Y286" s="30">
        <v>45535</v>
      </c>
      <c r="Z286" s="85">
        <v>2024</v>
      </c>
      <c r="AA286" s="28">
        <v>8</v>
      </c>
      <c r="AB286" s="84">
        <v>15426.002015169999</v>
      </c>
      <c r="AC286" s="84">
        <v>13965.613354195</v>
      </c>
      <c r="AD286" s="84">
        <v>3263.59</v>
      </c>
      <c r="AE286" s="34">
        <v>154260.02015169899</v>
      </c>
      <c r="AF286" s="28" t="s">
        <v>551</v>
      </c>
      <c r="AG286" s="28" t="s">
        <v>66</v>
      </c>
    </row>
    <row r="287" spans="2:33" x14ac:dyDescent="0.2">
      <c r="B287" s="34">
        <f>CHOOSE(B$1,Tabla2[[#This Row],[Edad]]*12/365,Tabla2[[#This Row],[Tn/Ha]],Tabla2[[#This Row],[Tn]],Tabla2[[#This Row],[Area_Cosecha]])</f>
        <v>11.890308825594607</v>
      </c>
      <c r="C287" s="87" t="s">
        <v>550</v>
      </c>
      <c r="D287" s="23" t="s">
        <v>551</v>
      </c>
      <c r="E287" s="23" t="s">
        <v>551</v>
      </c>
      <c r="F287" s="23" t="s">
        <v>201</v>
      </c>
      <c r="G287" s="23" t="s">
        <v>22</v>
      </c>
      <c r="H287" s="23" t="s">
        <v>24</v>
      </c>
      <c r="I287" s="23" t="s">
        <v>15</v>
      </c>
      <c r="J287" s="23" t="s">
        <v>5</v>
      </c>
      <c r="K287" s="23" t="s">
        <v>790</v>
      </c>
      <c r="L287" s="23">
        <v>2023</v>
      </c>
      <c r="M287" s="24" t="s">
        <v>304</v>
      </c>
      <c r="N287" s="24">
        <v>45175</v>
      </c>
      <c r="O287" s="24" t="s">
        <v>50</v>
      </c>
      <c r="P287" s="86">
        <v>361.66356011183598</v>
      </c>
      <c r="Q287" s="86">
        <v>19.8</v>
      </c>
      <c r="R287" s="25">
        <v>10.73</v>
      </c>
      <c r="S287" s="25">
        <v>108.78</v>
      </c>
      <c r="T287" s="25">
        <v>9.15</v>
      </c>
      <c r="U287" s="25">
        <v>15.5109323228183</v>
      </c>
      <c r="V287" s="25">
        <v>14.0598550704066</v>
      </c>
      <c r="W287" s="25">
        <v>1167.21999999999</v>
      </c>
      <c r="X287" s="34">
        <v>315264.69</v>
      </c>
      <c r="Y287" s="30">
        <v>45550</v>
      </c>
      <c r="Z287" s="85">
        <v>2024</v>
      </c>
      <c r="AA287" s="28">
        <v>9</v>
      </c>
      <c r="AB287" s="84">
        <v>18104.670425839999</v>
      </c>
      <c r="AC287" s="84">
        <v>16410.944035280001</v>
      </c>
      <c r="AD287" s="84">
        <v>3880.65</v>
      </c>
      <c r="AE287" s="34">
        <v>181046.70425839999</v>
      </c>
      <c r="AF287" s="28" t="s">
        <v>551</v>
      </c>
      <c r="AG287" s="28" t="s">
        <v>66</v>
      </c>
    </row>
    <row r="288" spans="2:33" x14ac:dyDescent="0.2">
      <c r="B288" s="34">
        <f>CHOOSE(B$1,Tabla2[[#This Row],[Edad]]*12/365,Tabla2[[#This Row],[Tn/Ha]],Tabla2[[#This Row],[Tn]],Tabla2[[#This Row],[Area_Cosecha]])</f>
        <v>11.374289943171089</v>
      </c>
      <c r="C288" s="87" t="s">
        <v>550</v>
      </c>
      <c r="D288" s="23" t="s">
        <v>551</v>
      </c>
      <c r="E288" s="23" t="s">
        <v>551</v>
      </c>
      <c r="F288" s="23" t="s">
        <v>202</v>
      </c>
      <c r="G288" s="23" t="s">
        <v>22</v>
      </c>
      <c r="H288" s="23" t="s">
        <v>24</v>
      </c>
      <c r="I288" s="23" t="s">
        <v>15</v>
      </c>
      <c r="J288" s="23" t="s">
        <v>6</v>
      </c>
      <c r="K288" s="23" t="s">
        <v>813</v>
      </c>
      <c r="L288" s="23">
        <v>2023</v>
      </c>
      <c r="M288" s="24" t="s">
        <v>304</v>
      </c>
      <c r="N288" s="24">
        <v>45215</v>
      </c>
      <c r="O288" s="24" t="s">
        <v>50</v>
      </c>
      <c r="P288" s="86">
        <v>345.96798577145398</v>
      </c>
      <c r="Q288" s="86">
        <v>22.49</v>
      </c>
      <c r="R288" s="25">
        <v>22.49</v>
      </c>
      <c r="S288" s="25">
        <v>146.44</v>
      </c>
      <c r="T288" s="25">
        <v>12.87</v>
      </c>
      <c r="U288" s="25">
        <v>14.827865649294299</v>
      </c>
      <c r="V288" s="25">
        <v>13.351272773932999</v>
      </c>
      <c r="W288" s="25">
        <v>3293.36</v>
      </c>
      <c r="X288" s="34">
        <v>1596984.3</v>
      </c>
      <c r="Y288" s="30">
        <v>45562</v>
      </c>
      <c r="Z288" s="85">
        <v>2024</v>
      </c>
      <c r="AA288" s="28">
        <v>9</v>
      </c>
      <c r="AB288" s="84">
        <v>48833.499614760003</v>
      </c>
      <c r="AC288" s="84">
        <v>43970.547702759999</v>
      </c>
      <c r="AD288" s="84">
        <v>7780.82</v>
      </c>
      <c r="AE288" s="34">
        <v>488334.9961476</v>
      </c>
      <c r="AF288" s="28" t="s">
        <v>551</v>
      </c>
      <c r="AG288" s="28" t="s">
        <v>66</v>
      </c>
    </row>
    <row r="289" spans="2:33" x14ac:dyDescent="0.2">
      <c r="B289" s="34">
        <f>CHOOSE(B$1,Tabla2[[#This Row],[Edad]]*12/365,Tabla2[[#This Row],[Tn/Ha]],Tabla2[[#This Row],[Tn]],Tabla2[[#This Row],[Area_Cosecha]])</f>
        <v>13.718894086201118</v>
      </c>
      <c r="C289" s="87" t="s">
        <v>550</v>
      </c>
      <c r="D289" s="23" t="s">
        <v>551</v>
      </c>
      <c r="E289" s="23" t="s">
        <v>551</v>
      </c>
      <c r="F289" s="23" t="s">
        <v>447</v>
      </c>
      <c r="G289" s="23" t="s">
        <v>22</v>
      </c>
      <c r="H289" s="23" t="s">
        <v>24</v>
      </c>
      <c r="I289" s="23" t="s">
        <v>15</v>
      </c>
      <c r="J289" s="23" t="s">
        <v>7</v>
      </c>
      <c r="K289" s="23" t="s">
        <v>584</v>
      </c>
      <c r="L289" s="23">
        <v>2022</v>
      </c>
      <c r="M289" s="24" t="s">
        <v>283</v>
      </c>
      <c r="N289" s="24">
        <v>44894</v>
      </c>
      <c r="O289" s="24" t="s">
        <v>50</v>
      </c>
      <c r="P289" s="86">
        <v>417.28302845528401</v>
      </c>
      <c r="Q289" s="86">
        <v>19.68</v>
      </c>
      <c r="R289" s="25">
        <v>19.68</v>
      </c>
      <c r="S289" s="25">
        <v>140.38999999999999</v>
      </c>
      <c r="T289" s="25">
        <v>10.23</v>
      </c>
      <c r="U289" s="25">
        <v>13.8683260329079</v>
      </c>
      <c r="V289" s="25">
        <v>12.348529382457199</v>
      </c>
      <c r="W289" s="25">
        <v>2762.9180000000001</v>
      </c>
      <c r="X289" s="34">
        <v>665633.38</v>
      </c>
      <c r="Y289" s="30">
        <v>45321</v>
      </c>
      <c r="Z289" s="85">
        <v>2024</v>
      </c>
      <c r="AA289" s="28">
        <v>1</v>
      </c>
      <c r="AB289" s="84">
        <v>38317.047626189997</v>
      </c>
      <c r="AC289" s="84">
        <v>34117.974104319997</v>
      </c>
      <c r="AD289" s="84">
        <v>8212.1299999999992</v>
      </c>
      <c r="AE289" s="34">
        <v>383170.47626189998</v>
      </c>
      <c r="AF289" s="28" t="s">
        <v>551</v>
      </c>
      <c r="AG289" s="28" t="s">
        <v>66</v>
      </c>
    </row>
    <row r="290" spans="2:33" x14ac:dyDescent="0.2">
      <c r="B290" s="34">
        <f>CHOOSE(B$1,Tabla2[[#This Row],[Edad]]*12/365,Tabla2[[#This Row],[Tn/Ha]],Tabla2[[#This Row],[Tn]],Tabla2[[#This Row],[Area_Cosecha]])</f>
        <v>13.603101064506541</v>
      </c>
      <c r="C290" s="87" t="s">
        <v>550</v>
      </c>
      <c r="D290" s="23" t="s">
        <v>551</v>
      </c>
      <c r="E290" s="23" t="s">
        <v>551</v>
      </c>
      <c r="F290" s="23" t="s">
        <v>448</v>
      </c>
      <c r="G290" s="23" t="s">
        <v>22</v>
      </c>
      <c r="H290" s="23" t="s">
        <v>24</v>
      </c>
      <c r="I290" s="23" t="s">
        <v>15</v>
      </c>
      <c r="J290" s="23" t="s">
        <v>8</v>
      </c>
      <c r="K290" s="23" t="s">
        <v>585</v>
      </c>
      <c r="L290" s="23">
        <v>2022</v>
      </c>
      <c r="M290" s="24" t="s">
        <v>283</v>
      </c>
      <c r="N290" s="24">
        <v>44898</v>
      </c>
      <c r="O290" s="24" t="s">
        <v>50</v>
      </c>
      <c r="P290" s="86">
        <v>413.76099071207398</v>
      </c>
      <c r="Q290" s="86">
        <v>18.12</v>
      </c>
      <c r="R290" s="25">
        <v>16.149999999999999</v>
      </c>
      <c r="S290" s="25">
        <v>151.57</v>
      </c>
      <c r="T290" s="25">
        <v>11.14</v>
      </c>
      <c r="U290" s="25">
        <v>13.998881002312199</v>
      </c>
      <c r="V290" s="25">
        <v>12.453317640011701</v>
      </c>
      <c r="W290" s="25">
        <v>2447.83</v>
      </c>
      <c r="X290" s="34">
        <v>759586.97</v>
      </c>
      <c r="Y290" s="30">
        <v>45322</v>
      </c>
      <c r="Z290" s="85">
        <v>2024</v>
      </c>
      <c r="AA290" s="28">
        <v>1</v>
      </c>
      <c r="AB290" s="84">
        <v>34266.88088389</v>
      </c>
      <c r="AC290" s="84">
        <v>30483.604518749999</v>
      </c>
      <c r="AD290" s="84">
        <v>6682.24</v>
      </c>
      <c r="AE290" s="34">
        <v>342668.8088389</v>
      </c>
      <c r="AF290" s="28" t="s">
        <v>551</v>
      </c>
      <c r="AG290" s="28" t="s">
        <v>66</v>
      </c>
    </row>
    <row r="291" spans="2:33" x14ac:dyDescent="0.2">
      <c r="B291" s="34">
        <f>CHOOSE(B$1,Tabla2[[#This Row],[Edad]]*12/365,Tabla2[[#This Row],[Tn/Ha]],Tabla2[[#This Row],[Tn]],Tabla2[[#This Row],[Area_Cosecha]])</f>
        <v>14.2753743230328</v>
      </c>
      <c r="C291" s="87" t="s">
        <v>550</v>
      </c>
      <c r="D291" s="23" t="s">
        <v>551</v>
      </c>
      <c r="E291" s="23" t="s">
        <v>551</v>
      </c>
      <c r="F291" s="23" t="s">
        <v>448</v>
      </c>
      <c r="G291" s="23" t="s">
        <v>22</v>
      </c>
      <c r="H291" s="23" t="s">
        <v>24</v>
      </c>
      <c r="I291" s="23" t="s">
        <v>15</v>
      </c>
      <c r="J291" s="23" t="s">
        <v>8</v>
      </c>
      <c r="K291" s="23" t="s">
        <v>585</v>
      </c>
      <c r="L291" s="23">
        <v>2022</v>
      </c>
      <c r="M291" s="24" t="s">
        <v>283</v>
      </c>
      <c r="N291" s="24">
        <v>44898</v>
      </c>
      <c r="O291" s="24" t="s">
        <v>50</v>
      </c>
      <c r="P291" s="86">
        <v>434.20930232558101</v>
      </c>
      <c r="Q291" s="86">
        <v>18.12</v>
      </c>
      <c r="R291" s="25">
        <v>1.72</v>
      </c>
      <c r="S291" s="25">
        <v>64.89</v>
      </c>
      <c r="T291" s="25">
        <v>4.55</v>
      </c>
      <c r="U291" s="25">
        <v>14.503474087879001</v>
      </c>
      <c r="V291" s="25">
        <v>12.994890429001501</v>
      </c>
      <c r="W291" s="25">
        <v>111.607999999999</v>
      </c>
      <c r="X291" s="34">
        <v>36264</v>
      </c>
      <c r="Y291" s="30">
        <v>45341</v>
      </c>
      <c r="Z291" s="85">
        <v>2024</v>
      </c>
      <c r="AA291" s="28">
        <v>2</v>
      </c>
      <c r="AB291" s="84">
        <v>1618.7037359999999</v>
      </c>
      <c r="AC291" s="84">
        <v>1450.3337309999999</v>
      </c>
      <c r="AD291" s="84">
        <v>746.83999999999901</v>
      </c>
      <c r="AE291" s="34">
        <v>16187.0373599999</v>
      </c>
      <c r="AF291" s="28" t="s">
        <v>551</v>
      </c>
      <c r="AG291" s="28" t="s">
        <v>66</v>
      </c>
    </row>
    <row r="292" spans="2:33" x14ac:dyDescent="0.2">
      <c r="B292" s="34">
        <f>CHOOSE(B$1,Tabla2[[#This Row],[Edad]]*12/365,Tabla2[[#This Row],[Tn/Ha]],Tabla2[[#This Row],[Tn]],Tabla2[[#This Row],[Area_Cosecha]])</f>
        <v>13.422410873153655</v>
      </c>
      <c r="C292" s="87" t="s">
        <v>550</v>
      </c>
      <c r="D292" s="23" t="s">
        <v>551</v>
      </c>
      <c r="E292" s="23" t="s">
        <v>551</v>
      </c>
      <c r="F292" s="23" t="s">
        <v>455</v>
      </c>
      <c r="G292" s="23" t="s">
        <v>22</v>
      </c>
      <c r="H292" s="23" t="s">
        <v>25</v>
      </c>
      <c r="I292" s="23" t="s">
        <v>21</v>
      </c>
      <c r="J292" s="23" t="s">
        <v>3</v>
      </c>
      <c r="K292" s="23" t="s">
        <v>559</v>
      </c>
      <c r="L292" s="23">
        <v>2022</v>
      </c>
      <c r="M292" s="24" t="s">
        <v>304</v>
      </c>
      <c r="N292" s="24">
        <v>44887</v>
      </c>
      <c r="O292" s="24" t="s">
        <v>50</v>
      </c>
      <c r="P292" s="86">
        <v>408.26499739175699</v>
      </c>
      <c r="Q292" s="86">
        <v>19.170000000000002</v>
      </c>
      <c r="R292" s="25">
        <v>19.170000000000002</v>
      </c>
      <c r="S292" s="25">
        <v>135.49</v>
      </c>
      <c r="T292" s="25">
        <v>10.09</v>
      </c>
      <c r="U292" s="25">
        <v>15.1239767199282</v>
      </c>
      <c r="V292" s="25">
        <v>13.6387690798615</v>
      </c>
      <c r="W292" s="25">
        <v>2597.37</v>
      </c>
      <c r="X292" s="34">
        <v>878302.39</v>
      </c>
      <c r="Y292" s="30">
        <v>45297</v>
      </c>
      <c r="Z292" s="85">
        <v>2024</v>
      </c>
      <c r="AA292" s="28">
        <v>1</v>
      </c>
      <c r="AB292" s="84">
        <v>39282.563413039999</v>
      </c>
      <c r="AC292" s="84">
        <v>35424.929644960001</v>
      </c>
      <c r="AD292" s="84">
        <v>7826.44</v>
      </c>
      <c r="AE292" s="34">
        <v>392825.63413040002</v>
      </c>
      <c r="AF292" s="28" t="s">
        <v>551</v>
      </c>
      <c r="AG292" s="28" t="s">
        <v>66</v>
      </c>
    </row>
    <row r="293" spans="2:33" x14ac:dyDescent="0.2">
      <c r="B293" s="34">
        <f>CHOOSE(B$1,Tabla2[[#This Row],[Edad]]*12/365,Tabla2[[#This Row],[Tn/Ha]],Tabla2[[#This Row],[Tn]],Tabla2[[#This Row],[Area_Cosecha]])</f>
        <v>10.245437302423596</v>
      </c>
      <c r="C293" s="87" t="s">
        <v>550</v>
      </c>
      <c r="D293" s="23" t="s">
        <v>551</v>
      </c>
      <c r="E293" s="23" t="s">
        <v>551</v>
      </c>
      <c r="F293" s="23" t="s">
        <v>455</v>
      </c>
      <c r="G293" s="23" t="s">
        <v>22</v>
      </c>
      <c r="H293" s="23" t="s">
        <v>25</v>
      </c>
      <c r="I293" s="23" t="s">
        <v>21</v>
      </c>
      <c r="J293" s="23" t="s">
        <v>3</v>
      </c>
      <c r="K293" s="23" t="s">
        <v>559</v>
      </c>
      <c r="L293" s="23">
        <v>2023</v>
      </c>
      <c r="M293" s="24" t="s">
        <v>315</v>
      </c>
      <c r="N293" s="24">
        <v>45309</v>
      </c>
      <c r="O293" s="24" t="s">
        <v>50</v>
      </c>
      <c r="P293" s="86">
        <v>311.63205128205101</v>
      </c>
      <c r="Q293" s="86">
        <v>19.170000000000002</v>
      </c>
      <c r="R293" s="25">
        <v>15.6</v>
      </c>
      <c r="S293" s="25">
        <v>125.4</v>
      </c>
      <c r="T293" s="25">
        <v>12.24</v>
      </c>
      <c r="U293" s="25">
        <v>15.2329893281804</v>
      </c>
      <c r="V293" s="25">
        <v>13.7327905489269</v>
      </c>
      <c r="W293" s="25">
        <v>1956.1799999999901</v>
      </c>
      <c r="X293" s="34">
        <v>613307.61</v>
      </c>
      <c r="Y293" s="30">
        <v>45622</v>
      </c>
      <c r="Z293" s="85">
        <v>2024</v>
      </c>
      <c r="AA293" s="28">
        <v>11</v>
      </c>
      <c r="AB293" s="84">
        <v>29798.469064000001</v>
      </c>
      <c r="AC293" s="84">
        <v>26863.8102159999</v>
      </c>
      <c r="AD293" s="84">
        <v>4861.45999999999</v>
      </c>
      <c r="AE293" s="34">
        <v>297984.69063999999</v>
      </c>
      <c r="AF293" s="28" t="s">
        <v>551</v>
      </c>
      <c r="AG293" s="28" t="s">
        <v>66</v>
      </c>
    </row>
    <row r="294" spans="2:33" x14ac:dyDescent="0.2">
      <c r="B294" s="34">
        <f>CHOOSE(B$1,Tabla2[[#This Row],[Edad]]*12/365,Tabla2[[#This Row],[Tn/Ha]],Tabla2[[#This Row],[Tn]],Tabla2[[#This Row],[Area_Cosecha]])</f>
        <v>13.349887438753415</v>
      </c>
      <c r="C294" s="87" t="s">
        <v>550</v>
      </c>
      <c r="D294" s="23" t="s">
        <v>551</v>
      </c>
      <c r="E294" s="23" t="s">
        <v>551</v>
      </c>
      <c r="F294" s="23" t="s">
        <v>452</v>
      </c>
      <c r="G294" s="23" t="s">
        <v>22</v>
      </c>
      <c r="H294" s="23" t="s">
        <v>25</v>
      </c>
      <c r="I294" s="23" t="s">
        <v>21</v>
      </c>
      <c r="J294" s="23" t="s">
        <v>4</v>
      </c>
      <c r="K294" s="23" t="s">
        <v>560</v>
      </c>
      <c r="L294" s="23">
        <v>2022</v>
      </c>
      <c r="M294" s="24" t="s">
        <v>304</v>
      </c>
      <c r="N294" s="24">
        <v>44891</v>
      </c>
      <c r="O294" s="24" t="s">
        <v>50</v>
      </c>
      <c r="P294" s="86">
        <v>406.05907626208301</v>
      </c>
      <c r="Q294" s="86">
        <v>18.62</v>
      </c>
      <c r="R294" s="25">
        <v>18.619999999999902</v>
      </c>
      <c r="S294" s="25">
        <v>119.38</v>
      </c>
      <c r="T294" s="25">
        <v>8.94</v>
      </c>
      <c r="U294" s="25">
        <v>15.482914473063801</v>
      </c>
      <c r="V294" s="25">
        <v>14.021263654592</v>
      </c>
      <c r="W294" s="25">
        <v>2222.85</v>
      </c>
      <c r="X294" s="34">
        <v>385248.84</v>
      </c>
      <c r="Y294" s="30">
        <v>45303</v>
      </c>
      <c r="Z294" s="85">
        <v>2024</v>
      </c>
      <c r="AA294" s="28">
        <v>1</v>
      </c>
      <c r="AB294" s="84">
        <v>34416.196436450002</v>
      </c>
      <c r="AC294" s="84">
        <v>31167.165914609999</v>
      </c>
      <c r="AD294" s="84">
        <v>7560.82</v>
      </c>
      <c r="AE294" s="34">
        <v>344161.96436450002</v>
      </c>
      <c r="AF294" s="28" t="s">
        <v>551</v>
      </c>
      <c r="AG294" s="28" t="s">
        <v>66</v>
      </c>
    </row>
    <row r="295" spans="2:33" x14ac:dyDescent="0.2">
      <c r="B295" s="34">
        <f>CHOOSE(B$1,Tabla2[[#This Row],[Edad]]*12/365,Tabla2[[#This Row],[Tn/Ha]],Tabla2[[#This Row],[Tn]],Tabla2[[#This Row],[Area_Cosecha]])</f>
        <v>13.593659992975034</v>
      </c>
      <c r="C295" s="87" t="s">
        <v>550</v>
      </c>
      <c r="D295" s="23" t="s">
        <v>551</v>
      </c>
      <c r="E295" s="23" t="s">
        <v>551</v>
      </c>
      <c r="F295" s="23" t="s">
        <v>456</v>
      </c>
      <c r="G295" s="23" t="s">
        <v>22</v>
      </c>
      <c r="H295" s="23" t="s">
        <v>25</v>
      </c>
      <c r="I295" s="23" t="s">
        <v>21</v>
      </c>
      <c r="J295" s="23" t="s">
        <v>5</v>
      </c>
      <c r="K295" s="23" t="s">
        <v>586</v>
      </c>
      <c r="L295" s="23">
        <v>2022</v>
      </c>
      <c r="M295" s="24" t="s">
        <v>304</v>
      </c>
      <c r="N295" s="24">
        <v>44902</v>
      </c>
      <c r="O295" s="24" t="s">
        <v>50</v>
      </c>
      <c r="P295" s="86">
        <v>413.47382478632397</v>
      </c>
      <c r="Q295" s="86">
        <v>18.72</v>
      </c>
      <c r="R295" s="25">
        <v>18.72</v>
      </c>
      <c r="S295" s="25">
        <v>89.09</v>
      </c>
      <c r="T295" s="25">
        <v>6.55</v>
      </c>
      <c r="U295" s="25">
        <v>15.409769809679</v>
      </c>
      <c r="V295" s="25">
        <v>13.922215225374901</v>
      </c>
      <c r="W295" s="25">
        <v>1667.741</v>
      </c>
      <c r="X295" s="34">
        <v>502264.46</v>
      </c>
      <c r="Y295" s="30">
        <v>45321</v>
      </c>
      <c r="Z295" s="85">
        <v>2024</v>
      </c>
      <c r="AA295" s="28">
        <v>1</v>
      </c>
      <c r="AB295" s="84">
        <v>25699.504912163899</v>
      </c>
      <c r="AC295" s="84">
        <v>23218.649142181901</v>
      </c>
      <c r="AD295" s="84">
        <v>7740.23</v>
      </c>
      <c r="AE295" s="34">
        <v>256995.04912163899</v>
      </c>
      <c r="AF295" s="28" t="s">
        <v>551</v>
      </c>
      <c r="AG295" s="28" t="s">
        <v>66</v>
      </c>
    </row>
    <row r="296" spans="2:33" x14ac:dyDescent="0.2">
      <c r="B296" s="34">
        <f>CHOOSE(B$1,Tabla2[[#This Row],[Edad]]*12/365,Tabla2[[#This Row],[Tn/Ha]],Tabla2[[#This Row],[Tn]],Tabla2[[#This Row],[Area_Cosecha]])</f>
        <v>13.938577200861598</v>
      </c>
      <c r="C296" s="87" t="s">
        <v>550</v>
      </c>
      <c r="D296" s="23" t="s">
        <v>551</v>
      </c>
      <c r="E296" s="23" t="s">
        <v>551</v>
      </c>
      <c r="F296" s="23" t="s">
        <v>203</v>
      </c>
      <c r="G296" s="23" t="s">
        <v>22</v>
      </c>
      <c r="H296" s="23" t="s">
        <v>25</v>
      </c>
      <c r="I296" s="23" t="s">
        <v>21</v>
      </c>
      <c r="J296" s="23" t="s">
        <v>6</v>
      </c>
      <c r="K296" s="23" t="s">
        <v>659</v>
      </c>
      <c r="L296" s="23">
        <v>2022</v>
      </c>
      <c r="M296" s="24" t="s">
        <v>304</v>
      </c>
      <c r="N296" s="24">
        <v>44996</v>
      </c>
      <c r="O296" s="24" t="s">
        <v>50</v>
      </c>
      <c r="P296" s="86">
        <v>423.96505652620698</v>
      </c>
      <c r="Q296" s="86">
        <v>19.46</v>
      </c>
      <c r="R296" s="25">
        <v>19.46</v>
      </c>
      <c r="S296" s="25">
        <v>131.77000000000001</v>
      </c>
      <c r="T296" s="25">
        <v>9.4499999999999993</v>
      </c>
      <c r="U296" s="25">
        <v>14.7997374967923</v>
      </c>
      <c r="V296" s="25">
        <v>13.286295724823599</v>
      </c>
      <c r="W296" s="25">
        <v>2564.21</v>
      </c>
      <c r="X296" s="34">
        <v>847230.57</v>
      </c>
      <c r="Y296" s="30">
        <v>45422</v>
      </c>
      <c r="Z296" s="85">
        <v>2024</v>
      </c>
      <c r="AA296" s="28">
        <v>5</v>
      </c>
      <c r="AB296" s="84">
        <v>37949.634886649997</v>
      </c>
      <c r="AC296" s="84">
        <v>34068.852360549899</v>
      </c>
      <c r="AD296" s="84">
        <v>8250.36</v>
      </c>
      <c r="AE296" s="34">
        <v>379496.34886649903</v>
      </c>
      <c r="AF296" s="28" t="s">
        <v>551</v>
      </c>
      <c r="AG296" s="28" t="s">
        <v>66</v>
      </c>
    </row>
    <row r="297" spans="2:33" x14ac:dyDescent="0.2">
      <c r="B297" s="34">
        <f>CHOOSE(B$1,Tabla2[[#This Row],[Edad]]*12/365,Tabla2[[#This Row],[Tn/Ha]],Tabla2[[#This Row],[Tn]],Tabla2[[#This Row],[Area_Cosecha]])</f>
        <v>14.001352951124614</v>
      </c>
      <c r="C297" s="87" t="s">
        <v>550</v>
      </c>
      <c r="D297" s="23" t="s">
        <v>551</v>
      </c>
      <c r="E297" s="23" t="s">
        <v>551</v>
      </c>
      <c r="F297" s="23" t="s">
        <v>204</v>
      </c>
      <c r="G297" s="23" t="s">
        <v>22</v>
      </c>
      <c r="H297" s="23" t="s">
        <v>25</v>
      </c>
      <c r="I297" s="23" t="s">
        <v>21</v>
      </c>
      <c r="J297" s="23" t="s">
        <v>7</v>
      </c>
      <c r="K297" s="23" t="s">
        <v>660</v>
      </c>
      <c r="L297" s="23">
        <v>2023</v>
      </c>
      <c r="M297" s="24" t="s">
        <v>304</v>
      </c>
      <c r="N297" s="24">
        <v>44996</v>
      </c>
      <c r="O297" s="24" t="s">
        <v>50</v>
      </c>
      <c r="P297" s="86">
        <v>425.87448559670702</v>
      </c>
      <c r="Q297" s="86">
        <v>19.440000000000001</v>
      </c>
      <c r="R297" s="25">
        <v>19.440000000000001</v>
      </c>
      <c r="S297" s="25">
        <v>163.47999999999999</v>
      </c>
      <c r="T297" s="25">
        <v>11.68</v>
      </c>
      <c r="U297" s="25">
        <v>14.5389978078481</v>
      </c>
      <c r="V297" s="25">
        <v>13.026530874769501</v>
      </c>
      <c r="W297" s="25">
        <v>3178.06</v>
      </c>
      <c r="X297" s="34">
        <v>867601.95</v>
      </c>
      <c r="Y297" s="30">
        <v>45424</v>
      </c>
      <c r="Z297" s="85">
        <v>2024</v>
      </c>
      <c r="AA297" s="28">
        <v>5</v>
      </c>
      <c r="AB297" s="84">
        <v>46205.807373210002</v>
      </c>
      <c r="AC297" s="84">
        <v>41399.096711869999</v>
      </c>
      <c r="AD297" s="84">
        <v>8278.9999999999909</v>
      </c>
      <c r="AE297" s="34">
        <v>462058.07373210002</v>
      </c>
      <c r="AF297" s="28" t="s">
        <v>551</v>
      </c>
      <c r="AG297" s="28" t="s">
        <v>66</v>
      </c>
    </row>
    <row r="298" spans="2:33" x14ac:dyDescent="0.2">
      <c r="B298" s="34">
        <f>CHOOSE(B$1,Tabla2[[#This Row],[Edad]]*12/365,Tabla2[[#This Row],[Tn/Ha]],Tabla2[[#This Row],[Tn]],Tabla2[[#This Row],[Area_Cosecha]])</f>
        <v>14.292966311397173</v>
      </c>
      <c r="C298" s="87" t="s">
        <v>550</v>
      </c>
      <c r="D298" s="23" t="s">
        <v>551</v>
      </c>
      <c r="E298" s="23" t="s">
        <v>551</v>
      </c>
      <c r="F298" s="23" t="s">
        <v>205</v>
      </c>
      <c r="G298" s="23" t="s">
        <v>22</v>
      </c>
      <c r="H298" s="23" t="s">
        <v>25</v>
      </c>
      <c r="I298" s="23" t="s">
        <v>21</v>
      </c>
      <c r="J298" s="23" t="s">
        <v>8</v>
      </c>
      <c r="K298" s="23" t="s">
        <v>672</v>
      </c>
      <c r="L298" s="23">
        <v>2023</v>
      </c>
      <c r="M298" s="24" t="s">
        <v>304</v>
      </c>
      <c r="N298" s="24">
        <v>44996</v>
      </c>
      <c r="O298" s="24" t="s">
        <v>50</v>
      </c>
      <c r="P298" s="86">
        <v>434.74439197166402</v>
      </c>
      <c r="Q298" s="86">
        <v>16.940000000000001</v>
      </c>
      <c r="R298" s="25">
        <v>16.940000000000001</v>
      </c>
      <c r="S298" s="25">
        <v>134.81</v>
      </c>
      <c r="T298" s="25">
        <v>9.43</v>
      </c>
      <c r="U298" s="25">
        <v>14.5836003332924</v>
      </c>
      <c r="V298" s="25">
        <v>13.058493497309099</v>
      </c>
      <c r="W298" s="25">
        <v>2283.67</v>
      </c>
      <c r="X298" s="34">
        <v>500165.84</v>
      </c>
      <c r="Y298" s="30">
        <v>45439</v>
      </c>
      <c r="Z298" s="85">
        <v>2024</v>
      </c>
      <c r="AA298" s="28">
        <v>5</v>
      </c>
      <c r="AB298" s="84">
        <v>33304.1305731299</v>
      </c>
      <c r="AC298" s="84">
        <v>29821.289844999999</v>
      </c>
      <c r="AD298" s="84">
        <v>7364.57</v>
      </c>
      <c r="AE298" s="34">
        <v>333041.30573129997</v>
      </c>
      <c r="AF298" s="28" t="s">
        <v>551</v>
      </c>
      <c r="AG298" s="28" t="s">
        <v>66</v>
      </c>
    </row>
    <row r="299" spans="2:33" x14ac:dyDescent="0.2">
      <c r="B299" s="34">
        <f>CHOOSE(B$1,Tabla2[[#This Row],[Edad]]*12/365,Tabla2[[#This Row],[Tn/Ha]],Tabla2[[#This Row],[Tn]],Tabla2[[#This Row],[Area_Cosecha]])</f>
        <v>12.161653315637293</v>
      </c>
      <c r="C299" s="87" t="s">
        <v>550</v>
      </c>
      <c r="D299" s="23" t="s">
        <v>551</v>
      </c>
      <c r="E299" s="23" t="s">
        <v>551</v>
      </c>
      <c r="F299" s="23" t="s">
        <v>418</v>
      </c>
      <c r="G299" s="23" t="s">
        <v>22</v>
      </c>
      <c r="H299" s="23" t="s">
        <v>25</v>
      </c>
      <c r="I299" s="23" t="s">
        <v>26</v>
      </c>
      <c r="J299" s="23" t="s">
        <v>3</v>
      </c>
      <c r="K299" s="23" t="s">
        <v>561</v>
      </c>
      <c r="L299" s="23">
        <v>2022</v>
      </c>
      <c r="M299" s="24" t="s">
        <v>283</v>
      </c>
      <c r="N299" s="24">
        <v>44932</v>
      </c>
      <c r="O299" s="24" t="s">
        <v>50</v>
      </c>
      <c r="P299" s="86">
        <v>369.91695501730101</v>
      </c>
      <c r="Q299" s="86">
        <v>20.23</v>
      </c>
      <c r="R299" s="25">
        <v>20.23</v>
      </c>
      <c r="S299" s="25">
        <v>133.81</v>
      </c>
      <c r="T299" s="25">
        <v>11</v>
      </c>
      <c r="U299" s="25">
        <v>13.845245149393</v>
      </c>
      <c r="V299" s="25">
        <v>12.3624552463853</v>
      </c>
      <c r="W299" s="25">
        <v>2707.02</v>
      </c>
      <c r="X299" s="34">
        <v>516365.81</v>
      </c>
      <c r="Y299" s="30">
        <v>45310</v>
      </c>
      <c r="Z299" s="85">
        <v>2024</v>
      </c>
      <c r="AA299" s="28">
        <v>1</v>
      </c>
      <c r="AB299" s="84">
        <v>37479.355524309998</v>
      </c>
      <c r="AC299" s="84">
        <v>33465.413601070002</v>
      </c>
      <c r="AD299" s="84">
        <v>7483.4199999999901</v>
      </c>
      <c r="AE299" s="34">
        <v>374793.55524309998</v>
      </c>
      <c r="AF299" s="28" t="s">
        <v>551</v>
      </c>
      <c r="AG299" s="28" t="s">
        <v>66</v>
      </c>
    </row>
    <row r="300" spans="2:33" x14ac:dyDescent="0.2">
      <c r="B300" s="34">
        <f>CHOOSE(B$1,Tabla2[[#This Row],[Edad]]*12/365,Tabla2[[#This Row],[Tn/Ha]],Tabla2[[#This Row],[Tn]],Tabla2[[#This Row],[Area_Cosecha]])</f>
        <v>12.316871836681971</v>
      </c>
      <c r="C300" s="87" t="s">
        <v>550</v>
      </c>
      <c r="D300" s="23" t="s">
        <v>551</v>
      </c>
      <c r="E300" s="23" t="s">
        <v>551</v>
      </c>
      <c r="F300" s="23" t="s">
        <v>432</v>
      </c>
      <c r="G300" s="23" t="s">
        <v>22</v>
      </c>
      <c r="H300" s="23" t="s">
        <v>25</v>
      </c>
      <c r="I300" s="23" t="s">
        <v>26</v>
      </c>
      <c r="J300" s="23" t="s">
        <v>4</v>
      </c>
      <c r="K300" s="23" t="s">
        <v>562</v>
      </c>
      <c r="L300" s="23">
        <v>2022</v>
      </c>
      <c r="M300" s="24" t="s">
        <v>283</v>
      </c>
      <c r="N300" s="24">
        <v>44929</v>
      </c>
      <c r="O300" s="24" t="s">
        <v>50</v>
      </c>
      <c r="P300" s="86">
        <v>374.63818503240998</v>
      </c>
      <c r="Q300" s="86">
        <v>16.97</v>
      </c>
      <c r="R300" s="25">
        <v>16.97</v>
      </c>
      <c r="S300" s="25">
        <v>131.30000000000001</v>
      </c>
      <c r="T300" s="25">
        <v>10.66</v>
      </c>
      <c r="U300" s="25">
        <v>14.175179111835099</v>
      </c>
      <c r="V300" s="25">
        <v>12.695601153619601</v>
      </c>
      <c r="W300" s="25">
        <v>2228.0999999999899</v>
      </c>
      <c r="X300" s="34">
        <v>415945.88</v>
      </c>
      <c r="Y300" s="30">
        <v>45310</v>
      </c>
      <c r="Z300" s="85">
        <v>2024</v>
      </c>
      <c r="AA300" s="28">
        <v>1</v>
      </c>
      <c r="AB300" s="84">
        <v>31583.716579079999</v>
      </c>
      <c r="AC300" s="84">
        <v>28287.068930379999</v>
      </c>
      <c r="AD300" s="84">
        <v>6357.61</v>
      </c>
      <c r="AE300" s="34">
        <v>315837.16579079902</v>
      </c>
      <c r="AF300" s="28" t="s">
        <v>551</v>
      </c>
      <c r="AG300" s="28" t="s">
        <v>66</v>
      </c>
    </row>
    <row r="301" spans="2:33" x14ac:dyDescent="0.2">
      <c r="B301" s="34">
        <f>CHOOSE(B$1,Tabla2[[#This Row],[Edad]]*12/365,Tabla2[[#This Row],[Tn/Ha]],Tabla2[[#This Row],[Tn]],Tabla2[[#This Row],[Area_Cosecha]])</f>
        <v>11.88993888303475</v>
      </c>
      <c r="C301" s="87" t="s">
        <v>550</v>
      </c>
      <c r="D301" s="23" t="s">
        <v>551</v>
      </c>
      <c r="E301" s="23" t="s">
        <v>551</v>
      </c>
      <c r="F301" s="23" t="s">
        <v>206</v>
      </c>
      <c r="G301" s="23" t="s">
        <v>22</v>
      </c>
      <c r="H301" s="23" t="s">
        <v>25</v>
      </c>
      <c r="I301" s="23" t="s">
        <v>26</v>
      </c>
      <c r="J301" s="23" t="s">
        <v>5</v>
      </c>
      <c r="K301" s="23" t="s">
        <v>733</v>
      </c>
      <c r="L301" s="23">
        <v>2023</v>
      </c>
      <c r="M301" s="24" t="s">
        <v>289</v>
      </c>
      <c r="N301" s="24">
        <v>45114</v>
      </c>
      <c r="O301" s="24" t="s">
        <v>50</v>
      </c>
      <c r="P301" s="86">
        <v>361.65230769230698</v>
      </c>
      <c r="Q301" s="86">
        <v>19.5</v>
      </c>
      <c r="R301" s="25">
        <v>19.5</v>
      </c>
      <c r="S301" s="25">
        <v>111.1</v>
      </c>
      <c r="T301" s="25">
        <v>9.34</v>
      </c>
      <c r="U301" s="25">
        <v>15.281314327701701</v>
      </c>
      <c r="V301" s="25">
        <v>13.761524947127899</v>
      </c>
      <c r="W301" s="25">
        <v>2166.36</v>
      </c>
      <c r="X301" s="34">
        <v>808494.73</v>
      </c>
      <c r="Y301" s="30">
        <v>45476</v>
      </c>
      <c r="Z301" s="85">
        <v>2024</v>
      </c>
      <c r="AA301" s="28">
        <v>7</v>
      </c>
      <c r="AB301" s="84">
        <v>33104.828106959998</v>
      </c>
      <c r="AC301" s="84">
        <v>29812.417184459999</v>
      </c>
      <c r="AD301" s="84">
        <v>7052.22</v>
      </c>
      <c r="AE301" s="34">
        <v>331048.28106960002</v>
      </c>
      <c r="AF301" s="28" t="s">
        <v>551</v>
      </c>
      <c r="AG301" s="28" t="s">
        <v>66</v>
      </c>
    </row>
    <row r="302" spans="2:33" x14ac:dyDescent="0.2">
      <c r="B302" s="34">
        <f>CHOOSE(B$1,Tabla2[[#This Row],[Edad]]*12/365,Tabla2[[#This Row],[Tn/Ha]],Tabla2[[#This Row],[Tn]],Tabla2[[#This Row],[Area_Cosecha]])</f>
        <v>12.154102895899333</v>
      </c>
      <c r="C302" s="87" t="s">
        <v>550</v>
      </c>
      <c r="D302" s="23" t="s">
        <v>551</v>
      </c>
      <c r="E302" s="23" t="s">
        <v>551</v>
      </c>
      <c r="F302" s="23" t="s">
        <v>207</v>
      </c>
      <c r="G302" s="23" t="s">
        <v>22</v>
      </c>
      <c r="H302" s="23" t="s">
        <v>25</v>
      </c>
      <c r="I302" s="23" t="s">
        <v>26</v>
      </c>
      <c r="J302" s="23" t="s">
        <v>6</v>
      </c>
      <c r="K302" s="23" t="s">
        <v>713</v>
      </c>
      <c r="L302" s="23">
        <v>2023</v>
      </c>
      <c r="M302" s="24" t="s">
        <v>289</v>
      </c>
      <c r="N302" s="24">
        <v>45103</v>
      </c>
      <c r="O302" s="24" t="s">
        <v>50</v>
      </c>
      <c r="P302" s="86">
        <v>369.68729641693801</v>
      </c>
      <c r="Q302" s="86">
        <v>20.399999999999999</v>
      </c>
      <c r="R302" s="25">
        <v>3.07</v>
      </c>
      <c r="S302" s="25">
        <v>151.57</v>
      </c>
      <c r="T302" s="25">
        <v>12.47</v>
      </c>
      <c r="U302" s="25">
        <v>14.213537759773001</v>
      </c>
      <c r="V302" s="25">
        <v>12.693215974296701</v>
      </c>
      <c r="W302" s="25">
        <v>465.30999999999898</v>
      </c>
      <c r="X302" s="34">
        <v>349957.19</v>
      </c>
      <c r="Y302" s="30">
        <v>45473</v>
      </c>
      <c r="Z302" s="85">
        <v>2024</v>
      </c>
      <c r="AA302" s="28">
        <v>6</v>
      </c>
      <c r="AB302" s="84">
        <v>6613.7012549999999</v>
      </c>
      <c r="AC302" s="84">
        <v>5906.2803249999997</v>
      </c>
      <c r="AD302" s="84">
        <v>1134.94</v>
      </c>
      <c r="AE302" s="34">
        <v>66137.012549999999</v>
      </c>
      <c r="AF302" s="28" t="s">
        <v>551</v>
      </c>
      <c r="AG302" s="28" t="s">
        <v>66</v>
      </c>
    </row>
    <row r="303" spans="2:33" x14ac:dyDescent="0.2">
      <c r="B303" s="34">
        <f>CHOOSE(B$1,Tabla2[[#This Row],[Edad]]*12/365,Tabla2[[#This Row],[Tn/Ha]],Tabla2[[#This Row],[Tn]],Tabla2[[#This Row],[Area_Cosecha]])</f>
        <v>12.217009066548625</v>
      </c>
      <c r="C303" s="87" t="s">
        <v>550</v>
      </c>
      <c r="D303" s="23" t="s">
        <v>551</v>
      </c>
      <c r="E303" s="23" t="s">
        <v>551</v>
      </c>
      <c r="F303" s="23" t="s">
        <v>207</v>
      </c>
      <c r="G303" s="23" t="s">
        <v>22</v>
      </c>
      <c r="H303" s="23" t="s">
        <v>25</v>
      </c>
      <c r="I303" s="23" t="s">
        <v>26</v>
      </c>
      <c r="J303" s="23" t="s">
        <v>6</v>
      </c>
      <c r="K303" s="23" t="s">
        <v>713</v>
      </c>
      <c r="L303" s="23">
        <v>2023</v>
      </c>
      <c r="M303" s="24" t="s">
        <v>289</v>
      </c>
      <c r="N303" s="24">
        <v>45103</v>
      </c>
      <c r="O303" s="24" t="s">
        <v>50</v>
      </c>
      <c r="P303" s="86">
        <v>371.600692440854</v>
      </c>
      <c r="Q303" s="86">
        <v>20.399999999999999</v>
      </c>
      <c r="R303" s="25">
        <v>17.329999999999998</v>
      </c>
      <c r="S303" s="25">
        <v>143.18</v>
      </c>
      <c r="T303" s="25">
        <v>11.72</v>
      </c>
      <c r="U303" s="25">
        <v>15.0729277889697</v>
      </c>
      <c r="V303" s="25">
        <v>13.5535291649706</v>
      </c>
      <c r="W303" s="25">
        <v>2481.35</v>
      </c>
      <c r="X303" s="34">
        <v>1186435.8600000001</v>
      </c>
      <c r="Y303" s="30">
        <v>45476</v>
      </c>
      <c r="Z303" s="85">
        <v>2024</v>
      </c>
      <c r="AA303" s="28">
        <v>7</v>
      </c>
      <c r="AB303" s="84">
        <v>37401.2093691599</v>
      </c>
      <c r="AC303" s="84">
        <v>33631.0495935</v>
      </c>
      <c r="AD303" s="84">
        <v>6439.8399999999901</v>
      </c>
      <c r="AE303" s="34">
        <v>374012.09369159897</v>
      </c>
      <c r="AF303" s="28" t="s">
        <v>551</v>
      </c>
      <c r="AG303" s="28" t="s">
        <v>66</v>
      </c>
    </row>
    <row r="304" spans="2:33" x14ac:dyDescent="0.2">
      <c r="B304" s="34">
        <f>CHOOSE(B$1,Tabla2[[#This Row],[Edad]]*12/365,Tabla2[[#This Row],[Tn/Ha]],Tabla2[[#This Row],[Tn]],Tabla2[[#This Row],[Area_Cosecha]])</f>
        <v>12.920547945205479</v>
      </c>
      <c r="C304" s="87" t="s">
        <v>550</v>
      </c>
      <c r="D304" s="23" t="s">
        <v>551</v>
      </c>
      <c r="E304" s="23" t="s">
        <v>551</v>
      </c>
      <c r="F304" s="23" t="s">
        <v>208</v>
      </c>
      <c r="G304" s="23" t="s">
        <v>22</v>
      </c>
      <c r="H304" s="23" t="s">
        <v>25</v>
      </c>
      <c r="I304" s="23" t="s">
        <v>26</v>
      </c>
      <c r="J304" s="23" t="s">
        <v>7</v>
      </c>
      <c r="K304" s="23" t="s">
        <v>714</v>
      </c>
      <c r="L304" s="23">
        <v>2023</v>
      </c>
      <c r="M304" s="24" t="s">
        <v>289</v>
      </c>
      <c r="N304" s="24">
        <v>45080</v>
      </c>
      <c r="O304" s="24" t="s">
        <v>50</v>
      </c>
      <c r="P304" s="86">
        <v>393</v>
      </c>
      <c r="Q304" s="86">
        <v>19.63</v>
      </c>
      <c r="R304" s="25">
        <v>4.01</v>
      </c>
      <c r="S304" s="25">
        <v>157.71</v>
      </c>
      <c r="T304" s="25">
        <v>12.21</v>
      </c>
      <c r="U304" s="25">
        <v>14.667833</v>
      </c>
      <c r="V304" s="25">
        <v>13.172833000000001</v>
      </c>
      <c r="W304" s="25">
        <v>632.42999999999995</v>
      </c>
      <c r="X304" s="34">
        <v>997425.7</v>
      </c>
      <c r="Y304" s="30">
        <v>45473</v>
      </c>
      <c r="Z304" s="85">
        <v>2024</v>
      </c>
      <c r="AA304" s="28">
        <v>6</v>
      </c>
      <c r="AB304" s="84">
        <v>9276.3776241899996</v>
      </c>
      <c r="AC304" s="84">
        <v>8330.8947741899992</v>
      </c>
      <c r="AD304" s="84">
        <v>1575.9299999999901</v>
      </c>
      <c r="AE304" s="34">
        <v>92763.776241900006</v>
      </c>
      <c r="AF304" s="28" t="s">
        <v>551</v>
      </c>
      <c r="AG304" s="28" t="s">
        <v>66</v>
      </c>
    </row>
    <row r="305" spans="2:33" x14ac:dyDescent="0.2">
      <c r="B305" s="34">
        <f>CHOOSE(B$1,Tabla2[[#This Row],[Edad]]*12/365,Tabla2[[#This Row],[Tn/Ha]],Tabla2[[#This Row],[Tn]],Tabla2[[#This Row],[Area_Cosecha]])</f>
        <v>12.970115587672964</v>
      </c>
      <c r="C305" s="87" t="s">
        <v>550</v>
      </c>
      <c r="D305" s="23" t="s">
        <v>551</v>
      </c>
      <c r="E305" s="23" t="s">
        <v>551</v>
      </c>
      <c r="F305" s="23" t="s">
        <v>208</v>
      </c>
      <c r="G305" s="23" t="s">
        <v>22</v>
      </c>
      <c r="H305" s="23" t="s">
        <v>25</v>
      </c>
      <c r="I305" s="23" t="s">
        <v>26</v>
      </c>
      <c r="J305" s="23" t="s">
        <v>7</v>
      </c>
      <c r="K305" s="23" t="s">
        <v>714</v>
      </c>
      <c r="L305" s="23">
        <v>2023</v>
      </c>
      <c r="M305" s="24" t="s">
        <v>289</v>
      </c>
      <c r="N305" s="24">
        <v>45080</v>
      </c>
      <c r="O305" s="24" t="s">
        <v>50</v>
      </c>
      <c r="P305" s="86">
        <v>394.507682458386</v>
      </c>
      <c r="Q305" s="86">
        <v>19.63</v>
      </c>
      <c r="R305" s="25">
        <v>15.62</v>
      </c>
      <c r="S305" s="25">
        <v>124.38</v>
      </c>
      <c r="T305" s="25">
        <v>9.59</v>
      </c>
      <c r="U305" s="25">
        <v>14.996887528053101</v>
      </c>
      <c r="V305" s="25">
        <v>13.488610124067</v>
      </c>
      <c r="W305" s="25">
        <v>1942.74</v>
      </c>
      <c r="X305" s="34">
        <v>1206865.46</v>
      </c>
      <c r="Y305" s="30">
        <v>45475</v>
      </c>
      <c r="Z305" s="85">
        <v>2024</v>
      </c>
      <c r="AA305" s="28">
        <v>7</v>
      </c>
      <c r="AB305" s="84">
        <v>29135.053276250001</v>
      </c>
      <c r="AC305" s="84">
        <v>26204.86243243</v>
      </c>
      <c r="AD305" s="84">
        <v>6162.21</v>
      </c>
      <c r="AE305" s="34">
        <v>291350.53276249999</v>
      </c>
      <c r="AF305" s="28" t="s">
        <v>551</v>
      </c>
      <c r="AG305" s="28" t="s">
        <v>66</v>
      </c>
    </row>
    <row r="306" spans="2:33" x14ac:dyDescent="0.2">
      <c r="B306" s="34">
        <f>CHOOSE(B$1,Tabla2[[#This Row],[Edad]]*12/365,Tabla2[[#This Row],[Tn/Ha]],Tabla2[[#This Row],[Tn]],Tabla2[[#This Row],[Area_Cosecha]])</f>
        <v>12.806703584960648</v>
      </c>
      <c r="C306" s="87" t="s">
        <v>550</v>
      </c>
      <c r="D306" s="23" t="s">
        <v>551</v>
      </c>
      <c r="E306" s="23" t="s">
        <v>551</v>
      </c>
      <c r="F306" s="23" t="s">
        <v>209</v>
      </c>
      <c r="G306" s="23" t="s">
        <v>22</v>
      </c>
      <c r="H306" s="23" t="s">
        <v>25</v>
      </c>
      <c r="I306" s="23" t="s">
        <v>26</v>
      </c>
      <c r="J306" s="23" t="s">
        <v>8</v>
      </c>
      <c r="K306" s="23" t="s">
        <v>715</v>
      </c>
      <c r="L306" s="23">
        <v>2023</v>
      </c>
      <c r="M306" s="24" t="s">
        <v>289</v>
      </c>
      <c r="N306" s="24">
        <v>45083</v>
      </c>
      <c r="O306" s="24" t="s">
        <v>50</v>
      </c>
      <c r="P306" s="86">
        <v>389.537234042553</v>
      </c>
      <c r="Q306" s="86">
        <v>19.75</v>
      </c>
      <c r="R306" s="25">
        <v>18.799999999999901</v>
      </c>
      <c r="S306" s="25">
        <v>159.43</v>
      </c>
      <c r="T306" s="25">
        <v>12.45</v>
      </c>
      <c r="U306" s="25">
        <v>14.582765734744299</v>
      </c>
      <c r="V306" s="25">
        <v>13.074720360152201</v>
      </c>
      <c r="W306" s="25">
        <v>2997.26</v>
      </c>
      <c r="X306" s="34">
        <v>2389063.15</v>
      </c>
      <c r="Y306" s="30">
        <v>45473</v>
      </c>
      <c r="Z306" s="85">
        <v>2024</v>
      </c>
      <c r="AA306" s="28">
        <v>6</v>
      </c>
      <c r="AB306" s="84">
        <v>43708.340426119998</v>
      </c>
      <c r="AC306" s="84">
        <v>39188.336346669901</v>
      </c>
      <c r="AD306" s="84">
        <v>7323.2999999999902</v>
      </c>
      <c r="AE306" s="34">
        <v>437083.40426119999</v>
      </c>
      <c r="AF306" s="28" t="s">
        <v>551</v>
      </c>
      <c r="AG306" s="28" t="s">
        <v>66</v>
      </c>
    </row>
    <row r="307" spans="2:33" x14ac:dyDescent="0.2">
      <c r="B307" s="34">
        <f>CHOOSE(B$1,Tabla2[[#This Row],[Edad]]*12/365,Tabla2[[#This Row],[Tn/Ha]],Tabla2[[#This Row],[Tn]],Tabla2[[#This Row],[Area_Cosecha]])</f>
        <v>12.854794520547944</v>
      </c>
      <c r="C307" s="87" t="s">
        <v>550</v>
      </c>
      <c r="D307" s="23" t="s">
        <v>551</v>
      </c>
      <c r="E307" s="23" t="s">
        <v>551</v>
      </c>
      <c r="F307" s="23" t="s">
        <v>209</v>
      </c>
      <c r="G307" s="23" t="s">
        <v>22</v>
      </c>
      <c r="H307" s="23" t="s">
        <v>25</v>
      </c>
      <c r="I307" s="23" t="s">
        <v>26</v>
      </c>
      <c r="J307" s="23" t="s">
        <v>8</v>
      </c>
      <c r="K307" s="23" t="s">
        <v>715</v>
      </c>
      <c r="L307" s="23">
        <v>2023</v>
      </c>
      <c r="M307" s="24" t="s">
        <v>289</v>
      </c>
      <c r="N307" s="24">
        <v>45083</v>
      </c>
      <c r="O307" s="24" t="s">
        <v>50</v>
      </c>
      <c r="P307" s="86">
        <v>391</v>
      </c>
      <c r="Q307" s="86">
        <v>19.75</v>
      </c>
      <c r="R307" s="25">
        <v>0.95</v>
      </c>
      <c r="S307" s="25">
        <v>166.03</v>
      </c>
      <c r="T307" s="25">
        <v>12.92</v>
      </c>
      <c r="U307" s="25">
        <v>14.987375</v>
      </c>
      <c r="V307" s="25">
        <v>13.469875</v>
      </c>
      <c r="W307" s="25">
        <v>157.72999999999999</v>
      </c>
      <c r="X307" s="34">
        <v>261881.61</v>
      </c>
      <c r="Y307" s="30">
        <v>45474</v>
      </c>
      <c r="Z307" s="85">
        <v>2024</v>
      </c>
      <c r="AA307" s="28">
        <v>7</v>
      </c>
      <c r="AB307" s="84">
        <v>2363.9586587499998</v>
      </c>
      <c r="AC307" s="84">
        <v>2124.6033837499999</v>
      </c>
      <c r="AD307" s="84">
        <v>371.45</v>
      </c>
      <c r="AE307" s="34">
        <v>23639.5865874999</v>
      </c>
      <c r="AF307" s="28" t="s">
        <v>551</v>
      </c>
      <c r="AG307" s="28" t="s">
        <v>66</v>
      </c>
    </row>
    <row r="308" spans="2:33" x14ac:dyDescent="0.2">
      <c r="B308" s="34">
        <f>CHOOSE(B$1,Tabla2[[#This Row],[Edad]]*12/365,Tabla2[[#This Row],[Tn/Ha]],Tabla2[[#This Row],[Tn]],Tabla2[[#This Row],[Area_Cosecha]])</f>
        <v>11.210692767744264</v>
      </c>
      <c r="C308" s="87" t="s">
        <v>550</v>
      </c>
      <c r="D308" s="23" t="s">
        <v>551</v>
      </c>
      <c r="E308" s="23" t="s">
        <v>551</v>
      </c>
      <c r="F308" s="23" t="s">
        <v>210</v>
      </c>
      <c r="G308" s="23" t="s">
        <v>22</v>
      </c>
      <c r="H308" s="23" t="s">
        <v>25</v>
      </c>
      <c r="I308" s="23" t="s">
        <v>27</v>
      </c>
      <c r="J308" s="23" t="s">
        <v>3</v>
      </c>
      <c r="K308" s="23" t="s">
        <v>829</v>
      </c>
      <c r="L308" s="23">
        <v>2023</v>
      </c>
      <c r="M308" s="24" t="s">
        <v>304</v>
      </c>
      <c r="N308" s="24">
        <v>45243</v>
      </c>
      <c r="O308" s="24" t="s">
        <v>50</v>
      </c>
      <c r="P308" s="86">
        <v>340.99190501888802</v>
      </c>
      <c r="Q308" s="86">
        <v>18.53</v>
      </c>
      <c r="R308" s="25">
        <v>18.53</v>
      </c>
      <c r="S308" s="25">
        <v>141.47999999999999</v>
      </c>
      <c r="T308" s="25">
        <v>12.62</v>
      </c>
      <c r="U308" s="25">
        <v>15.635888454689301</v>
      </c>
      <c r="V308" s="25">
        <v>14.1447908935714</v>
      </c>
      <c r="W308" s="25">
        <v>2621.5699999999902</v>
      </c>
      <c r="X308" s="34">
        <v>1264164.8899999999</v>
      </c>
      <c r="Y308" s="30">
        <v>45585</v>
      </c>
      <c r="Z308" s="85">
        <v>2024</v>
      </c>
      <c r="AA308" s="28">
        <v>10</v>
      </c>
      <c r="AB308" s="84">
        <v>40990.576096160003</v>
      </c>
      <c r="AC308" s="84">
        <v>37081.559462860001</v>
      </c>
      <c r="AD308" s="84">
        <v>6318.58</v>
      </c>
      <c r="AE308" s="34">
        <v>409905.7609616</v>
      </c>
      <c r="AF308" s="28" t="s">
        <v>551</v>
      </c>
      <c r="AG308" s="28" t="s">
        <v>66</v>
      </c>
    </row>
    <row r="309" spans="2:33" x14ac:dyDescent="0.2">
      <c r="B309" s="34">
        <f>CHOOSE(B$1,Tabla2[[#This Row],[Edad]]*12/365,Tabla2[[#This Row],[Tn/Ha]],Tabla2[[#This Row],[Tn]],Tabla2[[#This Row],[Area_Cosecha]])</f>
        <v>11.16472109589041</v>
      </c>
      <c r="C309" s="87" t="s">
        <v>550</v>
      </c>
      <c r="D309" s="23" t="s">
        <v>551</v>
      </c>
      <c r="E309" s="23" t="s">
        <v>551</v>
      </c>
      <c r="F309" s="23" t="s">
        <v>211</v>
      </c>
      <c r="G309" s="23" t="s">
        <v>22</v>
      </c>
      <c r="H309" s="23" t="s">
        <v>25</v>
      </c>
      <c r="I309" s="23" t="s">
        <v>27</v>
      </c>
      <c r="J309" s="23" t="s">
        <v>4</v>
      </c>
      <c r="K309" s="23" t="s">
        <v>830</v>
      </c>
      <c r="L309" s="23">
        <v>2023</v>
      </c>
      <c r="M309" s="24" t="s">
        <v>304</v>
      </c>
      <c r="N309" s="24">
        <v>45246</v>
      </c>
      <c r="O309" s="24" t="s">
        <v>50</v>
      </c>
      <c r="P309" s="86">
        <v>339.59359999999998</v>
      </c>
      <c r="Q309" s="86">
        <v>18.75</v>
      </c>
      <c r="R309" s="25">
        <v>18.75</v>
      </c>
      <c r="S309" s="25">
        <v>123.05</v>
      </c>
      <c r="T309" s="25">
        <v>11.02</v>
      </c>
      <c r="U309" s="25">
        <v>15.0501924858425</v>
      </c>
      <c r="V309" s="25">
        <v>13.5887592439896</v>
      </c>
      <c r="W309" s="25">
        <v>2307.27</v>
      </c>
      <c r="X309" s="34">
        <v>706642.48</v>
      </c>
      <c r="Y309" s="30">
        <v>45587</v>
      </c>
      <c r="Z309" s="85">
        <v>2024</v>
      </c>
      <c r="AA309" s="28">
        <v>10</v>
      </c>
      <c r="AB309" s="84">
        <v>34724.857616809997</v>
      </c>
      <c r="AC309" s="84">
        <v>31352.936540879899</v>
      </c>
      <c r="AD309" s="84">
        <v>6367.3799999999901</v>
      </c>
      <c r="AE309" s="34">
        <v>347248.5761681</v>
      </c>
      <c r="AF309" s="28" t="s">
        <v>551</v>
      </c>
      <c r="AG309" s="28" t="s">
        <v>66</v>
      </c>
    </row>
    <row r="310" spans="2:33" x14ac:dyDescent="0.2">
      <c r="B310" s="34">
        <f>CHOOSE(B$1,Tabla2[[#This Row],[Edad]]*12/365,Tabla2[[#This Row],[Tn/Ha]],Tabla2[[#This Row],[Tn]],Tabla2[[#This Row],[Area_Cosecha]])</f>
        <v>10.932752639708283</v>
      </c>
      <c r="C310" s="87" t="s">
        <v>550</v>
      </c>
      <c r="D310" s="23" t="s">
        <v>551</v>
      </c>
      <c r="E310" s="23" t="s">
        <v>551</v>
      </c>
      <c r="F310" s="23" t="s">
        <v>212</v>
      </c>
      <c r="G310" s="23" t="s">
        <v>22</v>
      </c>
      <c r="H310" s="23" t="s">
        <v>25</v>
      </c>
      <c r="I310" s="23" t="s">
        <v>27</v>
      </c>
      <c r="J310" s="23" t="s">
        <v>5</v>
      </c>
      <c r="K310" s="23" t="s">
        <v>831</v>
      </c>
      <c r="L310" s="23">
        <v>2023</v>
      </c>
      <c r="M310" s="24" t="s">
        <v>315</v>
      </c>
      <c r="N310" s="24">
        <v>45254</v>
      </c>
      <c r="O310" s="24" t="s">
        <v>50</v>
      </c>
      <c r="P310" s="86">
        <v>332.53789279112698</v>
      </c>
      <c r="Q310" s="86">
        <v>16.23</v>
      </c>
      <c r="R310" s="25">
        <v>16.23</v>
      </c>
      <c r="S310" s="25">
        <v>122.6</v>
      </c>
      <c r="T310" s="25">
        <v>11.21</v>
      </c>
      <c r="U310" s="25">
        <v>15.2506461886693</v>
      </c>
      <c r="V310" s="25">
        <v>13.771556663936099</v>
      </c>
      <c r="W310" s="25">
        <v>1989.83</v>
      </c>
      <c r="X310" s="34">
        <v>484381.88</v>
      </c>
      <c r="Y310" s="30">
        <v>45590</v>
      </c>
      <c r="Z310" s="85">
        <v>2024</v>
      </c>
      <c r="AA310" s="28">
        <v>10</v>
      </c>
      <c r="AB310" s="84">
        <v>30346.1933055999</v>
      </c>
      <c r="AC310" s="84">
        <v>27403.056596599999</v>
      </c>
      <c r="AD310" s="84">
        <v>5397.0899999999901</v>
      </c>
      <c r="AE310" s="34">
        <v>303461.93305599998</v>
      </c>
      <c r="AF310" s="28" t="s">
        <v>551</v>
      </c>
      <c r="AG310" s="28" t="s">
        <v>66</v>
      </c>
    </row>
    <row r="311" spans="2:33" x14ac:dyDescent="0.2">
      <c r="B311" s="34">
        <f>CHOOSE(B$1,Tabla2[[#This Row],[Edad]]*12/365,Tabla2[[#This Row],[Tn/Ha]],Tabla2[[#This Row],[Tn]],Tabla2[[#This Row],[Area_Cosecha]])</f>
        <v>14.926869920250313</v>
      </c>
      <c r="C311" s="87" t="s">
        <v>550</v>
      </c>
      <c r="D311" s="23" t="s">
        <v>551</v>
      </c>
      <c r="E311" s="23" t="s">
        <v>551</v>
      </c>
      <c r="F311" s="23" t="s">
        <v>444</v>
      </c>
      <c r="G311" s="23" t="s">
        <v>22</v>
      </c>
      <c r="H311" s="23" t="s">
        <v>25</v>
      </c>
      <c r="I311" s="23" t="s">
        <v>27</v>
      </c>
      <c r="J311" s="23" t="s">
        <v>6</v>
      </c>
      <c r="K311" s="23" t="s">
        <v>587</v>
      </c>
      <c r="L311" s="23">
        <v>2022</v>
      </c>
      <c r="M311" s="24" t="s">
        <v>304</v>
      </c>
      <c r="N311" s="24">
        <v>44854</v>
      </c>
      <c r="O311" s="24" t="s">
        <v>50</v>
      </c>
      <c r="P311" s="86">
        <v>454.02562674094702</v>
      </c>
      <c r="Q311" s="86">
        <v>17.95</v>
      </c>
      <c r="R311" s="25">
        <v>17.95</v>
      </c>
      <c r="S311" s="25">
        <v>98.66</v>
      </c>
      <c r="T311" s="25">
        <v>6.61</v>
      </c>
      <c r="U311" s="25">
        <v>15.7047307250982</v>
      </c>
      <c r="V311" s="25">
        <v>14.1796949949631</v>
      </c>
      <c r="W311" s="25">
        <v>1770.96</v>
      </c>
      <c r="X311" s="34">
        <v>579319.87</v>
      </c>
      <c r="Y311" s="30">
        <v>45309</v>
      </c>
      <c r="Z311" s="85">
        <v>2024</v>
      </c>
      <c r="AA311" s="28">
        <v>1</v>
      </c>
      <c r="AB311" s="84">
        <v>27812.449924920002</v>
      </c>
      <c r="AC311" s="84">
        <v>25111.67264828</v>
      </c>
      <c r="AD311" s="84">
        <v>8149.76</v>
      </c>
      <c r="AE311" s="34">
        <v>278124.49924919999</v>
      </c>
      <c r="AF311" s="28" t="s">
        <v>551</v>
      </c>
      <c r="AG311" s="28" t="s">
        <v>66</v>
      </c>
    </row>
    <row r="312" spans="2:33" x14ac:dyDescent="0.2">
      <c r="B312" s="34">
        <f>CHOOSE(B$1,Tabla2[[#This Row],[Edad]]*12/365,Tabla2[[#This Row],[Tn/Ha]],Tabla2[[#This Row],[Tn]],Tabla2[[#This Row],[Area_Cosecha]])</f>
        <v>14.66398682536116</v>
      </c>
      <c r="C312" s="87" t="s">
        <v>550</v>
      </c>
      <c r="D312" s="23" t="s">
        <v>551</v>
      </c>
      <c r="E312" s="23" t="s">
        <v>551</v>
      </c>
      <c r="F312" s="23" t="s">
        <v>446</v>
      </c>
      <c r="G312" s="23" t="s">
        <v>22</v>
      </c>
      <c r="H312" s="23" t="s">
        <v>25</v>
      </c>
      <c r="I312" s="23" t="s">
        <v>27</v>
      </c>
      <c r="J312" s="23" t="s">
        <v>7</v>
      </c>
      <c r="K312" s="23" t="s">
        <v>588</v>
      </c>
      <c r="L312" s="23">
        <v>2022</v>
      </c>
      <c r="M312" s="24" t="s">
        <v>304</v>
      </c>
      <c r="N312" s="24">
        <v>44872</v>
      </c>
      <c r="O312" s="24" t="s">
        <v>50</v>
      </c>
      <c r="P312" s="86">
        <v>446.02959927140199</v>
      </c>
      <c r="Q312" s="86">
        <v>21.96</v>
      </c>
      <c r="R312" s="25">
        <v>21.96</v>
      </c>
      <c r="S312" s="25">
        <v>114.82</v>
      </c>
      <c r="T312" s="25">
        <v>7.83</v>
      </c>
      <c r="U312" s="25">
        <v>14.5320789060018</v>
      </c>
      <c r="V312" s="25">
        <v>13.0047387032091</v>
      </c>
      <c r="W312" s="25">
        <v>2521.54</v>
      </c>
      <c r="X312" s="34">
        <v>414172.7</v>
      </c>
      <c r="Y312" s="30">
        <v>45322</v>
      </c>
      <c r="Z312" s="85">
        <v>2024</v>
      </c>
      <c r="AA312" s="28">
        <v>1</v>
      </c>
      <c r="AB312" s="84">
        <v>36643.218244639997</v>
      </c>
      <c r="AC312" s="84">
        <v>32791.968829689999</v>
      </c>
      <c r="AD312" s="84">
        <v>9794.81</v>
      </c>
      <c r="AE312" s="34">
        <v>366432.18244639999</v>
      </c>
      <c r="AF312" s="28" t="s">
        <v>551</v>
      </c>
      <c r="AG312" s="28" t="s">
        <v>66</v>
      </c>
    </row>
    <row r="313" spans="2:33" x14ac:dyDescent="0.2">
      <c r="B313" s="34">
        <f>CHOOSE(B$1,Tabla2[[#This Row],[Edad]]*12/365,Tabla2[[#This Row],[Tn/Ha]],Tabla2[[#This Row],[Tn]],Tabla2[[#This Row],[Area_Cosecha]])</f>
        <v>14.954161503165073</v>
      </c>
      <c r="C313" s="87" t="s">
        <v>550</v>
      </c>
      <c r="D313" s="23" t="s">
        <v>551</v>
      </c>
      <c r="E313" s="23" t="s">
        <v>551</v>
      </c>
      <c r="F313" s="23" t="s">
        <v>441</v>
      </c>
      <c r="G313" s="23" t="s">
        <v>22</v>
      </c>
      <c r="H313" s="23" t="s">
        <v>25</v>
      </c>
      <c r="I313" s="23" t="s">
        <v>27</v>
      </c>
      <c r="J313" s="23" t="s">
        <v>8</v>
      </c>
      <c r="K313" s="23" t="s">
        <v>589</v>
      </c>
      <c r="L313" s="23">
        <v>2022</v>
      </c>
      <c r="M313" s="24" t="s">
        <v>304</v>
      </c>
      <c r="N313" s="24">
        <v>44861</v>
      </c>
      <c r="O313" s="24" t="s">
        <v>50</v>
      </c>
      <c r="P313" s="86">
        <v>454.85574572127098</v>
      </c>
      <c r="Q313" s="86">
        <v>20.45</v>
      </c>
      <c r="R313" s="25">
        <v>20.45</v>
      </c>
      <c r="S313" s="25">
        <v>121.94</v>
      </c>
      <c r="T313" s="25">
        <v>8.15</v>
      </c>
      <c r="U313" s="25">
        <v>14.5629128115262</v>
      </c>
      <c r="V313" s="25">
        <v>13.059985089380399</v>
      </c>
      <c r="W313" s="25">
        <v>2493.6099999999901</v>
      </c>
      <c r="X313" s="34">
        <v>337759.67</v>
      </c>
      <c r="Y313" s="30">
        <v>45321</v>
      </c>
      <c r="Z313" s="85">
        <v>2024</v>
      </c>
      <c r="AA313" s="28">
        <v>1</v>
      </c>
      <c r="AB313" s="84">
        <v>36314.225015950004</v>
      </c>
      <c r="AC313" s="84">
        <v>32566.509418729998</v>
      </c>
      <c r="AD313" s="84">
        <v>9301.7999999999993</v>
      </c>
      <c r="AE313" s="34">
        <v>363142.25015949999</v>
      </c>
      <c r="AF313" s="28" t="s">
        <v>551</v>
      </c>
      <c r="AG313" s="28" t="s">
        <v>66</v>
      </c>
    </row>
    <row r="314" spans="2:33" x14ac:dyDescent="0.2">
      <c r="B314" s="34">
        <f>CHOOSE(B$1,Tabla2[[#This Row],[Edad]]*12/365,Tabla2[[#This Row],[Tn/Ha]],Tabla2[[#This Row],[Tn]],Tabla2[[#This Row],[Area_Cosecha]])</f>
        <v>12.875449950831289</v>
      </c>
      <c r="C314" s="87" t="s">
        <v>550</v>
      </c>
      <c r="D314" s="23" t="s">
        <v>551</v>
      </c>
      <c r="E314" s="23" t="s">
        <v>551</v>
      </c>
      <c r="F314" s="23" t="s">
        <v>425</v>
      </c>
      <c r="G314" s="23" t="s">
        <v>22</v>
      </c>
      <c r="H314" s="23" t="s">
        <v>25</v>
      </c>
      <c r="I314" s="23" t="s">
        <v>28</v>
      </c>
      <c r="J314" s="23" t="s">
        <v>3</v>
      </c>
      <c r="K314" s="23" t="s">
        <v>597</v>
      </c>
      <c r="L314" s="23">
        <v>2023</v>
      </c>
      <c r="M314" s="24" t="s">
        <v>315</v>
      </c>
      <c r="N314" s="24">
        <v>44925</v>
      </c>
      <c r="O314" s="24" t="s">
        <v>50</v>
      </c>
      <c r="P314" s="86">
        <v>391.62826933778501</v>
      </c>
      <c r="Q314" s="86">
        <v>17.97</v>
      </c>
      <c r="R314" s="25">
        <v>17.97</v>
      </c>
      <c r="S314" s="25">
        <v>136.94</v>
      </c>
      <c r="T314" s="25">
        <v>10.64</v>
      </c>
      <c r="U314" s="25">
        <v>13.676859624994201</v>
      </c>
      <c r="V314" s="25">
        <v>12.157519105496799</v>
      </c>
      <c r="W314" s="25">
        <v>2460.8689999999901</v>
      </c>
      <c r="X314" s="34">
        <v>1690097.86</v>
      </c>
      <c r="Y314" s="30">
        <v>45317</v>
      </c>
      <c r="Z314" s="85">
        <v>2024</v>
      </c>
      <c r="AA314" s="28">
        <v>1</v>
      </c>
      <c r="AB314" s="84">
        <v>33656.959868500002</v>
      </c>
      <c r="AC314" s="84">
        <v>29918.061883625</v>
      </c>
      <c r="AD314" s="84">
        <v>7037.5599999999904</v>
      </c>
      <c r="AE314" s="34">
        <v>336569.59868499998</v>
      </c>
      <c r="AF314" s="28" t="s">
        <v>551</v>
      </c>
      <c r="AG314" s="28" t="s">
        <v>66</v>
      </c>
    </row>
    <row r="315" spans="2:33" x14ac:dyDescent="0.2">
      <c r="B315" s="34">
        <f>CHOOSE(B$1,Tabla2[[#This Row],[Edad]]*12/365,Tabla2[[#This Row],[Tn/Ha]],Tabla2[[#This Row],[Tn]],Tabla2[[#This Row],[Area_Cosecha]])</f>
        <v>13.227548194516505</v>
      </c>
      <c r="C315" s="87" t="s">
        <v>550</v>
      </c>
      <c r="D315" s="23" t="s">
        <v>551</v>
      </c>
      <c r="E315" s="23" t="s">
        <v>551</v>
      </c>
      <c r="F315" s="23" t="s">
        <v>412</v>
      </c>
      <c r="G315" s="23" t="s">
        <v>22</v>
      </c>
      <c r="H315" s="23" t="s">
        <v>25</v>
      </c>
      <c r="I315" s="23" t="s">
        <v>28</v>
      </c>
      <c r="J315" s="23" t="s">
        <v>4</v>
      </c>
      <c r="K315" s="23" t="s">
        <v>611</v>
      </c>
      <c r="L315" s="23">
        <v>2023</v>
      </c>
      <c r="M315" s="24" t="s">
        <v>315</v>
      </c>
      <c r="N315" s="24">
        <v>44929</v>
      </c>
      <c r="O315" s="24" t="s">
        <v>50</v>
      </c>
      <c r="P315" s="86">
        <v>402.33792424987701</v>
      </c>
      <c r="Q315" s="86">
        <v>20.329999999999998</v>
      </c>
      <c r="R315" s="25">
        <v>20.329999999999998</v>
      </c>
      <c r="S315" s="25">
        <v>146.91999999999999</v>
      </c>
      <c r="T315" s="25">
        <v>11.11</v>
      </c>
      <c r="U315" s="25">
        <v>12.672609915881401</v>
      </c>
      <c r="V315" s="25">
        <v>11.148874784709999</v>
      </c>
      <c r="W315" s="25">
        <v>2986.8560000000002</v>
      </c>
      <c r="X315" s="34">
        <v>537172.52</v>
      </c>
      <c r="Y315" s="30">
        <v>45336</v>
      </c>
      <c r="Z315" s="85">
        <v>2024</v>
      </c>
      <c r="AA315" s="28">
        <v>2</v>
      </c>
      <c r="AB315" s="84">
        <v>37851.260962909997</v>
      </c>
      <c r="AC315" s="84">
        <v>33300.083543959998</v>
      </c>
      <c r="AD315" s="84">
        <v>8179.53</v>
      </c>
      <c r="AE315" s="34">
        <v>378512.60962910001</v>
      </c>
      <c r="AF315" s="28" t="s">
        <v>551</v>
      </c>
      <c r="AG315" s="28" t="s">
        <v>66</v>
      </c>
    </row>
    <row r="316" spans="2:33" x14ac:dyDescent="0.2">
      <c r="B316" s="34">
        <f>CHOOSE(B$1,Tabla2[[#This Row],[Edad]]*12/365,Tabla2[[#This Row],[Tn/Ha]],Tabla2[[#This Row],[Tn]],Tabla2[[#This Row],[Area_Cosecha]])</f>
        <v>13.345303771795628</v>
      </c>
      <c r="C316" s="87" t="s">
        <v>550</v>
      </c>
      <c r="D316" s="23" t="s">
        <v>551</v>
      </c>
      <c r="E316" s="23" t="s">
        <v>551</v>
      </c>
      <c r="F316" s="23" t="s">
        <v>413</v>
      </c>
      <c r="G316" s="23" t="s">
        <v>22</v>
      </c>
      <c r="H316" s="23" t="s">
        <v>25</v>
      </c>
      <c r="I316" s="23" t="s">
        <v>28</v>
      </c>
      <c r="J316" s="23" t="s">
        <v>5</v>
      </c>
      <c r="K316" s="23" t="s">
        <v>612</v>
      </c>
      <c r="L316" s="23">
        <v>2023</v>
      </c>
      <c r="M316" s="24" t="s">
        <v>315</v>
      </c>
      <c r="N316" s="24">
        <v>44926</v>
      </c>
      <c r="O316" s="24" t="s">
        <v>50</v>
      </c>
      <c r="P316" s="86">
        <v>405.91965639211702</v>
      </c>
      <c r="Q316" s="86">
        <v>19.7899999999999</v>
      </c>
      <c r="R316" s="25">
        <v>19.79</v>
      </c>
      <c r="S316" s="25">
        <v>142.30000000000001</v>
      </c>
      <c r="T316" s="25">
        <v>10.66</v>
      </c>
      <c r="U316" s="25">
        <v>12.8039749502314</v>
      </c>
      <c r="V316" s="25">
        <v>11.289883012928801</v>
      </c>
      <c r="W316" s="25">
        <v>2816.0339999999901</v>
      </c>
      <c r="X316" s="34">
        <v>559925.19999999995</v>
      </c>
      <c r="Y316" s="30">
        <v>45336</v>
      </c>
      <c r="Z316" s="85">
        <v>2024</v>
      </c>
      <c r="AA316" s="28">
        <v>2</v>
      </c>
      <c r="AB316" s="84">
        <v>36056.428794999898</v>
      </c>
      <c r="AC316" s="84">
        <v>31792.694420430002</v>
      </c>
      <c r="AD316" s="84">
        <v>8033.15</v>
      </c>
      <c r="AE316" s="34">
        <v>360564.28794999898</v>
      </c>
      <c r="AF316" s="28" t="s">
        <v>551</v>
      </c>
      <c r="AG316" s="28" t="s">
        <v>66</v>
      </c>
    </row>
    <row r="317" spans="2:33" x14ac:dyDescent="0.2">
      <c r="B317" s="34">
        <f>CHOOSE(B$1,Tabla2[[#This Row],[Edad]]*12/365,Tabla2[[#This Row],[Tn/Ha]],Tabla2[[#This Row],[Tn]],Tabla2[[#This Row],[Area_Cosecha]])</f>
        <v>10.927370495632472</v>
      </c>
      <c r="C317" s="87" t="s">
        <v>550</v>
      </c>
      <c r="D317" s="23" t="s">
        <v>551</v>
      </c>
      <c r="E317" s="23" t="s">
        <v>551</v>
      </c>
      <c r="F317" s="23" t="s">
        <v>492</v>
      </c>
      <c r="G317" s="23" t="s">
        <v>22</v>
      </c>
      <c r="H317" s="23" t="s">
        <v>25</v>
      </c>
      <c r="I317" s="23" t="s">
        <v>28</v>
      </c>
      <c r="J317" s="23" t="s">
        <v>6</v>
      </c>
      <c r="K317" s="23" t="s">
        <v>868</v>
      </c>
      <c r="L317" s="23">
        <v>2023</v>
      </c>
      <c r="M317" s="24" t="s">
        <v>315</v>
      </c>
      <c r="N317" s="24">
        <v>45266</v>
      </c>
      <c r="O317" s="24" t="s">
        <v>50</v>
      </c>
      <c r="P317" s="86">
        <v>332.374185908821</v>
      </c>
      <c r="Q317" s="86">
        <v>16.89</v>
      </c>
      <c r="R317" s="25">
        <v>16.89</v>
      </c>
      <c r="S317" s="25">
        <v>134.11000000000001</v>
      </c>
      <c r="T317" s="25">
        <v>12.27</v>
      </c>
      <c r="U317" s="25">
        <v>15.4335566381676</v>
      </c>
      <c r="V317" s="25">
        <v>13.968057068424899</v>
      </c>
      <c r="W317" s="25">
        <v>2265.1099999999901</v>
      </c>
      <c r="X317" s="34">
        <v>1022002.09</v>
      </c>
      <c r="Y317" s="30">
        <v>45599</v>
      </c>
      <c r="Z317" s="85">
        <v>2024</v>
      </c>
      <c r="AA317" s="28">
        <v>11</v>
      </c>
      <c r="AB317" s="84">
        <v>34958.703476679999</v>
      </c>
      <c r="AC317" s="84">
        <v>31639.185746259998</v>
      </c>
      <c r="AD317" s="84">
        <v>5613.8</v>
      </c>
      <c r="AE317" s="34">
        <v>349587.0347668</v>
      </c>
      <c r="AF317" s="28" t="s">
        <v>551</v>
      </c>
      <c r="AG317" s="28" t="s">
        <v>66</v>
      </c>
    </row>
    <row r="318" spans="2:33" x14ac:dyDescent="0.2">
      <c r="B318" s="34">
        <f>CHOOSE(B$1,Tabla2[[#This Row],[Edad]]*12/365,Tabla2[[#This Row],[Tn/Ha]],Tabla2[[#This Row],[Tn]],Tabla2[[#This Row],[Area_Cosecha]])</f>
        <v>10.911321254971266</v>
      </c>
      <c r="C318" s="87" t="s">
        <v>550</v>
      </c>
      <c r="D318" s="23" t="s">
        <v>551</v>
      </c>
      <c r="E318" s="23" t="s">
        <v>551</v>
      </c>
      <c r="F318" s="23" t="s">
        <v>538</v>
      </c>
      <c r="G318" s="23" t="s">
        <v>22</v>
      </c>
      <c r="H318" s="23" t="s">
        <v>25</v>
      </c>
      <c r="I318" s="23" t="s">
        <v>28</v>
      </c>
      <c r="J318" s="23" t="s">
        <v>7</v>
      </c>
      <c r="K318" s="23" t="s">
        <v>869</v>
      </c>
      <c r="L318" s="23">
        <v>2023</v>
      </c>
      <c r="M318" s="24" t="s">
        <v>315</v>
      </c>
      <c r="N318" s="24">
        <v>45266</v>
      </c>
      <c r="O318" s="24" t="s">
        <v>50</v>
      </c>
      <c r="P318" s="86">
        <v>331.88602150537599</v>
      </c>
      <c r="Q318" s="86">
        <v>18.600000000000001</v>
      </c>
      <c r="R318" s="25">
        <v>18.600000000000001</v>
      </c>
      <c r="S318" s="25">
        <v>123.34</v>
      </c>
      <c r="T318" s="25">
        <v>11.3</v>
      </c>
      <c r="U318" s="25">
        <v>15.703849453022601</v>
      </c>
      <c r="V318" s="25">
        <v>14.2395678427331</v>
      </c>
      <c r="W318" s="25">
        <v>2294.19</v>
      </c>
      <c r="X318" s="34">
        <v>958807.37</v>
      </c>
      <c r="Y318" s="30">
        <v>45599</v>
      </c>
      <c r="Z318" s="85">
        <v>2024</v>
      </c>
      <c r="AA318" s="28">
        <v>11</v>
      </c>
      <c r="AB318" s="84">
        <v>36027.614376630001</v>
      </c>
      <c r="AC318" s="84">
        <v>32668.274149119999</v>
      </c>
      <c r="AD318" s="84">
        <v>6173.08</v>
      </c>
      <c r="AE318" s="34">
        <v>360276.1437663</v>
      </c>
      <c r="AF318" s="28" t="s">
        <v>551</v>
      </c>
      <c r="AG318" s="28" t="s">
        <v>66</v>
      </c>
    </row>
    <row r="319" spans="2:33" x14ac:dyDescent="0.2">
      <c r="B319" s="34">
        <f>CHOOSE(B$1,Tabla2[[#This Row],[Edad]]*12/365,Tabla2[[#This Row],[Tn/Ha]],Tabla2[[#This Row],[Tn]],Tabla2[[#This Row],[Area_Cosecha]])</f>
        <v>9.8832384177312331</v>
      </c>
      <c r="C319" s="87" t="s">
        <v>550</v>
      </c>
      <c r="D319" s="23" t="s">
        <v>551</v>
      </c>
      <c r="E319" s="23" t="s">
        <v>551</v>
      </c>
      <c r="F319" s="23" t="s">
        <v>516</v>
      </c>
      <c r="G319" s="23" t="s">
        <v>22</v>
      </c>
      <c r="H319" s="23" t="s">
        <v>25</v>
      </c>
      <c r="I319" s="23" t="s">
        <v>28</v>
      </c>
      <c r="J319" s="23" t="s">
        <v>8</v>
      </c>
      <c r="K319" s="23" t="s">
        <v>854</v>
      </c>
      <c r="L319" s="23">
        <v>2022</v>
      </c>
      <c r="M319" s="24" t="s">
        <v>315</v>
      </c>
      <c r="N319" s="24">
        <v>45295</v>
      </c>
      <c r="O319" s="24" t="s">
        <v>50</v>
      </c>
      <c r="P319" s="86">
        <v>300.615168539325</v>
      </c>
      <c r="Q319" s="86">
        <v>22.96</v>
      </c>
      <c r="R319" s="25">
        <v>17.799999999999901</v>
      </c>
      <c r="S319" s="25">
        <v>130.63</v>
      </c>
      <c r="T319" s="25">
        <v>13.22</v>
      </c>
      <c r="U319" s="25">
        <v>14.7458824681512</v>
      </c>
      <c r="V319" s="25">
        <v>13.252857613944499</v>
      </c>
      <c r="W319" s="25">
        <v>2325.21</v>
      </c>
      <c r="X319" s="34">
        <v>1512979.33</v>
      </c>
      <c r="Y319" s="30">
        <v>45596</v>
      </c>
      <c r="Z319" s="85">
        <v>2024</v>
      </c>
      <c r="AA319" s="28">
        <v>10</v>
      </c>
      <c r="AB319" s="84">
        <v>34287.273373769996</v>
      </c>
      <c r="AC319" s="84">
        <v>30815.677052520001</v>
      </c>
      <c r="AD319" s="84">
        <v>5350.95</v>
      </c>
      <c r="AE319" s="34">
        <v>342872.73373769998</v>
      </c>
      <c r="AF319" s="28" t="s">
        <v>551</v>
      </c>
      <c r="AG319" s="28" t="s">
        <v>66</v>
      </c>
    </row>
    <row r="320" spans="2:33" x14ac:dyDescent="0.2">
      <c r="B320" s="34">
        <f>CHOOSE(B$1,Tabla2[[#This Row],[Edad]]*12/365,Tabla2[[#This Row],[Tn/Ha]],Tabla2[[#This Row],[Tn]],Tabla2[[#This Row],[Area_Cosecha]])</f>
        <v>9.9309971328448423</v>
      </c>
      <c r="C320" s="87" t="s">
        <v>550</v>
      </c>
      <c r="D320" s="23" t="s">
        <v>551</v>
      </c>
      <c r="E320" s="23" t="s">
        <v>551</v>
      </c>
      <c r="F320" s="23" t="s">
        <v>516</v>
      </c>
      <c r="G320" s="23" t="s">
        <v>22</v>
      </c>
      <c r="H320" s="23" t="s">
        <v>25</v>
      </c>
      <c r="I320" s="23" t="s">
        <v>28</v>
      </c>
      <c r="J320" s="23" t="s">
        <v>8</v>
      </c>
      <c r="K320" s="23" t="s">
        <v>854</v>
      </c>
      <c r="L320" s="23">
        <v>2022</v>
      </c>
      <c r="M320" s="24" t="s">
        <v>315</v>
      </c>
      <c r="N320" s="24">
        <v>45295</v>
      </c>
      <c r="O320" s="24" t="s">
        <v>50</v>
      </c>
      <c r="P320" s="86">
        <v>302.06782945736398</v>
      </c>
      <c r="Q320" s="86">
        <v>22.96</v>
      </c>
      <c r="R320" s="25">
        <v>5.1599999999999904</v>
      </c>
      <c r="S320" s="25">
        <v>141.76</v>
      </c>
      <c r="T320" s="25">
        <v>14.27</v>
      </c>
      <c r="U320" s="25">
        <v>14.9728181910972</v>
      </c>
      <c r="V320" s="25">
        <v>13.478832537828399</v>
      </c>
      <c r="W320" s="25">
        <v>731.46</v>
      </c>
      <c r="X320" s="34">
        <v>522874.73</v>
      </c>
      <c r="Y320" s="30">
        <v>45598</v>
      </c>
      <c r="Z320" s="85">
        <v>2024</v>
      </c>
      <c r="AA320" s="28">
        <v>11</v>
      </c>
      <c r="AB320" s="84">
        <v>10952.01759406</v>
      </c>
      <c r="AC320" s="84">
        <v>9859.2268481200008</v>
      </c>
      <c r="AD320" s="84">
        <v>1558.67</v>
      </c>
      <c r="AE320" s="34">
        <v>109520.17594060001</v>
      </c>
      <c r="AF320" s="28" t="s">
        <v>551</v>
      </c>
      <c r="AG320" s="28" t="s">
        <v>66</v>
      </c>
    </row>
    <row r="321" spans="2:33" x14ac:dyDescent="0.2">
      <c r="B321" s="34">
        <f>CHOOSE(B$1,Tabla2[[#This Row],[Edad]]*12/365,Tabla2[[#This Row],[Tn/Ha]],Tabla2[[#This Row],[Tn]],Tabla2[[#This Row],[Area_Cosecha]])</f>
        <v>13.366066228022861</v>
      </c>
      <c r="C321" s="87" t="s">
        <v>550</v>
      </c>
      <c r="D321" s="23" t="s">
        <v>551</v>
      </c>
      <c r="E321" s="23" t="s">
        <v>551</v>
      </c>
      <c r="F321" s="23" t="s">
        <v>501</v>
      </c>
      <c r="G321" s="23" t="s">
        <v>22</v>
      </c>
      <c r="H321" s="23" t="s">
        <v>29</v>
      </c>
      <c r="I321" s="23" t="s">
        <v>30</v>
      </c>
      <c r="J321" s="23" t="s">
        <v>3</v>
      </c>
      <c r="K321" s="23" t="s">
        <v>563</v>
      </c>
      <c r="L321" s="23">
        <v>2022</v>
      </c>
      <c r="M321" s="24" t="s">
        <v>289</v>
      </c>
      <c r="N321" s="24">
        <v>44888</v>
      </c>
      <c r="O321" s="24" t="s">
        <v>50</v>
      </c>
      <c r="P321" s="86">
        <v>406.55118110236202</v>
      </c>
      <c r="Q321" s="86">
        <v>19.21</v>
      </c>
      <c r="R321" s="25">
        <v>1.27</v>
      </c>
      <c r="S321" s="25">
        <v>112.07</v>
      </c>
      <c r="T321" s="25">
        <v>8.3800000000000008</v>
      </c>
      <c r="U321" s="25">
        <v>14.340442596430799</v>
      </c>
      <c r="V321" s="25">
        <v>12.851605097308999</v>
      </c>
      <c r="W321" s="25">
        <v>142.32999999999899</v>
      </c>
      <c r="X321" s="34">
        <v>79623.48</v>
      </c>
      <c r="Y321" s="30">
        <v>45295</v>
      </c>
      <c r="Z321" s="85">
        <v>2024</v>
      </c>
      <c r="AA321" s="28">
        <v>1</v>
      </c>
      <c r="AB321" s="84">
        <v>2041.07519475</v>
      </c>
      <c r="AC321" s="84">
        <v>1829.1689535</v>
      </c>
      <c r="AD321" s="84">
        <v>516.31999999999903</v>
      </c>
      <c r="AE321" s="34">
        <v>20410.751947500001</v>
      </c>
      <c r="AF321" s="28" t="s">
        <v>551</v>
      </c>
      <c r="AG321" s="28" t="s">
        <v>66</v>
      </c>
    </row>
    <row r="322" spans="2:33" x14ac:dyDescent="0.2">
      <c r="B322" s="34">
        <f>CHOOSE(B$1,Tabla2[[#This Row],[Edad]]*12/365,Tabla2[[#This Row],[Tn/Ha]],Tabla2[[#This Row],[Tn]],Tabla2[[#This Row],[Area_Cosecha]])</f>
        <v>10.295192698073754</v>
      </c>
      <c r="C322" s="87" t="s">
        <v>550</v>
      </c>
      <c r="D322" s="23" t="s">
        <v>551</v>
      </c>
      <c r="E322" s="23" t="s">
        <v>551</v>
      </c>
      <c r="F322" s="23" t="s">
        <v>501</v>
      </c>
      <c r="G322" s="23" t="s">
        <v>22</v>
      </c>
      <c r="H322" s="23" t="s">
        <v>29</v>
      </c>
      <c r="I322" s="23" t="s">
        <v>30</v>
      </c>
      <c r="J322" s="23" t="s">
        <v>3</v>
      </c>
      <c r="K322" s="23" t="s">
        <v>563</v>
      </c>
      <c r="L322" s="23">
        <v>2023</v>
      </c>
      <c r="M322" s="24" t="s">
        <v>304</v>
      </c>
      <c r="N322" s="24">
        <v>45299</v>
      </c>
      <c r="O322" s="24" t="s">
        <v>50</v>
      </c>
      <c r="P322" s="86">
        <v>313.14544456640999</v>
      </c>
      <c r="Q322" s="86">
        <v>18.22</v>
      </c>
      <c r="R322" s="25">
        <v>18.22</v>
      </c>
      <c r="S322" s="25">
        <v>135.5</v>
      </c>
      <c r="T322" s="25">
        <v>13.16</v>
      </c>
      <c r="U322" s="25">
        <v>14.711462590531999</v>
      </c>
      <c r="V322" s="25">
        <v>13.2272930725349</v>
      </c>
      <c r="W322" s="25">
        <v>2468.7399999999998</v>
      </c>
      <c r="X322" s="34">
        <v>668676.19999999995</v>
      </c>
      <c r="Y322" s="30">
        <v>45619</v>
      </c>
      <c r="Z322" s="85">
        <v>2024</v>
      </c>
      <c r="AA322" s="28">
        <v>11</v>
      </c>
      <c r="AB322" s="84">
        <v>36318.776155749998</v>
      </c>
      <c r="AC322" s="84">
        <v>32654.74749989</v>
      </c>
      <c r="AD322" s="84">
        <v>5705.5099999999902</v>
      </c>
      <c r="AE322" s="34">
        <v>363187.76155749999</v>
      </c>
      <c r="AF322" s="28" t="s">
        <v>551</v>
      </c>
      <c r="AG322" s="28" t="s">
        <v>66</v>
      </c>
    </row>
    <row r="323" spans="2:33" x14ac:dyDescent="0.2">
      <c r="B323" s="34">
        <f>CHOOSE(B$1,Tabla2[[#This Row],[Edad]]*12/365,Tabla2[[#This Row],[Tn/Ha]],Tabla2[[#This Row],[Tn]],Tabla2[[#This Row],[Area_Cosecha]])</f>
        <v>13.474470734744679</v>
      </c>
      <c r="C323" s="87" t="s">
        <v>550</v>
      </c>
      <c r="D323" s="23" t="s">
        <v>551</v>
      </c>
      <c r="E323" s="23" t="s">
        <v>551</v>
      </c>
      <c r="F323" s="23" t="s">
        <v>498</v>
      </c>
      <c r="G323" s="23" t="s">
        <v>22</v>
      </c>
      <c r="H323" s="23" t="s">
        <v>29</v>
      </c>
      <c r="I323" s="23" t="s">
        <v>30</v>
      </c>
      <c r="J323" s="23" t="s">
        <v>4</v>
      </c>
      <c r="K323" s="23" t="s">
        <v>564</v>
      </c>
      <c r="L323" s="23">
        <v>2023</v>
      </c>
      <c r="M323" s="24" t="s">
        <v>351</v>
      </c>
      <c r="N323" s="24">
        <v>44886</v>
      </c>
      <c r="O323" s="24" t="s">
        <v>50</v>
      </c>
      <c r="P323" s="86">
        <v>409.84848484848402</v>
      </c>
      <c r="Q323" s="86">
        <v>19.420000000000002</v>
      </c>
      <c r="R323" s="25">
        <v>2.64</v>
      </c>
      <c r="S323" s="25">
        <v>87.54</v>
      </c>
      <c r="T323" s="25">
        <v>6.5</v>
      </c>
      <c r="U323" s="25">
        <v>15.7958953681586</v>
      </c>
      <c r="V323" s="25">
        <v>14.319041290268901</v>
      </c>
      <c r="W323" s="25">
        <v>231.096</v>
      </c>
      <c r="X323" s="34">
        <v>98821.7</v>
      </c>
      <c r="Y323" s="30">
        <v>45296</v>
      </c>
      <c r="Z323" s="85">
        <v>2024</v>
      </c>
      <c r="AA323" s="28">
        <v>1</v>
      </c>
      <c r="AB323" s="84">
        <v>3650.3682359999998</v>
      </c>
      <c r="AC323" s="84">
        <v>3309.073166016</v>
      </c>
      <c r="AD323" s="84">
        <v>1082</v>
      </c>
      <c r="AE323" s="34">
        <v>36503.682359999999</v>
      </c>
      <c r="AF323" s="28" t="s">
        <v>551</v>
      </c>
      <c r="AG323" s="28" t="s">
        <v>66</v>
      </c>
    </row>
    <row r="324" spans="2:33" x14ac:dyDescent="0.2">
      <c r="B324" s="34">
        <f>CHOOSE(B$1,Tabla2[[#This Row],[Edad]]*12/365,Tabla2[[#This Row],[Tn/Ha]],Tabla2[[#This Row],[Tn]],Tabla2[[#This Row],[Area_Cosecha]])</f>
        <v>10.161021828123419</v>
      </c>
      <c r="C324" s="87" t="s">
        <v>550</v>
      </c>
      <c r="D324" s="23" t="s">
        <v>551</v>
      </c>
      <c r="E324" s="23" t="s">
        <v>551</v>
      </c>
      <c r="F324" s="23" t="s">
        <v>498</v>
      </c>
      <c r="G324" s="23" t="s">
        <v>22</v>
      </c>
      <c r="H324" s="23" t="s">
        <v>29</v>
      </c>
      <c r="I324" s="23" t="s">
        <v>30</v>
      </c>
      <c r="J324" s="23" t="s">
        <v>4</v>
      </c>
      <c r="K324" s="23" t="s">
        <v>564</v>
      </c>
      <c r="L324" s="23">
        <v>2024</v>
      </c>
      <c r="M324" s="24" t="s">
        <v>381</v>
      </c>
      <c r="N324" s="24">
        <v>45305</v>
      </c>
      <c r="O324" s="24" t="s">
        <v>50</v>
      </c>
      <c r="P324" s="86">
        <v>309.064413938754</v>
      </c>
      <c r="Q324" s="86">
        <v>18.940000000000001</v>
      </c>
      <c r="R324" s="25">
        <v>18.939999999999898</v>
      </c>
      <c r="S324" s="25">
        <v>131.88999999999999</v>
      </c>
      <c r="T324" s="25">
        <v>12.98</v>
      </c>
      <c r="U324" s="25">
        <v>15.3163860443992</v>
      </c>
      <c r="V324" s="25">
        <v>13.8328949309322</v>
      </c>
      <c r="W324" s="25">
        <v>2497.9229999999998</v>
      </c>
      <c r="X324" s="34">
        <v>842800.01</v>
      </c>
      <c r="Y324" s="30">
        <v>45616</v>
      </c>
      <c r="Z324" s="85">
        <v>2024</v>
      </c>
      <c r="AA324" s="28">
        <v>11</v>
      </c>
      <c r="AB324" s="84">
        <v>38259.152977184</v>
      </c>
      <c r="AC324" s="84">
        <v>34553.506404558902</v>
      </c>
      <c r="AD324" s="84">
        <v>5853.68</v>
      </c>
      <c r="AE324" s="34">
        <v>382591.52977184003</v>
      </c>
      <c r="AF324" s="28" t="s">
        <v>551</v>
      </c>
      <c r="AG324" s="28" t="s">
        <v>66</v>
      </c>
    </row>
    <row r="325" spans="2:33" x14ac:dyDescent="0.2">
      <c r="B325" s="34">
        <f>CHOOSE(B$1,Tabla2[[#This Row],[Edad]]*12/365,Tabla2[[#This Row],[Tn/Ha]],Tabla2[[#This Row],[Tn]],Tabla2[[#This Row],[Area_Cosecha]])</f>
        <v>11.965788549350171</v>
      </c>
      <c r="C325" s="87" t="s">
        <v>550</v>
      </c>
      <c r="D325" s="23" t="s">
        <v>551</v>
      </c>
      <c r="E325" s="23" t="s">
        <v>551</v>
      </c>
      <c r="F325" s="23" t="s">
        <v>213</v>
      </c>
      <c r="G325" s="23" t="s">
        <v>22</v>
      </c>
      <c r="H325" s="23" t="s">
        <v>29</v>
      </c>
      <c r="I325" s="23" t="s">
        <v>30</v>
      </c>
      <c r="J325" s="23" t="s">
        <v>5</v>
      </c>
      <c r="K325" s="23" t="s">
        <v>775</v>
      </c>
      <c r="L325" s="23">
        <v>2022</v>
      </c>
      <c r="M325" s="24" t="s">
        <v>289</v>
      </c>
      <c r="N325" s="24">
        <v>45146</v>
      </c>
      <c r="O325" s="24" t="s">
        <v>50</v>
      </c>
      <c r="P325" s="86">
        <v>363.95940170940099</v>
      </c>
      <c r="Q325" s="86">
        <v>14.0399999999999</v>
      </c>
      <c r="R325" s="25">
        <v>14.04</v>
      </c>
      <c r="S325" s="25">
        <v>130.69</v>
      </c>
      <c r="T325" s="25">
        <v>10.92</v>
      </c>
      <c r="U325" s="25">
        <v>15.0612915473739</v>
      </c>
      <c r="V325" s="25">
        <v>13.605536401859499</v>
      </c>
      <c r="W325" s="25">
        <v>1834.87</v>
      </c>
      <c r="X325" s="34">
        <v>403463.26</v>
      </c>
      <c r="Y325" s="30">
        <v>45518</v>
      </c>
      <c r="Z325" s="85">
        <v>2024</v>
      </c>
      <c r="AA325" s="28">
        <v>8</v>
      </c>
      <c r="AB325" s="84">
        <v>27635.512021529899</v>
      </c>
      <c r="AC325" s="84">
        <v>24964.390577679998</v>
      </c>
      <c r="AD325" s="84">
        <v>5109.99</v>
      </c>
      <c r="AE325" s="34">
        <v>276355.1202153</v>
      </c>
      <c r="AF325" s="28" t="s">
        <v>551</v>
      </c>
      <c r="AG325" s="28" t="s">
        <v>66</v>
      </c>
    </row>
    <row r="326" spans="2:33" x14ac:dyDescent="0.2">
      <c r="B326" s="34">
        <f>CHOOSE(B$1,Tabla2[[#This Row],[Edad]]*12/365,Tabla2[[#This Row],[Tn/Ha]],Tabla2[[#This Row],[Tn]],Tabla2[[#This Row],[Area_Cosecha]])</f>
        <v>13.305597835278181</v>
      </c>
      <c r="C326" s="87" t="s">
        <v>550</v>
      </c>
      <c r="D326" s="23" t="s">
        <v>551</v>
      </c>
      <c r="E326" s="23" t="s">
        <v>551</v>
      </c>
      <c r="F326" s="23" t="s">
        <v>488</v>
      </c>
      <c r="G326" s="23" t="s">
        <v>22</v>
      </c>
      <c r="H326" s="23" t="s">
        <v>29</v>
      </c>
      <c r="I326" s="23" t="s">
        <v>30</v>
      </c>
      <c r="J326" s="23" t="s">
        <v>6</v>
      </c>
      <c r="K326" s="23" t="s">
        <v>565</v>
      </c>
      <c r="L326" s="23">
        <v>2022</v>
      </c>
      <c r="M326" s="24" t="s">
        <v>351</v>
      </c>
      <c r="N326" s="24">
        <v>44891</v>
      </c>
      <c r="O326" s="24" t="s">
        <v>50</v>
      </c>
      <c r="P326" s="86">
        <v>404.71193415637799</v>
      </c>
      <c r="Q326" s="86">
        <v>19.57</v>
      </c>
      <c r="R326" s="25">
        <v>2.4300000000000002</v>
      </c>
      <c r="S326" s="25">
        <v>129.51</v>
      </c>
      <c r="T326" s="25">
        <v>9.73</v>
      </c>
      <c r="U326" s="25">
        <v>13.914415507905799</v>
      </c>
      <c r="V326" s="25">
        <v>12.456590923534399</v>
      </c>
      <c r="W326" s="25">
        <v>314.70400000000001</v>
      </c>
      <c r="X326" s="34">
        <v>139585.54999999999</v>
      </c>
      <c r="Y326" s="30">
        <v>45304</v>
      </c>
      <c r="Z326" s="85">
        <v>2024</v>
      </c>
      <c r="AA326" s="28">
        <v>1</v>
      </c>
      <c r="AB326" s="84">
        <v>4378.9222179999997</v>
      </c>
      <c r="AC326" s="84">
        <v>3920.1389899999999</v>
      </c>
      <c r="AD326" s="84">
        <v>983.44999999999902</v>
      </c>
      <c r="AE326" s="34">
        <v>43789.222179999902</v>
      </c>
      <c r="AF326" s="28" t="s">
        <v>551</v>
      </c>
      <c r="AG326" s="28" t="s">
        <v>66</v>
      </c>
    </row>
    <row r="327" spans="2:33" x14ac:dyDescent="0.2">
      <c r="B327" s="34">
        <f>CHOOSE(B$1,Tabla2[[#This Row],[Edad]]*12/365,Tabla2[[#This Row],[Tn/Ha]],Tabla2[[#This Row],[Tn]],Tabla2[[#This Row],[Area_Cosecha]])</f>
        <v>10.063677469651399</v>
      </c>
      <c r="C327" s="87" t="s">
        <v>550</v>
      </c>
      <c r="D327" s="23" t="s">
        <v>551</v>
      </c>
      <c r="E327" s="23" t="s">
        <v>551</v>
      </c>
      <c r="F327" s="23" t="s">
        <v>488</v>
      </c>
      <c r="G327" s="23" t="s">
        <v>22</v>
      </c>
      <c r="H327" s="23" t="s">
        <v>29</v>
      </c>
      <c r="I327" s="23" t="s">
        <v>30</v>
      </c>
      <c r="J327" s="23" t="s">
        <v>6</v>
      </c>
      <c r="K327" s="23" t="s">
        <v>565</v>
      </c>
      <c r="L327" s="23">
        <v>2023</v>
      </c>
      <c r="M327" s="24" t="s">
        <v>381</v>
      </c>
      <c r="N327" s="24">
        <v>45307</v>
      </c>
      <c r="O327" s="24" t="s">
        <v>50</v>
      </c>
      <c r="P327" s="86">
        <v>306.10352303523001</v>
      </c>
      <c r="Q327" s="86">
        <v>18.45</v>
      </c>
      <c r="R327" s="25">
        <v>18.45</v>
      </c>
      <c r="S327" s="25">
        <v>124.64</v>
      </c>
      <c r="T327" s="25">
        <v>12.38</v>
      </c>
      <c r="U327" s="25">
        <v>15.230914716989901</v>
      </c>
      <c r="V327" s="25">
        <v>13.7282704978408</v>
      </c>
      <c r="W327" s="25">
        <v>2299.5300000000002</v>
      </c>
      <c r="X327" s="34">
        <v>961638.98</v>
      </c>
      <c r="Y327" s="30">
        <v>45614</v>
      </c>
      <c r="Z327" s="85">
        <v>2024</v>
      </c>
      <c r="AA327" s="28">
        <v>11</v>
      </c>
      <c r="AB327" s="84">
        <v>35023.945319159997</v>
      </c>
      <c r="AC327" s="84">
        <v>31568.569857900002</v>
      </c>
      <c r="AD327" s="84">
        <v>5647.61</v>
      </c>
      <c r="AE327" s="34">
        <v>350239.45319159998</v>
      </c>
      <c r="AF327" s="28" t="s">
        <v>551</v>
      </c>
      <c r="AG327" s="28" t="s">
        <v>66</v>
      </c>
    </row>
    <row r="328" spans="2:33" x14ac:dyDescent="0.2">
      <c r="B328" s="34">
        <f>CHOOSE(B$1,Tabla2[[#This Row],[Edad]]*12/365,Tabla2[[#This Row],[Tn/Ha]],Tabla2[[#This Row],[Tn]],Tabla2[[#This Row],[Area_Cosecha]])</f>
        <v>12.006029293264438</v>
      </c>
      <c r="C328" s="87" t="s">
        <v>550</v>
      </c>
      <c r="D328" s="23" t="s">
        <v>551</v>
      </c>
      <c r="E328" s="23" t="s">
        <v>551</v>
      </c>
      <c r="F328" s="23" t="s">
        <v>214</v>
      </c>
      <c r="G328" s="23" t="s">
        <v>22</v>
      </c>
      <c r="H328" s="23" t="s">
        <v>29</v>
      </c>
      <c r="I328" s="23" t="s">
        <v>30</v>
      </c>
      <c r="J328" s="23" t="s">
        <v>7</v>
      </c>
      <c r="K328" s="23" t="s">
        <v>776</v>
      </c>
      <c r="L328" s="23">
        <v>2022</v>
      </c>
      <c r="M328" s="24" t="s">
        <v>351</v>
      </c>
      <c r="N328" s="24">
        <v>45143</v>
      </c>
      <c r="O328" s="24" t="s">
        <v>50</v>
      </c>
      <c r="P328" s="86">
        <v>365.18339100345997</v>
      </c>
      <c r="Q328" s="86">
        <v>14.45</v>
      </c>
      <c r="R328" s="25">
        <v>14.45</v>
      </c>
      <c r="S328" s="25">
        <v>138.94999999999999</v>
      </c>
      <c r="T328" s="25">
        <v>11.57</v>
      </c>
      <c r="U328" s="25">
        <v>15.5889725698687</v>
      </c>
      <c r="V328" s="25">
        <v>14.0672049295381</v>
      </c>
      <c r="W328" s="25">
        <v>2007.894</v>
      </c>
      <c r="X328" s="34">
        <v>562406.30000000005</v>
      </c>
      <c r="Y328" s="30">
        <v>45511</v>
      </c>
      <c r="Z328" s="85">
        <v>2024</v>
      </c>
      <c r="AA328" s="28">
        <v>8</v>
      </c>
      <c r="AB328" s="84">
        <v>31301.004489203999</v>
      </c>
      <c r="AC328" s="84">
        <v>28245.456374789999</v>
      </c>
      <c r="AD328" s="84">
        <v>5276.9</v>
      </c>
      <c r="AE328" s="34">
        <v>313010.04489204002</v>
      </c>
      <c r="AF328" s="28" t="s">
        <v>551</v>
      </c>
      <c r="AG328" s="28" t="s">
        <v>66</v>
      </c>
    </row>
    <row r="329" spans="2:33" x14ac:dyDescent="0.2">
      <c r="B329" s="34">
        <f>CHOOSE(B$1,Tabla2[[#This Row],[Edad]]*12/365,Tabla2[[#This Row],[Tn/Ha]],Tabla2[[#This Row],[Tn]],Tabla2[[#This Row],[Area_Cosecha]])</f>
        <v>13.704830569574597</v>
      </c>
      <c r="C329" s="87" t="s">
        <v>550</v>
      </c>
      <c r="D329" s="23" t="s">
        <v>551</v>
      </c>
      <c r="E329" s="23" t="s">
        <v>551</v>
      </c>
      <c r="F329" s="23" t="s">
        <v>534</v>
      </c>
      <c r="G329" s="23" t="s">
        <v>22</v>
      </c>
      <c r="H329" s="23" t="s">
        <v>29</v>
      </c>
      <c r="I329" s="23" t="s">
        <v>30</v>
      </c>
      <c r="J329" s="23" t="s">
        <v>8</v>
      </c>
      <c r="K329" s="23" t="s">
        <v>566</v>
      </c>
      <c r="L329" s="23">
        <v>2022</v>
      </c>
      <c r="M329" s="24" t="s">
        <v>351</v>
      </c>
      <c r="N329" s="24">
        <v>44883</v>
      </c>
      <c r="O329" s="24" t="s">
        <v>50</v>
      </c>
      <c r="P329" s="86">
        <v>416.855263157894</v>
      </c>
      <c r="Q329" s="86">
        <v>19.02</v>
      </c>
      <c r="R329" s="25">
        <v>1.52</v>
      </c>
      <c r="S329" s="25">
        <v>200.67</v>
      </c>
      <c r="T329" s="25">
        <v>14.64</v>
      </c>
      <c r="U329" s="25">
        <v>14.851735322339501</v>
      </c>
      <c r="V329" s="25">
        <v>13.366868387318799</v>
      </c>
      <c r="W329" s="25">
        <v>305.02</v>
      </c>
      <c r="X329" s="34">
        <v>124517.9</v>
      </c>
      <c r="Y329" s="30">
        <v>45309</v>
      </c>
      <c r="Z329" s="85">
        <v>2024</v>
      </c>
      <c r="AA329" s="28">
        <v>1</v>
      </c>
      <c r="AB329" s="84">
        <v>4530.0763080199904</v>
      </c>
      <c r="AC329" s="84">
        <v>4077.1621955000001</v>
      </c>
      <c r="AD329" s="84">
        <v>633.62</v>
      </c>
      <c r="AE329" s="34">
        <v>45300.763080199897</v>
      </c>
      <c r="AF329" s="28" t="s">
        <v>551</v>
      </c>
      <c r="AG329" s="28" t="s">
        <v>66</v>
      </c>
    </row>
    <row r="330" spans="2:33" x14ac:dyDescent="0.2">
      <c r="B330" s="98">
        <f>CHOOSE(B$1,Tabla2[[#This Row],[Edad]]*12/365,Tabla2[[#This Row],[Tn/Ha]],Tabla2[[#This Row],[Tn]],Tabla2[[#This Row],[Area_Cosecha]])</f>
        <v>10.535489236790596</v>
      </c>
      <c r="C330" s="99" t="s">
        <v>550</v>
      </c>
      <c r="D330" s="100" t="s">
        <v>551</v>
      </c>
      <c r="E330" s="100" t="s">
        <v>551</v>
      </c>
      <c r="F330" s="100" t="s">
        <v>540</v>
      </c>
      <c r="G330" s="100" t="s">
        <v>22</v>
      </c>
      <c r="H330" s="100" t="s">
        <v>29</v>
      </c>
      <c r="I330" s="100" t="s">
        <v>31</v>
      </c>
      <c r="J330" s="100" t="s">
        <v>3</v>
      </c>
      <c r="K330" s="100" t="s">
        <v>846</v>
      </c>
      <c r="L330" s="100">
        <v>2024</v>
      </c>
      <c r="M330" s="101" t="s">
        <v>381</v>
      </c>
      <c r="N330" s="101">
        <v>45271</v>
      </c>
      <c r="O330" s="100" t="s">
        <v>50</v>
      </c>
      <c r="P330" s="102">
        <v>320.45446428571398</v>
      </c>
      <c r="Q330" s="102">
        <v>11.2</v>
      </c>
      <c r="R330" s="103">
        <v>11.2</v>
      </c>
      <c r="S330" s="103">
        <v>110.02</v>
      </c>
      <c r="T330" s="103">
        <v>10.44</v>
      </c>
      <c r="U330" s="103">
        <v>15.103048116694101</v>
      </c>
      <c r="V330" s="104">
        <v>13.642839319774801</v>
      </c>
      <c r="W330" s="104">
        <v>1232.1949999999999</v>
      </c>
      <c r="X330" s="98">
        <v>678684.41</v>
      </c>
      <c r="Y330" s="105">
        <v>45592</v>
      </c>
      <c r="Z330" s="106">
        <v>2024</v>
      </c>
      <c r="AA330" s="106">
        <v>10</v>
      </c>
      <c r="AB330" s="98">
        <v>18609.900374149998</v>
      </c>
      <c r="AC330" s="98">
        <v>16810.638395630001</v>
      </c>
      <c r="AD330" s="107">
        <v>3589.09</v>
      </c>
      <c r="AE330" s="107">
        <v>186099.00374149901</v>
      </c>
      <c r="AF330" s="106" t="s">
        <v>551</v>
      </c>
      <c r="AG330" s="106" t="s">
        <v>66</v>
      </c>
    </row>
    <row r="331" spans="2:33" x14ac:dyDescent="0.2">
      <c r="B331" s="98">
        <f>CHOOSE(B$1,Tabla2[[#This Row],[Edad]]*12/365,Tabla2[[#This Row],[Tn/Ha]],Tabla2[[#This Row],[Tn]],Tabla2[[#This Row],[Area_Cosecha]])</f>
        <v>10.828052174862181</v>
      </c>
      <c r="C331" s="99" t="s">
        <v>550</v>
      </c>
      <c r="D331" s="100" t="s">
        <v>551</v>
      </c>
      <c r="E331" s="100" t="s">
        <v>551</v>
      </c>
      <c r="F331" s="100" t="s">
        <v>533</v>
      </c>
      <c r="G331" s="100" t="s">
        <v>22</v>
      </c>
      <c r="H331" s="100" t="s">
        <v>29</v>
      </c>
      <c r="I331" s="100" t="s">
        <v>31</v>
      </c>
      <c r="J331" s="100" t="s">
        <v>4</v>
      </c>
      <c r="K331" s="100" t="s">
        <v>847</v>
      </c>
      <c r="L331" s="100">
        <v>2024</v>
      </c>
      <c r="M331" s="101" t="s">
        <v>381</v>
      </c>
      <c r="N331" s="101">
        <v>45261</v>
      </c>
      <c r="O331" s="100" t="s">
        <v>50</v>
      </c>
      <c r="P331" s="102">
        <v>329.35325365205802</v>
      </c>
      <c r="Q331" s="102">
        <v>15.06</v>
      </c>
      <c r="R331" s="103">
        <v>15.06</v>
      </c>
      <c r="S331" s="103">
        <v>125.44</v>
      </c>
      <c r="T331" s="103">
        <v>11.58</v>
      </c>
      <c r="U331" s="103">
        <v>15.350077836768801</v>
      </c>
      <c r="V331" s="104">
        <v>13.8489820730665</v>
      </c>
      <c r="W331" s="104">
        <v>1889.1</v>
      </c>
      <c r="X331" s="98">
        <v>793601.13</v>
      </c>
      <c r="Y331" s="105">
        <v>45591</v>
      </c>
      <c r="Z331" s="106">
        <v>2024</v>
      </c>
      <c r="AA331" s="106">
        <v>10</v>
      </c>
      <c r="AB331" s="98">
        <v>28997.83204144</v>
      </c>
      <c r="AC331" s="98">
        <v>26162.112034229998</v>
      </c>
      <c r="AD331" s="107">
        <v>4960.0600000000004</v>
      </c>
      <c r="AE331" s="107">
        <v>289978.32041439897</v>
      </c>
      <c r="AF331" s="106" t="s">
        <v>551</v>
      </c>
      <c r="AG331" s="106" t="s">
        <v>66</v>
      </c>
    </row>
    <row r="332" spans="2:33" x14ac:dyDescent="0.2">
      <c r="B332" s="98">
        <f>CHOOSE(B$1,Tabla2[[#This Row],[Edad]]*12/365,Tabla2[[#This Row],[Tn/Ha]],Tabla2[[#This Row],[Tn]],Tabla2[[#This Row],[Area_Cosecha]])</f>
        <v>10.717085927770849</v>
      </c>
      <c r="C332" s="99" t="s">
        <v>550</v>
      </c>
      <c r="D332" s="100" t="s">
        <v>551</v>
      </c>
      <c r="E332" s="100" t="s">
        <v>551</v>
      </c>
      <c r="F332" s="100" t="s">
        <v>514</v>
      </c>
      <c r="G332" s="100" t="s">
        <v>22</v>
      </c>
      <c r="H332" s="100" t="s">
        <v>29</v>
      </c>
      <c r="I332" s="100" t="s">
        <v>31</v>
      </c>
      <c r="J332" s="100" t="s">
        <v>5</v>
      </c>
      <c r="K332" s="100" t="s">
        <v>848</v>
      </c>
      <c r="L332" s="100">
        <v>2024</v>
      </c>
      <c r="M332" s="101" t="s">
        <v>381</v>
      </c>
      <c r="N332" s="101">
        <v>45264</v>
      </c>
      <c r="O332" s="100" t="s">
        <v>50</v>
      </c>
      <c r="P332" s="102">
        <v>325.97803030302998</v>
      </c>
      <c r="Q332" s="102">
        <v>13.2</v>
      </c>
      <c r="R332" s="103">
        <v>13.2</v>
      </c>
      <c r="S332" s="103">
        <v>135.35</v>
      </c>
      <c r="T332" s="103">
        <v>12.63</v>
      </c>
      <c r="U332" s="103">
        <v>15.435668450632299</v>
      </c>
      <c r="V332" s="104">
        <v>13.933509210917601</v>
      </c>
      <c r="W332" s="104">
        <v>1786.645</v>
      </c>
      <c r="X332" s="98">
        <v>614160.04</v>
      </c>
      <c r="Y332" s="105">
        <v>45592</v>
      </c>
      <c r="Z332" s="106">
        <v>2024</v>
      </c>
      <c r="AA332" s="106">
        <v>10</v>
      </c>
      <c r="AB332" s="98">
        <v>27578.059858979999</v>
      </c>
      <c r="AC332" s="98">
        <v>24894.234564139999</v>
      </c>
      <c r="AD332" s="107">
        <v>4302.91</v>
      </c>
      <c r="AE332" s="107">
        <v>275780.59858979902</v>
      </c>
      <c r="AF332" s="106" t="s">
        <v>551</v>
      </c>
      <c r="AG332" s="106" t="s">
        <v>66</v>
      </c>
    </row>
    <row r="333" spans="2:33" x14ac:dyDescent="0.2">
      <c r="B333" s="98">
        <f>CHOOSE(B$1,Tabla2[[#This Row],[Edad]]*12/365,Tabla2[[#This Row],[Tn/Ha]],Tabla2[[#This Row],[Tn]],Tabla2[[#This Row],[Area_Cosecha]])</f>
        <v>13.129318420979111</v>
      </c>
      <c r="C333" s="99" t="s">
        <v>550</v>
      </c>
      <c r="D333" s="100" t="s">
        <v>551</v>
      </c>
      <c r="E333" s="100" t="s">
        <v>551</v>
      </c>
      <c r="F333" s="100" t="s">
        <v>215</v>
      </c>
      <c r="G333" s="100" t="s">
        <v>22</v>
      </c>
      <c r="H333" s="100" t="s">
        <v>29</v>
      </c>
      <c r="I333" s="100" t="s">
        <v>31</v>
      </c>
      <c r="J333" s="100" t="s">
        <v>6</v>
      </c>
      <c r="K333" s="100" t="s">
        <v>629</v>
      </c>
      <c r="L333" s="100">
        <v>2023</v>
      </c>
      <c r="M333" s="101" t="s">
        <v>351</v>
      </c>
      <c r="N333" s="101">
        <v>44980</v>
      </c>
      <c r="O333" s="100" t="s">
        <v>50</v>
      </c>
      <c r="P333" s="102">
        <v>399.350101971448</v>
      </c>
      <c r="Q333" s="102">
        <v>14.71</v>
      </c>
      <c r="R333" s="103">
        <v>14.7099999999999</v>
      </c>
      <c r="S333" s="103">
        <v>128.13</v>
      </c>
      <c r="T333" s="103">
        <v>9.76</v>
      </c>
      <c r="U333" s="103">
        <v>14.113132946424299</v>
      </c>
      <c r="V333" s="104">
        <v>12.594403666178501</v>
      </c>
      <c r="W333" s="104">
        <v>1884.81</v>
      </c>
      <c r="X333" s="98">
        <v>596515.63</v>
      </c>
      <c r="Y333" s="105">
        <v>45381</v>
      </c>
      <c r="Z333" s="106">
        <v>2024</v>
      </c>
      <c r="AA333" s="106">
        <v>3</v>
      </c>
      <c r="AB333" s="98">
        <v>26600.574108749999</v>
      </c>
      <c r="AC333" s="98">
        <v>23738.05797405</v>
      </c>
      <c r="AD333" s="107">
        <v>5874.44</v>
      </c>
      <c r="AE333" s="107">
        <v>266005.74108750001</v>
      </c>
      <c r="AF333" s="106" t="s">
        <v>551</v>
      </c>
      <c r="AG333" s="106" t="s">
        <v>66</v>
      </c>
    </row>
    <row r="334" spans="2:33" x14ac:dyDescent="0.2">
      <c r="B334" s="98">
        <f>CHOOSE(B$1,Tabla2[[#This Row],[Edad]]*12/365,Tabla2[[#This Row],[Tn/Ha]],Tabla2[[#This Row],[Tn]],Tabla2[[#This Row],[Area_Cosecha]])</f>
        <v>13.167333610073324</v>
      </c>
      <c r="C334" s="99" t="s">
        <v>550</v>
      </c>
      <c r="D334" s="100" t="s">
        <v>551</v>
      </c>
      <c r="E334" s="100" t="s">
        <v>551</v>
      </c>
      <c r="F334" s="100" t="s">
        <v>216</v>
      </c>
      <c r="G334" s="100" t="s">
        <v>22</v>
      </c>
      <c r="H334" s="100" t="s">
        <v>29</v>
      </c>
      <c r="I334" s="100" t="s">
        <v>31</v>
      </c>
      <c r="J334" s="100" t="s">
        <v>7</v>
      </c>
      <c r="K334" s="100" t="s">
        <v>630</v>
      </c>
      <c r="L334" s="100">
        <v>2023</v>
      </c>
      <c r="M334" s="101" t="s">
        <v>351</v>
      </c>
      <c r="N334" s="101">
        <v>44980</v>
      </c>
      <c r="O334" s="100" t="s">
        <v>50</v>
      </c>
      <c r="P334" s="102">
        <v>400.50639730639699</v>
      </c>
      <c r="Q334" s="102">
        <v>14.85</v>
      </c>
      <c r="R334" s="103">
        <v>14.85</v>
      </c>
      <c r="S334" s="103">
        <v>135.74</v>
      </c>
      <c r="T334" s="103">
        <v>10.31</v>
      </c>
      <c r="U334" s="103">
        <v>14.169367629638399</v>
      </c>
      <c r="V334" s="104">
        <v>12.626162444045899</v>
      </c>
      <c r="W334" s="104">
        <v>2015.76</v>
      </c>
      <c r="X334" s="98">
        <v>683276.57</v>
      </c>
      <c r="Y334" s="105">
        <v>45382</v>
      </c>
      <c r="Z334" s="106">
        <v>2024</v>
      </c>
      <c r="AA334" s="106">
        <v>3</v>
      </c>
      <c r="AB334" s="98">
        <v>28562.044493119902</v>
      </c>
      <c r="AC334" s="98">
        <v>25451.313208209998</v>
      </c>
      <c r="AD334" s="107">
        <v>5947.5199999999904</v>
      </c>
      <c r="AE334" s="107">
        <v>285620.44493119902</v>
      </c>
      <c r="AF334" s="106" t="s">
        <v>551</v>
      </c>
      <c r="AG334" s="106" t="s">
        <v>66</v>
      </c>
    </row>
    <row r="335" spans="2:33" x14ac:dyDescent="0.2">
      <c r="B335" s="98">
        <f>CHOOSE(B$1,Tabla2[[#This Row],[Edad]]*12/365,Tabla2[[#This Row],[Tn/Ha]],Tabla2[[#This Row],[Tn]],Tabla2[[#This Row],[Area_Cosecha]])</f>
        <v>13.200270749395628</v>
      </c>
      <c r="C335" s="99" t="s">
        <v>550</v>
      </c>
      <c r="D335" s="100" t="s">
        <v>551</v>
      </c>
      <c r="E335" s="100" t="s">
        <v>551</v>
      </c>
      <c r="F335" s="100" t="s">
        <v>217</v>
      </c>
      <c r="G335" s="100" t="s">
        <v>22</v>
      </c>
      <c r="H335" s="100" t="s">
        <v>29</v>
      </c>
      <c r="I335" s="100" t="s">
        <v>31</v>
      </c>
      <c r="J335" s="100" t="s">
        <v>8</v>
      </c>
      <c r="K335" s="100" t="s">
        <v>631</v>
      </c>
      <c r="L335" s="100">
        <v>2022</v>
      </c>
      <c r="M335" s="101" t="s">
        <v>351</v>
      </c>
      <c r="N335" s="101">
        <v>44980</v>
      </c>
      <c r="O335" s="100" t="s">
        <v>50</v>
      </c>
      <c r="P335" s="102">
        <v>401.50823529411701</v>
      </c>
      <c r="Q335" s="102">
        <v>12.75</v>
      </c>
      <c r="R335" s="103">
        <v>12.75</v>
      </c>
      <c r="S335" s="103">
        <v>136.22</v>
      </c>
      <c r="T335" s="103">
        <v>10.32</v>
      </c>
      <c r="U335" s="103">
        <v>14.080275349164401</v>
      </c>
      <c r="V335" s="104">
        <v>12.534356084559301</v>
      </c>
      <c r="W335" s="104">
        <v>1736.7919999999999</v>
      </c>
      <c r="X335" s="98">
        <v>1182890.3400000001</v>
      </c>
      <c r="Y335" s="105">
        <v>45382</v>
      </c>
      <c r="Z335" s="106">
        <v>2024</v>
      </c>
      <c r="AA335" s="106">
        <v>3</v>
      </c>
      <c r="AB335" s="98">
        <v>24454.5095842259</v>
      </c>
      <c r="AC335" s="98">
        <v>21769.569372814</v>
      </c>
      <c r="AD335" s="107">
        <v>5119.2299999999996</v>
      </c>
      <c r="AE335" s="107">
        <v>244545.095842259</v>
      </c>
      <c r="AF335" s="106" t="s">
        <v>551</v>
      </c>
      <c r="AG335" s="106" t="s">
        <v>66</v>
      </c>
    </row>
    <row r="336" spans="2:33" x14ac:dyDescent="0.2">
      <c r="B336" s="98">
        <f>CHOOSE(B$1,Tabla2[[#This Row],[Edad]]*12/365,Tabla2[[#This Row],[Tn/Ha]],Tabla2[[#This Row],[Tn]],Tabla2[[#This Row],[Area_Cosecha]])</f>
        <v>11.067061021170609</v>
      </c>
      <c r="C336" s="99" t="s">
        <v>550</v>
      </c>
      <c r="D336" s="100" t="s">
        <v>551</v>
      </c>
      <c r="E336" s="100" t="s">
        <v>551</v>
      </c>
      <c r="F336" s="100" t="s">
        <v>218</v>
      </c>
      <c r="G336" s="100" t="s">
        <v>22</v>
      </c>
      <c r="H336" s="100" t="s">
        <v>41</v>
      </c>
      <c r="I336" s="100" t="s">
        <v>42</v>
      </c>
      <c r="J336" s="100" t="s">
        <v>3</v>
      </c>
      <c r="K336" s="100" t="s">
        <v>832</v>
      </c>
      <c r="L336" s="100">
        <v>2023</v>
      </c>
      <c r="M336" s="101" t="s">
        <v>61</v>
      </c>
      <c r="N336" s="101">
        <v>45244</v>
      </c>
      <c r="O336" s="100" t="s">
        <v>50</v>
      </c>
      <c r="P336" s="102">
        <v>336.62310606060601</v>
      </c>
      <c r="Q336" s="102">
        <v>21.12</v>
      </c>
      <c r="R336" s="103">
        <v>21.12</v>
      </c>
      <c r="S336" s="103">
        <v>140.35</v>
      </c>
      <c r="T336" s="103">
        <v>12.68</v>
      </c>
      <c r="U336" s="103">
        <v>15.6956134031968</v>
      </c>
      <c r="V336" s="104">
        <v>14.242512709432001</v>
      </c>
      <c r="W336" s="104">
        <v>2964.16</v>
      </c>
      <c r="X336" s="98">
        <v>824519.38</v>
      </c>
      <c r="Y336" s="105">
        <v>45583</v>
      </c>
      <c r="Z336" s="106">
        <v>2024</v>
      </c>
      <c r="AA336" s="106">
        <v>10</v>
      </c>
      <c r="AB336" s="98">
        <v>46524.309425220003</v>
      </c>
      <c r="AC336" s="98">
        <v>42217.086472789997</v>
      </c>
      <c r="AD336" s="107">
        <v>7109.48</v>
      </c>
      <c r="AE336" s="107">
        <v>465243.09425219998</v>
      </c>
      <c r="AF336" s="106" t="s">
        <v>551</v>
      </c>
      <c r="AG336" s="106" t="s">
        <v>66</v>
      </c>
    </row>
    <row r="337" spans="2:33" x14ac:dyDescent="0.2">
      <c r="B337" s="98">
        <f>CHOOSE(B$1,Tabla2[[#This Row],[Edad]]*12/365,Tabla2[[#This Row],[Tn/Ha]],Tabla2[[#This Row],[Tn]],Tabla2[[#This Row],[Area_Cosecha]])</f>
        <v>10.863255221259912</v>
      </c>
      <c r="C337" s="99" t="s">
        <v>550</v>
      </c>
      <c r="D337" s="100" t="s">
        <v>551</v>
      </c>
      <c r="E337" s="100" t="s">
        <v>551</v>
      </c>
      <c r="F337" s="100" t="s">
        <v>219</v>
      </c>
      <c r="G337" s="100" t="s">
        <v>22</v>
      </c>
      <c r="H337" s="100" t="s">
        <v>41</v>
      </c>
      <c r="I337" s="100" t="s">
        <v>42</v>
      </c>
      <c r="J337" s="100" t="s">
        <v>4</v>
      </c>
      <c r="K337" s="100" t="s">
        <v>833</v>
      </c>
      <c r="L337" s="100">
        <v>2023</v>
      </c>
      <c r="M337" s="101" t="s">
        <v>61</v>
      </c>
      <c r="N337" s="101">
        <v>45252</v>
      </c>
      <c r="O337" s="100" t="s">
        <v>50</v>
      </c>
      <c r="P337" s="102">
        <v>330.42401297998902</v>
      </c>
      <c r="Q337" s="102">
        <v>18.489999999999998</v>
      </c>
      <c r="R337" s="103">
        <v>18.489999999999998</v>
      </c>
      <c r="S337" s="103">
        <v>127.18</v>
      </c>
      <c r="T337" s="103">
        <v>11.71</v>
      </c>
      <c r="U337" s="103">
        <v>16.033240886001899</v>
      </c>
      <c r="V337" s="104">
        <v>14.5516387529316</v>
      </c>
      <c r="W337" s="104">
        <v>2351.4789999999998</v>
      </c>
      <c r="X337" s="98">
        <v>498155.66</v>
      </c>
      <c r="Y337" s="105">
        <v>45589</v>
      </c>
      <c r="Z337" s="106">
        <v>2024</v>
      </c>
      <c r="AA337" s="106">
        <v>10</v>
      </c>
      <c r="AB337" s="98">
        <v>37701.829245374996</v>
      </c>
      <c r="AC337" s="98">
        <v>34217.872943105001</v>
      </c>
      <c r="AD337" s="107">
        <v>6109.53999999999</v>
      </c>
      <c r="AE337" s="107">
        <v>377018.29245374998</v>
      </c>
      <c r="AF337" s="106" t="s">
        <v>551</v>
      </c>
      <c r="AG337" s="106" t="s">
        <v>66</v>
      </c>
    </row>
    <row r="338" spans="2:33" x14ac:dyDescent="0.2">
      <c r="B338" s="98">
        <f>CHOOSE(B$1,Tabla2[[#This Row],[Edad]]*12/365,Tabla2[[#This Row],[Tn/Ha]],Tabla2[[#This Row],[Tn]],Tabla2[[#This Row],[Area_Cosecha]])</f>
        <v>10.323287671232876</v>
      </c>
      <c r="C338" s="99" t="s">
        <v>550</v>
      </c>
      <c r="D338" s="100" t="s">
        <v>551</v>
      </c>
      <c r="E338" s="100" t="s">
        <v>551</v>
      </c>
      <c r="F338" s="100" t="s">
        <v>220</v>
      </c>
      <c r="G338" s="100" t="s">
        <v>22</v>
      </c>
      <c r="H338" s="100" t="s">
        <v>41</v>
      </c>
      <c r="I338" s="100" t="s">
        <v>42</v>
      </c>
      <c r="J338" s="100" t="s">
        <v>5</v>
      </c>
      <c r="K338" s="100" t="s">
        <v>816</v>
      </c>
      <c r="L338" s="100">
        <v>2023</v>
      </c>
      <c r="M338" s="101" t="s">
        <v>61</v>
      </c>
      <c r="N338" s="101">
        <v>45250</v>
      </c>
      <c r="O338" s="100" t="s">
        <v>50</v>
      </c>
      <c r="P338" s="102">
        <v>314</v>
      </c>
      <c r="Q338" s="102">
        <v>17.71</v>
      </c>
      <c r="R338" s="103">
        <v>5.48</v>
      </c>
      <c r="S338" s="103">
        <v>134.62</v>
      </c>
      <c r="T338" s="103">
        <v>13.04</v>
      </c>
      <c r="U338" s="103">
        <v>15.305375</v>
      </c>
      <c r="V338" s="104">
        <v>13.807874999999999</v>
      </c>
      <c r="W338" s="104">
        <v>737.71</v>
      </c>
      <c r="X338" s="98">
        <v>993094.97</v>
      </c>
      <c r="Y338" s="105">
        <v>45564</v>
      </c>
      <c r="Z338" s="106">
        <v>2024</v>
      </c>
      <c r="AA338" s="106">
        <v>9</v>
      </c>
      <c r="AB338" s="98">
        <v>11290.928191249999</v>
      </c>
      <c r="AC338" s="98">
        <v>10186.20746625</v>
      </c>
      <c r="AD338" s="107">
        <v>1720.72</v>
      </c>
      <c r="AE338" s="107">
        <v>112909.2819125</v>
      </c>
      <c r="AF338" s="106" t="s">
        <v>551</v>
      </c>
      <c r="AG338" s="106" t="s">
        <v>66</v>
      </c>
    </row>
    <row r="339" spans="2:33" x14ac:dyDescent="0.2">
      <c r="B339" s="98">
        <f>CHOOSE(B$1,Tabla2[[#This Row],[Edad]]*12/365,Tabla2[[#This Row],[Tn/Ha]],Tabla2[[#This Row],[Tn]],Tabla2[[#This Row],[Area_Cosecha]])</f>
        <v>10.920740599693085</v>
      </c>
      <c r="C339" s="99" t="s">
        <v>550</v>
      </c>
      <c r="D339" s="100" t="s">
        <v>551</v>
      </c>
      <c r="E339" s="100" t="s">
        <v>551</v>
      </c>
      <c r="F339" s="100" t="s">
        <v>220</v>
      </c>
      <c r="G339" s="100" t="s">
        <v>22</v>
      </c>
      <c r="H339" s="100" t="s">
        <v>41</v>
      </c>
      <c r="I339" s="100" t="s">
        <v>42</v>
      </c>
      <c r="J339" s="100" t="s">
        <v>5</v>
      </c>
      <c r="K339" s="100" t="s">
        <v>816</v>
      </c>
      <c r="L339" s="100">
        <v>2023</v>
      </c>
      <c r="M339" s="101" t="s">
        <v>61</v>
      </c>
      <c r="N339" s="101">
        <v>45250</v>
      </c>
      <c r="O339" s="100" t="s">
        <v>50</v>
      </c>
      <c r="P339" s="102">
        <v>332.17252657399803</v>
      </c>
      <c r="Q339" s="102">
        <v>17.71</v>
      </c>
      <c r="R339" s="103">
        <v>12.23</v>
      </c>
      <c r="S339" s="103">
        <v>128.5</v>
      </c>
      <c r="T339" s="103">
        <v>11.77</v>
      </c>
      <c r="U339" s="103">
        <v>15.8815781554251</v>
      </c>
      <c r="V339" s="104">
        <v>14.4253011965222</v>
      </c>
      <c r="W339" s="104">
        <v>1571.5729999999901</v>
      </c>
      <c r="X339" s="98">
        <v>334958.84999999998</v>
      </c>
      <c r="Y339" s="105">
        <v>45587</v>
      </c>
      <c r="Z339" s="106">
        <v>2024</v>
      </c>
      <c r="AA339" s="106">
        <v>10</v>
      </c>
      <c r="AB339" s="98">
        <v>24959.059426455999</v>
      </c>
      <c r="AC339" s="98">
        <v>22670.413877322</v>
      </c>
      <c r="AD339" s="107">
        <v>4062.4699999999898</v>
      </c>
      <c r="AE339" s="107">
        <v>249590.59426456</v>
      </c>
      <c r="AF339" s="106" t="s">
        <v>551</v>
      </c>
      <c r="AG339" s="106" t="s">
        <v>66</v>
      </c>
    </row>
    <row r="340" spans="2:33" x14ac:dyDescent="0.2">
      <c r="B340" s="98">
        <f>CHOOSE(B$1,Tabla2[[#This Row],[Edad]]*12/365,Tabla2[[#This Row],[Tn/Ha]],Tabla2[[#This Row],[Tn]],Tabla2[[#This Row],[Area_Cosecha]])</f>
        <v>12.289892119333084</v>
      </c>
      <c r="C340" s="99" t="s">
        <v>550</v>
      </c>
      <c r="D340" s="100" t="s">
        <v>551</v>
      </c>
      <c r="E340" s="100" t="s">
        <v>551</v>
      </c>
      <c r="F340" s="100" t="s">
        <v>221</v>
      </c>
      <c r="G340" s="100" t="s">
        <v>22</v>
      </c>
      <c r="H340" s="100" t="s">
        <v>41</v>
      </c>
      <c r="I340" s="100" t="s">
        <v>42</v>
      </c>
      <c r="J340" s="100" t="s">
        <v>6</v>
      </c>
      <c r="K340" s="100" t="s">
        <v>734</v>
      </c>
      <c r="L340" s="100">
        <v>2022</v>
      </c>
      <c r="M340" s="101" t="s">
        <v>62</v>
      </c>
      <c r="N340" s="101">
        <v>45105</v>
      </c>
      <c r="O340" s="100" t="s">
        <v>79</v>
      </c>
      <c r="P340" s="102">
        <v>373.817551963048</v>
      </c>
      <c r="Q340" s="102">
        <v>17.32</v>
      </c>
      <c r="R340" s="103">
        <v>17.32</v>
      </c>
      <c r="S340" s="103">
        <v>125.46</v>
      </c>
      <c r="T340" s="103">
        <v>10.210000000000001</v>
      </c>
      <c r="U340" s="103">
        <v>15.240360540287</v>
      </c>
      <c r="V340" s="104">
        <v>13.696344432050999</v>
      </c>
      <c r="W340" s="104">
        <v>2173.0300000000002</v>
      </c>
      <c r="X340" s="98">
        <v>687628.01</v>
      </c>
      <c r="Y340" s="105">
        <v>45483</v>
      </c>
      <c r="Z340" s="106">
        <v>2024</v>
      </c>
      <c r="AA340" s="106">
        <v>7</v>
      </c>
      <c r="AB340" s="98">
        <v>33117.760664859998</v>
      </c>
      <c r="AC340" s="98">
        <v>29762.567341180002</v>
      </c>
      <c r="AD340" s="107">
        <v>6474.5199999999904</v>
      </c>
      <c r="AE340" s="107">
        <v>331177.60664860002</v>
      </c>
      <c r="AF340" s="106" t="s">
        <v>551</v>
      </c>
      <c r="AG340" s="106" t="s">
        <v>66</v>
      </c>
    </row>
    <row r="341" spans="2:33" x14ac:dyDescent="0.2">
      <c r="B341" s="98">
        <f>CHOOSE(B$1,Tabla2[[#This Row],[Edad]]*12/365,Tabla2[[#This Row],[Tn/Ha]],Tabla2[[#This Row],[Tn]],Tabla2[[#This Row],[Area_Cosecha]])</f>
        <v>12.259474378488065</v>
      </c>
      <c r="C341" s="99" t="s">
        <v>550</v>
      </c>
      <c r="D341" s="100" t="s">
        <v>551</v>
      </c>
      <c r="E341" s="100" t="s">
        <v>551</v>
      </c>
      <c r="F341" s="100" t="s">
        <v>222</v>
      </c>
      <c r="G341" s="100" t="s">
        <v>22</v>
      </c>
      <c r="H341" s="100" t="s">
        <v>41</v>
      </c>
      <c r="I341" s="100" t="s">
        <v>42</v>
      </c>
      <c r="J341" s="100" t="s">
        <v>7</v>
      </c>
      <c r="K341" s="100" t="s">
        <v>735</v>
      </c>
      <c r="L341" s="100">
        <v>2022</v>
      </c>
      <c r="M341" s="101" t="s">
        <v>62</v>
      </c>
      <c r="N341" s="101">
        <v>45110</v>
      </c>
      <c r="O341" s="100" t="s">
        <v>79</v>
      </c>
      <c r="P341" s="102">
        <v>372.89234567901201</v>
      </c>
      <c r="Q341" s="102">
        <v>20.25</v>
      </c>
      <c r="R341" s="103">
        <v>20.25</v>
      </c>
      <c r="S341" s="103">
        <v>121.35</v>
      </c>
      <c r="T341" s="103">
        <v>9.9</v>
      </c>
      <c r="U341" s="103">
        <v>15.361726443368701</v>
      </c>
      <c r="V341" s="104">
        <v>13.839265048630599</v>
      </c>
      <c r="W341" s="104">
        <v>2457.3000000000002</v>
      </c>
      <c r="X341" s="98">
        <v>298374.86</v>
      </c>
      <c r="Y341" s="105">
        <v>45504</v>
      </c>
      <c r="Z341" s="106">
        <v>2024</v>
      </c>
      <c r="AA341" s="106">
        <v>7</v>
      </c>
      <c r="AB341" s="98">
        <v>37748.370389290001</v>
      </c>
      <c r="AC341" s="98">
        <v>34007.226003999996</v>
      </c>
      <c r="AD341" s="107">
        <v>7551.07</v>
      </c>
      <c r="AE341" s="107">
        <v>377483.70389290003</v>
      </c>
      <c r="AF341" s="106" t="s">
        <v>551</v>
      </c>
      <c r="AG341" s="106" t="s">
        <v>66</v>
      </c>
    </row>
    <row r="342" spans="2:33" x14ac:dyDescent="0.2">
      <c r="B342" s="98">
        <f>CHOOSE(B$1,Tabla2[[#This Row],[Edad]]*12/365,Tabla2[[#This Row],[Tn/Ha]],Tabla2[[#This Row],[Tn]],Tabla2[[#This Row],[Area_Cosecha]])</f>
        <v>10.302221823644121</v>
      </c>
      <c r="C342" s="99" t="s">
        <v>550</v>
      </c>
      <c r="D342" s="100" t="s">
        <v>551</v>
      </c>
      <c r="E342" s="100" t="s">
        <v>551</v>
      </c>
      <c r="F342" s="100" t="s">
        <v>223</v>
      </c>
      <c r="G342" s="100" t="s">
        <v>22</v>
      </c>
      <c r="H342" s="100" t="s">
        <v>41</v>
      </c>
      <c r="I342" s="100" t="s">
        <v>42</v>
      </c>
      <c r="J342" s="100" t="s">
        <v>8</v>
      </c>
      <c r="K342" s="100" t="s">
        <v>834</v>
      </c>
      <c r="L342" s="100">
        <v>2023</v>
      </c>
      <c r="M342" s="101" t="s">
        <v>61</v>
      </c>
      <c r="N342" s="101">
        <v>45254</v>
      </c>
      <c r="O342" s="100" t="s">
        <v>50</v>
      </c>
      <c r="P342" s="102">
        <v>313.359247135842</v>
      </c>
      <c r="Q342" s="102">
        <v>19.329999999999998</v>
      </c>
      <c r="R342" s="103">
        <v>12.219999999999899</v>
      </c>
      <c r="S342" s="103">
        <v>131.68</v>
      </c>
      <c r="T342" s="103">
        <v>12.78</v>
      </c>
      <c r="U342" s="103">
        <v>14.5268738075293</v>
      </c>
      <c r="V342" s="104">
        <v>13.059902023490199</v>
      </c>
      <c r="W342" s="104">
        <v>1609.18</v>
      </c>
      <c r="X342" s="98">
        <v>1050548.56</v>
      </c>
      <c r="Y342" s="105">
        <v>45568</v>
      </c>
      <c r="Z342" s="106">
        <v>2024</v>
      </c>
      <c r="AA342" s="106">
        <v>10</v>
      </c>
      <c r="AB342" s="98">
        <v>23376.3547936</v>
      </c>
      <c r="AC342" s="98">
        <v>21015.733138160002</v>
      </c>
      <c r="AD342" s="107">
        <v>3829.25</v>
      </c>
      <c r="AE342" s="107">
        <v>233763.54793599999</v>
      </c>
      <c r="AF342" s="106" t="s">
        <v>551</v>
      </c>
      <c r="AG342" s="106" t="s">
        <v>66</v>
      </c>
    </row>
    <row r="343" spans="2:33" x14ac:dyDescent="0.2">
      <c r="B343" s="98">
        <f>CHOOSE(B$1,Tabla2[[#This Row],[Edad]]*12/365,Tabla2[[#This Row],[Tn/Ha]],Tabla2[[#This Row],[Tn]],Tabla2[[#This Row],[Area_Cosecha]])</f>
        <v>11.409745101439201</v>
      </c>
      <c r="C343" s="99" t="s">
        <v>550</v>
      </c>
      <c r="D343" s="100" t="s">
        <v>551</v>
      </c>
      <c r="E343" s="100" t="s">
        <v>551</v>
      </c>
      <c r="F343" s="100" t="s">
        <v>223</v>
      </c>
      <c r="G343" s="100" t="s">
        <v>22</v>
      </c>
      <c r="H343" s="100" t="s">
        <v>41</v>
      </c>
      <c r="I343" s="100" t="s">
        <v>42</v>
      </c>
      <c r="J343" s="100" t="s">
        <v>8</v>
      </c>
      <c r="K343" s="100" t="s">
        <v>834</v>
      </c>
      <c r="L343" s="100">
        <v>2023</v>
      </c>
      <c r="M343" s="101" t="s">
        <v>61</v>
      </c>
      <c r="N343" s="101">
        <v>45254</v>
      </c>
      <c r="O343" s="100" t="s">
        <v>50</v>
      </c>
      <c r="P343" s="102">
        <v>347.04641350210898</v>
      </c>
      <c r="Q343" s="102">
        <v>19.329999999999998</v>
      </c>
      <c r="R343" s="103">
        <v>7.1099999999999897</v>
      </c>
      <c r="S343" s="103">
        <v>120.28</v>
      </c>
      <c r="T343" s="103">
        <v>10.54</v>
      </c>
      <c r="U343" s="103">
        <v>15.8138316557917</v>
      </c>
      <c r="V343" s="104">
        <v>14.328945590402</v>
      </c>
      <c r="W343" s="104">
        <v>855.18</v>
      </c>
      <c r="X343" s="98">
        <v>345509.18</v>
      </c>
      <c r="Y343" s="105">
        <v>45602</v>
      </c>
      <c r="Z343" s="106">
        <v>2024</v>
      </c>
      <c r="AA343" s="106">
        <v>11</v>
      </c>
      <c r="AB343" s="98">
        <v>13523.6725554</v>
      </c>
      <c r="AC343" s="98">
        <v>12253.8276899999</v>
      </c>
      <c r="AD343" s="107">
        <v>2467.5</v>
      </c>
      <c r="AE343" s="107">
        <v>135236.725554</v>
      </c>
      <c r="AF343" s="106" t="s">
        <v>551</v>
      </c>
      <c r="AG343" s="106" t="s">
        <v>66</v>
      </c>
    </row>
    <row r="344" spans="2:33" x14ac:dyDescent="0.2">
      <c r="B344" s="98">
        <f>CHOOSE(B$1,Tabla2[[#This Row],[Edad]]*12/365,Tabla2[[#This Row],[Tn/Ha]],Tabla2[[#This Row],[Tn]],Tabla2[[#This Row],[Area_Cosecha]])</f>
        <v>10.917304884401753</v>
      </c>
      <c r="C344" s="99" t="s">
        <v>550</v>
      </c>
      <c r="D344" s="100" t="s">
        <v>551</v>
      </c>
      <c r="E344" s="100" t="s">
        <v>551</v>
      </c>
      <c r="F344" s="100" t="s">
        <v>224</v>
      </c>
      <c r="G344" s="100" t="s">
        <v>22</v>
      </c>
      <c r="H344" s="100" t="s">
        <v>41</v>
      </c>
      <c r="I344" s="100" t="s">
        <v>42</v>
      </c>
      <c r="J344" s="100" t="s">
        <v>37</v>
      </c>
      <c r="K344" s="100" t="s">
        <v>835</v>
      </c>
      <c r="L344" s="100">
        <v>2023</v>
      </c>
      <c r="M344" s="101" t="s">
        <v>61</v>
      </c>
      <c r="N344" s="101">
        <v>45247</v>
      </c>
      <c r="O344" s="100" t="s">
        <v>50</v>
      </c>
      <c r="P344" s="102">
        <v>332.06802356722</v>
      </c>
      <c r="Q344" s="102">
        <v>18.670000000000002</v>
      </c>
      <c r="R344" s="103">
        <v>18.670000000000002</v>
      </c>
      <c r="S344" s="103">
        <v>139.36000000000001</v>
      </c>
      <c r="T344" s="103">
        <v>12.77</v>
      </c>
      <c r="U344" s="103">
        <v>14.7683632598016</v>
      </c>
      <c r="V344" s="104">
        <v>13.324146509364599</v>
      </c>
      <c r="W344" s="104">
        <v>2601.9079999999999</v>
      </c>
      <c r="X344" s="98">
        <v>723346.04</v>
      </c>
      <c r="Y344" s="105">
        <v>45586</v>
      </c>
      <c r="Z344" s="106">
        <v>2024</v>
      </c>
      <c r="AA344" s="106">
        <v>10</v>
      </c>
      <c r="AB344" s="98">
        <v>38425.9225125839</v>
      </c>
      <c r="AC344" s="98">
        <v>34668.203395887998</v>
      </c>
      <c r="AD344" s="107">
        <v>6199.71</v>
      </c>
      <c r="AE344" s="107">
        <v>384259.22512583999</v>
      </c>
      <c r="AF344" s="106" t="s">
        <v>551</v>
      </c>
      <c r="AG344" s="106" t="s">
        <v>66</v>
      </c>
    </row>
    <row r="345" spans="2:33" x14ac:dyDescent="0.2">
      <c r="B345" s="98">
        <f>CHOOSE(B$1,Tabla2[[#This Row],[Edad]]*12/365,Tabla2[[#This Row],[Tn/Ha]],Tabla2[[#This Row],[Tn]],Tabla2[[#This Row],[Area_Cosecha]])</f>
        <v>12.657534246575343</v>
      </c>
      <c r="C345" s="99" t="s">
        <v>550</v>
      </c>
      <c r="D345" s="100" t="s">
        <v>551</v>
      </c>
      <c r="E345" s="100" t="s">
        <v>551</v>
      </c>
      <c r="F345" s="100" t="s">
        <v>496</v>
      </c>
      <c r="G345" s="100" t="s">
        <v>22</v>
      </c>
      <c r="H345" s="100" t="s">
        <v>41</v>
      </c>
      <c r="I345" s="100" t="s">
        <v>43</v>
      </c>
      <c r="J345" s="100" t="s">
        <v>3</v>
      </c>
      <c r="K345" s="100" t="s">
        <v>567</v>
      </c>
      <c r="L345" s="100">
        <v>2022</v>
      </c>
      <c r="M345" s="101" t="s">
        <v>62</v>
      </c>
      <c r="N345" s="101">
        <v>44912</v>
      </c>
      <c r="O345" s="100" t="s">
        <v>50</v>
      </c>
      <c r="P345" s="102">
        <v>385</v>
      </c>
      <c r="Q345" s="102">
        <v>20.66</v>
      </c>
      <c r="R345" s="103">
        <v>0.72</v>
      </c>
      <c r="S345" s="103">
        <v>83.49</v>
      </c>
      <c r="T345" s="103">
        <v>6.6</v>
      </c>
      <c r="U345" s="103">
        <v>13.842000000000001</v>
      </c>
      <c r="V345" s="104">
        <v>12.371499999999999</v>
      </c>
      <c r="W345" s="104">
        <v>60.11</v>
      </c>
      <c r="X345" s="98">
        <v>50183.5</v>
      </c>
      <c r="Y345" s="105">
        <v>45297</v>
      </c>
      <c r="Z345" s="106">
        <v>2024</v>
      </c>
      <c r="AA345" s="106">
        <v>1</v>
      </c>
      <c r="AB345" s="98">
        <v>832.04262000000006</v>
      </c>
      <c r="AC345" s="98">
        <v>743.65086499999995</v>
      </c>
      <c r="AD345" s="107">
        <v>277.2</v>
      </c>
      <c r="AE345" s="107">
        <v>8320.4261999999999</v>
      </c>
      <c r="AF345" s="106" t="s">
        <v>551</v>
      </c>
      <c r="AG345" s="106" t="s">
        <v>66</v>
      </c>
    </row>
    <row r="346" spans="2:33" x14ac:dyDescent="0.2">
      <c r="B346" s="98">
        <f>CHOOSE(B$1,Tabla2[[#This Row],[Edad]]*12/365,Tabla2[[#This Row],[Tn/Ha]],Tabla2[[#This Row],[Tn]],Tabla2[[#This Row],[Area_Cosecha]])</f>
        <v>10.514198933258202</v>
      </c>
      <c r="C346" s="99" t="s">
        <v>550</v>
      </c>
      <c r="D346" s="100" t="s">
        <v>551</v>
      </c>
      <c r="E346" s="100" t="s">
        <v>551</v>
      </c>
      <c r="F346" s="100" t="s">
        <v>509</v>
      </c>
      <c r="G346" s="100" t="s">
        <v>22</v>
      </c>
      <c r="H346" s="100" t="s">
        <v>41</v>
      </c>
      <c r="I346" s="100" t="s">
        <v>43</v>
      </c>
      <c r="J346" s="100" t="s">
        <v>4</v>
      </c>
      <c r="K346" s="100" t="s">
        <v>836</v>
      </c>
      <c r="L346" s="100">
        <v>2023</v>
      </c>
      <c r="M346" s="101" t="s">
        <v>61</v>
      </c>
      <c r="N346" s="101">
        <v>45253</v>
      </c>
      <c r="O346" s="100" t="s">
        <v>50</v>
      </c>
      <c r="P346" s="102">
        <v>319.80688421993699</v>
      </c>
      <c r="Q346" s="102">
        <v>22.37</v>
      </c>
      <c r="R346" s="103">
        <v>22.369999999999902</v>
      </c>
      <c r="S346" s="103">
        <v>145.54</v>
      </c>
      <c r="T346" s="103">
        <v>13.84</v>
      </c>
      <c r="U346" s="103">
        <v>14.5921568720794</v>
      </c>
      <c r="V346" s="104">
        <v>13.142742523805399</v>
      </c>
      <c r="W346" s="104">
        <v>3255.77</v>
      </c>
      <c r="X346" s="98">
        <v>1144433.3899999999</v>
      </c>
      <c r="Y346" s="105">
        <v>45575</v>
      </c>
      <c r="Z346" s="106">
        <v>2024</v>
      </c>
      <c r="AA346" s="106">
        <v>10</v>
      </c>
      <c r="AB346" s="98">
        <v>47508.706579409998</v>
      </c>
      <c r="AC346" s="98">
        <v>42789.746826729999</v>
      </c>
      <c r="AD346" s="107">
        <v>7154.0799999999899</v>
      </c>
      <c r="AE346" s="107">
        <v>475087.0657941</v>
      </c>
      <c r="AF346" s="106" t="s">
        <v>551</v>
      </c>
      <c r="AG346" s="106" t="s">
        <v>66</v>
      </c>
    </row>
    <row r="347" spans="2:33" x14ac:dyDescent="0.2">
      <c r="B347" s="98">
        <f>CHOOSE(B$1,Tabla2[[#This Row],[Edad]]*12/365,Tabla2[[#This Row],[Tn/Ha]],Tabla2[[#This Row],[Tn]],Tabla2[[#This Row],[Area_Cosecha]])</f>
        <v>10.499018538713194</v>
      </c>
      <c r="C347" s="99" t="s">
        <v>550</v>
      </c>
      <c r="D347" s="100" t="s">
        <v>551</v>
      </c>
      <c r="E347" s="100" t="s">
        <v>551</v>
      </c>
      <c r="F347" s="100" t="s">
        <v>497</v>
      </c>
      <c r="G347" s="100" t="s">
        <v>22</v>
      </c>
      <c r="H347" s="100" t="s">
        <v>41</v>
      </c>
      <c r="I347" s="100" t="s">
        <v>43</v>
      </c>
      <c r="J347" s="100" t="s">
        <v>5</v>
      </c>
      <c r="K347" s="100" t="s">
        <v>837</v>
      </c>
      <c r="L347" s="100">
        <v>2023</v>
      </c>
      <c r="M347" s="101" t="s">
        <v>61</v>
      </c>
      <c r="N347" s="101">
        <v>45255</v>
      </c>
      <c r="O347" s="100" t="s">
        <v>50</v>
      </c>
      <c r="P347" s="102">
        <v>319.345147219193</v>
      </c>
      <c r="Q347" s="102">
        <v>18.34</v>
      </c>
      <c r="R347" s="103">
        <v>18.34</v>
      </c>
      <c r="S347" s="103">
        <v>131.85</v>
      </c>
      <c r="T347" s="103">
        <v>12.56</v>
      </c>
      <c r="U347" s="103">
        <v>14.935938389397901</v>
      </c>
      <c r="V347" s="104">
        <v>13.4858486822249</v>
      </c>
      <c r="W347" s="104">
        <v>2418.2199999999998</v>
      </c>
      <c r="X347" s="98">
        <v>638188.39</v>
      </c>
      <c r="Y347" s="105">
        <v>45576</v>
      </c>
      <c r="Z347" s="106">
        <v>2024</v>
      </c>
      <c r="AA347" s="106">
        <v>10</v>
      </c>
      <c r="AB347" s="98">
        <v>36118.384932009998</v>
      </c>
      <c r="AC347" s="98">
        <v>32611.749000330001</v>
      </c>
      <c r="AD347" s="107">
        <v>5856.78999999999</v>
      </c>
      <c r="AE347" s="107">
        <v>361183.84932009998</v>
      </c>
      <c r="AF347" s="106" t="s">
        <v>551</v>
      </c>
      <c r="AG347" s="106" t="s">
        <v>66</v>
      </c>
    </row>
    <row r="348" spans="2:33" x14ac:dyDescent="0.2">
      <c r="B348" s="98">
        <f>CHOOSE(B$1,Tabla2[[#This Row],[Edad]]*12/365,Tabla2[[#This Row],[Tn/Ha]],Tabla2[[#This Row],[Tn]],Tabla2[[#This Row],[Area_Cosecha]])</f>
        <v>10.462355793732888</v>
      </c>
      <c r="C348" s="99" t="s">
        <v>550</v>
      </c>
      <c r="D348" s="100" t="s">
        <v>551</v>
      </c>
      <c r="E348" s="100" t="s">
        <v>551</v>
      </c>
      <c r="F348" s="100" t="s">
        <v>528</v>
      </c>
      <c r="G348" s="100" t="s">
        <v>22</v>
      </c>
      <c r="H348" s="100" t="s">
        <v>41</v>
      </c>
      <c r="I348" s="100" t="s">
        <v>43</v>
      </c>
      <c r="J348" s="100" t="s">
        <v>6</v>
      </c>
      <c r="K348" s="100" t="s">
        <v>838</v>
      </c>
      <c r="L348" s="100">
        <v>2023</v>
      </c>
      <c r="M348" s="101" t="s">
        <v>61</v>
      </c>
      <c r="N348" s="101">
        <v>45257</v>
      </c>
      <c r="O348" s="100" t="s">
        <v>50</v>
      </c>
      <c r="P348" s="102">
        <v>318.229988726042</v>
      </c>
      <c r="Q348" s="102">
        <v>17.739999999999998</v>
      </c>
      <c r="R348" s="103">
        <v>17.739999999999998</v>
      </c>
      <c r="S348" s="103">
        <v>141.16</v>
      </c>
      <c r="T348" s="103">
        <v>13.49</v>
      </c>
      <c r="U348" s="103">
        <v>14.874580382243</v>
      </c>
      <c r="V348" s="104">
        <v>13.419609423462701</v>
      </c>
      <c r="W348" s="104">
        <v>2504.14</v>
      </c>
      <c r="X348" s="98">
        <v>501735.71</v>
      </c>
      <c r="Y348" s="105">
        <v>45579</v>
      </c>
      <c r="Z348" s="106">
        <v>2024</v>
      </c>
      <c r="AA348" s="106">
        <v>10</v>
      </c>
      <c r="AB348" s="98">
        <v>37248.031718389997</v>
      </c>
      <c r="AC348" s="98">
        <v>33604.580741669997</v>
      </c>
      <c r="AD348" s="107">
        <v>5645.4</v>
      </c>
      <c r="AE348" s="107">
        <v>372480.31718389899</v>
      </c>
      <c r="AF348" s="106" t="s">
        <v>551</v>
      </c>
      <c r="AG348" s="106" t="s">
        <v>66</v>
      </c>
    </row>
    <row r="349" spans="2:33" x14ac:dyDescent="0.2">
      <c r="B349" s="98">
        <f>CHOOSE(B$1,Tabla2[[#This Row],[Edad]]*12/365,Tabla2[[#This Row],[Tn/Ha]],Tabla2[[#This Row],[Tn]],Tabla2[[#This Row],[Area_Cosecha]])</f>
        <v>10.250383199565501</v>
      </c>
      <c r="C349" s="99" t="s">
        <v>550</v>
      </c>
      <c r="D349" s="100" t="s">
        <v>551</v>
      </c>
      <c r="E349" s="100" t="s">
        <v>551</v>
      </c>
      <c r="F349" s="100" t="s">
        <v>518</v>
      </c>
      <c r="G349" s="100" t="s">
        <v>22</v>
      </c>
      <c r="H349" s="100" t="s">
        <v>41</v>
      </c>
      <c r="I349" s="100" t="s">
        <v>43</v>
      </c>
      <c r="J349" s="100" t="s">
        <v>7</v>
      </c>
      <c r="K349" s="100" t="s">
        <v>870</v>
      </c>
      <c r="L349" s="100">
        <v>2023</v>
      </c>
      <c r="M349" s="101" t="s">
        <v>61</v>
      </c>
      <c r="N349" s="101">
        <v>45296</v>
      </c>
      <c r="O349" s="100" t="s">
        <v>50</v>
      </c>
      <c r="P349" s="102">
        <v>311.78248898678402</v>
      </c>
      <c r="Q349" s="102">
        <v>18.16</v>
      </c>
      <c r="R349" s="103">
        <v>18.16</v>
      </c>
      <c r="S349" s="103">
        <v>129.11000000000001</v>
      </c>
      <c r="T349" s="103">
        <v>12.6</v>
      </c>
      <c r="U349" s="103">
        <v>15.1585218554658</v>
      </c>
      <c r="V349" s="104">
        <v>13.682173068439701</v>
      </c>
      <c r="W349" s="104">
        <v>2344.5739999999901</v>
      </c>
      <c r="X349" s="98">
        <v>1011610.03</v>
      </c>
      <c r="Y349" s="105">
        <v>45609</v>
      </c>
      <c r="Z349" s="106">
        <v>2024</v>
      </c>
      <c r="AA349" s="106">
        <v>11</v>
      </c>
      <c r="AB349" s="98">
        <v>35540.276220756998</v>
      </c>
      <c r="AC349" s="98">
        <v>32078.867239764</v>
      </c>
      <c r="AD349" s="107">
        <v>5661.97</v>
      </c>
      <c r="AE349" s="107">
        <v>355402.76220756897</v>
      </c>
      <c r="AF349" s="106" t="s">
        <v>551</v>
      </c>
      <c r="AG349" s="106" t="s">
        <v>66</v>
      </c>
    </row>
    <row r="350" spans="2:33" x14ac:dyDescent="0.2">
      <c r="B350" s="98">
        <f>CHOOSE(B$1,Tabla2[[#This Row],[Edad]]*12/365,Tabla2[[#This Row],[Tn/Ha]],Tabla2[[#This Row],[Tn]],Tabla2[[#This Row],[Area_Cosecha]])</f>
        <v>10.492631578947353</v>
      </c>
      <c r="C350" s="99" t="s">
        <v>550</v>
      </c>
      <c r="D350" s="100" t="s">
        <v>551</v>
      </c>
      <c r="E350" s="100" t="s">
        <v>551</v>
      </c>
      <c r="F350" s="100" t="s">
        <v>530</v>
      </c>
      <c r="G350" s="100" t="s">
        <v>22</v>
      </c>
      <c r="H350" s="100" t="s">
        <v>41</v>
      </c>
      <c r="I350" s="100" t="s">
        <v>43</v>
      </c>
      <c r="J350" s="100" t="s">
        <v>8</v>
      </c>
      <c r="K350" s="100" t="s">
        <v>839</v>
      </c>
      <c r="L350" s="100">
        <v>2023</v>
      </c>
      <c r="M350" s="101" t="s">
        <v>61</v>
      </c>
      <c r="N350" s="101">
        <v>45258</v>
      </c>
      <c r="O350" s="100" t="s">
        <v>50</v>
      </c>
      <c r="P350" s="102">
        <v>319.15087719298202</v>
      </c>
      <c r="Q350" s="102">
        <v>19.95</v>
      </c>
      <c r="R350" s="103">
        <v>19.9499999999999</v>
      </c>
      <c r="S350" s="103">
        <v>118.16</v>
      </c>
      <c r="T350" s="103">
        <v>11.26</v>
      </c>
      <c r="U350" s="103">
        <v>15.471531158646</v>
      </c>
      <c r="V350" s="104">
        <v>13.9986257598864</v>
      </c>
      <c r="W350" s="104">
        <v>2357.2600000000002</v>
      </c>
      <c r="X350" s="98">
        <v>311244.09000000003</v>
      </c>
      <c r="Y350" s="105">
        <v>45586</v>
      </c>
      <c r="Z350" s="106">
        <v>2024</v>
      </c>
      <c r="AA350" s="106">
        <v>10</v>
      </c>
      <c r="AB350" s="98">
        <v>36470.421539030001</v>
      </c>
      <c r="AC350" s="98">
        <v>32998.40055875</v>
      </c>
      <c r="AD350" s="107">
        <v>6367.06</v>
      </c>
      <c r="AE350" s="107">
        <v>364704.21539030003</v>
      </c>
      <c r="AF350" s="106" t="s">
        <v>551</v>
      </c>
      <c r="AG350" s="106" t="s">
        <v>66</v>
      </c>
    </row>
    <row r="351" spans="2:33" x14ac:dyDescent="0.2">
      <c r="B351" s="98">
        <f>CHOOSE(B$1,Tabla2[[#This Row],[Edad]]*12/365,Tabla2[[#This Row],[Tn/Ha]],Tabla2[[#This Row],[Tn]],Tabla2[[#This Row],[Area_Cosecha]])</f>
        <v>10.479828702628767</v>
      </c>
      <c r="C351" s="99" t="s">
        <v>550</v>
      </c>
      <c r="D351" s="100" t="s">
        <v>551</v>
      </c>
      <c r="E351" s="100" t="s">
        <v>551</v>
      </c>
      <c r="F351" s="100" t="s">
        <v>494</v>
      </c>
      <c r="G351" s="100" t="s">
        <v>22</v>
      </c>
      <c r="H351" s="100" t="s">
        <v>41</v>
      </c>
      <c r="I351" s="100" t="s">
        <v>43</v>
      </c>
      <c r="J351" s="100" t="s">
        <v>37</v>
      </c>
      <c r="K351" s="100" t="s">
        <v>840</v>
      </c>
      <c r="L351" s="100">
        <v>2023</v>
      </c>
      <c r="M351" s="101" t="s">
        <v>61</v>
      </c>
      <c r="N351" s="101">
        <v>45258</v>
      </c>
      <c r="O351" s="100" t="s">
        <v>50</v>
      </c>
      <c r="P351" s="102">
        <v>318.761456371625</v>
      </c>
      <c r="Q351" s="102">
        <v>17.899999999999999</v>
      </c>
      <c r="R351" s="103">
        <v>15.93</v>
      </c>
      <c r="S351" s="103">
        <v>140.54</v>
      </c>
      <c r="T351" s="103">
        <v>13.41</v>
      </c>
      <c r="U351" s="103">
        <v>15.210587875175801</v>
      </c>
      <c r="V351" s="104">
        <v>13.7638793031315</v>
      </c>
      <c r="W351" s="104">
        <v>2238.83</v>
      </c>
      <c r="X351" s="98">
        <v>627791.5</v>
      </c>
      <c r="Y351" s="105">
        <v>45579</v>
      </c>
      <c r="Z351" s="106">
        <v>2024</v>
      </c>
      <c r="AA351" s="106">
        <v>10</v>
      </c>
      <c r="AB351" s="98">
        <v>34053.920452580001</v>
      </c>
      <c r="AC351" s="98">
        <v>30814.98590023</v>
      </c>
      <c r="AD351" s="107">
        <v>5077.87</v>
      </c>
      <c r="AE351" s="107">
        <v>340539.20452579902</v>
      </c>
      <c r="AF351" s="106" t="s">
        <v>551</v>
      </c>
      <c r="AG351" s="106" t="s">
        <v>66</v>
      </c>
    </row>
    <row r="352" spans="2:33" x14ac:dyDescent="0.2">
      <c r="B352" s="98">
        <f>CHOOSE(B$1,Tabla2[[#This Row],[Edad]]*12/365,Tabla2[[#This Row],[Tn/Ha]],Tabla2[[#This Row],[Tn]],Tabla2[[#This Row],[Area_Cosecha]])</f>
        <v>11.464126277727551</v>
      </c>
      <c r="C352" s="99" t="s">
        <v>550</v>
      </c>
      <c r="D352" s="100" t="s">
        <v>551</v>
      </c>
      <c r="E352" s="100" t="s">
        <v>551</v>
      </c>
      <c r="F352" s="100" t="s">
        <v>494</v>
      </c>
      <c r="G352" s="100" t="s">
        <v>22</v>
      </c>
      <c r="H352" s="100" t="s">
        <v>41</v>
      </c>
      <c r="I352" s="100" t="s">
        <v>43</v>
      </c>
      <c r="J352" s="100" t="s">
        <v>37</v>
      </c>
      <c r="K352" s="100" t="s">
        <v>840</v>
      </c>
      <c r="L352" s="100">
        <v>2023</v>
      </c>
      <c r="M352" s="101" t="s">
        <v>61</v>
      </c>
      <c r="N352" s="101">
        <v>45258</v>
      </c>
      <c r="O352" s="100" t="s">
        <v>50</v>
      </c>
      <c r="P352" s="102">
        <v>348.700507614213</v>
      </c>
      <c r="Q352" s="102">
        <v>17.899999999999999</v>
      </c>
      <c r="R352" s="103">
        <v>1.96999999999999</v>
      </c>
      <c r="S352" s="103">
        <v>143.13</v>
      </c>
      <c r="T352" s="103">
        <v>12.48</v>
      </c>
      <c r="U352" s="103">
        <v>15.759172932330801</v>
      </c>
      <c r="V352" s="104">
        <v>14.2866578947368</v>
      </c>
      <c r="W352" s="104">
        <v>281.95999999999998</v>
      </c>
      <c r="X352" s="98">
        <v>201507.61</v>
      </c>
      <c r="Y352" s="105">
        <v>45607</v>
      </c>
      <c r="Z352" s="106">
        <v>2024</v>
      </c>
      <c r="AA352" s="106">
        <v>11</v>
      </c>
      <c r="AB352" s="98">
        <v>4443.4564</v>
      </c>
      <c r="AC352" s="98">
        <v>4028.2660599999999</v>
      </c>
      <c r="AD352" s="107">
        <v>686.93999999999903</v>
      </c>
      <c r="AE352" s="107">
        <v>44434.563999999998</v>
      </c>
      <c r="AF352" s="106" t="s">
        <v>551</v>
      </c>
      <c r="AG352" s="106" t="s">
        <v>66</v>
      </c>
    </row>
    <row r="353" spans="2:33" x14ac:dyDescent="0.2">
      <c r="B353" s="98">
        <f>CHOOSE(B$1,Tabla2[[#This Row],[Edad]]*12/365,Tabla2[[#This Row],[Tn/Ha]],Tabla2[[#This Row],[Tn]],Tabla2[[#This Row],[Area_Cosecha]])</f>
        <v>10.537775171899137</v>
      </c>
      <c r="C353" s="99" t="s">
        <v>550</v>
      </c>
      <c r="D353" s="100" t="s">
        <v>551</v>
      </c>
      <c r="E353" s="100" t="s">
        <v>551</v>
      </c>
      <c r="F353" s="100" t="s">
        <v>487</v>
      </c>
      <c r="G353" s="100" t="s">
        <v>22</v>
      </c>
      <c r="H353" s="100" t="s">
        <v>41</v>
      </c>
      <c r="I353" s="100" t="s">
        <v>44</v>
      </c>
      <c r="J353" s="100" t="s">
        <v>4</v>
      </c>
      <c r="K353" s="100" t="s">
        <v>871</v>
      </c>
      <c r="L353" s="100">
        <v>2023</v>
      </c>
      <c r="M353" s="101" t="s">
        <v>61</v>
      </c>
      <c r="N353" s="101">
        <v>45286</v>
      </c>
      <c r="O353" s="100" t="s">
        <v>50</v>
      </c>
      <c r="P353" s="102">
        <v>320.52399481193203</v>
      </c>
      <c r="Q353" s="102">
        <v>15.42</v>
      </c>
      <c r="R353" s="103">
        <v>15.4199999999999</v>
      </c>
      <c r="S353" s="103">
        <v>135.22</v>
      </c>
      <c r="T353" s="103">
        <v>12.83</v>
      </c>
      <c r="U353" s="103">
        <v>15.3206929202547</v>
      </c>
      <c r="V353" s="104">
        <v>13.8501071923036</v>
      </c>
      <c r="W353" s="104">
        <v>2085.14</v>
      </c>
      <c r="X353" s="98">
        <v>473334.9</v>
      </c>
      <c r="Y353" s="105">
        <v>45611</v>
      </c>
      <c r="Z353" s="106">
        <v>2024</v>
      </c>
      <c r="AA353" s="106">
        <v>11</v>
      </c>
      <c r="AB353" s="98">
        <v>31945.789635739999</v>
      </c>
      <c r="AC353" s="98">
        <v>28879.412510959999</v>
      </c>
      <c r="AD353" s="107">
        <v>4942.4799999999996</v>
      </c>
      <c r="AE353" s="107">
        <v>319457.89635739999</v>
      </c>
      <c r="AF353" s="106" t="s">
        <v>551</v>
      </c>
      <c r="AG353" s="106" t="s">
        <v>66</v>
      </c>
    </row>
    <row r="354" spans="2:33" x14ac:dyDescent="0.2">
      <c r="B354" s="98">
        <f>CHOOSE(B$1,Tabla2[[#This Row],[Edad]]*12/365,Tabla2[[#This Row],[Tn/Ha]],Tabla2[[#This Row],[Tn]],Tabla2[[#This Row],[Area_Cosecha]])</f>
        <v>10.458148801617666</v>
      </c>
      <c r="C354" s="99" t="s">
        <v>550</v>
      </c>
      <c r="D354" s="100" t="s">
        <v>551</v>
      </c>
      <c r="E354" s="100" t="s">
        <v>551</v>
      </c>
      <c r="F354" s="100" t="s">
        <v>491</v>
      </c>
      <c r="G354" s="100" t="s">
        <v>22</v>
      </c>
      <c r="H354" s="100" t="s">
        <v>41</v>
      </c>
      <c r="I354" s="100" t="s">
        <v>44</v>
      </c>
      <c r="J354" s="100" t="s">
        <v>5</v>
      </c>
      <c r="K354" s="100" t="s">
        <v>872</v>
      </c>
      <c r="L354" s="100">
        <v>2023</v>
      </c>
      <c r="M354" s="101" t="s">
        <v>61</v>
      </c>
      <c r="N354" s="101">
        <v>45288</v>
      </c>
      <c r="O354" s="100" t="s">
        <v>50</v>
      </c>
      <c r="P354" s="102">
        <v>318.10202604920403</v>
      </c>
      <c r="Q354" s="102">
        <v>13.82</v>
      </c>
      <c r="R354" s="103">
        <v>13.82</v>
      </c>
      <c r="S354" s="103">
        <v>123.45</v>
      </c>
      <c r="T354" s="103">
        <v>11.8</v>
      </c>
      <c r="U354" s="103">
        <v>15.434435855964701</v>
      </c>
      <c r="V354" s="104">
        <v>13.987299063788299</v>
      </c>
      <c r="W354" s="104">
        <v>1706.11</v>
      </c>
      <c r="X354" s="98">
        <v>698145.14</v>
      </c>
      <c r="Y354" s="105">
        <v>45607</v>
      </c>
      <c r="Z354" s="106">
        <v>2024</v>
      </c>
      <c r="AA354" s="106">
        <v>11</v>
      </c>
      <c r="AB354" s="98">
        <v>26332.8453582199</v>
      </c>
      <c r="AC354" s="98">
        <v>23863.870805719998</v>
      </c>
      <c r="AD354" s="107">
        <v>4396.17</v>
      </c>
      <c r="AE354" s="107">
        <v>263328.45358219999</v>
      </c>
      <c r="AF354" s="106" t="s">
        <v>551</v>
      </c>
      <c r="AG354" s="106" t="s">
        <v>66</v>
      </c>
    </row>
    <row r="355" spans="2:33" x14ac:dyDescent="0.2">
      <c r="B355" s="98">
        <f>CHOOSE(B$1,Tabla2[[#This Row],[Edad]]*12/365,Tabla2[[#This Row],[Tn/Ha]],Tabla2[[#This Row],[Tn]],Tabla2[[#This Row],[Area_Cosecha]])</f>
        <v>10.245782070586488</v>
      </c>
      <c r="C355" s="99" t="s">
        <v>550</v>
      </c>
      <c r="D355" s="100" t="s">
        <v>551</v>
      </c>
      <c r="E355" s="100" t="s">
        <v>551</v>
      </c>
      <c r="F355" s="100" t="s">
        <v>525</v>
      </c>
      <c r="G355" s="100" t="s">
        <v>22</v>
      </c>
      <c r="H355" s="100" t="s">
        <v>41</v>
      </c>
      <c r="I355" s="100" t="s">
        <v>44</v>
      </c>
      <c r="J355" s="100" t="s">
        <v>6</v>
      </c>
      <c r="K355" s="100" t="s">
        <v>873</v>
      </c>
      <c r="L355" s="100">
        <v>2023</v>
      </c>
      <c r="M355" s="101" t="s">
        <v>61</v>
      </c>
      <c r="N355" s="101">
        <v>45295</v>
      </c>
      <c r="O355" s="100" t="s">
        <v>50</v>
      </c>
      <c r="P355" s="102">
        <v>311.642537980339</v>
      </c>
      <c r="Q355" s="102">
        <v>11.19</v>
      </c>
      <c r="R355" s="103">
        <v>11.19</v>
      </c>
      <c r="S355" s="103">
        <v>121.97</v>
      </c>
      <c r="T355" s="103">
        <v>11.9</v>
      </c>
      <c r="U355" s="103">
        <v>15.3748360118491</v>
      </c>
      <c r="V355" s="104">
        <v>13.919478003814399</v>
      </c>
      <c r="W355" s="104">
        <v>1364.8229999999901</v>
      </c>
      <c r="X355" s="98">
        <v>412954.14</v>
      </c>
      <c r="Y355" s="105">
        <v>45608</v>
      </c>
      <c r="Z355" s="106">
        <v>2024</v>
      </c>
      <c r="AA355" s="106">
        <v>11</v>
      </c>
      <c r="AB355" s="98">
        <v>20983.929810199999</v>
      </c>
      <c r="AC355" s="98">
        <v>18997.623727599999</v>
      </c>
      <c r="AD355" s="107">
        <v>3487.28</v>
      </c>
      <c r="AE355" s="107">
        <v>209839.298102</v>
      </c>
      <c r="AF355" s="106" t="s">
        <v>551</v>
      </c>
      <c r="AG355" s="106" t="s">
        <v>66</v>
      </c>
    </row>
    <row r="356" spans="2:33" x14ac:dyDescent="0.2">
      <c r="B356" s="98">
        <f>CHOOSE(B$1,Tabla2[[#This Row],[Edad]]*12/365,Tabla2[[#This Row],[Tn/Ha]],Tabla2[[#This Row],[Tn]],Tabla2[[#This Row],[Area_Cosecha]])</f>
        <v>11.095473844428396</v>
      </c>
      <c r="C356" s="99" t="s">
        <v>550</v>
      </c>
      <c r="D356" s="100" t="s">
        <v>551</v>
      </c>
      <c r="E356" s="100" t="s">
        <v>551</v>
      </c>
      <c r="F356" s="100" t="s">
        <v>225</v>
      </c>
      <c r="G356" s="100" t="s">
        <v>22</v>
      </c>
      <c r="H356" s="100" t="s">
        <v>41</v>
      </c>
      <c r="I356" s="100" t="s">
        <v>44</v>
      </c>
      <c r="J356" s="100" t="s">
        <v>7</v>
      </c>
      <c r="K356" s="100" t="s">
        <v>736</v>
      </c>
      <c r="L356" s="100">
        <v>2023</v>
      </c>
      <c r="M356" s="101" t="s">
        <v>61</v>
      </c>
      <c r="N356" s="101">
        <v>45143</v>
      </c>
      <c r="O356" s="100" t="s">
        <v>50</v>
      </c>
      <c r="P356" s="102">
        <v>337.48732943469702</v>
      </c>
      <c r="Q356" s="102">
        <v>15.39</v>
      </c>
      <c r="R356" s="103">
        <v>15.39</v>
      </c>
      <c r="S356" s="103">
        <v>128.16</v>
      </c>
      <c r="T356" s="103">
        <v>11.55</v>
      </c>
      <c r="U356" s="103">
        <v>15.0518965575486</v>
      </c>
      <c r="V356" s="104">
        <v>13.524863450239</v>
      </c>
      <c r="W356" s="104">
        <v>1972.33</v>
      </c>
      <c r="X356" s="98">
        <v>845915.96</v>
      </c>
      <c r="Y356" s="105">
        <v>45482</v>
      </c>
      <c r="Z356" s="106">
        <v>2024</v>
      </c>
      <c r="AA356" s="106">
        <v>7</v>
      </c>
      <c r="AB356" s="98">
        <v>29687.307137349999</v>
      </c>
      <c r="AC356" s="98">
        <v>26675.493928809901</v>
      </c>
      <c r="AD356" s="107">
        <v>5193.93</v>
      </c>
      <c r="AE356" s="107">
        <v>296873.07137349999</v>
      </c>
      <c r="AF356" s="106" t="s">
        <v>551</v>
      </c>
      <c r="AG356" s="106" t="s">
        <v>66</v>
      </c>
    </row>
    <row r="357" spans="2:33" x14ac:dyDescent="0.2">
      <c r="B357" s="98">
        <f>CHOOSE(B$1,Tabla2[[#This Row],[Edad]]*12/365,Tabla2[[#This Row],[Tn/Ha]],Tabla2[[#This Row],[Tn]],Tabla2[[#This Row],[Area_Cosecha]])</f>
        <v>11.164124149588702</v>
      </c>
      <c r="C357" s="99" t="s">
        <v>550</v>
      </c>
      <c r="D357" s="100" t="s">
        <v>551</v>
      </c>
      <c r="E357" s="100" t="s">
        <v>551</v>
      </c>
      <c r="F357" s="100" t="s">
        <v>226</v>
      </c>
      <c r="G357" s="100" t="s">
        <v>22</v>
      </c>
      <c r="H357" s="100" t="s">
        <v>41</v>
      </c>
      <c r="I357" s="100" t="s">
        <v>44</v>
      </c>
      <c r="J357" s="100" t="s">
        <v>8</v>
      </c>
      <c r="K357" s="100" t="s">
        <v>737</v>
      </c>
      <c r="L357" s="100">
        <v>2023</v>
      </c>
      <c r="M357" s="101" t="s">
        <v>61</v>
      </c>
      <c r="N357" s="101">
        <v>45141</v>
      </c>
      <c r="O357" s="100" t="s">
        <v>50</v>
      </c>
      <c r="P357" s="102">
        <v>339.57544288332298</v>
      </c>
      <c r="Q357" s="102">
        <v>16.37</v>
      </c>
      <c r="R357" s="103">
        <v>16.369999999999902</v>
      </c>
      <c r="S357" s="103">
        <v>119.37</v>
      </c>
      <c r="T357" s="103">
        <v>10.69</v>
      </c>
      <c r="U357" s="103">
        <v>14.5075242523182</v>
      </c>
      <c r="V357" s="104">
        <v>13.006177003715299</v>
      </c>
      <c r="W357" s="104">
        <v>1954.04</v>
      </c>
      <c r="X357" s="98">
        <v>769252.06</v>
      </c>
      <c r="Y357" s="105">
        <v>45482</v>
      </c>
      <c r="Z357" s="106">
        <v>2024</v>
      </c>
      <c r="AA357" s="106">
        <v>7</v>
      </c>
      <c r="AB357" s="98">
        <v>28348.28269</v>
      </c>
      <c r="AC357" s="98">
        <v>25414.59011234</v>
      </c>
      <c r="AD357" s="107">
        <v>5558.8499999999904</v>
      </c>
      <c r="AE357" s="107">
        <v>283482.82689999999</v>
      </c>
      <c r="AF357" s="106" t="s">
        <v>551</v>
      </c>
      <c r="AG357" s="106" t="s">
        <v>66</v>
      </c>
    </row>
    <row r="358" spans="2:33" x14ac:dyDescent="0.2">
      <c r="B358" s="98">
        <f>CHOOSE(B$1,Tabla2[[#This Row],[Edad]]*12/365,Tabla2[[#This Row],[Tn/Ha]],Tabla2[[#This Row],[Tn]],Tabla2[[#This Row],[Area_Cosecha]])</f>
        <v>12.049911173602981</v>
      </c>
      <c r="C358" s="99" t="s">
        <v>550</v>
      </c>
      <c r="D358" s="100" t="s">
        <v>551</v>
      </c>
      <c r="E358" s="100" t="s">
        <v>551</v>
      </c>
      <c r="F358" s="100" t="s">
        <v>404</v>
      </c>
      <c r="G358" s="100" t="s">
        <v>22</v>
      </c>
      <c r="H358" s="100" t="s">
        <v>32</v>
      </c>
      <c r="I358" s="100" t="s">
        <v>33</v>
      </c>
      <c r="J358" s="100" t="s">
        <v>6</v>
      </c>
      <c r="K358" s="100" t="s">
        <v>590</v>
      </c>
      <c r="L358" s="100">
        <v>2022</v>
      </c>
      <c r="M358" s="101" t="s">
        <v>315</v>
      </c>
      <c r="N358" s="101">
        <v>44946</v>
      </c>
      <c r="O358" s="100" t="s">
        <v>50</v>
      </c>
      <c r="P358" s="102">
        <v>366.518131530424</v>
      </c>
      <c r="Q358" s="102">
        <v>16.27</v>
      </c>
      <c r="R358" s="103">
        <v>16.27</v>
      </c>
      <c r="S358" s="103">
        <v>126.46</v>
      </c>
      <c r="T358" s="103">
        <v>10.49</v>
      </c>
      <c r="U358" s="103">
        <v>14.2265078883526</v>
      </c>
      <c r="V358" s="104">
        <v>12.763734723015199</v>
      </c>
      <c r="W358" s="104">
        <v>2057.5500000000002</v>
      </c>
      <c r="X358" s="98">
        <v>649607.84</v>
      </c>
      <c r="Y358" s="105">
        <v>45314</v>
      </c>
      <c r="Z358" s="106">
        <v>2024</v>
      </c>
      <c r="AA358" s="106">
        <v>1</v>
      </c>
      <c r="AB358" s="98">
        <v>29271.7513056799</v>
      </c>
      <c r="AC358" s="98">
        <v>26262.02237934</v>
      </c>
      <c r="AD358" s="107">
        <v>5963.25</v>
      </c>
      <c r="AE358" s="107">
        <v>292717.5130568</v>
      </c>
      <c r="AF358" s="106" t="s">
        <v>551</v>
      </c>
      <c r="AG358" s="106" t="s">
        <v>66</v>
      </c>
    </row>
    <row r="359" spans="2:33" x14ac:dyDescent="0.2">
      <c r="B359" s="98">
        <f>CHOOSE(B$1,Tabla2[[#This Row],[Edad]]*12/365,Tabla2[[#This Row],[Tn/Ha]],Tabla2[[#This Row],[Tn]],Tabla2[[#This Row],[Area_Cosecha]])</f>
        <v>12.163118312341938</v>
      </c>
      <c r="C359" s="99" t="s">
        <v>550</v>
      </c>
      <c r="D359" s="100" t="s">
        <v>551</v>
      </c>
      <c r="E359" s="100" t="s">
        <v>551</v>
      </c>
      <c r="F359" s="100" t="s">
        <v>397</v>
      </c>
      <c r="G359" s="100" t="s">
        <v>22</v>
      </c>
      <c r="H359" s="100" t="s">
        <v>32</v>
      </c>
      <c r="I359" s="100" t="s">
        <v>33</v>
      </c>
      <c r="J359" s="100" t="s">
        <v>7</v>
      </c>
      <c r="K359" s="100" t="s">
        <v>591</v>
      </c>
      <c r="L359" s="100">
        <v>2022</v>
      </c>
      <c r="M359" s="101" t="s">
        <v>315</v>
      </c>
      <c r="N359" s="101">
        <v>44944</v>
      </c>
      <c r="O359" s="100" t="s">
        <v>50</v>
      </c>
      <c r="P359" s="102">
        <v>369.96151533373398</v>
      </c>
      <c r="Q359" s="102">
        <v>16.63</v>
      </c>
      <c r="R359" s="103">
        <v>16.63</v>
      </c>
      <c r="S359" s="103">
        <v>112.34</v>
      </c>
      <c r="T359" s="103">
        <v>9.24</v>
      </c>
      <c r="U359" s="103">
        <v>14.1974192333697</v>
      </c>
      <c r="V359" s="104">
        <v>12.723591258226801</v>
      </c>
      <c r="W359" s="104">
        <v>1868.28</v>
      </c>
      <c r="X359" s="98">
        <v>703787.33</v>
      </c>
      <c r="Y359" s="105">
        <v>45315</v>
      </c>
      <c r="Z359" s="106">
        <v>2024</v>
      </c>
      <c r="AA359" s="106">
        <v>1</v>
      </c>
      <c r="AB359" s="98">
        <v>26524.75440532</v>
      </c>
      <c r="AC359" s="98">
        <v>23771.231075919899</v>
      </c>
      <c r="AD359" s="107">
        <v>6152.45999999999</v>
      </c>
      <c r="AE359" s="107">
        <v>265247.54405319999</v>
      </c>
      <c r="AF359" s="106" t="s">
        <v>551</v>
      </c>
      <c r="AG359" s="106" t="s">
        <v>66</v>
      </c>
    </row>
    <row r="360" spans="2:33" x14ac:dyDescent="0.2">
      <c r="B360" s="98">
        <f>CHOOSE(B$1,Tabla2[[#This Row],[Edad]]*12/365,Tabla2[[#This Row],[Tn/Ha]],Tabla2[[#This Row],[Tn]],Tabla2[[#This Row],[Area_Cosecha]])</f>
        <v>12.000631839442553</v>
      </c>
      <c r="C360" s="99" t="s">
        <v>550</v>
      </c>
      <c r="D360" s="100" t="s">
        <v>551</v>
      </c>
      <c r="E360" s="100" t="s">
        <v>551</v>
      </c>
      <c r="F360" s="100" t="s">
        <v>430</v>
      </c>
      <c r="G360" s="100" t="s">
        <v>22</v>
      </c>
      <c r="H360" s="100" t="s">
        <v>32</v>
      </c>
      <c r="I360" s="100" t="s">
        <v>33</v>
      </c>
      <c r="J360" s="100" t="s">
        <v>8</v>
      </c>
      <c r="K360" s="100" t="s">
        <v>592</v>
      </c>
      <c r="L360" s="100">
        <v>2022</v>
      </c>
      <c r="M360" s="101" t="s">
        <v>315</v>
      </c>
      <c r="N360" s="101">
        <v>44948</v>
      </c>
      <c r="O360" s="100" t="s">
        <v>50</v>
      </c>
      <c r="P360" s="102">
        <v>365.01921844971099</v>
      </c>
      <c r="Q360" s="102">
        <v>15.61</v>
      </c>
      <c r="R360" s="103">
        <v>15.61</v>
      </c>
      <c r="S360" s="103">
        <v>123.22</v>
      </c>
      <c r="T360" s="103">
        <v>10.27</v>
      </c>
      <c r="U360" s="103">
        <v>14.457641536438</v>
      </c>
      <c r="V360" s="104">
        <v>13.0009373363694</v>
      </c>
      <c r="W360" s="104">
        <v>1923.54</v>
      </c>
      <c r="X360" s="98">
        <v>810591.56</v>
      </c>
      <c r="Y360" s="105">
        <v>45314</v>
      </c>
      <c r="Z360" s="106">
        <v>2024</v>
      </c>
      <c r="AA360" s="106">
        <v>1</v>
      </c>
      <c r="AB360" s="98">
        <v>27809.851800999899</v>
      </c>
      <c r="AC360" s="98">
        <v>25007.8230039999</v>
      </c>
      <c r="AD360" s="107">
        <v>5697.95</v>
      </c>
      <c r="AE360" s="107">
        <v>278098.51801</v>
      </c>
      <c r="AF360" s="106" t="s">
        <v>551</v>
      </c>
      <c r="AG360" s="106" t="s">
        <v>66</v>
      </c>
    </row>
    <row r="361" spans="2:33" x14ac:dyDescent="0.2">
      <c r="B361" s="98">
        <f>CHOOSE(B$1,Tabla2[[#This Row],[Edad]]*12/365,Tabla2[[#This Row],[Tn/Ha]],Tabla2[[#This Row],[Tn]],Tabla2[[#This Row],[Area_Cosecha]])</f>
        <v>10.33106634434594</v>
      </c>
      <c r="C361" s="99" t="s">
        <v>550</v>
      </c>
      <c r="D361" s="100" t="s">
        <v>551</v>
      </c>
      <c r="E361" s="100" t="s">
        <v>551</v>
      </c>
      <c r="F361" s="100" t="s">
        <v>532</v>
      </c>
      <c r="G361" s="100" t="s">
        <v>22</v>
      </c>
      <c r="H361" s="100" t="s">
        <v>32</v>
      </c>
      <c r="I361" s="100" t="s">
        <v>34</v>
      </c>
      <c r="J361" s="100" t="s">
        <v>3</v>
      </c>
      <c r="K361" s="100" t="s">
        <v>874</v>
      </c>
      <c r="L361" s="100">
        <v>2023</v>
      </c>
      <c r="M361" s="101" t="s">
        <v>351</v>
      </c>
      <c r="N361" s="101">
        <v>45295</v>
      </c>
      <c r="O361" s="100" t="s">
        <v>50</v>
      </c>
      <c r="P361" s="102">
        <v>314.23660130718901</v>
      </c>
      <c r="Q361" s="102">
        <v>15.3</v>
      </c>
      <c r="R361" s="103">
        <v>15.3</v>
      </c>
      <c r="S361" s="103">
        <v>145.05000000000001</v>
      </c>
      <c r="T361" s="103">
        <v>14.04</v>
      </c>
      <c r="U361" s="103">
        <v>15.5012472238018</v>
      </c>
      <c r="V361" s="104">
        <v>14.056889125685201</v>
      </c>
      <c r="W361" s="104">
        <v>2219.2579999999998</v>
      </c>
      <c r="X361" s="98">
        <v>809527.99</v>
      </c>
      <c r="Y361" s="105">
        <v>45611</v>
      </c>
      <c r="Z361" s="106">
        <v>2024</v>
      </c>
      <c r="AA361" s="106">
        <v>11</v>
      </c>
      <c r="AB361" s="98">
        <v>34401.266911400002</v>
      </c>
      <c r="AC361" s="98">
        <v>31195.86364729</v>
      </c>
      <c r="AD361" s="107">
        <v>4807.82</v>
      </c>
      <c r="AE361" s="107">
        <v>344012.66911399999</v>
      </c>
      <c r="AF361" s="106" t="s">
        <v>551</v>
      </c>
      <c r="AG361" s="106" t="s">
        <v>66</v>
      </c>
    </row>
    <row r="362" spans="2:33" x14ac:dyDescent="0.2">
      <c r="B362" s="98">
        <f>CHOOSE(B$1,Tabla2[[#This Row],[Edad]]*12/365,Tabla2[[#This Row],[Tn/Ha]],Tabla2[[#This Row],[Tn]],Tabla2[[#This Row],[Area_Cosecha]])</f>
        <v>10.448006542629305</v>
      </c>
      <c r="C362" s="99" t="s">
        <v>550</v>
      </c>
      <c r="D362" s="100" t="s">
        <v>551</v>
      </c>
      <c r="E362" s="100" t="s">
        <v>551</v>
      </c>
      <c r="F362" s="100" t="s">
        <v>504</v>
      </c>
      <c r="G362" s="100" t="s">
        <v>22</v>
      </c>
      <c r="H362" s="100" t="s">
        <v>32</v>
      </c>
      <c r="I362" s="100" t="s">
        <v>34</v>
      </c>
      <c r="J362" s="100" t="s">
        <v>4</v>
      </c>
      <c r="K362" s="100" t="s">
        <v>875</v>
      </c>
      <c r="L362" s="100">
        <v>2023</v>
      </c>
      <c r="M362" s="101" t="s">
        <v>351</v>
      </c>
      <c r="N362" s="101">
        <v>45292</v>
      </c>
      <c r="O362" s="100" t="s">
        <v>50</v>
      </c>
      <c r="P362" s="102">
        <v>317.79353233830801</v>
      </c>
      <c r="Q362" s="102">
        <v>12.06</v>
      </c>
      <c r="R362" s="103">
        <v>12.059999999999899</v>
      </c>
      <c r="S362" s="103">
        <v>156.25</v>
      </c>
      <c r="T362" s="103">
        <v>14.95</v>
      </c>
      <c r="U362" s="103">
        <v>15.6343710905211</v>
      </c>
      <c r="V362" s="104">
        <v>14.142083049817</v>
      </c>
      <c r="W362" s="104">
        <v>1884.355</v>
      </c>
      <c r="X362" s="98">
        <v>732910.62</v>
      </c>
      <c r="Y362" s="105">
        <v>45612</v>
      </c>
      <c r="Z362" s="106">
        <v>2024</v>
      </c>
      <c r="AA362" s="106">
        <v>11</v>
      </c>
      <c r="AB362" s="98">
        <v>29460.705336278999</v>
      </c>
      <c r="AC362" s="98">
        <v>26648.704905338</v>
      </c>
      <c r="AD362" s="107">
        <v>3832.5899999999901</v>
      </c>
      <c r="AE362" s="107">
        <v>294607.05336278997</v>
      </c>
      <c r="AF362" s="106" t="s">
        <v>551</v>
      </c>
      <c r="AG362" s="106" t="s">
        <v>66</v>
      </c>
    </row>
    <row r="363" spans="2:33" x14ac:dyDescent="0.2">
      <c r="B363" s="98">
        <f>CHOOSE(B$1,Tabla2[[#This Row],[Edad]]*12/365,Tabla2[[#This Row],[Tn/Ha]],Tabla2[[#This Row],[Tn]],Tabla2[[#This Row],[Area_Cosecha]])</f>
        <v>10.483411205654566</v>
      </c>
      <c r="C363" s="99" t="s">
        <v>550</v>
      </c>
      <c r="D363" s="100" t="s">
        <v>551</v>
      </c>
      <c r="E363" s="100" t="s">
        <v>551</v>
      </c>
      <c r="F363" s="100" t="s">
        <v>508</v>
      </c>
      <c r="G363" s="100" t="s">
        <v>22</v>
      </c>
      <c r="H363" s="100" t="s">
        <v>32</v>
      </c>
      <c r="I363" s="100" t="s">
        <v>34</v>
      </c>
      <c r="J363" s="100" t="s">
        <v>5</v>
      </c>
      <c r="K363" s="100" t="s">
        <v>876</v>
      </c>
      <c r="L363" s="100">
        <v>2023</v>
      </c>
      <c r="M363" s="101" t="s">
        <v>351</v>
      </c>
      <c r="N363" s="101">
        <v>45292</v>
      </c>
      <c r="O363" s="100" t="s">
        <v>50</v>
      </c>
      <c r="P363" s="102">
        <v>318.87042417199302</v>
      </c>
      <c r="Q363" s="102">
        <v>17.21</v>
      </c>
      <c r="R363" s="103">
        <v>17.21</v>
      </c>
      <c r="S363" s="103">
        <v>130.61000000000001</v>
      </c>
      <c r="T363" s="103">
        <v>12.46</v>
      </c>
      <c r="U363" s="103">
        <v>15.7489214712971</v>
      </c>
      <c r="V363" s="104">
        <v>14.253532788758999</v>
      </c>
      <c r="W363" s="104">
        <v>2247.86</v>
      </c>
      <c r="X363" s="98">
        <v>735533.92</v>
      </c>
      <c r="Y363" s="105">
        <v>45612</v>
      </c>
      <c r="Z363" s="106">
        <v>2024</v>
      </c>
      <c r="AA363" s="106">
        <v>11</v>
      </c>
      <c r="AB363" s="98">
        <v>35401.370618469999</v>
      </c>
      <c r="AC363" s="98">
        <v>32039.946214539999</v>
      </c>
      <c r="AD363" s="107">
        <v>5487.76</v>
      </c>
      <c r="AE363" s="107">
        <v>354013.70618469903</v>
      </c>
      <c r="AF363" s="106" t="s">
        <v>551</v>
      </c>
      <c r="AG363" s="106" t="s">
        <v>66</v>
      </c>
    </row>
    <row r="364" spans="2:33" x14ac:dyDescent="0.2">
      <c r="B364" s="98">
        <f>CHOOSE(B$1,Tabla2[[#This Row],[Edad]]*12/365,Tabla2[[#This Row],[Tn/Ha]],Tabla2[[#This Row],[Tn]],Tabla2[[#This Row],[Area_Cosecha]])</f>
        <v>14.464166673385611</v>
      </c>
      <c r="C364" s="99" t="s">
        <v>550</v>
      </c>
      <c r="D364" s="100" t="s">
        <v>551</v>
      </c>
      <c r="E364" s="100" t="s">
        <v>551</v>
      </c>
      <c r="F364" s="100" t="s">
        <v>227</v>
      </c>
      <c r="G364" s="100" t="s">
        <v>22</v>
      </c>
      <c r="H364" s="100" t="s">
        <v>32</v>
      </c>
      <c r="I364" s="100" t="s">
        <v>34</v>
      </c>
      <c r="J364" s="100" t="s">
        <v>6</v>
      </c>
      <c r="K364" s="100" t="s">
        <v>645</v>
      </c>
      <c r="L364" s="100">
        <v>2022</v>
      </c>
      <c r="M364" s="101" t="s">
        <v>315</v>
      </c>
      <c r="N364" s="101">
        <v>44952</v>
      </c>
      <c r="O364" s="100" t="s">
        <v>50</v>
      </c>
      <c r="P364" s="102">
        <v>439.95173631547902</v>
      </c>
      <c r="Q364" s="102">
        <v>16.989999999999998</v>
      </c>
      <c r="R364" s="103">
        <v>16.989999999999998</v>
      </c>
      <c r="S364" s="103">
        <v>135.05000000000001</v>
      </c>
      <c r="T364" s="103">
        <v>9.34</v>
      </c>
      <c r="U364" s="103">
        <v>14.9913285419973</v>
      </c>
      <c r="V364" s="104">
        <v>13.483972389027</v>
      </c>
      <c r="W364" s="104">
        <v>2294.4319999999998</v>
      </c>
      <c r="X364" s="98">
        <v>1039275.74</v>
      </c>
      <c r="Y364" s="105">
        <v>45393</v>
      </c>
      <c r="Z364" s="106">
        <v>2024</v>
      </c>
      <c r="AA364" s="106">
        <v>4</v>
      </c>
      <c r="AB364" s="98">
        <v>34396.583929271997</v>
      </c>
      <c r="AC364" s="98">
        <v>30938.057736499999</v>
      </c>
      <c r="AD364" s="107">
        <v>7474.78</v>
      </c>
      <c r="AE364" s="107">
        <v>343965.83929271903</v>
      </c>
      <c r="AF364" s="106" t="s">
        <v>551</v>
      </c>
      <c r="AG364" s="106" t="s">
        <v>66</v>
      </c>
    </row>
    <row r="365" spans="2:33" x14ac:dyDescent="0.2">
      <c r="B365" s="98">
        <f>CHOOSE(B$1,Tabla2[[#This Row],[Edad]]*12/365,Tabla2[[#This Row],[Tn/Ha]],Tabla2[[#This Row],[Tn]],Tabla2[[#This Row],[Area_Cosecha]])</f>
        <v>14.344689990931199</v>
      </c>
      <c r="C365" s="99" t="s">
        <v>550</v>
      </c>
      <c r="D365" s="100" t="s">
        <v>551</v>
      </c>
      <c r="E365" s="100" t="s">
        <v>551</v>
      </c>
      <c r="F365" s="100" t="s">
        <v>228</v>
      </c>
      <c r="G365" s="100" t="s">
        <v>22</v>
      </c>
      <c r="H365" s="100" t="s">
        <v>32</v>
      </c>
      <c r="I365" s="100" t="s">
        <v>34</v>
      </c>
      <c r="J365" s="100" t="s">
        <v>7</v>
      </c>
      <c r="K365" s="100" t="s">
        <v>635</v>
      </c>
      <c r="L365" s="100">
        <v>2022</v>
      </c>
      <c r="M365" s="101" t="s">
        <v>315</v>
      </c>
      <c r="N365" s="101">
        <v>44954</v>
      </c>
      <c r="O365" s="100" t="s">
        <v>50</v>
      </c>
      <c r="P365" s="102">
        <v>436.31765389082398</v>
      </c>
      <c r="Q365" s="102">
        <v>17.22</v>
      </c>
      <c r="R365" s="103">
        <v>17.22</v>
      </c>
      <c r="S365" s="103">
        <v>139.47999999999999</v>
      </c>
      <c r="T365" s="103">
        <v>9.7200000000000006</v>
      </c>
      <c r="U365" s="103">
        <v>14.592034854895999</v>
      </c>
      <c r="V365" s="104">
        <v>13.089896923295001</v>
      </c>
      <c r="W365" s="104">
        <v>2401.8780000000002</v>
      </c>
      <c r="X365" s="98">
        <v>827797.01</v>
      </c>
      <c r="Y365" s="105">
        <v>45392</v>
      </c>
      <c r="Z365" s="106">
        <v>2024</v>
      </c>
      <c r="AA365" s="106">
        <v>4</v>
      </c>
      <c r="AB365" s="98">
        <v>35048.287493208001</v>
      </c>
      <c r="AC365" s="98">
        <v>31440.335442330001</v>
      </c>
      <c r="AD365" s="107">
        <v>7513.3899999999903</v>
      </c>
      <c r="AE365" s="107">
        <v>350482.87493207998</v>
      </c>
      <c r="AF365" s="106" t="s">
        <v>551</v>
      </c>
      <c r="AG365" s="106" t="s">
        <v>66</v>
      </c>
    </row>
    <row r="366" spans="2:33" x14ac:dyDescent="0.2">
      <c r="B366" s="98">
        <f>CHOOSE(B$1,Tabla2[[#This Row],[Edad]]*12/365,Tabla2[[#This Row],[Tn/Ha]],Tabla2[[#This Row],[Tn]],Tabla2[[#This Row],[Area_Cosecha]])</f>
        <v>14.139068149611353</v>
      </c>
      <c r="C366" s="99" t="s">
        <v>550</v>
      </c>
      <c r="D366" s="100" t="s">
        <v>551</v>
      </c>
      <c r="E366" s="100" t="s">
        <v>551</v>
      </c>
      <c r="F366" s="100" t="s">
        <v>229</v>
      </c>
      <c r="G366" s="100" t="s">
        <v>22</v>
      </c>
      <c r="H366" s="100" t="s">
        <v>32</v>
      </c>
      <c r="I366" s="100" t="s">
        <v>34</v>
      </c>
      <c r="J366" s="100" t="s">
        <v>8</v>
      </c>
      <c r="K366" s="100" t="s">
        <v>636</v>
      </c>
      <c r="L366" s="100">
        <v>2022</v>
      </c>
      <c r="M366" s="101" t="s">
        <v>315</v>
      </c>
      <c r="N366" s="101">
        <v>44959</v>
      </c>
      <c r="O366" s="100" t="s">
        <v>50</v>
      </c>
      <c r="P366" s="102">
        <v>430.063322884012</v>
      </c>
      <c r="Q366" s="102">
        <v>15.9499999999999</v>
      </c>
      <c r="R366" s="103">
        <v>15.95</v>
      </c>
      <c r="S366" s="103">
        <v>141.65</v>
      </c>
      <c r="T366" s="103">
        <v>10.02</v>
      </c>
      <c r="U366" s="103">
        <v>14.748316620672099</v>
      </c>
      <c r="V366" s="104">
        <v>13.261742199550699</v>
      </c>
      <c r="W366" s="104">
        <v>2259.3249999999998</v>
      </c>
      <c r="X366" s="98">
        <v>1074763.5900000001</v>
      </c>
      <c r="Y366" s="105">
        <v>45390</v>
      </c>
      <c r="Z366" s="106">
        <v>2024</v>
      </c>
      <c r="AA366" s="106">
        <v>4</v>
      </c>
      <c r="AB366" s="98">
        <v>33321.240448999997</v>
      </c>
      <c r="AC366" s="98">
        <v>29962.585695000002</v>
      </c>
      <c r="AD366" s="107">
        <v>6859.51</v>
      </c>
      <c r="AE366" s="107">
        <v>333212.40448999999</v>
      </c>
      <c r="AF366" s="106" t="s">
        <v>551</v>
      </c>
      <c r="AG366" s="106" t="s">
        <v>66</v>
      </c>
    </row>
    <row r="367" spans="2:33" x14ac:dyDescent="0.2">
      <c r="B367" s="98">
        <f>CHOOSE(B$1,Tabla2[[#This Row],[Edad]]*12/365,Tabla2[[#This Row],[Tn/Ha]],Tabla2[[#This Row],[Tn]],Tabla2[[#This Row],[Area_Cosecha]])</f>
        <v>10.512792413066368</v>
      </c>
      <c r="C367" s="99" t="s">
        <v>550</v>
      </c>
      <c r="D367" s="100" t="s">
        <v>551</v>
      </c>
      <c r="E367" s="100" t="s">
        <v>551</v>
      </c>
      <c r="F367" s="100" t="s">
        <v>445</v>
      </c>
      <c r="G367" s="100" t="s">
        <v>22</v>
      </c>
      <c r="H367" s="100" t="s">
        <v>32</v>
      </c>
      <c r="I367" s="100" t="s">
        <v>35</v>
      </c>
      <c r="J367" s="100" t="s">
        <v>3</v>
      </c>
      <c r="K367" s="100" t="s">
        <v>804</v>
      </c>
      <c r="L367" s="100">
        <v>2023</v>
      </c>
      <c r="M367" s="101" t="s">
        <v>351</v>
      </c>
      <c r="N367" s="101">
        <v>45238</v>
      </c>
      <c r="O367" s="100" t="s">
        <v>50</v>
      </c>
      <c r="P367" s="102">
        <v>319.76410256410202</v>
      </c>
      <c r="Q367" s="102">
        <v>15.6</v>
      </c>
      <c r="R367" s="103">
        <v>15.6</v>
      </c>
      <c r="S367" s="103">
        <v>146.77000000000001</v>
      </c>
      <c r="T367" s="103">
        <v>13.96</v>
      </c>
      <c r="U367" s="103">
        <v>15.2496255339711</v>
      </c>
      <c r="V367" s="104">
        <v>13.805102407627301</v>
      </c>
      <c r="W367" s="104">
        <v>2289.665</v>
      </c>
      <c r="X367" s="98">
        <v>692387.39</v>
      </c>
      <c r="Y367" s="105">
        <v>45562</v>
      </c>
      <c r="Z367" s="106">
        <v>2024</v>
      </c>
      <c r="AA367" s="106">
        <v>9</v>
      </c>
      <c r="AB367" s="98">
        <v>34916.533848239997</v>
      </c>
      <c r="AC367" s="98">
        <v>31609.059804159999</v>
      </c>
      <c r="AD367" s="107">
        <v>4988.32</v>
      </c>
      <c r="AE367" s="107">
        <v>349165.33848239999</v>
      </c>
      <c r="AF367" s="106" t="s">
        <v>551</v>
      </c>
      <c r="AG367" s="106" t="s">
        <v>66</v>
      </c>
    </row>
    <row r="368" spans="2:33" x14ac:dyDescent="0.2">
      <c r="B368" s="98">
        <f>CHOOSE(B$1,Tabla2[[#This Row],[Edad]]*12/365,Tabla2[[#This Row],[Tn/Ha]],Tabla2[[#This Row],[Tn]],Tabla2[[#This Row],[Area_Cosecha]])</f>
        <v>14.20415357546811</v>
      </c>
      <c r="C368" s="99" t="s">
        <v>550</v>
      </c>
      <c r="D368" s="100" t="s">
        <v>551</v>
      </c>
      <c r="E368" s="100" t="s">
        <v>551</v>
      </c>
      <c r="F368" s="100" t="s">
        <v>230</v>
      </c>
      <c r="G368" s="100" t="s">
        <v>22</v>
      </c>
      <c r="H368" s="100" t="s">
        <v>32</v>
      </c>
      <c r="I368" s="100" t="s">
        <v>35</v>
      </c>
      <c r="J368" s="100" t="s">
        <v>4</v>
      </c>
      <c r="K368" s="100" t="s">
        <v>637</v>
      </c>
      <c r="L368" s="100">
        <v>2022</v>
      </c>
      <c r="M368" s="101" t="s">
        <v>315</v>
      </c>
      <c r="N368" s="101">
        <v>44953</v>
      </c>
      <c r="O368" s="100" t="s">
        <v>50</v>
      </c>
      <c r="P368" s="102">
        <v>432.043004587155</v>
      </c>
      <c r="Q368" s="102">
        <v>17.440000000000001</v>
      </c>
      <c r="R368" s="103">
        <v>17.440000000000001</v>
      </c>
      <c r="S368" s="103">
        <v>151.25</v>
      </c>
      <c r="T368" s="103">
        <v>10.65</v>
      </c>
      <c r="U368" s="103">
        <v>14.852266802276199</v>
      </c>
      <c r="V368" s="104">
        <v>13.359261012541101</v>
      </c>
      <c r="W368" s="104">
        <v>2637.72</v>
      </c>
      <c r="X368" s="98">
        <v>1007566.25</v>
      </c>
      <c r="Y368" s="105">
        <v>45388</v>
      </c>
      <c r="Z368" s="106">
        <v>2024</v>
      </c>
      <c r="AA368" s="106">
        <v>4</v>
      </c>
      <c r="AB368" s="98">
        <v>39176.121189699901</v>
      </c>
      <c r="AC368" s="98">
        <v>35237.989957999998</v>
      </c>
      <c r="AD368" s="107">
        <v>7534.83</v>
      </c>
      <c r="AE368" s="107">
        <v>391761.21189699997</v>
      </c>
      <c r="AF368" s="106" t="s">
        <v>551</v>
      </c>
      <c r="AG368" s="106" t="s">
        <v>66</v>
      </c>
    </row>
    <row r="369" spans="2:33" x14ac:dyDescent="0.2">
      <c r="B369" s="98">
        <f>CHOOSE(B$1,Tabla2[[#This Row],[Edad]]*12/365,Tabla2[[#This Row],[Tn/Ha]],Tabla2[[#This Row],[Tn]],Tabla2[[#This Row],[Area_Cosecha]])</f>
        <v>14.21263502765839</v>
      </c>
      <c r="C369" s="99" t="s">
        <v>550</v>
      </c>
      <c r="D369" s="100" t="s">
        <v>551</v>
      </c>
      <c r="E369" s="100" t="s">
        <v>551</v>
      </c>
      <c r="F369" s="100" t="s">
        <v>231</v>
      </c>
      <c r="G369" s="100" t="s">
        <v>22</v>
      </c>
      <c r="H369" s="100" t="s">
        <v>32</v>
      </c>
      <c r="I369" s="100" t="s">
        <v>35</v>
      </c>
      <c r="J369" s="100" t="s">
        <v>5</v>
      </c>
      <c r="K369" s="100" t="s">
        <v>638</v>
      </c>
      <c r="L369" s="100">
        <v>2022</v>
      </c>
      <c r="M369" s="101" t="s">
        <v>315</v>
      </c>
      <c r="N369" s="101">
        <v>44954</v>
      </c>
      <c r="O369" s="100" t="s">
        <v>50</v>
      </c>
      <c r="P369" s="102">
        <v>432.30098209127601</v>
      </c>
      <c r="Q369" s="102">
        <v>17.309999999999999</v>
      </c>
      <c r="R369" s="103">
        <v>17.309999999999999</v>
      </c>
      <c r="S369" s="103">
        <v>148.26</v>
      </c>
      <c r="T369" s="103">
        <v>10.43</v>
      </c>
      <c r="U369" s="103">
        <v>15.000807489516101</v>
      </c>
      <c r="V369" s="104">
        <v>13.4984648830916</v>
      </c>
      <c r="W369" s="104">
        <v>2566.3180000000002</v>
      </c>
      <c r="X369" s="98">
        <v>635200.48</v>
      </c>
      <c r="Y369" s="105">
        <v>45390</v>
      </c>
      <c r="Z369" s="106">
        <v>2024</v>
      </c>
      <c r="AA369" s="106">
        <v>4</v>
      </c>
      <c r="AB369" s="98">
        <v>38496.84227488</v>
      </c>
      <c r="AC369" s="98">
        <v>34641.353401845998</v>
      </c>
      <c r="AD369" s="107">
        <v>7483.13</v>
      </c>
      <c r="AE369" s="107">
        <v>384968.42274880002</v>
      </c>
      <c r="AF369" s="106" t="s">
        <v>551</v>
      </c>
      <c r="AG369" s="106" t="s">
        <v>66</v>
      </c>
    </row>
    <row r="370" spans="2:33" x14ac:dyDescent="0.2">
      <c r="B370" s="98">
        <f>CHOOSE(B$1,Tabla2[[#This Row],[Edad]]*12/365,Tabla2[[#This Row],[Tn/Ha]],Tabla2[[#This Row],[Tn]],Tabla2[[#This Row],[Area_Cosecha]])</f>
        <v>14.058384506376921</v>
      </c>
      <c r="C370" s="99" t="s">
        <v>550</v>
      </c>
      <c r="D370" s="100" t="s">
        <v>551</v>
      </c>
      <c r="E370" s="100" t="s">
        <v>551</v>
      </c>
      <c r="F370" s="100" t="s">
        <v>232</v>
      </c>
      <c r="G370" s="100" t="s">
        <v>22</v>
      </c>
      <c r="H370" s="100" t="s">
        <v>32</v>
      </c>
      <c r="I370" s="100" t="s">
        <v>35</v>
      </c>
      <c r="J370" s="100" t="s">
        <v>6</v>
      </c>
      <c r="K370" s="100" t="s">
        <v>639</v>
      </c>
      <c r="L370" s="100">
        <v>2022</v>
      </c>
      <c r="M370" s="101" t="s">
        <v>315</v>
      </c>
      <c r="N370" s="101">
        <v>44960</v>
      </c>
      <c r="O370" s="100" t="s">
        <v>50</v>
      </c>
      <c r="P370" s="102">
        <v>427.60919540229798</v>
      </c>
      <c r="Q370" s="102">
        <v>16.53</v>
      </c>
      <c r="R370" s="103">
        <v>16.53</v>
      </c>
      <c r="S370" s="103">
        <v>112.18</v>
      </c>
      <c r="T370" s="103">
        <v>7.98</v>
      </c>
      <c r="U370" s="103">
        <v>15.1502783999246</v>
      </c>
      <c r="V370" s="104">
        <v>13.6465694332752</v>
      </c>
      <c r="W370" s="104">
        <v>1854.327</v>
      </c>
      <c r="X370" s="98">
        <v>696514.59</v>
      </c>
      <c r="Y370" s="105">
        <v>45389</v>
      </c>
      <c r="Z370" s="106">
        <v>2024</v>
      </c>
      <c r="AA370" s="106">
        <v>4</v>
      </c>
      <c r="AB370" s="98">
        <v>28093.570294497</v>
      </c>
      <c r="AC370" s="98">
        <v>25305.202157496999</v>
      </c>
      <c r="AD370" s="107">
        <v>7068.38</v>
      </c>
      <c r="AE370" s="107">
        <v>280935.70294496999</v>
      </c>
      <c r="AF370" s="106" t="s">
        <v>551</v>
      </c>
      <c r="AG370" s="106" t="s">
        <v>66</v>
      </c>
    </row>
    <row r="371" spans="2:33" x14ac:dyDescent="0.2">
      <c r="B371" s="98">
        <f>CHOOSE(B$1,Tabla2[[#This Row],[Edad]]*12/365,Tabla2[[#This Row],[Tn/Ha]],Tabla2[[#This Row],[Tn]],Tabla2[[#This Row],[Area_Cosecha]])</f>
        <v>10.62745003958446</v>
      </c>
      <c r="C371" s="99" t="s">
        <v>550</v>
      </c>
      <c r="D371" s="100" t="s">
        <v>551</v>
      </c>
      <c r="E371" s="100" t="s">
        <v>551</v>
      </c>
      <c r="F371" s="100" t="s">
        <v>443</v>
      </c>
      <c r="G371" s="100" t="s">
        <v>22</v>
      </c>
      <c r="H371" s="100" t="s">
        <v>32</v>
      </c>
      <c r="I371" s="100" t="s">
        <v>35</v>
      </c>
      <c r="J371" s="100" t="s">
        <v>7</v>
      </c>
      <c r="K371" s="100" t="s">
        <v>805</v>
      </c>
      <c r="L371" s="100">
        <v>2023</v>
      </c>
      <c r="M371" s="101" t="s">
        <v>351</v>
      </c>
      <c r="N371" s="101">
        <v>45225</v>
      </c>
      <c r="O371" s="100" t="s">
        <v>50</v>
      </c>
      <c r="P371" s="102">
        <v>323.25160537069399</v>
      </c>
      <c r="Q371" s="102">
        <v>17.13</v>
      </c>
      <c r="R371" s="103">
        <v>17.13</v>
      </c>
      <c r="S371" s="103">
        <v>150.15</v>
      </c>
      <c r="T371" s="103">
        <v>14.13</v>
      </c>
      <c r="U371" s="103">
        <v>14.692561142675499</v>
      </c>
      <c r="V371" s="104">
        <v>13.2621218616402</v>
      </c>
      <c r="W371" s="104">
        <v>2571.9899999999998</v>
      </c>
      <c r="X371" s="98">
        <v>958059.8</v>
      </c>
      <c r="Y371" s="105">
        <v>45550</v>
      </c>
      <c r="Z371" s="106">
        <v>2024</v>
      </c>
      <c r="AA371" s="106">
        <v>9</v>
      </c>
      <c r="AB371" s="98">
        <v>37789.120333350002</v>
      </c>
      <c r="AC371" s="98">
        <v>34110.044806919999</v>
      </c>
      <c r="AD371" s="107">
        <v>5537.3</v>
      </c>
      <c r="AE371" s="107">
        <v>377891.20333350002</v>
      </c>
      <c r="AF371" s="106" t="s">
        <v>551</v>
      </c>
      <c r="AG371" s="106" t="s">
        <v>66</v>
      </c>
    </row>
    <row r="372" spans="2:33" x14ac:dyDescent="0.2">
      <c r="B372" s="98">
        <f>CHOOSE(B$1,Tabla2[[#This Row],[Edad]]*12/365,Tabla2[[#This Row],[Tn/Ha]],Tabla2[[#This Row],[Tn]],Tabla2[[#This Row],[Area_Cosecha]])</f>
        <v>10.563218611302444</v>
      </c>
      <c r="C372" s="99" t="s">
        <v>550</v>
      </c>
      <c r="D372" s="100" t="s">
        <v>551</v>
      </c>
      <c r="E372" s="100" t="s">
        <v>551</v>
      </c>
      <c r="F372" s="100" t="s">
        <v>450</v>
      </c>
      <c r="G372" s="100" t="s">
        <v>22</v>
      </c>
      <c r="H372" s="100" t="s">
        <v>32</v>
      </c>
      <c r="I372" s="100" t="s">
        <v>35</v>
      </c>
      <c r="J372" s="100" t="s">
        <v>8</v>
      </c>
      <c r="K372" s="100" t="s">
        <v>806</v>
      </c>
      <c r="L372" s="100">
        <v>2023</v>
      </c>
      <c r="M372" s="101" t="s">
        <v>351</v>
      </c>
      <c r="N372" s="101">
        <v>45227</v>
      </c>
      <c r="O372" s="100" t="s">
        <v>50</v>
      </c>
      <c r="P372" s="102">
        <v>321.29789942711602</v>
      </c>
      <c r="Q372" s="102">
        <v>15.71</v>
      </c>
      <c r="R372" s="103">
        <v>15.71</v>
      </c>
      <c r="S372" s="103">
        <v>152.52000000000001</v>
      </c>
      <c r="T372" s="103">
        <v>14.44</v>
      </c>
      <c r="U372" s="103">
        <v>14.9175287736733</v>
      </c>
      <c r="V372" s="104">
        <v>13.4662079085661</v>
      </c>
      <c r="W372" s="104">
        <v>2396.0499999999902</v>
      </c>
      <c r="X372" s="98">
        <v>914263.88</v>
      </c>
      <c r="Y372" s="105">
        <v>45550</v>
      </c>
      <c r="Z372" s="106">
        <v>2024</v>
      </c>
      <c r="AA372" s="106">
        <v>9</v>
      </c>
      <c r="AB372" s="98">
        <v>35743.144818159999</v>
      </c>
      <c r="AC372" s="98">
        <v>32265.707459320001</v>
      </c>
      <c r="AD372" s="107">
        <v>5047.59</v>
      </c>
      <c r="AE372" s="107">
        <v>357431.44818160002</v>
      </c>
      <c r="AF372" s="106" t="s">
        <v>551</v>
      </c>
      <c r="AG372" s="106" t="s">
        <v>66</v>
      </c>
    </row>
    <row r="373" spans="2:33" x14ac:dyDescent="0.2">
      <c r="B373" s="98">
        <f>CHOOSE(B$1,Tabla2[[#This Row],[Edad]]*12/365,Tabla2[[#This Row],[Tn/Ha]],Tabla2[[#This Row],[Tn]],Tabla2[[#This Row],[Area_Cosecha]])</f>
        <v>12.564875918205272</v>
      </c>
      <c r="C373" s="99" t="s">
        <v>550</v>
      </c>
      <c r="D373" s="100" t="s">
        <v>551</v>
      </c>
      <c r="E373" s="100" t="s">
        <v>551</v>
      </c>
      <c r="F373" s="100" t="s">
        <v>409</v>
      </c>
      <c r="G373" s="100" t="s">
        <v>22</v>
      </c>
      <c r="H373" s="100" t="s">
        <v>32</v>
      </c>
      <c r="I373" s="100" t="s">
        <v>36</v>
      </c>
      <c r="J373" s="100" t="s">
        <v>3</v>
      </c>
      <c r="K373" s="100" t="s">
        <v>593</v>
      </c>
      <c r="L373" s="100">
        <v>2022</v>
      </c>
      <c r="M373" s="101" t="s">
        <v>315</v>
      </c>
      <c r="N373" s="101">
        <v>44931</v>
      </c>
      <c r="O373" s="100" t="s">
        <v>50</v>
      </c>
      <c r="P373" s="102">
        <v>382.18164251207702</v>
      </c>
      <c r="Q373" s="102">
        <v>21.52</v>
      </c>
      <c r="R373" s="103">
        <v>20.7</v>
      </c>
      <c r="S373" s="103">
        <v>126.63</v>
      </c>
      <c r="T373" s="103">
        <v>10.08</v>
      </c>
      <c r="U373" s="103">
        <v>14.4214442549243</v>
      </c>
      <c r="V373" s="104">
        <v>12.9507451340966</v>
      </c>
      <c r="W373" s="104">
        <v>2621.17</v>
      </c>
      <c r="X373" s="98">
        <v>838449.73</v>
      </c>
      <c r="Y373" s="105">
        <v>45315</v>
      </c>
      <c r="Z373" s="106">
        <v>2024</v>
      </c>
      <c r="AA373" s="106">
        <v>1</v>
      </c>
      <c r="AB373" s="98">
        <v>37801.057037679901</v>
      </c>
      <c r="AC373" s="98">
        <v>33946.104623139901</v>
      </c>
      <c r="AD373" s="107">
        <v>7911.16</v>
      </c>
      <c r="AE373" s="107">
        <v>378010.57037679898</v>
      </c>
      <c r="AF373" s="106" t="s">
        <v>551</v>
      </c>
      <c r="AG373" s="106" t="s">
        <v>66</v>
      </c>
    </row>
    <row r="374" spans="2:33" x14ac:dyDescent="0.2">
      <c r="B374" s="98">
        <f>CHOOSE(B$1,Tabla2[[#This Row],[Edad]]*12/365,Tabla2[[#This Row],[Tn/Ha]],Tabla2[[#This Row],[Tn]],Tabla2[[#This Row],[Area_Cosecha]])</f>
        <v>13.019178082191781</v>
      </c>
      <c r="C374" s="99" t="s">
        <v>550</v>
      </c>
      <c r="D374" s="100" t="s">
        <v>551</v>
      </c>
      <c r="E374" s="100" t="s">
        <v>551</v>
      </c>
      <c r="F374" s="100" t="s">
        <v>409</v>
      </c>
      <c r="G374" s="100" t="s">
        <v>22</v>
      </c>
      <c r="H374" s="100" t="s">
        <v>32</v>
      </c>
      <c r="I374" s="100" t="s">
        <v>36</v>
      </c>
      <c r="J374" s="100" t="s">
        <v>3</v>
      </c>
      <c r="K374" s="100" t="s">
        <v>593</v>
      </c>
      <c r="L374" s="100">
        <v>2022</v>
      </c>
      <c r="M374" s="101" t="s">
        <v>315</v>
      </c>
      <c r="N374" s="101">
        <v>44931</v>
      </c>
      <c r="O374" s="100" t="s">
        <v>50</v>
      </c>
      <c r="P374" s="102">
        <v>396</v>
      </c>
      <c r="Q374" s="102">
        <v>21.52</v>
      </c>
      <c r="R374" s="103">
        <v>0.82</v>
      </c>
      <c r="S374" s="103">
        <v>124.29</v>
      </c>
      <c r="T374" s="103">
        <v>9.5500000000000007</v>
      </c>
      <c r="U374" s="103">
        <v>14.78425</v>
      </c>
      <c r="V374" s="104">
        <v>13.279</v>
      </c>
      <c r="W374" s="104">
        <v>101.92</v>
      </c>
      <c r="X374" s="98">
        <v>126679.1</v>
      </c>
      <c r="Y374" s="105">
        <v>45327</v>
      </c>
      <c r="Z374" s="106">
        <v>2024</v>
      </c>
      <c r="AA374" s="106">
        <v>2</v>
      </c>
      <c r="AB374" s="98">
        <v>1506.8107600000001</v>
      </c>
      <c r="AC374" s="98">
        <v>1353.3956800000001</v>
      </c>
      <c r="AD374" s="107">
        <v>324.719999999999</v>
      </c>
      <c r="AE374" s="107">
        <v>15068.107599999899</v>
      </c>
      <c r="AF374" s="106" t="s">
        <v>551</v>
      </c>
      <c r="AG374" s="106" t="s">
        <v>66</v>
      </c>
    </row>
    <row r="375" spans="2:33" x14ac:dyDescent="0.2">
      <c r="B375" s="98">
        <f>CHOOSE(B$1,Tabla2[[#This Row],[Edad]]*12/365,Tabla2[[#This Row],[Tn/Ha]],Tabla2[[#This Row],[Tn]],Tabla2[[#This Row],[Area_Cosecha]])</f>
        <v>12.615773826872614</v>
      </c>
      <c r="C375" s="99" t="s">
        <v>550</v>
      </c>
      <c r="D375" s="100" t="s">
        <v>551</v>
      </c>
      <c r="E375" s="100" t="s">
        <v>551</v>
      </c>
      <c r="F375" s="100" t="s">
        <v>429</v>
      </c>
      <c r="G375" s="100" t="s">
        <v>22</v>
      </c>
      <c r="H375" s="100" t="s">
        <v>32</v>
      </c>
      <c r="I375" s="100" t="s">
        <v>36</v>
      </c>
      <c r="J375" s="100" t="s">
        <v>4</v>
      </c>
      <c r="K375" s="100" t="s">
        <v>594</v>
      </c>
      <c r="L375" s="100">
        <v>2022</v>
      </c>
      <c r="M375" s="101" t="s">
        <v>315</v>
      </c>
      <c r="N375" s="101">
        <v>44932</v>
      </c>
      <c r="O375" s="100" t="s">
        <v>50</v>
      </c>
      <c r="P375" s="102">
        <v>383.72978723404202</v>
      </c>
      <c r="Q375" s="102">
        <v>18.8</v>
      </c>
      <c r="R375" s="103">
        <v>18.8</v>
      </c>
      <c r="S375" s="103">
        <v>145.81</v>
      </c>
      <c r="T375" s="103">
        <v>11.56</v>
      </c>
      <c r="U375" s="103">
        <v>14.0492996563978</v>
      </c>
      <c r="V375" s="104">
        <v>12.603307808781199</v>
      </c>
      <c r="W375" s="104">
        <v>2741.31</v>
      </c>
      <c r="X375" s="98">
        <v>805508.38</v>
      </c>
      <c r="Y375" s="105">
        <v>45321</v>
      </c>
      <c r="Z375" s="106">
        <v>2024</v>
      </c>
      <c r="AA375" s="106">
        <v>1</v>
      </c>
      <c r="AB375" s="98">
        <v>38513.485641079998</v>
      </c>
      <c r="AC375" s="98">
        <v>34549.573729289899</v>
      </c>
      <c r="AD375" s="107">
        <v>7214.12</v>
      </c>
      <c r="AE375" s="107">
        <v>385134.85641080001</v>
      </c>
      <c r="AF375" s="106" t="s">
        <v>551</v>
      </c>
      <c r="AG375" s="106" t="s">
        <v>66</v>
      </c>
    </row>
    <row r="376" spans="2:33" x14ac:dyDescent="0.2">
      <c r="B376" s="98">
        <f>CHOOSE(B$1,Tabla2[[#This Row],[Edad]]*12/365,Tabla2[[#This Row],[Tn/Ha]],Tabla2[[#This Row],[Tn]],Tabla2[[#This Row],[Area_Cosecha]])</f>
        <v>12.594541568860997</v>
      </c>
      <c r="C376" s="99" t="s">
        <v>550</v>
      </c>
      <c r="D376" s="100" t="s">
        <v>551</v>
      </c>
      <c r="E376" s="100" t="s">
        <v>551</v>
      </c>
      <c r="F376" s="100" t="s">
        <v>427</v>
      </c>
      <c r="G376" s="100" t="s">
        <v>22</v>
      </c>
      <c r="H376" s="100" t="s">
        <v>32</v>
      </c>
      <c r="I376" s="100" t="s">
        <v>36</v>
      </c>
      <c r="J376" s="100" t="s">
        <v>5</v>
      </c>
      <c r="K376" s="100" t="s">
        <v>595</v>
      </c>
      <c r="L376" s="100">
        <v>2022</v>
      </c>
      <c r="M376" s="101" t="s">
        <v>315</v>
      </c>
      <c r="N376" s="101">
        <v>44933</v>
      </c>
      <c r="O376" s="100" t="s">
        <v>50</v>
      </c>
      <c r="P376" s="102">
        <v>383.08397271952202</v>
      </c>
      <c r="Q376" s="102">
        <v>23.83</v>
      </c>
      <c r="R376" s="103">
        <v>23.46</v>
      </c>
      <c r="S376" s="103">
        <v>130</v>
      </c>
      <c r="T376" s="103">
        <v>10.32</v>
      </c>
      <c r="U376" s="103">
        <v>14.2716270289565</v>
      </c>
      <c r="V376" s="104">
        <v>12.8218856517998</v>
      </c>
      <c r="W376" s="104">
        <v>3049.74</v>
      </c>
      <c r="X376" s="98">
        <v>661903.27</v>
      </c>
      <c r="Y376" s="105">
        <v>45319</v>
      </c>
      <c r="Z376" s="106">
        <v>2024</v>
      </c>
      <c r="AA376" s="106">
        <v>1</v>
      </c>
      <c r="AB376" s="98">
        <v>43524.751815290001</v>
      </c>
      <c r="AC376" s="98">
        <v>39103.417547719997</v>
      </c>
      <c r="AD376" s="107">
        <v>8987.15</v>
      </c>
      <c r="AE376" s="107">
        <v>435247.51815289998</v>
      </c>
      <c r="AF376" s="106" t="s">
        <v>551</v>
      </c>
      <c r="AG376" s="106" t="s">
        <v>66</v>
      </c>
    </row>
    <row r="377" spans="2:33" x14ac:dyDescent="0.2">
      <c r="B377" s="98">
        <f>CHOOSE(B$1,Tabla2[[#This Row],[Edad]]*12/365,Tabla2[[#This Row],[Tn/Ha]],Tabla2[[#This Row],[Tn]],Tabla2[[#This Row],[Area_Cosecha]])</f>
        <v>12.953424657534246</v>
      </c>
      <c r="C377" s="99" t="s">
        <v>550</v>
      </c>
      <c r="D377" s="100" t="s">
        <v>551</v>
      </c>
      <c r="E377" s="100" t="s">
        <v>551</v>
      </c>
      <c r="F377" s="100" t="s">
        <v>427</v>
      </c>
      <c r="G377" s="100" t="s">
        <v>22</v>
      </c>
      <c r="H377" s="100" t="s">
        <v>32</v>
      </c>
      <c r="I377" s="100" t="s">
        <v>36</v>
      </c>
      <c r="J377" s="100" t="s">
        <v>5</v>
      </c>
      <c r="K377" s="100" t="s">
        <v>595</v>
      </c>
      <c r="L377" s="100">
        <v>2022</v>
      </c>
      <c r="M377" s="101" t="s">
        <v>315</v>
      </c>
      <c r="N377" s="101">
        <v>44933</v>
      </c>
      <c r="O377" s="100" t="s">
        <v>50</v>
      </c>
      <c r="P377" s="102">
        <v>394</v>
      </c>
      <c r="Q377" s="102">
        <v>23.83</v>
      </c>
      <c r="R377" s="103">
        <v>0.37</v>
      </c>
      <c r="S377" s="103">
        <v>133.27000000000001</v>
      </c>
      <c r="T377" s="103">
        <v>10.29</v>
      </c>
      <c r="U377" s="103">
        <v>14.677499999999901</v>
      </c>
      <c r="V377" s="104">
        <v>13.2445</v>
      </c>
      <c r="W377" s="104">
        <v>49.31</v>
      </c>
      <c r="X377" s="98">
        <v>65715.570000000007</v>
      </c>
      <c r="Y377" s="105">
        <v>45327</v>
      </c>
      <c r="Z377" s="106">
        <v>2024</v>
      </c>
      <c r="AA377" s="106">
        <v>2</v>
      </c>
      <c r="AB377" s="98">
        <v>723.747525</v>
      </c>
      <c r="AC377" s="98">
        <v>653.08629499999995</v>
      </c>
      <c r="AD377" s="107">
        <v>145.78</v>
      </c>
      <c r="AE377" s="107">
        <v>7237.4752500000004</v>
      </c>
      <c r="AF377" s="106" t="s">
        <v>551</v>
      </c>
      <c r="AG377" s="106" t="s">
        <v>66</v>
      </c>
    </row>
    <row r="378" spans="2:33" x14ac:dyDescent="0.2">
      <c r="B378" s="98">
        <f>CHOOSE(B$1,Tabla2[[#This Row],[Edad]]*12/365,Tabla2[[#This Row],[Tn/Ha]],Tabla2[[#This Row],[Tn]],Tabla2[[#This Row],[Area_Cosecha]])</f>
        <v>12.523062114344384</v>
      </c>
      <c r="C378" s="99" t="s">
        <v>550</v>
      </c>
      <c r="D378" s="100" t="s">
        <v>551</v>
      </c>
      <c r="E378" s="100" t="s">
        <v>551</v>
      </c>
      <c r="F378" s="100" t="s">
        <v>421</v>
      </c>
      <c r="G378" s="100" t="s">
        <v>22</v>
      </c>
      <c r="H378" s="100" t="s">
        <v>32</v>
      </c>
      <c r="I378" s="100" t="s">
        <v>36</v>
      </c>
      <c r="J378" s="100" t="s">
        <v>6</v>
      </c>
      <c r="K378" s="100" t="s">
        <v>600</v>
      </c>
      <c r="L378" s="100">
        <v>2022</v>
      </c>
      <c r="M378" s="101" t="s">
        <v>315</v>
      </c>
      <c r="N378" s="101">
        <v>44938</v>
      </c>
      <c r="O378" s="100" t="s">
        <v>50</v>
      </c>
      <c r="P378" s="102">
        <v>380.909805977975</v>
      </c>
      <c r="Q378" s="102">
        <v>19.07</v>
      </c>
      <c r="R378" s="103">
        <v>19.07</v>
      </c>
      <c r="S378" s="103">
        <v>140.72999999999999</v>
      </c>
      <c r="T378" s="103">
        <v>11.24</v>
      </c>
      <c r="U378" s="103">
        <v>13.720327015068399</v>
      </c>
      <c r="V378" s="104">
        <v>12.254677127708799</v>
      </c>
      <c r="W378" s="104">
        <v>2683.7599999999902</v>
      </c>
      <c r="X378" s="98">
        <v>981453.99</v>
      </c>
      <c r="Y378" s="105">
        <v>45321</v>
      </c>
      <c r="Z378" s="106">
        <v>2024</v>
      </c>
      <c r="AA378" s="106">
        <v>1</v>
      </c>
      <c r="AB378" s="98">
        <v>36822.06482996</v>
      </c>
      <c r="AC378" s="98">
        <v>32888.612288259901</v>
      </c>
      <c r="AD378" s="107">
        <v>7263.95</v>
      </c>
      <c r="AE378" s="107">
        <v>368220.6482996</v>
      </c>
      <c r="AF378" s="106" t="s">
        <v>551</v>
      </c>
      <c r="AG378" s="106" t="s">
        <v>66</v>
      </c>
    </row>
    <row r="379" spans="2:33" x14ac:dyDescent="0.2">
      <c r="B379" s="98">
        <f>CHOOSE(B$1,Tabla2[[#This Row],[Edad]]*12/365,Tabla2[[#This Row],[Tn/Ha]],Tabla2[[#This Row],[Tn]],Tabla2[[#This Row],[Area_Cosecha]])</f>
        <v>12.442996924797303</v>
      </c>
      <c r="C379" s="99" t="s">
        <v>550</v>
      </c>
      <c r="D379" s="100" t="s">
        <v>551</v>
      </c>
      <c r="E379" s="100" t="s">
        <v>551</v>
      </c>
      <c r="F379" s="100" t="s">
        <v>233</v>
      </c>
      <c r="G379" s="100" t="s">
        <v>22</v>
      </c>
      <c r="H379" s="100" t="s">
        <v>32</v>
      </c>
      <c r="I379" s="100" t="s">
        <v>36</v>
      </c>
      <c r="J379" s="100" t="s">
        <v>7</v>
      </c>
      <c r="K379" s="100" t="s">
        <v>598</v>
      </c>
      <c r="L379" s="100">
        <v>2022</v>
      </c>
      <c r="M379" s="101" t="s">
        <v>315</v>
      </c>
      <c r="N379" s="101">
        <v>44939</v>
      </c>
      <c r="O379" s="100" t="s">
        <v>50</v>
      </c>
      <c r="P379" s="102">
        <v>378.47448979591798</v>
      </c>
      <c r="Q379" s="102">
        <v>19.600000000000001</v>
      </c>
      <c r="R379" s="103">
        <v>19.600000000000001</v>
      </c>
      <c r="S379" s="103">
        <v>124.13</v>
      </c>
      <c r="T379" s="103">
        <v>9.98</v>
      </c>
      <c r="U379" s="103">
        <v>14.3935149508315</v>
      </c>
      <c r="V379" s="104">
        <v>12.895857739060199</v>
      </c>
      <c r="W379" s="104">
        <v>2432.8599999999901</v>
      </c>
      <c r="X379" s="98">
        <v>1007018.43</v>
      </c>
      <c r="Y379" s="105">
        <v>45318</v>
      </c>
      <c r="Z379" s="106">
        <v>2024</v>
      </c>
      <c r="AA379" s="106">
        <v>1</v>
      </c>
      <c r="AB379" s="98">
        <v>35017.406783279999</v>
      </c>
      <c r="AC379" s="98">
        <v>31373.8164590499</v>
      </c>
      <c r="AD379" s="107">
        <v>7418.1</v>
      </c>
      <c r="AE379" s="107">
        <v>350174.06783279998</v>
      </c>
      <c r="AF379" s="106" t="s">
        <v>551</v>
      </c>
      <c r="AG379" s="106" t="s">
        <v>66</v>
      </c>
    </row>
    <row r="380" spans="2:33" x14ac:dyDescent="0.2">
      <c r="B380" s="98">
        <f>CHOOSE(B$1,Tabla2[[#This Row],[Edad]]*12/365,Tabla2[[#This Row],[Tn/Ha]],Tabla2[[#This Row],[Tn]],Tabla2[[#This Row],[Area_Cosecha]])</f>
        <v>11.029949298124407</v>
      </c>
      <c r="C380" s="99" t="s">
        <v>550</v>
      </c>
      <c r="D380" s="100" t="s">
        <v>551</v>
      </c>
      <c r="E380" s="100" t="s">
        <v>551</v>
      </c>
      <c r="F380" s="100" t="s">
        <v>234</v>
      </c>
      <c r="G380" s="100" t="s">
        <v>22</v>
      </c>
      <c r="H380" s="100" t="s">
        <v>32</v>
      </c>
      <c r="I380" s="100" t="s">
        <v>38</v>
      </c>
      <c r="J380" s="100" t="s">
        <v>3</v>
      </c>
      <c r="K380" s="100" t="s">
        <v>807</v>
      </c>
      <c r="L380" s="100">
        <v>2023</v>
      </c>
      <c r="M380" s="101" t="s">
        <v>351</v>
      </c>
      <c r="N380" s="101">
        <v>45220</v>
      </c>
      <c r="O380" s="100" t="s">
        <v>50</v>
      </c>
      <c r="P380" s="102">
        <v>335.49429115128402</v>
      </c>
      <c r="Q380" s="102">
        <v>21.02</v>
      </c>
      <c r="R380" s="103">
        <v>21.02</v>
      </c>
      <c r="S380" s="103">
        <v>137.16999999999999</v>
      </c>
      <c r="T380" s="103">
        <v>12.44</v>
      </c>
      <c r="U380" s="103">
        <v>15.271671989719399</v>
      </c>
      <c r="V380" s="104">
        <v>13.8042482526768</v>
      </c>
      <c r="W380" s="104">
        <v>2883.3029999999999</v>
      </c>
      <c r="X380" s="98">
        <v>563279.48</v>
      </c>
      <c r="Y380" s="105">
        <v>45562</v>
      </c>
      <c r="Z380" s="106">
        <v>2024</v>
      </c>
      <c r="AA380" s="106">
        <v>9</v>
      </c>
      <c r="AB380" s="98">
        <v>44032.857662973998</v>
      </c>
      <c r="AC380" s="98">
        <v>39801.830399687999</v>
      </c>
      <c r="AD380" s="107">
        <v>7052.09</v>
      </c>
      <c r="AE380" s="107">
        <v>440328.57662974001</v>
      </c>
      <c r="AF380" s="106" t="s">
        <v>551</v>
      </c>
      <c r="AG380" s="106" t="s">
        <v>66</v>
      </c>
    </row>
    <row r="381" spans="2:33" x14ac:dyDescent="0.2">
      <c r="B381" s="98">
        <f>CHOOSE(B$1,Tabla2[[#This Row],[Edad]]*12/365,Tabla2[[#This Row],[Tn/Ha]],Tabla2[[#This Row],[Tn]],Tabla2[[#This Row],[Area_Cosecha]])</f>
        <v>11.161450897163803</v>
      </c>
      <c r="C381" s="99" t="s">
        <v>550</v>
      </c>
      <c r="D381" s="100" t="s">
        <v>551</v>
      </c>
      <c r="E381" s="100" t="s">
        <v>551</v>
      </c>
      <c r="F381" s="100" t="s">
        <v>235</v>
      </c>
      <c r="G381" s="100" t="s">
        <v>22</v>
      </c>
      <c r="H381" s="100" t="s">
        <v>32</v>
      </c>
      <c r="I381" s="100" t="s">
        <v>38</v>
      </c>
      <c r="J381" s="100" t="s">
        <v>4</v>
      </c>
      <c r="K381" s="100" t="s">
        <v>808</v>
      </c>
      <c r="L381" s="100">
        <v>2023</v>
      </c>
      <c r="M381" s="101" t="s">
        <v>351</v>
      </c>
      <c r="N381" s="101">
        <v>45215</v>
      </c>
      <c r="O381" s="100" t="s">
        <v>50</v>
      </c>
      <c r="P381" s="102">
        <v>339.49413145539899</v>
      </c>
      <c r="Q381" s="102">
        <v>25.56</v>
      </c>
      <c r="R381" s="103">
        <v>25.56</v>
      </c>
      <c r="S381" s="103">
        <v>141.34</v>
      </c>
      <c r="T381" s="103">
        <v>12.66</v>
      </c>
      <c r="U381" s="103">
        <v>14.8920525951321</v>
      </c>
      <c r="V381" s="104">
        <v>13.4394954947836</v>
      </c>
      <c r="W381" s="104">
        <v>3612.71</v>
      </c>
      <c r="X381" s="98">
        <v>1273420.52</v>
      </c>
      <c r="Y381" s="105">
        <v>45556</v>
      </c>
      <c r="Z381" s="106">
        <v>2024</v>
      </c>
      <c r="AA381" s="106">
        <v>9</v>
      </c>
      <c r="AB381" s="98">
        <v>53800.667330960001</v>
      </c>
      <c r="AC381" s="98">
        <v>48552.999768959999</v>
      </c>
      <c r="AD381" s="107">
        <v>8677.4699999999993</v>
      </c>
      <c r="AE381" s="107">
        <v>538006.67330959998</v>
      </c>
      <c r="AF381" s="106" t="s">
        <v>551</v>
      </c>
      <c r="AG381" s="106" t="s">
        <v>66</v>
      </c>
    </row>
    <row r="382" spans="2:33" x14ac:dyDescent="0.2">
      <c r="B382" s="98">
        <f>CHOOSE(B$1,Tabla2[[#This Row],[Edad]]*12/365,Tabla2[[#This Row],[Tn/Ha]],Tabla2[[#This Row],[Tn]],Tabla2[[#This Row],[Area_Cosecha]])</f>
        <v>11.090448123479277</v>
      </c>
      <c r="C382" s="99" t="s">
        <v>550</v>
      </c>
      <c r="D382" s="100" t="s">
        <v>551</v>
      </c>
      <c r="E382" s="100" t="s">
        <v>551</v>
      </c>
      <c r="F382" s="100" t="s">
        <v>236</v>
      </c>
      <c r="G382" s="100" t="s">
        <v>22</v>
      </c>
      <c r="H382" s="100" t="s">
        <v>32</v>
      </c>
      <c r="I382" s="100" t="s">
        <v>38</v>
      </c>
      <c r="J382" s="100" t="s">
        <v>5</v>
      </c>
      <c r="K382" s="100" t="s">
        <v>809</v>
      </c>
      <c r="L382" s="100">
        <v>2023</v>
      </c>
      <c r="M382" s="101" t="s">
        <v>351</v>
      </c>
      <c r="N382" s="101">
        <v>45215</v>
      </c>
      <c r="O382" s="100" t="s">
        <v>50</v>
      </c>
      <c r="P382" s="102">
        <v>337.33446375582798</v>
      </c>
      <c r="Q382" s="102">
        <v>23.59</v>
      </c>
      <c r="R382" s="103">
        <v>23.59</v>
      </c>
      <c r="S382" s="103">
        <v>143.36000000000001</v>
      </c>
      <c r="T382" s="103">
        <v>12.93</v>
      </c>
      <c r="U382" s="103">
        <v>15.083216271324</v>
      </c>
      <c r="V382" s="104">
        <v>13.6243284029114</v>
      </c>
      <c r="W382" s="104">
        <v>3381.86</v>
      </c>
      <c r="X382" s="98">
        <v>1209464.9099999999</v>
      </c>
      <c r="Y382" s="105">
        <v>45554</v>
      </c>
      <c r="Z382" s="106">
        <v>2024</v>
      </c>
      <c r="AA382" s="106">
        <v>9</v>
      </c>
      <c r="AB382" s="98">
        <v>51009.325779339997</v>
      </c>
      <c r="AC382" s="98">
        <v>46075.571252670001</v>
      </c>
      <c r="AD382" s="107">
        <v>7957.72</v>
      </c>
      <c r="AE382" s="107">
        <v>510093.25779339898</v>
      </c>
      <c r="AF382" s="106" t="s">
        <v>551</v>
      </c>
      <c r="AG382" s="106" t="s">
        <v>66</v>
      </c>
    </row>
    <row r="383" spans="2:33" x14ac:dyDescent="0.2">
      <c r="B383" s="98">
        <f>CHOOSE(B$1,Tabla2[[#This Row],[Edad]]*12/365,Tabla2[[#This Row],[Tn/Ha]],Tabla2[[#This Row],[Tn]],Tabla2[[#This Row],[Area_Cosecha]])</f>
        <v>10.942826486212503</v>
      </c>
      <c r="C383" s="99" t="s">
        <v>550</v>
      </c>
      <c r="D383" s="100" t="s">
        <v>551</v>
      </c>
      <c r="E383" s="100" t="s">
        <v>551</v>
      </c>
      <c r="F383" s="100" t="s">
        <v>237</v>
      </c>
      <c r="G383" s="100" t="s">
        <v>22</v>
      </c>
      <c r="H383" s="100" t="s">
        <v>32</v>
      </c>
      <c r="I383" s="100" t="s">
        <v>38</v>
      </c>
      <c r="J383" s="100" t="s">
        <v>6</v>
      </c>
      <c r="K383" s="100" t="s">
        <v>810</v>
      </c>
      <c r="L383" s="100">
        <v>2023</v>
      </c>
      <c r="M383" s="101" t="s">
        <v>351</v>
      </c>
      <c r="N383" s="101">
        <v>45219</v>
      </c>
      <c r="O383" s="100" t="s">
        <v>50</v>
      </c>
      <c r="P383" s="102">
        <v>332.84430562229699</v>
      </c>
      <c r="Q383" s="102">
        <v>20.81</v>
      </c>
      <c r="R383" s="103">
        <v>20.81</v>
      </c>
      <c r="S383" s="103">
        <v>121.59</v>
      </c>
      <c r="T383" s="103">
        <v>11.11</v>
      </c>
      <c r="U383" s="103">
        <v>14.7764043705721</v>
      </c>
      <c r="V383" s="104">
        <v>13.3265255330749</v>
      </c>
      <c r="W383" s="104">
        <v>2530.2820000000002</v>
      </c>
      <c r="X383" s="98">
        <v>506836</v>
      </c>
      <c r="Y383" s="105">
        <v>45557</v>
      </c>
      <c r="Z383" s="106">
        <v>2024</v>
      </c>
      <c r="AA383" s="106">
        <v>9</v>
      </c>
      <c r="AB383" s="98">
        <v>37388.470003579998</v>
      </c>
      <c r="AC383" s="98">
        <v>33719.86767888</v>
      </c>
      <c r="AD383" s="107">
        <v>6926.49</v>
      </c>
      <c r="AE383" s="107">
        <v>373884.70003579999</v>
      </c>
      <c r="AF383" s="106" t="s">
        <v>551</v>
      </c>
      <c r="AG383" s="106" t="s">
        <v>66</v>
      </c>
    </row>
    <row r="384" spans="2:33" x14ac:dyDescent="0.2">
      <c r="B384" s="98">
        <f>CHOOSE(B$1,Tabla2[[#This Row],[Edad]]*12/365,Tabla2[[#This Row],[Tn/Ha]],Tabla2[[#This Row],[Tn]],Tabla2[[#This Row],[Area_Cosecha]])</f>
        <v>10.997007911702202</v>
      </c>
      <c r="C384" s="99" t="s">
        <v>550</v>
      </c>
      <c r="D384" s="100" t="s">
        <v>551</v>
      </c>
      <c r="E384" s="100" t="s">
        <v>551</v>
      </c>
      <c r="F384" s="100" t="s">
        <v>238</v>
      </c>
      <c r="G384" s="100" t="s">
        <v>22</v>
      </c>
      <c r="H384" s="100" t="s">
        <v>32</v>
      </c>
      <c r="I384" s="100" t="s">
        <v>38</v>
      </c>
      <c r="J384" s="100" t="s">
        <v>7</v>
      </c>
      <c r="K384" s="100" t="s">
        <v>811</v>
      </c>
      <c r="L384" s="100">
        <v>2023</v>
      </c>
      <c r="M384" s="101" t="s">
        <v>351</v>
      </c>
      <c r="N384" s="101">
        <v>45206</v>
      </c>
      <c r="O384" s="100" t="s">
        <v>50</v>
      </c>
      <c r="P384" s="102">
        <v>334.49232398094199</v>
      </c>
      <c r="Q384" s="102">
        <v>18.89</v>
      </c>
      <c r="R384" s="103">
        <v>18.89</v>
      </c>
      <c r="S384" s="103">
        <v>152.30000000000001</v>
      </c>
      <c r="T384" s="103">
        <v>13.85</v>
      </c>
      <c r="U384" s="103">
        <v>15.004132408573399</v>
      </c>
      <c r="V384" s="104">
        <v>13.5661908714055</v>
      </c>
      <c r="W384" s="104">
        <v>2876.9269999999901</v>
      </c>
      <c r="X384" s="98">
        <v>732711.12</v>
      </c>
      <c r="Y384" s="105">
        <v>45551</v>
      </c>
      <c r="Z384" s="106">
        <v>2024</v>
      </c>
      <c r="AA384" s="106">
        <v>9</v>
      </c>
      <c r="AB384" s="98">
        <v>43165.793637799899</v>
      </c>
      <c r="AC384" s="98">
        <v>39028.940805099999</v>
      </c>
      <c r="AD384" s="107">
        <v>6318.56</v>
      </c>
      <c r="AE384" s="107">
        <v>431657.93637799902</v>
      </c>
      <c r="AF384" s="106" t="s">
        <v>551</v>
      </c>
      <c r="AG384" s="106" t="s">
        <v>66</v>
      </c>
    </row>
    <row r="385" spans="2:33" x14ac:dyDescent="0.2">
      <c r="B385" s="98">
        <f>CHOOSE(B$1,Tabla2[[#This Row],[Edad]]*12/365,Tabla2[[#This Row],[Tn/Ha]],Tabla2[[#This Row],[Tn]],Tabla2[[#This Row],[Area_Cosecha]])</f>
        <v>16.822275163787968</v>
      </c>
      <c r="C385" s="99" t="s">
        <v>550</v>
      </c>
      <c r="D385" s="100" t="s">
        <v>551</v>
      </c>
      <c r="E385" s="100" t="s">
        <v>551</v>
      </c>
      <c r="F385" s="100" t="s">
        <v>548</v>
      </c>
      <c r="G385" s="100" t="s">
        <v>84</v>
      </c>
      <c r="H385" s="100" t="s">
        <v>459</v>
      </c>
      <c r="I385" s="100" t="s">
        <v>2</v>
      </c>
      <c r="J385" s="100" t="s">
        <v>3</v>
      </c>
      <c r="K385" s="100" t="s">
        <v>568</v>
      </c>
      <c r="L385" s="100">
        <v>2022</v>
      </c>
      <c r="M385" s="101" t="s">
        <v>63</v>
      </c>
      <c r="N385" s="101">
        <v>44789</v>
      </c>
      <c r="O385" s="100" t="s">
        <v>50</v>
      </c>
      <c r="P385" s="102">
        <v>511.67753623188401</v>
      </c>
      <c r="Q385" s="102">
        <v>8.2799999999999994</v>
      </c>
      <c r="R385" s="103">
        <v>8.2799999999999994</v>
      </c>
      <c r="S385" s="103">
        <v>163.97</v>
      </c>
      <c r="T385" s="103">
        <v>9.75</v>
      </c>
      <c r="U385" s="103">
        <v>14.8137607762563</v>
      </c>
      <c r="V385" s="104">
        <v>13.358076865482699</v>
      </c>
      <c r="W385" s="104">
        <v>1357.67</v>
      </c>
      <c r="X385" s="98">
        <v>732717.42</v>
      </c>
      <c r="Y385" s="105">
        <v>45302</v>
      </c>
      <c r="Z385" s="106">
        <v>2024</v>
      </c>
      <c r="AA385" s="106">
        <v>1</v>
      </c>
      <c r="AB385" s="98">
        <v>20112.1985930999</v>
      </c>
      <c r="AC385" s="98">
        <v>18135.860217959998</v>
      </c>
      <c r="AD385" s="107">
        <v>4236.6899999999996</v>
      </c>
      <c r="AE385" s="107">
        <v>201121.98593099901</v>
      </c>
      <c r="AF385" s="106" t="s">
        <v>551</v>
      </c>
      <c r="AG385" s="106" t="s">
        <v>66</v>
      </c>
    </row>
    <row r="386" spans="2:33" x14ac:dyDescent="0.2">
      <c r="B386" s="98">
        <f>CHOOSE(B$1,Tabla2[[#This Row],[Edad]]*12/365,Tabla2[[#This Row],[Tn/Ha]],Tabla2[[#This Row],[Tn]],Tabla2[[#This Row],[Area_Cosecha]])</f>
        <v>16.664100891498148</v>
      </c>
      <c r="C386" s="99" t="s">
        <v>550</v>
      </c>
      <c r="D386" s="100" t="s">
        <v>551</v>
      </c>
      <c r="E386" s="100" t="s">
        <v>551</v>
      </c>
      <c r="F386" s="100" t="s">
        <v>547</v>
      </c>
      <c r="G386" s="100" t="s">
        <v>84</v>
      </c>
      <c r="H386" s="100" t="s">
        <v>459</v>
      </c>
      <c r="I386" s="100" t="s">
        <v>2</v>
      </c>
      <c r="J386" s="100" t="s">
        <v>4</v>
      </c>
      <c r="K386" s="100" t="s">
        <v>569</v>
      </c>
      <c r="L386" s="100">
        <v>2022</v>
      </c>
      <c r="M386" s="101" t="s">
        <v>63</v>
      </c>
      <c r="N386" s="101">
        <v>44795</v>
      </c>
      <c r="O386" s="100" t="s">
        <v>50</v>
      </c>
      <c r="P386" s="102">
        <v>506.86640211640201</v>
      </c>
      <c r="Q386" s="102">
        <v>15.12</v>
      </c>
      <c r="R386" s="103">
        <v>15.12</v>
      </c>
      <c r="S386" s="103">
        <v>164.8</v>
      </c>
      <c r="T386" s="103">
        <v>9.89</v>
      </c>
      <c r="U386" s="103">
        <v>13.4356219686881</v>
      </c>
      <c r="V386" s="104">
        <v>11.991285338879701</v>
      </c>
      <c r="W386" s="104">
        <v>2491.71</v>
      </c>
      <c r="X386" s="98">
        <v>1420544.35</v>
      </c>
      <c r="Y386" s="105">
        <v>45303</v>
      </c>
      <c r="Z386" s="106">
        <v>2024</v>
      </c>
      <c r="AA386" s="106">
        <v>1</v>
      </c>
      <c r="AB386" s="98">
        <v>33477.673615599997</v>
      </c>
      <c r="AC386" s="98">
        <v>29878.805591740002</v>
      </c>
      <c r="AD386" s="107">
        <v>7663.82</v>
      </c>
      <c r="AE386" s="107">
        <v>334776.736156</v>
      </c>
      <c r="AF386" s="106" t="s">
        <v>551</v>
      </c>
      <c r="AG386" s="106" t="s">
        <v>66</v>
      </c>
    </row>
    <row r="387" spans="2:33" x14ac:dyDescent="0.2">
      <c r="B387" s="98">
        <f>CHOOSE(B$1,Tabla2[[#This Row],[Edad]]*12/365,Tabla2[[#This Row],[Tn/Ha]],Tabla2[[#This Row],[Tn]],Tabla2[[#This Row],[Area_Cosecha]])</f>
        <v>17.01058348975598</v>
      </c>
      <c r="C387" s="99" t="s">
        <v>550</v>
      </c>
      <c r="D387" s="100" t="s">
        <v>551</v>
      </c>
      <c r="E387" s="100" t="s">
        <v>551</v>
      </c>
      <c r="F387" s="100" t="s">
        <v>549</v>
      </c>
      <c r="G387" s="100" t="s">
        <v>84</v>
      </c>
      <c r="H387" s="100" t="s">
        <v>459</v>
      </c>
      <c r="I387" s="100" t="s">
        <v>2</v>
      </c>
      <c r="J387" s="100" t="s">
        <v>5</v>
      </c>
      <c r="K387" s="100" t="s">
        <v>570</v>
      </c>
      <c r="L387" s="100">
        <v>2022</v>
      </c>
      <c r="M387" s="101" t="s">
        <v>63</v>
      </c>
      <c r="N387" s="101">
        <v>44788</v>
      </c>
      <c r="O387" s="100" t="s">
        <v>50</v>
      </c>
      <c r="P387" s="102">
        <v>517.40524781341105</v>
      </c>
      <c r="Q387" s="102">
        <v>3.43</v>
      </c>
      <c r="R387" s="103">
        <v>3.4299999999999899</v>
      </c>
      <c r="S387" s="103">
        <v>208.55</v>
      </c>
      <c r="T387" s="103">
        <v>12.26</v>
      </c>
      <c r="U387" s="103">
        <v>13.2150038772192</v>
      </c>
      <c r="V387" s="104">
        <v>11.754621696214301</v>
      </c>
      <c r="W387" s="104">
        <v>715.34</v>
      </c>
      <c r="X387" s="98">
        <v>501481.16</v>
      </c>
      <c r="Y387" s="105">
        <v>45307</v>
      </c>
      <c r="Z387" s="106">
        <v>2024</v>
      </c>
      <c r="AA387" s="106">
        <v>1</v>
      </c>
      <c r="AB387" s="98">
        <v>9453.2208735299992</v>
      </c>
      <c r="AC387" s="98">
        <v>8408.5510841699997</v>
      </c>
      <c r="AD387" s="107">
        <v>1774.7</v>
      </c>
      <c r="AE387" s="107">
        <v>94532.208735299995</v>
      </c>
      <c r="AF387" s="106" t="s">
        <v>551</v>
      </c>
      <c r="AG387" s="106" t="s">
        <v>66</v>
      </c>
    </row>
    <row r="388" spans="2:33" x14ac:dyDescent="0.2">
      <c r="B388" s="98">
        <f>CHOOSE(B$1,Tabla2[[#This Row],[Edad]]*12/365,Tabla2[[#This Row],[Tn/Ha]],Tabla2[[#This Row],[Tn]],Tabla2[[#This Row],[Area_Cosecha]])</f>
        <v>17.106145277272766</v>
      </c>
      <c r="C388" s="99" t="s">
        <v>550</v>
      </c>
      <c r="D388" s="100" t="s">
        <v>551</v>
      </c>
      <c r="E388" s="100" t="s">
        <v>551</v>
      </c>
      <c r="F388" s="100" t="s">
        <v>546</v>
      </c>
      <c r="G388" s="100" t="s">
        <v>84</v>
      </c>
      <c r="H388" s="100" t="s">
        <v>459</v>
      </c>
      <c r="I388" s="100" t="s">
        <v>2</v>
      </c>
      <c r="J388" s="100" t="s">
        <v>6</v>
      </c>
      <c r="K388" s="100" t="s">
        <v>571</v>
      </c>
      <c r="L388" s="100">
        <v>2022</v>
      </c>
      <c r="M388" s="101" t="s">
        <v>63</v>
      </c>
      <c r="N388" s="101">
        <v>44783</v>
      </c>
      <c r="O388" s="100" t="s">
        <v>50</v>
      </c>
      <c r="P388" s="102">
        <v>520.31191885038004</v>
      </c>
      <c r="Q388" s="102">
        <v>11.83</v>
      </c>
      <c r="R388" s="103">
        <v>11.83</v>
      </c>
      <c r="S388" s="103">
        <v>197.11</v>
      </c>
      <c r="T388" s="103">
        <v>11.52</v>
      </c>
      <c r="U388" s="103">
        <v>13.442895792967599</v>
      </c>
      <c r="V388" s="104">
        <v>11.9753690717125</v>
      </c>
      <c r="W388" s="104">
        <v>2331.81</v>
      </c>
      <c r="X388" s="98">
        <v>2284898.13</v>
      </c>
      <c r="Y388" s="105">
        <v>45304</v>
      </c>
      <c r="Z388" s="106">
        <v>2024</v>
      </c>
      <c r="AA388" s="106">
        <v>1</v>
      </c>
      <c r="AB388" s="98">
        <v>31346.278838999999</v>
      </c>
      <c r="AC388" s="98">
        <v>27924.2853551099</v>
      </c>
      <c r="AD388" s="107">
        <v>6155.29</v>
      </c>
      <c r="AE388" s="107">
        <v>313462.78839</v>
      </c>
      <c r="AF388" s="106" t="s">
        <v>551</v>
      </c>
      <c r="AG388" s="106" t="s">
        <v>66</v>
      </c>
    </row>
    <row r="389" spans="2:33" x14ac:dyDescent="0.2">
      <c r="B389" s="98">
        <f>CHOOSE(B$1,Tabla2[[#This Row],[Edad]]*12/365,Tabla2[[#This Row],[Tn/Ha]],Tabla2[[#This Row],[Tn]],Tabla2[[#This Row],[Area_Cosecha]])</f>
        <v>16.595176538684154</v>
      </c>
      <c r="C389" s="99" t="s">
        <v>550</v>
      </c>
      <c r="D389" s="100" t="s">
        <v>551</v>
      </c>
      <c r="E389" s="100" t="s">
        <v>551</v>
      </c>
      <c r="F389" s="100" t="s">
        <v>458</v>
      </c>
      <c r="G389" s="100" t="s">
        <v>84</v>
      </c>
      <c r="H389" s="100" t="s">
        <v>459</v>
      </c>
      <c r="I389" s="100" t="s">
        <v>2</v>
      </c>
      <c r="J389" s="100" t="s">
        <v>7</v>
      </c>
      <c r="K389" s="100" t="s">
        <v>693</v>
      </c>
      <c r="L389" s="100">
        <v>2022</v>
      </c>
      <c r="M389" s="101" t="s">
        <v>63</v>
      </c>
      <c r="N389" s="101">
        <v>44950</v>
      </c>
      <c r="O389" s="100" t="s">
        <v>50</v>
      </c>
      <c r="P389" s="102">
        <v>504.76995305164297</v>
      </c>
      <c r="Q389" s="102">
        <v>4.26</v>
      </c>
      <c r="R389" s="103">
        <v>4.26</v>
      </c>
      <c r="S389" s="103">
        <v>204.02</v>
      </c>
      <c r="T389" s="103">
        <v>12.29</v>
      </c>
      <c r="U389" s="103">
        <v>14.2980783263665</v>
      </c>
      <c r="V389" s="104">
        <v>12.8741445220318</v>
      </c>
      <c r="W389" s="104">
        <v>869.12699999999995</v>
      </c>
      <c r="X389" s="98">
        <v>590020.5</v>
      </c>
      <c r="Y389" s="105">
        <v>45456</v>
      </c>
      <c r="Z389" s="106">
        <v>2024</v>
      </c>
      <c r="AA389" s="106">
        <v>6</v>
      </c>
      <c r="AB389" s="98">
        <v>12426.84592156</v>
      </c>
      <c r="AC389" s="98">
        <v>11189.266605999999</v>
      </c>
      <c r="AD389" s="107">
        <v>2150.3200000000002</v>
      </c>
      <c r="AE389" s="107">
        <v>124268.4592156</v>
      </c>
      <c r="AF389" s="106" t="s">
        <v>551</v>
      </c>
      <c r="AG389" s="106" t="s">
        <v>66</v>
      </c>
    </row>
    <row r="390" spans="2:33" x14ac:dyDescent="0.2">
      <c r="B390" s="98">
        <f>CHOOSE(B$1,Tabla2[[#This Row],[Edad]]*12/365,Tabla2[[#This Row],[Tn/Ha]],Tabla2[[#This Row],[Tn]],Tabla2[[#This Row],[Area_Cosecha]])</f>
        <v>16.457325963310094</v>
      </c>
      <c r="C390" s="99" t="s">
        <v>550</v>
      </c>
      <c r="D390" s="100" t="s">
        <v>551</v>
      </c>
      <c r="E390" s="100" t="s">
        <v>551</v>
      </c>
      <c r="F390" s="100" t="s">
        <v>461</v>
      </c>
      <c r="G390" s="100" t="s">
        <v>84</v>
      </c>
      <c r="H390" s="100" t="s">
        <v>459</v>
      </c>
      <c r="I390" s="100" t="s">
        <v>2</v>
      </c>
      <c r="J390" s="100" t="s">
        <v>8</v>
      </c>
      <c r="K390" s="100" t="s">
        <v>694</v>
      </c>
      <c r="L390" s="100">
        <v>2022</v>
      </c>
      <c r="M390" s="101" t="s">
        <v>63</v>
      </c>
      <c r="N390" s="101">
        <v>44952</v>
      </c>
      <c r="O390" s="100" t="s">
        <v>50</v>
      </c>
      <c r="P390" s="102">
        <v>500.57699805068199</v>
      </c>
      <c r="Q390" s="102">
        <v>5.13</v>
      </c>
      <c r="R390" s="103">
        <v>5.13</v>
      </c>
      <c r="S390" s="103">
        <v>244.81</v>
      </c>
      <c r="T390" s="103">
        <v>14.88</v>
      </c>
      <c r="U390" s="103">
        <v>13.5857037101476</v>
      </c>
      <c r="V390" s="104">
        <v>12.1331117549498</v>
      </c>
      <c r="W390" s="104">
        <v>1255.8530000000001</v>
      </c>
      <c r="X390" s="98">
        <v>616868.77</v>
      </c>
      <c r="Y390" s="105">
        <v>45456</v>
      </c>
      <c r="Z390" s="106">
        <v>2024</v>
      </c>
      <c r="AA390" s="106">
        <v>6</v>
      </c>
      <c r="AB390" s="98">
        <v>17061.6467615</v>
      </c>
      <c r="AC390" s="98">
        <v>15237.404796789</v>
      </c>
      <c r="AD390" s="107">
        <v>2567.96</v>
      </c>
      <c r="AE390" s="107">
        <v>170616.467615</v>
      </c>
      <c r="AF390" s="106" t="s">
        <v>551</v>
      </c>
      <c r="AG390" s="106" t="s">
        <v>66</v>
      </c>
    </row>
    <row r="391" spans="2:33" x14ac:dyDescent="0.2">
      <c r="B391" s="98">
        <f>CHOOSE(B$1,Tabla2[[#This Row],[Edad]]*12/365,Tabla2[[#This Row],[Tn/Ha]],Tabla2[[#This Row],[Tn]],Tabla2[[#This Row],[Area_Cosecha]])</f>
        <v>15.748402199845414</v>
      </c>
      <c r="C391" s="99" t="s">
        <v>550</v>
      </c>
      <c r="D391" s="100" t="s">
        <v>551</v>
      </c>
      <c r="E391" s="100" t="s">
        <v>551</v>
      </c>
      <c r="F391" s="100" t="s">
        <v>738</v>
      </c>
      <c r="G391" s="100" t="s">
        <v>84</v>
      </c>
      <c r="H391" s="100" t="s">
        <v>739</v>
      </c>
      <c r="I391" s="100" t="s">
        <v>2</v>
      </c>
      <c r="J391" s="100" t="s">
        <v>3</v>
      </c>
      <c r="K391" s="100" t="s">
        <v>706</v>
      </c>
      <c r="L391" s="100">
        <v>2022</v>
      </c>
      <c r="M391" s="101" t="s">
        <v>60</v>
      </c>
      <c r="N391" s="101">
        <v>44992</v>
      </c>
      <c r="O391" s="100" t="s">
        <v>50</v>
      </c>
      <c r="P391" s="102">
        <v>479.01390024529798</v>
      </c>
      <c r="Q391" s="102">
        <v>12.33</v>
      </c>
      <c r="R391" s="103">
        <v>12.229999999999899</v>
      </c>
      <c r="S391" s="103">
        <v>152.41999999999999</v>
      </c>
      <c r="T391" s="103">
        <v>9.68</v>
      </c>
      <c r="U391" s="103">
        <v>14.2110122397916</v>
      </c>
      <c r="V391" s="104">
        <v>12.7337721115163</v>
      </c>
      <c r="W391" s="104">
        <v>1864.07699999999</v>
      </c>
      <c r="X391" s="98">
        <v>945577.07</v>
      </c>
      <c r="Y391" s="105">
        <v>45472</v>
      </c>
      <c r="Z391" s="106">
        <v>2024</v>
      </c>
      <c r="AA391" s="106">
        <v>6</v>
      </c>
      <c r="AB391" s="98">
        <v>26490.421062914</v>
      </c>
      <c r="AC391" s="98">
        <v>23736.731716318998</v>
      </c>
      <c r="AD391" s="107">
        <v>5858.34</v>
      </c>
      <c r="AE391" s="107">
        <v>264904.21062914003</v>
      </c>
      <c r="AF391" s="106" t="s">
        <v>551</v>
      </c>
      <c r="AG391" s="106" t="s">
        <v>66</v>
      </c>
    </row>
    <row r="392" spans="2:33" x14ac:dyDescent="0.2">
      <c r="B392" s="98">
        <f>CHOOSE(B$1,Tabla2[[#This Row],[Edad]]*12/365,Tabla2[[#This Row],[Tn/Ha]],Tabla2[[#This Row],[Tn]],Tabla2[[#This Row],[Area_Cosecha]])</f>
        <v>15.846575342465753</v>
      </c>
      <c r="C392" s="99" t="s">
        <v>550</v>
      </c>
      <c r="D392" s="100" t="s">
        <v>551</v>
      </c>
      <c r="E392" s="100" t="s">
        <v>551</v>
      </c>
      <c r="F392" s="100" t="s">
        <v>738</v>
      </c>
      <c r="G392" s="100" t="s">
        <v>84</v>
      </c>
      <c r="H392" s="100" t="s">
        <v>739</v>
      </c>
      <c r="I392" s="100" t="s">
        <v>2</v>
      </c>
      <c r="J392" s="100" t="s">
        <v>3</v>
      </c>
      <c r="K392" s="100" t="s">
        <v>706</v>
      </c>
      <c r="L392" s="100">
        <v>2022</v>
      </c>
      <c r="M392" s="101" t="s">
        <v>60</v>
      </c>
      <c r="N392" s="101">
        <v>44992</v>
      </c>
      <c r="O392" s="100" t="s">
        <v>50</v>
      </c>
      <c r="P392" s="102">
        <v>482</v>
      </c>
      <c r="Q392" s="102">
        <v>12.33</v>
      </c>
      <c r="R392" s="103">
        <v>0.1</v>
      </c>
      <c r="S392" s="103">
        <v>196.7</v>
      </c>
      <c r="T392" s="103">
        <v>12.41</v>
      </c>
      <c r="U392" s="103">
        <v>14.211011999999901</v>
      </c>
      <c r="V392" s="104">
        <v>12.733772</v>
      </c>
      <c r="W392" s="104">
        <v>19.670000000000002</v>
      </c>
      <c r="X392" s="98">
        <v>38690.89</v>
      </c>
      <c r="Y392" s="105">
        <v>45474</v>
      </c>
      <c r="Z392" s="106">
        <v>2024</v>
      </c>
      <c r="AA392" s="106">
        <v>7</v>
      </c>
      <c r="AB392" s="98">
        <v>279.53060604000001</v>
      </c>
      <c r="AC392" s="98">
        <v>250.47329524</v>
      </c>
      <c r="AD392" s="107">
        <v>48.2</v>
      </c>
      <c r="AE392" s="107">
        <v>2795.3060604000002</v>
      </c>
      <c r="AF392" s="106" t="s">
        <v>551</v>
      </c>
      <c r="AG392" s="106" t="s">
        <v>66</v>
      </c>
    </row>
    <row r="393" spans="2:33" x14ac:dyDescent="0.2">
      <c r="B393" s="98">
        <f>CHOOSE(B$1,Tabla2[[#This Row],[Edad]]*12/365,Tabla2[[#This Row],[Tn/Ha]],Tabla2[[#This Row],[Tn]],Tabla2[[#This Row],[Area_Cosecha]])</f>
        <v>15.705725576332833</v>
      </c>
      <c r="C393" s="99" t="s">
        <v>550</v>
      </c>
      <c r="D393" s="100" t="s">
        <v>551</v>
      </c>
      <c r="E393" s="100" t="s">
        <v>551</v>
      </c>
      <c r="F393" s="100" t="s">
        <v>756</v>
      </c>
      <c r="G393" s="100" t="s">
        <v>84</v>
      </c>
      <c r="H393" s="100" t="s">
        <v>739</v>
      </c>
      <c r="I393" s="100" t="s">
        <v>2</v>
      </c>
      <c r="J393" s="100" t="s">
        <v>4</v>
      </c>
      <c r="K393" s="100" t="s">
        <v>707</v>
      </c>
      <c r="L393" s="100">
        <v>2022</v>
      </c>
      <c r="M393" s="101" t="s">
        <v>60</v>
      </c>
      <c r="N393" s="101">
        <v>44993</v>
      </c>
      <c r="O393" s="100" t="s">
        <v>50</v>
      </c>
      <c r="P393" s="102">
        <v>477.71581961345697</v>
      </c>
      <c r="Q393" s="102">
        <v>13.97</v>
      </c>
      <c r="R393" s="103">
        <v>13.97</v>
      </c>
      <c r="S393" s="103">
        <v>172.11</v>
      </c>
      <c r="T393" s="103">
        <v>10.96</v>
      </c>
      <c r="U393" s="103">
        <v>14.384853149963</v>
      </c>
      <c r="V393" s="104">
        <v>12.888540078847999</v>
      </c>
      <c r="W393" s="104">
        <v>2404.373</v>
      </c>
      <c r="X393" s="98">
        <v>1384706.31</v>
      </c>
      <c r="Y393" s="105">
        <v>45472</v>
      </c>
      <c r="Z393" s="106">
        <v>2024</v>
      </c>
      <c r="AA393" s="106">
        <v>6</v>
      </c>
      <c r="AB393" s="98">
        <v>34586.552522735998</v>
      </c>
      <c r="AC393" s="98">
        <v>30988.857775</v>
      </c>
      <c r="AD393" s="107">
        <v>6673.69</v>
      </c>
      <c r="AE393" s="107">
        <v>345865.52522736002</v>
      </c>
      <c r="AF393" s="106" t="s">
        <v>551</v>
      </c>
      <c r="AG393" s="106" t="s">
        <v>66</v>
      </c>
    </row>
    <row r="394" spans="2:33" x14ac:dyDescent="0.2">
      <c r="B394" s="98">
        <f>CHOOSE(B$1,Tabla2[[#This Row],[Edad]]*12/365,Tabla2[[#This Row],[Tn/Ha]],Tabla2[[#This Row],[Tn]],Tabla2[[#This Row],[Area_Cosecha]])</f>
        <v>12.776117399395892</v>
      </c>
      <c r="C394" s="99" t="s">
        <v>550</v>
      </c>
      <c r="D394" s="100" t="s">
        <v>551</v>
      </c>
      <c r="E394" s="100" t="s">
        <v>551</v>
      </c>
      <c r="F394" s="100" t="s">
        <v>757</v>
      </c>
      <c r="G394" s="100" t="s">
        <v>84</v>
      </c>
      <c r="H394" s="100" t="s">
        <v>739</v>
      </c>
      <c r="I394" s="100" t="s">
        <v>2</v>
      </c>
      <c r="J394" s="100" t="s">
        <v>5</v>
      </c>
      <c r="K394" s="100" t="s">
        <v>708</v>
      </c>
      <c r="L394" s="100">
        <v>2022</v>
      </c>
      <c r="M394" s="101" t="s">
        <v>60</v>
      </c>
      <c r="N394" s="101">
        <v>45081</v>
      </c>
      <c r="O394" s="100" t="s">
        <v>50</v>
      </c>
      <c r="P394" s="102">
        <v>388.60690423162498</v>
      </c>
      <c r="Q394" s="102">
        <v>9.98</v>
      </c>
      <c r="R394" s="103">
        <v>8.98</v>
      </c>
      <c r="S394" s="103">
        <v>157.06</v>
      </c>
      <c r="T394" s="103">
        <v>12.29</v>
      </c>
      <c r="U394" s="103">
        <v>13.75700721191</v>
      </c>
      <c r="V394" s="104">
        <v>12.2687262470664</v>
      </c>
      <c r="W394" s="104">
        <v>1410.41</v>
      </c>
      <c r="X394" s="98">
        <v>555205.12</v>
      </c>
      <c r="Y394" s="105">
        <v>45470</v>
      </c>
      <c r="Z394" s="106">
        <v>2024</v>
      </c>
      <c r="AA394" s="106">
        <v>6</v>
      </c>
      <c r="AB394" s="98">
        <v>19403.020541749898</v>
      </c>
      <c r="AC394" s="98">
        <v>17303.934186125</v>
      </c>
      <c r="AD394" s="107">
        <v>3489.69</v>
      </c>
      <c r="AE394" s="107">
        <v>194030.205417499</v>
      </c>
      <c r="AF394" s="106" t="s">
        <v>551</v>
      </c>
      <c r="AG394" s="106" t="s">
        <v>66</v>
      </c>
    </row>
    <row r="395" spans="2:33" x14ac:dyDescent="0.2">
      <c r="B395" s="98">
        <f>CHOOSE(B$1,Tabla2[[#This Row],[Edad]]*12/365,Tabla2[[#This Row],[Tn/Ha]],Tabla2[[#This Row],[Tn]],Tabla2[[#This Row],[Area_Cosecha]])</f>
        <v>12.564922809306346</v>
      </c>
      <c r="C395" s="99" t="s">
        <v>550</v>
      </c>
      <c r="D395" s="100" t="s">
        <v>551</v>
      </c>
      <c r="E395" s="100" t="s">
        <v>551</v>
      </c>
      <c r="F395" s="100" t="s">
        <v>758</v>
      </c>
      <c r="G395" s="100" t="s">
        <v>84</v>
      </c>
      <c r="H395" s="100" t="s">
        <v>739</v>
      </c>
      <c r="I395" s="100" t="s">
        <v>2</v>
      </c>
      <c r="J395" s="100" t="s">
        <v>6</v>
      </c>
      <c r="K395" s="100" t="s">
        <v>703</v>
      </c>
      <c r="L395" s="100">
        <v>2022</v>
      </c>
      <c r="M395" s="101" t="s">
        <v>60</v>
      </c>
      <c r="N395" s="101">
        <v>45086</v>
      </c>
      <c r="O395" s="100" t="s">
        <v>50</v>
      </c>
      <c r="P395" s="102">
        <v>382.18306878306799</v>
      </c>
      <c r="Q395" s="102">
        <v>9.4499999999999993</v>
      </c>
      <c r="R395" s="103">
        <v>9.4499999999999993</v>
      </c>
      <c r="S395" s="103">
        <v>177.83</v>
      </c>
      <c r="T395" s="103">
        <v>14.15</v>
      </c>
      <c r="U395" s="103">
        <v>13.709613615690801</v>
      </c>
      <c r="V395" s="104">
        <v>12.236181642361901</v>
      </c>
      <c r="W395" s="104">
        <v>1680.46999999999</v>
      </c>
      <c r="X395" s="98">
        <v>991985.64</v>
      </c>
      <c r="Y395" s="105">
        <v>45469</v>
      </c>
      <c r="Z395" s="106">
        <v>2024</v>
      </c>
      <c r="AA395" s="106">
        <v>6</v>
      </c>
      <c r="AB395" s="98">
        <v>23038.594392759998</v>
      </c>
      <c r="AC395" s="98">
        <v>20562.536164539899</v>
      </c>
      <c r="AD395" s="107">
        <v>3611.63</v>
      </c>
      <c r="AE395" s="107">
        <v>230385.94392759999</v>
      </c>
      <c r="AF395" s="106" t="s">
        <v>551</v>
      </c>
      <c r="AG395" s="106" t="s">
        <v>66</v>
      </c>
    </row>
    <row r="396" spans="2:33" x14ac:dyDescent="0.2">
      <c r="B396" s="98">
        <f>CHOOSE(B$1,Tabla2[[#This Row],[Edad]]*12/365,Tabla2[[#This Row],[Tn/Ha]],Tabla2[[#This Row],[Tn]],Tabla2[[#This Row],[Area_Cosecha]])</f>
        <v>11.375342465753425</v>
      </c>
      <c r="C396" s="99" t="s">
        <v>550</v>
      </c>
      <c r="D396" s="100" t="s">
        <v>551</v>
      </c>
      <c r="E396" s="100" t="s">
        <v>551</v>
      </c>
      <c r="F396" s="100" t="s">
        <v>759</v>
      </c>
      <c r="G396" s="100" t="s">
        <v>84</v>
      </c>
      <c r="H396" s="100" t="s">
        <v>739</v>
      </c>
      <c r="I396" s="100" t="s">
        <v>2</v>
      </c>
      <c r="J396" s="100" t="s">
        <v>7</v>
      </c>
      <c r="K396" s="100" t="s">
        <v>675</v>
      </c>
      <c r="L396" s="100">
        <v>2022</v>
      </c>
      <c r="M396" s="101" t="s">
        <v>60</v>
      </c>
      <c r="N396" s="101">
        <v>45090</v>
      </c>
      <c r="O396" s="100" t="s">
        <v>50</v>
      </c>
      <c r="P396" s="102">
        <v>346</v>
      </c>
      <c r="Q396" s="102">
        <v>14.49</v>
      </c>
      <c r="R396" s="103">
        <v>0.5</v>
      </c>
      <c r="S396" s="103">
        <v>185.44</v>
      </c>
      <c r="T396" s="103">
        <v>16.3</v>
      </c>
      <c r="U396" s="103">
        <v>13.2525</v>
      </c>
      <c r="V396" s="104">
        <v>11.704999999999901</v>
      </c>
      <c r="W396" s="104">
        <v>92.72</v>
      </c>
      <c r="X396" s="98">
        <v>171939.97</v>
      </c>
      <c r="Y396" s="105">
        <v>45436</v>
      </c>
      <c r="Z396" s="106">
        <v>2024</v>
      </c>
      <c r="AA396" s="106">
        <v>5</v>
      </c>
      <c r="AB396" s="98">
        <v>1228.7718</v>
      </c>
      <c r="AC396" s="98">
        <v>1085.2875999999901</v>
      </c>
      <c r="AD396" s="107">
        <v>173</v>
      </c>
      <c r="AE396" s="107">
        <v>12287.718000000001</v>
      </c>
      <c r="AF396" s="106" t="s">
        <v>551</v>
      </c>
      <c r="AG396" s="106" t="s">
        <v>66</v>
      </c>
    </row>
    <row r="397" spans="2:33" x14ac:dyDescent="0.2">
      <c r="B397" s="98">
        <f>CHOOSE(B$1,Tabla2[[#This Row],[Edad]]*12/365,Tabla2[[#This Row],[Tn/Ha]],Tabla2[[#This Row],[Tn]],Tabla2[[#This Row],[Area_Cosecha]])</f>
        <v>12.426457254203081</v>
      </c>
      <c r="C397" s="99" t="s">
        <v>550</v>
      </c>
      <c r="D397" s="100" t="s">
        <v>551</v>
      </c>
      <c r="E397" s="100" t="s">
        <v>551</v>
      </c>
      <c r="F397" s="100" t="s">
        <v>759</v>
      </c>
      <c r="G397" s="100" t="s">
        <v>84</v>
      </c>
      <c r="H397" s="100" t="s">
        <v>739</v>
      </c>
      <c r="I397" s="100" t="s">
        <v>2</v>
      </c>
      <c r="J397" s="100" t="s">
        <v>7</v>
      </c>
      <c r="K397" s="100" t="s">
        <v>675</v>
      </c>
      <c r="L397" s="100">
        <v>2022</v>
      </c>
      <c r="M397" s="101" t="s">
        <v>60</v>
      </c>
      <c r="N397" s="101">
        <v>45090</v>
      </c>
      <c r="O397" s="100" t="s">
        <v>50</v>
      </c>
      <c r="P397" s="102">
        <v>377.97140814867703</v>
      </c>
      <c r="Q397" s="102">
        <v>14.49</v>
      </c>
      <c r="R397" s="103">
        <v>13.989999999999901</v>
      </c>
      <c r="S397" s="103">
        <v>169.51</v>
      </c>
      <c r="T397" s="103">
        <v>13.64</v>
      </c>
      <c r="U397" s="103">
        <v>13.724960376889699</v>
      </c>
      <c r="V397" s="104">
        <v>12.221186260022501</v>
      </c>
      <c r="W397" s="104">
        <v>2371.41</v>
      </c>
      <c r="X397" s="98">
        <v>1338230.26</v>
      </c>
      <c r="Y397" s="105">
        <v>45469</v>
      </c>
      <c r="Z397" s="106">
        <v>2024</v>
      </c>
      <c r="AA397" s="106">
        <v>6</v>
      </c>
      <c r="AB397" s="98">
        <v>32547.50828736</v>
      </c>
      <c r="AC397" s="98">
        <v>28981.44330888</v>
      </c>
      <c r="AD397" s="107">
        <v>5287.82</v>
      </c>
      <c r="AE397" s="107">
        <v>325475.08287360001</v>
      </c>
      <c r="AF397" s="106" t="s">
        <v>551</v>
      </c>
      <c r="AG397" s="106" t="s">
        <v>66</v>
      </c>
    </row>
    <row r="398" spans="2:33" x14ac:dyDescent="0.2">
      <c r="B398" s="98">
        <f>CHOOSE(B$1,Tabla2[[#This Row],[Edad]]*12/365,Tabla2[[#This Row],[Tn/Ha]],Tabla2[[#This Row],[Tn]],Tabla2[[#This Row],[Area_Cosecha]])</f>
        <v>11.257179039705928</v>
      </c>
      <c r="C398" s="99" t="s">
        <v>550</v>
      </c>
      <c r="D398" s="100" t="s">
        <v>551</v>
      </c>
      <c r="E398" s="100" t="s">
        <v>551</v>
      </c>
      <c r="F398" s="100" t="s">
        <v>287</v>
      </c>
      <c r="G398" s="100" t="s">
        <v>22</v>
      </c>
      <c r="H398" s="100" t="s">
        <v>39</v>
      </c>
      <c r="I398" s="100" t="s">
        <v>9</v>
      </c>
      <c r="J398" s="100" t="s">
        <v>3</v>
      </c>
      <c r="K398" s="100" t="s">
        <v>841</v>
      </c>
      <c r="L398" s="100">
        <v>2023</v>
      </c>
      <c r="M398" s="101" t="s">
        <v>410</v>
      </c>
      <c r="N398" s="101">
        <v>45243</v>
      </c>
      <c r="O398" s="100" t="s">
        <v>50</v>
      </c>
      <c r="P398" s="102">
        <v>342.40586245772198</v>
      </c>
      <c r="Q398" s="102">
        <v>9.25</v>
      </c>
      <c r="R398" s="103">
        <v>8.8699999999999992</v>
      </c>
      <c r="S398" s="103">
        <v>139.43</v>
      </c>
      <c r="T398" s="103">
        <v>12.39</v>
      </c>
      <c r="U398" s="103">
        <v>14.5767618097205</v>
      </c>
      <c r="V398" s="104">
        <v>13.1085155776787</v>
      </c>
      <c r="W398" s="104">
        <v>1236.76</v>
      </c>
      <c r="X398" s="98">
        <v>573074.52</v>
      </c>
      <c r="Y398" s="105">
        <v>45586</v>
      </c>
      <c r="Z398" s="106">
        <v>2024</v>
      </c>
      <c r="AA398" s="106">
        <v>10</v>
      </c>
      <c r="AB398" s="98">
        <v>18027.95593579</v>
      </c>
      <c r="AC398" s="98">
        <v>16212.08772585</v>
      </c>
      <c r="AD398" s="107">
        <v>3037.14</v>
      </c>
      <c r="AE398" s="107">
        <v>180279.5593579</v>
      </c>
      <c r="AF398" s="106" t="s">
        <v>551</v>
      </c>
      <c r="AG398" s="106" t="s">
        <v>66</v>
      </c>
    </row>
    <row r="399" spans="2:33" x14ac:dyDescent="0.2">
      <c r="B399" s="98">
        <f>CHOOSE(B$1,Tabla2[[#This Row],[Edad]]*12/365,Tabla2[[#This Row],[Tn/Ha]],Tabla2[[#This Row],[Tn]],Tabla2[[#This Row],[Area_Cosecha]])</f>
        <v>11.632817429230784</v>
      </c>
      <c r="C399" s="99" t="s">
        <v>550</v>
      </c>
      <c r="D399" s="100" t="s">
        <v>551</v>
      </c>
      <c r="E399" s="100" t="s">
        <v>551</v>
      </c>
      <c r="F399" s="100" t="s">
        <v>239</v>
      </c>
      <c r="G399" s="100" t="s">
        <v>22</v>
      </c>
      <c r="H399" s="100" t="s">
        <v>39</v>
      </c>
      <c r="I399" s="100" t="s">
        <v>9</v>
      </c>
      <c r="J399" s="100" t="s">
        <v>4</v>
      </c>
      <c r="K399" s="100" t="s">
        <v>849</v>
      </c>
      <c r="L399" s="100">
        <v>2023</v>
      </c>
      <c r="M399" s="101" t="s">
        <v>410</v>
      </c>
      <c r="N399" s="101">
        <v>45240</v>
      </c>
      <c r="O399" s="100" t="s">
        <v>50</v>
      </c>
      <c r="P399" s="102">
        <v>353.83153013910299</v>
      </c>
      <c r="Q399" s="102">
        <v>6.72</v>
      </c>
      <c r="R399" s="103">
        <v>6.47</v>
      </c>
      <c r="S399" s="103">
        <v>153.71</v>
      </c>
      <c r="T399" s="103">
        <v>13.21</v>
      </c>
      <c r="U399" s="103">
        <v>14.3599964031332</v>
      </c>
      <c r="V399" s="104">
        <v>12.905677695246901</v>
      </c>
      <c r="W399" s="104">
        <v>994.51</v>
      </c>
      <c r="X399" s="98">
        <v>506715.33</v>
      </c>
      <c r="Y399" s="105">
        <v>45595</v>
      </c>
      <c r="Z399" s="106">
        <v>2024</v>
      </c>
      <c r="AA399" s="106">
        <v>10</v>
      </c>
      <c r="AB399" s="98">
        <v>14281.16002288</v>
      </c>
      <c r="AC399" s="98">
        <v>12834.8255247</v>
      </c>
      <c r="AD399" s="107">
        <v>2289.29</v>
      </c>
      <c r="AE399" s="107">
        <v>142811.6002288</v>
      </c>
      <c r="AF399" s="106" t="s">
        <v>551</v>
      </c>
      <c r="AG399" s="106" t="s">
        <v>66</v>
      </c>
    </row>
    <row r="400" spans="2:33" x14ac:dyDescent="0.2">
      <c r="B400" s="98">
        <f>CHOOSE(B$1,Tabla2[[#This Row],[Edad]]*12/365,Tabla2[[#This Row],[Tn/Ha]],Tabla2[[#This Row],[Tn]],Tabla2[[#This Row],[Area_Cosecha]])</f>
        <v>11.769863013698631</v>
      </c>
      <c r="C400" s="99" t="s">
        <v>550</v>
      </c>
      <c r="D400" s="100" t="s">
        <v>551</v>
      </c>
      <c r="E400" s="100" t="s">
        <v>551</v>
      </c>
      <c r="F400" s="100" t="s">
        <v>239</v>
      </c>
      <c r="G400" s="100" t="s">
        <v>22</v>
      </c>
      <c r="H400" s="100" t="s">
        <v>39</v>
      </c>
      <c r="I400" s="100" t="s">
        <v>9</v>
      </c>
      <c r="J400" s="100" t="s">
        <v>4</v>
      </c>
      <c r="K400" s="100" t="s">
        <v>849</v>
      </c>
      <c r="L400" s="100">
        <v>2023</v>
      </c>
      <c r="M400" s="101" t="s">
        <v>410</v>
      </c>
      <c r="N400" s="101">
        <v>45240</v>
      </c>
      <c r="O400" s="100" t="s">
        <v>50</v>
      </c>
      <c r="P400" s="102">
        <v>358</v>
      </c>
      <c r="Q400" s="102">
        <v>6.72</v>
      </c>
      <c r="R400" s="103">
        <v>0.25</v>
      </c>
      <c r="S400" s="103">
        <v>91.2</v>
      </c>
      <c r="T400" s="103">
        <v>7.75</v>
      </c>
      <c r="U400" s="103"/>
      <c r="V400" s="104"/>
      <c r="W400" s="104">
        <v>22.8</v>
      </c>
      <c r="X400" s="98"/>
      <c r="Y400" s="105">
        <v>45598</v>
      </c>
      <c r="Z400" s="106">
        <v>2024</v>
      </c>
      <c r="AA400" s="106">
        <v>11</v>
      </c>
      <c r="AB400" s="98"/>
      <c r="AC400" s="98"/>
      <c r="AD400" s="107">
        <v>89.5</v>
      </c>
      <c r="AE400" s="107"/>
      <c r="AF400" s="106" t="s">
        <v>551</v>
      </c>
      <c r="AG400" s="106" t="s">
        <v>66</v>
      </c>
    </row>
    <row r="401" spans="2:33" x14ac:dyDescent="0.2">
      <c r="B401" s="98">
        <f>CHOOSE(B$1,Tabla2[[#This Row],[Edad]]*12/365,Tabla2[[#This Row],[Tn/Ha]],Tabla2[[#This Row],[Tn]],Tabla2[[#This Row],[Area_Cosecha]])</f>
        <v>10.991750715038366</v>
      </c>
      <c r="C401" s="99" t="s">
        <v>550</v>
      </c>
      <c r="D401" s="100" t="s">
        <v>551</v>
      </c>
      <c r="E401" s="100" t="s">
        <v>551</v>
      </c>
      <c r="F401" s="100" t="s">
        <v>240</v>
      </c>
      <c r="G401" s="100" t="s">
        <v>22</v>
      </c>
      <c r="H401" s="100" t="s">
        <v>39</v>
      </c>
      <c r="I401" s="100" t="s">
        <v>9</v>
      </c>
      <c r="J401" s="100" t="s">
        <v>5</v>
      </c>
      <c r="K401" s="100" t="s">
        <v>695</v>
      </c>
      <c r="L401" s="100">
        <v>2023</v>
      </c>
      <c r="M401" s="101" t="s">
        <v>61</v>
      </c>
      <c r="N401" s="101">
        <v>45127</v>
      </c>
      <c r="O401" s="100" t="s">
        <v>50</v>
      </c>
      <c r="P401" s="102">
        <v>334.33241758241701</v>
      </c>
      <c r="Q401" s="102">
        <v>7.28</v>
      </c>
      <c r="R401" s="103">
        <v>7.28</v>
      </c>
      <c r="S401" s="103">
        <v>142.05000000000001</v>
      </c>
      <c r="T401" s="103">
        <v>12.92</v>
      </c>
      <c r="U401" s="103">
        <v>14.627137676019</v>
      </c>
      <c r="V401" s="104">
        <v>13.143750936347701</v>
      </c>
      <c r="W401" s="104">
        <v>1034.135</v>
      </c>
      <c r="X401" s="98">
        <v>184284.98</v>
      </c>
      <c r="Y401" s="105">
        <v>45463</v>
      </c>
      <c r="Z401" s="106">
        <v>2024</v>
      </c>
      <c r="AA401" s="106">
        <v>6</v>
      </c>
      <c r="AB401" s="98">
        <v>15126.435020589901</v>
      </c>
      <c r="AC401" s="98">
        <v>13592.412874559999</v>
      </c>
      <c r="AD401" s="107">
        <v>2433.94</v>
      </c>
      <c r="AE401" s="107">
        <v>151264.35020589901</v>
      </c>
      <c r="AF401" s="106" t="s">
        <v>551</v>
      </c>
      <c r="AG401" s="106" t="s">
        <v>66</v>
      </c>
    </row>
    <row r="402" spans="2:33" x14ac:dyDescent="0.2">
      <c r="B402" s="98">
        <f>CHOOSE(B$1,Tabla2[[#This Row],[Edad]]*12/365,Tabla2[[#This Row],[Tn/Ha]],Tabla2[[#This Row],[Tn]],Tabla2[[#This Row],[Area_Cosecha]])</f>
        <v>6.3780821917808215</v>
      </c>
      <c r="C402" s="99" t="s">
        <v>550</v>
      </c>
      <c r="D402" s="100" t="s">
        <v>551</v>
      </c>
      <c r="E402" s="100" t="s">
        <v>551</v>
      </c>
      <c r="F402" s="100" t="s">
        <v>288</v>
      </c>
      <c r="G402" s="100" t="s">
        <v>22</v>
      </c>
      <c r="H402" s="100" t="s">
        <v>39</v>
      </c>
      <c r="I402" s="100" t="s">
        <v>9</v>
      </c>
      <c r="J402" s="100" t="s">
        <v>6</v>
      </c>
      <c r="K402" s="100" t="s">
        <v>677</v>
      </c>
      <c r="L402" s="100">
        <v>2022</v>
      </c>
      <c r="M402" s="101" t="s">
        <v>410</v>
      </c>
      <c r="N402" s="101">
        <v>45240</v>
      </c>
      <c r="O402" s="100" t="s">
        <v>50</v>
      </c>
      <c r="P402" s="102">
        <v>194</v>
      </c>
      <c r="Q402" s="102">
        <v>7.73</v>
      </c>
      <c r="R402" s="103">
        <v>2.39</v>
      </c>
      <c r="S402" s="103">
        <v>97.33</v>
      </c>
      <c r="T402" s="103">
        <v>15.26</v>
      </c>
      <c r="U402" s="103">
        <v>10.644</v>
      </c>
      <c r="V402" s="104">
        <v>9.0850000000000009</v>
      </c>
      <c r="W402" s="104">
        <v>232.61</v>
      </c>
      <c r="X402" s="98">
        <v>226390.85</v>
      </c>
      <c r="Y402" s="105">
        <v>45434</v>
      </c>
      <c r="Z402" s="106">
        <v>2024</v>
      </c>
      <c r="AA402" s="106">
        <v>5</v>
      </c>
      <c r="AB402" s="98">
        <v>2475.9008399999998</v>
      </c>
      <c r="AC402" s="98">
        <v>2113.2618499999999</v>
      </c>
      <c r="AD402" s="107">
        <v>463.66</v>
      </c>
      <c r="AE402" s="107">
        <v>24759.008399999999</v>
      </c>
      <c r="AF402" s="106" t="s">
        <v>551</v>
      </c>
      <c r="AG402" s="106" t="s">
        <v>66</v>
      </c>
    </row>
    <row r="403" spans="2:33" x14ac:dyDescent="0.2">
      <c r="B403" s="98">
        <f>CHOOSE(B$1,Tabla2[[#This Row],[Edad]]*12/365,Tabla2[[#This Row],[Tn/Ha]],Tabla2[[#This Row],[Tn]],Tabla2[[#This Row],[Area_Cosecha]])</f>
        <v>8.1788293897882838</v>
      </c>
      <c r="C403" s="99" t="s">
        <v>550</v>
      </c>
      <c r="D403" s="100" t="s">
        <v>551</v>
      </c>
      <c r="E403" s="100" t="s">
        <v>551</v>
      </c>
      <c r="F403" s="100" t="s">
        <v>288</v>
      </c>
      <c r="G403" s="100" t="s">
        <v>22</v>
      </c>
      <c r="H403" s="100" t="s">
        <v>39</v>
      </c>
      <c r="I403" s="100" t="s">
        <v>9</v>
      </c>
      <c r="J403" s="100" t="s">
        <v>6</v>
      </c>
      <c r="K403" s="100" t="s">
        <v>677</v>
      </c>
      <c r="L403" s="100">
        <v>2022</v>
      </c>
      <c r="M403" s="101" t="s">
        <v>410</v>
      </c>
      <c r="N403" s="101">
        <v>45240</v>
      </c>
      <c r="O403" s="100" t="s">
        <v>50</v>
      </c>
      <c r="P403" s="102">
        <v>248.772727272727</v>
      </c>
      <c r="Q403" s="102">
        <v>7.92</v>
      </c>
      <c r="R403" s="103">
        <v>1.1000000000000001</v>
      </c>
      <c r="S403" s="103">
        <v>150.72999999999999</v>
      </c>
      <c r="T403" s="103">
        <v>18.43</v>
      </c>
      <c r="U403" s="103">
        <v>11.0840289505428</v>
      </c>
      <c r="V403" s="104">
        <v>9.5629240048250903</v>
      </c>
      <c r="W403" s="104">
        <v>165.79999999999899</v>
      </c>
      <c r="X403" s="98">
        <v>122495.64</v>
      </c>
      <c r="Y403" s="105">
        <v>45489</v>
      </c>
      <c r="Z403" s="106">
        <v>2024</v>
      </c>
      <c r="AA403" s="106">
        <v>7</v>
      </c>
      <c r="AB403" s="98">
        <v>1837.732</v>
      </c>
      <c r="AC403" s="98">
        <v>1585.5327999999899</v>
      </c>
      <c r="AD403" s="107">
        <v>273.64999999999998</v>
      </c>
      <c r="AE403" s="107">
        <v>18377.319999999901</v>
      </c>
      <c r="AF403" s="106" t="s">
        <v>551</v>
      </c>
      <c r="AG403" s="106" t="s">
        <v>66</v>
      </c>
    </row>
    <row r="404" spans="2:33" x14ac:dyDescent="0.2">
      <c r="B404" s="98">
        <f>CHOOSE(B$1,Tabla2[[#This Row],[Edad]]*12/365,Tabla2[[#This Row],[Tn/Ha]],Tabla2[[#This Row],[Tn]],Tabla2[[#This Row],[Area_Cosecha]])</f>
        <v>11.330962614799462</v>
      </c>
      <c r="C404" s="99" t="s">
        <v>550</v>
      </c>
      <c r="D404" s="100" t="s">
        <v>551</v>
      </c>
      <c r="E404" s="100" t="s">
        <v>551</v>
      </c>
      <c r="F404" s="100" t="s">
        <v>288</v>
      </c>
      <c r="G404" s="100" t="s">
        <v>22</v>
      </c>
      <c r="H404" s="100" t="s">
        <v>39</v>
      </c>
      <c r="I404" s="100" t="s">
        <v>9</v>
      </c>
      <c r="J404" s="100" t="s">
        <v>6</v>
      </c>
      <c r="K404" s="100" t="s">
        <v>677</v>
      </c>
      <c r="L404" s="100">
        <v>2022</v>
      </c>
      <c r="M404" s="101" t="s">
        <v>410</v>
      </c>
      <c r="N404" s="101">
        <v>45240</v>
      </c>
      <c r="O404" s="100" t="s">
        <v>50</v>
      </c>
      <c r="P404" s="102">
        <v>344.65011286681698</v>
      </c>
      <c r="Q404" s="102">
        <v>7.92</v>
      </c>
      <c r="R404" s="103">
        <v>4.43</v>
      </c>
      <c r="S404" s="103">
        <v>150.53</v>
      </c>
      <c r="T404" s="103">
        <v>13.29</v>
      </c>
      <c r="U404" s="103">
        <v>15.1210629198482</v>
      </c>
      <c r="V404" s="104">
        <v>13.6826234460456</v>
      </c>
      <c r="W404" s="104">
        <v>666.86</v>
      </c>
      <c r="X404" s="98">
        <v>498587.59</v>
      </c>
      <c r="Y404" s="105">
        <v>45585</v>
      </c>
      <c r="Z404" s="106">
        <v>2024</v>
      </c>
      <c r="AA404" s="106">
        <v>10</v>
      </c>
      <c r="AB404" s="98">
        <v>10083.632018730001</v>
      </c>
      <c r="AC404" s="98">
        <v>9124.3942712299995</v>
      </c>
      <c r="AD404" s="107">
        <v>1526.8</v>
      </c>
      <c r="AE404" s="107">
        <v>100836.32018730001</v>
      </c>
      <c r="AF404" s="106" t="s">
        <v>551</v>
      </c>
      <c r="AG404" s="106" t="s">
        <v>66</v>
      </c>
    </row>
    <row r="405" spans="2:33" x14ac:dyDescent="0.2">
      <c r="B405" s="98">
        <f>CHOOSE(B$1,Tabla2[[#This Row],[Edad]]*12/365,Tabla2[[#This Row],[Tn/Ha]],Tabla2[[#This Row],[Tn]],Tabla2[[#This Row],[Area_Cosecha]])</f>
        <v>10.835255252609787</v>
      </c>
      <c r="C405" s="99" t="s">
        <v>550</v>
      </c>
      <c r="D405" s="100" t="s">
        <v>551</v>
      </c>
      <c r="E405" s="100" t="s">
        <v>551</v>
      </c>
      <c r="F405" s="100" t="s">
        <v>241</v>
      </c>
      <c r="G405" s="100" t="s">
        <v>22</v>
      </c>
      <c r="H405" s="100" t="s">
        <v>39</v>
      </c>
      <c r="I405" s="100" t="s">
        <v>9</v>
      </c>
      <c r="J405" s="100" t="s">
        <v>7</v>
      </c>
      <c r="K405" s="100" t="s">
        <v>696</v>
      </c>
      <c r="L405" s="100">
        <v>2023</v>
      </c>
      <c r="M405" s="101" t="s">
        <v>61</v>
      </c>
      <c r="N405" s="101">
        <v>45129</v>
      </c>
      <c r="O405" s="100" t="s">
        <v>50</v>
      </c>
      <c r="P405" s="102">
        <v>329.57234726688102</v>
      </c>
      <c r="Q405" s="102">
        <v>6.22</v>
      </c>
      <c r="R405" s="103">
        <v>6.22</v>
      </c>
      <c r="S405" s="103">
        <v>150.5</v>
      </c>
      <c r="T405" s="103">
        <v>13.89</v>
      </c>
      <c r="U405" s="103">
        <v>14.2503170326199</v>
      </c>
      <c r="V405" s="104">
        <v>12.7532287529675</v>
      </c>
      <c r="W405" s="104">
        <v>936.08500000000004</v>
      </c>
      <c r="X405" s="98">
        <v>235104.36</v>
      </c>
      <c r="Y405" s="105">
        <v>45460</v>
      </c>
      <c r="Z405" s="106">
        <v>2024</v>
      </c>
      <c r="AA405" s="106">
        <v>6</v>
      </c>
      <c r="AB405" s="98">
        <v>13339.508019479999</v>
      </c>
      <c r="AC405" s="98">
        <v>11938.106137221601</v>
      </c>
      <c r="AD405" s="107">
        <v>2049.94</v>
      </c>
      <c r="AE405" s="107">
        <v>133395.08019479999</v>
      </c>
      <c r="AF405" s="106" t="s">
        <v>551</v>
      </c>
      <c r="AG405" s="106" t="s">
        <v>66</v>
      </c>
    </row>
    <row r="406" spans="2:33" x14ac:dyDescent="0.2">
      <c r="B406" s="114">
        <f>CHOOSE(B$1,Tabla2[[#This Row],[Edad]]*12/365,Tabla2[[#This Row],[Tn/Ha]],Tabla2[[#This Row],[Tn]],Tabla2[[#This Row],[Area_Cosecha]])</f>
        <v>11.628267771699418</v>
      </c>
      <c r="C406" s="87" t="s">
        <v>550</v>
      </c>
      <c r="D406" s="23" t="s">
        <v>551</v>
      </c>
      <c r="E406" s="23" t="s">
        <v>551</v>
      </c>
      <c r="F406" s="23" t="s">
        <v>242</v>
      </c>
      <c r="G406" s="23" t="s">
        <v>19</v>
      </c>
      <c r="H406" s="23" t="s">
        <v>20</v>
      </c>
      <c r="I406" s="23" t="s">
        <v>2</v>
      </c>
      <c r="J406" s="23" t="s">
        <v>3</v>
      </c>
      <c r="K406" s="23" t="s">
        <v>777</v>
      </c>
      <c r="L406" s="23">
        <v>2023</v>
      </c>
      <c r="M406" s="24" t="s">
        <v>62</v>
      </c>
      <c r="N406" s="24">
        <v>45162</v>
      </c>
      <c r="O406" s="23" t="s">
        <v>79</v>
      </c>
      <c r="P406" s="86">
        <v>353.69314472252398</v>
      </c>
      <c r="Q406" s="86">
        <v>18.38</v>
      </c>
      <c r="R406" s="25">
        <v>18.38</v>
      </c>
      <c r="S406" s="25">
        <v>97.68</v>
      </c>
      <c r="T406" s="25">
        <v>8.4</v>
      </c>
      <c r="U406" s="25">
        <v>15.0270003943387</v>
      </c>
      <c r="V406" s="115">
        <v>13.560760433083001</v>
      </c>
      <c r="W406" s="116">
        <v>1795.36</v>
      </c>
      <c r="X406" s="114">
        <v>437397.8</v>
      </c>
      <c r="Y406" s="30">
        <v>45520</v>
      </c>
      <c r="Z406" s="28">
        <v>2024</v>
      </c>
      <c r="AA406" s="28">
        <v>8</v>
      </c>
      <c r="AB406" s="34">
        <v>26978.8754279799</v>
      </c>
      <c r="AC406" s="34">
        <v>24346.446851140001</v>
      </c>
      <c r="AD406" s="117">
        <v>6500.8799999999901</v>
      </c>
      <c r="AE406" s="117">
        <v>269788.75427979999</v>
      </c>
      <c r="AF406" s="118" t="s">
        <v>551</v>
      </c>
      <c r="AG406" s="118" t="s">
        <v>66</v>
      </c>
    </row>
    <row r="407" spans="2:33" x14ac:dyDescent="0.2">
      <c r="B407" s="114">
        <f>CHOOSE(B$1,Tabla2[[#This Row],[Edad]]*12/365,Tabla2[[#This Row],[Tn/Ha]],Tabla2[[#This Row],[Tn]],Tabla2[[#This Row],[Area_Cosecha]])</f>
        <v>11.410444798750522</v>
      </c>
      <c r="C407" s="87" t="s">
        <v>550</v>
      </c>
      <c r="D407" s="23" t="s">
        <v>551</v>
      </c>
      <c r="E407" s="23" t="s">
        <v>551</v>
      </c>
      <c r="F407" s="23" t="s">
        <v>243</v>
      </c>
      <c r="G407" s="23" t="s">
        <v>19</v>
      </c>
      <c r="H407" s="23" t="s">
        <v>20</v>
      </c>
      <c r="I407" s="23" t="s">
        <v>2</v>
      </c>
      <c r="J407" s="23" t="s">
        <v>4</v>
      </c>
      <c r="K407" s="23" t="s">
        <v>697</v>
      </c>
      <c r="L407" s="23">
        <v>2023</v>
      </c>
      <c r="M407" s="24" t="s">
        <v>304</v>
      </c>
      <c r="N407" s="24">
        <v>45105</v>
      </c>
      <c r="O407" s="23" t="s">
        <v>50</v>
      </c>
      <c r="P407" s="86">
        <v>347.06769596199501</v>
      </c>
      <c r="Q407" s="86">
        <v>16.84</v>
      </c>
      <c r="R407" s="25">
        <v>16.84</v>
      </c>
      <c r="S407" s="25">
        <v>81.78</v>
      </c>
      <c r="T407" s="25">
        <v>7.17</v>
      </c>
      <c r="U407" s="25">
        <v>15.3949249904809</v>
      </c>
      <c r="V407" s="115">
        <v>13.889306002047499</v>
      </c>
      <c r="W407" s="116">
        <v>1377.24</v>
      </c>
      <c r="X407" s="114">
        <v>376705.52</v>
      </c>
      <c r="Y407" s="30">
        <v>45453</v>
      </c>
      <c r="Z407" s="28">
        <v>2024</v>
      </c>
      <c r="AA407" s="28">
        <v>6</v>
      </c>
      <c r="AB407" s="34">
        <v>21202.50649389</v>
      </c>
      <c r="AC407" s="34">
        <v>19128.907798259999</v>
      </c>
      <c r="AD407" s="117">
        <v>5844.62</v>
      </c>
      <c r="AE407" s="117">
        <v>212025.0649389</v>
      </c>
      <c r="AF407" s="118" t="s">
        <v>551</v>
      </c>
      <c r="AG407" s="118" t="s">
        <v>66</v>
      </c>
    </row>
    <row r="408" spans="2:33" x14ac:dyDescent="0.2">
      <c r="B408" s="114">
        <f>CHOOSE(B$1,Tabla2[[#This Row],[Edad]]*12/365,Tabla2[[#This Row],[Tn/Ha]],Tabla2[[#This Row],[Tn]],Tabla2[[#This Row],[Area_Cosecha]])</f>
        <v>10.453627927529819</v>
      </c>
      <c r="C408" s="87" t="s">
        <v>550</v>
      </c>
      <c r="D408" s="23" t="s">
        <v>551</v>
      </c>
      <c r="E408" s="23" t="s">
        <v>551</v>
      </c>
      <c r="F408" s="23" t="s">
        <v>244</v>
      </c>
      <c r="G408" s="23" t="s">
        <v>19</v>
      </c>
      <c r="H408" s="23" t="s">
        <v>20</v>
      </c>
      <c r="I408" s="23" t="s">
        <v>2</v>
      </c>
      <c r="J408" s="23" t="s">
        <v>5</v>
      </c>
      <c r="K408" s="23" t="s">
        <v>654</v>
      </c>
      <c r="L408" s="23">
        <v>2023</v>
      </c>
      <c r="M408" s="24" t="s">
        <v>304</v>
      </c>
      <c r="N408" s="24">
        <v>45094</v>
      </c>
      <c r="O408" s="23" t="s">
        <v>50</v>
      </c>
      <c r="P408" s="86">
        <v>317.96451612903201</v>
      </c>
      <c r="Q408" s="86">
        <v>13.99</v>
      </c>
      <c r="R408" s="25">
        <v>12.4</v>
      </c>
      <c r="S408" s="25">
        <v>100.62</v>
      </c>
      <c r="T408" s="25">
        <v>9.6199999999999992</v>
      </c>
      <c r="U408" s="25">
        <v>13.3174839481501</v>
      </c>
      <c r="V408" s="115">
        <v>11.7796901046696</v>
      </c>
      <c r="W408" s="116">
        <v>1247.6399999999901</v>
      </c>
      <c r="X408" s="114">
        <v>627451.59</v>
      </c>
      <c r="Y408" s="30">
        <v>45412</v>
      </c>
      <c r="Z408" s="28">
        <v>2024</v>
      </c>
      <c r="AA408" s="28">
        <v>4</v>
      </c>
      <c r="AB408" s="34">
        <v>16615.42567307</v>
      </c>
      <c r="AC408" s="34">
        <v>14696.8125621899</v>
      </c>
      <c r="AD408" s="117">
        <v>3942.76</v>
      </c>
      <c r="AE408" s="117">
        <v>166154.2567307</v>
      </c>
      <c r="AF408" s="118" t="s">
        <v>551</v>
      </c>
      <c r="AG408" s="118" t="s">
        <v>66</v>
      </c>
    </row>
    <row r="409" spans="2:33" x14ac:dyDescent="0.2">
      <c r="B409" s="114">
        <f>CHOOSE(B$1,Tabla2[[#This Row],[Edad]]*12/365,Tabla2[[#This Row],[Tn/Ha]],Tabla2[[#This Row],[Tn]],Tabla2[[#This Row],[Area_Cosecha]])</f>
        <v>10.487671232876712</v>
      </c>
      <c r="C409" s="87" t="s">
        <v>550</v>
      </c>
      <c r="D409" s="23" t="s">
        <v>551</v>
      </c>
      <c r="E409" s="23" t="s">
        <v>551</v>
      </c>
      <c r="F409" s="23" t="s">
        <v>244</v>
      </c>
      <c r="G409" s="23" t="s">
        <v>19</v>
      </c>
      <c r="H409" s="23" t="s">
        <v>20</v>
      </c>
      <c r="I409" s="23" t="s">
        <v>2</v>
      </c>
      <c r="J409" s="23" t="s">
        <v>5</v>
      </c>
      <c r="K409" s="23" t="s">
        <v>654</v>
      </c>
      <c r="L409" s="23">
        <v>2023</v>
      </c>
      <c r="M409" s="24" t="s">
        <v>304</v>
      </c>
      <c r="N409" s="24">
        <v>45094</v>
      </c>
      <c r="O409" s="23" t="s">
        <v>50</v>
      </c>
      <c r="P409" s="86">
        <v>319</v>
      </c>
      <c r="Q409" s="86">
        <v>13.99</v>
      </c>
      <c r="R409" s="25">
        <v>1.59</v>
      </c>
      <c r="S409" s="25">
        <v>100.41</v>
      </c>
      <c r="T409" s="25">
        <v>9.57</v>
      </c>
      <c r="U409" s="25">
        <v>13.400333</v>
      </c>
      <c r="V409" s="115">
        <v>11.836333</v>
      </c>
      <c r="W409" s="116">
        <v>159.65</v>
      </c>
      <c r="X409" s="114">
        <v>160302.66</v>
      </c>
      <c r="Y409" s="30">
        <v>45413</v>
      </c>
      <c r="Z409" s="28">
        <v>2024</v>
      </c>
      <c r="AA409" s="28">
        <v>5</v>
      </c>
      <c r="AB409" s="34">
        <v>2139.3631634499998</v>
      </c>
      <c r="AC409" s="34">
        <v>1889.6705634499999</v>
      </c>
      <c r="AD409" s="117">
        <v>507.21</v>
      </c>
      <c r="AE409" s="117">
        <v>21393.631634500001</v>
      </c>
      <c r="AF409" s="118" t="s">
        <v>551</v>
      </c>
      <c r="AG409" s="118" t="s">
        <v>66</v>
      </c>
    </row>
    <row r="410" spans="2:33" x14ac:dyDescent="0.2">
      <c r="B410" s="114">
        <f>CHOOSE(B$1,Tabla2[[#This Row],[Edad]]*12/365,Tabla2[[#This Row],[Tn/Ha]],Tabla2[[#This Row],[Tn]],Tabla2[[#This Row],[Area_Cosecha]])</f>
        <v>11.403903784634695</v>
      </c>
      <c r="C410" s="87" t="s">
        <v>550</v>
      </c>
      <c r="D410" s="23" t="s">
        <v>551</v>
      </c>
      <c r="E410" s="23" t="s">
        <v>551</v>
      </c>
      <c r="F410" s="23" t="s">
        <v>245</v>
      </c>
      <c r="G410" s="23" t="s">
        <v>19</v>
      </c>
      <c r="H410" s="23" t="s">
        <v>20</v>
      </c>
      <c r="I410" s="23" t="s">
        <v>2</v>
      </c>
      <c r="J410" s="23" t="s">
        <v>7</v>
      </c>
      <c r="K410" s="23" t="s">
        <v>698</v>
      </c>
      <c r="L410" s="23">
        <v>2022</v>
      </c>
      <c r="M410" s="24" t="s">
        <v>64</v>
      </c>
      <c r="N410" s="24">
        <v>45105</v>
      </c>
      <c r="O410" s="23" t="s">
        <v>50</v>
      </c>
      <c r="P410" s="86">
        <v>346.868740115972</v>
      </c>
      <c r="Q410" s="86">
        <v>18.97</v>
      </c>
      <c r="R410" s="25">
        <v>18.97</v>
      </c>
      <c r="S410" s="25">
        <v>92.98</v>
      </c>
      <c r="T410" s="25">
        <v>8.15</v>
      </c>
      <c r="U410" s="25">
        <v>15.8074348223181</v>
      </c>
      <c r="V410" s="115">
        <v>14.296019079222299</v>
      </c>
      <c r="W410" s="116">
        <v>1763.77</v>
      </c>
      <c r="X410" s="114">
        <v>410415.67</v>
      </c>
      <c r="Y410" s="30">
        <v>45457</v>
      </c>
      <c r="Z410" s="28">
        <v>2024</v>
      </c>
      <c r="AA410" s="28">
        <v>6</v>
      </c>
      <c r="AB410" s="34">
        <v>27880.679316559999</v>
      </c>
      <c r="AC410" s="34">
        <v>25214.88957136</v>
      </c>
      <c r="AD410" s="117">
        <v>6580.1</v>
      </c>
      <c r="AE410" s="117">
        <v>278806.79316559999</v>
      </c>
      <c r="AF410" s="118" t="s">
        <v>551</v>
      </c>
      <c r="AG410" s="118" t="s">
        <v>66</v>
      </c>
    </row>
    <row r="411" spans="2:33" x14ac:dyDescent="0.2">
      <c r="B411" s="114">
        <f>CHOOSE(B$1,Tabla2[[#This Row],[Edad]]*12/365,Tabla2[[#This Row],[Tn/Ha]],Tabla2[[#This Row],[Tn]],Tabla2[[#This Row],[Area_Cosecha]])</f>
        <v>12.391380505570257</v>
      </c>
      <c r="C411" s="87" t="s">
        <v>550</v>
      </c>
      <c r="D411" s="23" t="s">
        <v>551</v>
      </c>
      <c r="E411" s="23" t="s">
        <v>551</v>
      </c>
      <c r="F411" s="23" t="s">
        <v>460</v>
      </c>
      <c r="G411" s="23" t="s">
        <v>19</v>
      </c>
      <c r="H411" s="23" t="s">
        <v>20</v>
      </c>
      <c r="I411" s="23" t="s">
        <v>2</v>
      </c>
      <c r="J411" s="23" t="s">
        <v>8</v>
      </c>
      <c r="K411" s="23" t="s">
        <v>740</v>
      </c>
      <c r="L411" s="23">
        <v>2022</v>
      </c>
      <c r="M411" s="24" t="s">
        <v>63</v>
      </c>
      <c r="N411" s="24">
        <v>45122</v>
      </c>
      <c r="O411" s="23" t="s">
        <v>50</v>
      </c>
      <c r="P411" s="86">
        <v>376.90449037776199</v>
      </c>
      <c r="Q411" s="86">
        <v>14.28</v>
      </c>
      <c r="R411" s="25">
        <v>14.0299999999999</v>
      </c>
      <c r="S411" s="25">
        <v>141.82</v>
      </c>
      <c r="T411" s="25">
        <v>11.44</v>
      </c>
      <c r="U411" s="25">
        <v>13.7211107525179</v>
      </c>
      <c r="V411" s="115">
        <v>12.2865795775284</v>
      </c>
      <c r="W411" s="116">
        <v>1989.72</v>
      </c>
      <c r="X411" s="114">
        <v>708680.6</v>
      </c>
      <c r="Y411" s="30">
        <v>45500</v>
      </c>
      <c r="Z411" s="28">
        <v>2024</v>
      </c>
      <c r="AA411" s="28">
        <v>7</v>
      </c>
      <c r="AB411" s="34">
        <v>27301.168486499999</v>
      </c>
      <c r="AC411" s="34">
        <v>24446.853116999999</v>
      </c>
      <c r="AD411" s="117">
        <v>5287.97</v>
      </c>
      <c r="AE411" s="117">
        <v>273011.68486499903</v>
      </c>
      <c r="AF411" s="118" t="s">
        <v>551</v>
      </c>
      <c r="AG411" s="118" t="s">
        <v>66</v>
      </c>
    </row>
    <row r="412" spans="2:33" x14ac:dyDescent="0.2">
      <c r="B412" s="114">
        <f>CHOOSE(B$1,Tabla2[[#This Row],[Edad]]*12/365,Tabla2[[#This Row],[Tn/Ha]],Tabla2[[#This Row],[Tn]],Tabla2[[#This Row],[Area_Cosecha]])</f>
        <v>12.887671232876713</v>
      </c>
      <c r="C412" s="87" t="s">
        <v>550</v>
      </c>
      <c r="D412" s="23" t="s">
        <v>551</v>
      </c>
      <c r="E412" s="23" t="s">
        <v>551</v>
      </c>
      <c r="F412" s="23" t="s">
        <v>460</v>
      </c>
      <c r="G412" s="23" t="s">
        <v>19</v>
      </c>
      <c r="H412" s="23" t="s">
        <v>20</v>
      </c>
      <c r="I412" s="23" t="s">
        <v>2</v>
      </c>
      <c r="J412" s="23" t="s">
        <v>8</v>
      </c>
      <c r="K412" s="23" t="s">
        <v>740</v>
      </c>
      <c r="L412" s="23">
        <v>2022</v>
      </c>
      <c r="M412" s="24" t="s">
        <v>63</v>
      </c>
      <c r="N412" s="24">
        <v>45122</v>
      </c>
      <c r="O412" s="23" t="s">
        <v>50</v>
      </c>
      <c r="P412" s="86">
        <v>392</v>
      </c>
      <c r="Q412" s="86">
        <v>14.28</v>
      </c>
      <c r="R412" s="25">
        <v>0.12</v>
      </c>
      <c r="S412" s="25">
        <v>219</v>
      </c>
      <c r="T412" s="25">
        <v>16.989999999999998</v>
      </c>
      <c r="U412" s="25">
        <v>13.793118</v>
      </c>
      <c r="V412" s="115">
        <v>12.36997</v>
      </c>
      <c r="W412" s="116">
        <v>26.28</v>
      </c>
      <c r="X412" s="114">
        <v>57553.2</v>
      </c>
      <c r="Y412" s="30">
        <v>45514</v>
      </c>
      <c r="Z412" s="28">
        <v>2024</v>
      </c>
      <c r="AA412" s="28">
        <v>8</v>
      </c>
      <c r="AB412" s="34">
        <v>362.48314104000002</v>
      </c>
      <c r="AC412" s="34">
        <v>325.08281160000001</v>
      </c>
      <c r="AD412" s="117">
        <v>47.04</v>
      </c>
      <c r="AE412" s="117">
        <v>3624.8314104000001</v>
      </c>
      <c r="AF412" s="118" t="s">
        <v>551</v>
      </c>
      <c r="AG412" s="118" t="s">
        <v>66</v>
      </c>
    </row>
    <row r="413" spans="2:33" x14ac:dyDescent="0.2">
      <c r="B413" s="114">
        <f>CHOOSE(B$1,Tabla2[[#This Row],[Edad]]*12/365,Tabla2[[#This Row],[Tn/Ha]],Tabla2[[#This Row],[Tn]],Tabla2[[#This Row],[Area_Cosecha]])</f>
        <v>12.452187641390431</v>
      </c>
      <c r="C413" s="87" t="s">
        <v>550</v>
      </c>
      <c r="D413" s="23" t="s">
        <v>551</v>
      </c>
      <c r="E413" s="23" t="s">
        <v>551</v>
      </c>
      <c r="F413" s="23" t="s">
        <v>462</v>
      </c>
      <c r="G413" s="23" t="s">
        <v>19</v>
      </c>
      <c r="H413" s="23" t="s">
        <v>20</v>
      </c>
      <c r="I413" s="23" t="s">
        <v>2</v>
      </c>
      <c r="J413" s="23" t="s">
        <v>37</v>
      </c>
      <c r="K413" s="23" t="s">
        <v>741</v>
      </c>
      <c r="L413" s="23">
        <v>2022</v>
      </c>
      <c r="M413" s="24" t="s">
        <v>63</v>
      </c>
      <c r="N413" s="24">
        <v>45122</v>
      </c>
      <c r="O413" s="23" t="s">
        <v>50</v>
      </c>
      <c r="P413" s="86">
        <v>378.75404075895898</v>
      </c>
      <c r="Q413" s="86">
        <v>14.23</v>
      </c>
      <c r="R413" s="25">
        <v>14.23</v>
      </c>
      <c r="S413" s="25">
        <v>110.88</v>
      </c>
      <c r="T413" s="25">
        <v>8.9</v>
      </c>
      <c r="U413" s="25">
        <v>14.1660564420424</v>
      </c>
      <c r="V413" s="115">
        <v>12.7183065032321</v>
      </c>
      <c r="W413" s="116">
        <v>1577.88</v>
      </c>
      <c r="X413" s="114">
        <v>440830.99</v>
      </c>
      <c r="Y413" s="30">
        <v>45502</v>
      </c>
      <c r="Z413" s="28">
        <v>2024</v>
      </c>
      <c r="AA413" s="28">
        <v>7</v>
      </c>
      <c r="AB413" s="34">
        <v>22352.337138769999</v>
      </c>
      <c r="AC413" s="34">
        <v>20067.961465320001</v>
      </c>
      <c r="AD413" s="117">
        <v>5389.67</v>
      </c>
      <c r="AE413" s="117">
        <v>223523.3713877</v>
      </c>
      <c r="AF413" s="118" t="s">
        <v>551</v>
      </c>
      <c r="AG413" s="118" t="s">
        <v>66</v>
      </c>
    </row>
    <row r="414" spans="2:33" x14ac:dyDescent="0.2">
      <c r="B414" s="114">
        <f>CHOOSE(B$1,Tabla2[[#This Row],[Edad]]*12/365,Tabla2[[#This Row],[Tn/Ha]],Tabla2[[#This Row],[Tn]],Tabla2[[#This Row],[Area_Cosecha]])</f>
        <v>12.430332681017589</v>
      </c>
      <c r="C414" s="87" t="s">
        <v>550</v>
      </c>
      <c r="D414" s="23" t="s">
        <v>551</v>
      </c>
      <c r="E414" s="23" t="s">
        <v>551</v>
      </c>
      <c r="F414" s="23" t="s">
        <v>246</v>
      </c>
      <c r="G414" s="23" t="s">
        <v>19</v>
      </c>
      <c r="H414" s="23" t="s">
        <v>20</v>
      </c>
      <c r="I414" s="23" t="s">
        <v>9</v>
      </c>
      <c r="J414" s="23" t="s">
        <v>3</v>
      </c>
      <c r="K414" s="23" t="s">
        <v>742</v>
      </c>
      <c r="L414" s="23">
        <v>2023</v>
      </c>
      <c r="M414" s="24" t="s">
        <v>304</v>
      </c>
      <c r="N414" s="24">
        <v>45120</v>
      </c>
      <c r="O414" s="23" t="s">
        <v>50</v>
      </c>
      <c r="P414" s="86">
        <v>378.08928571428498</v>
      </c>
      <c r="Q414" s="86">
        <v>12.56</v>
      </c>
      <c r="R414" s="25">
        <v>11.76</v>
      </c>
      <c r="S414" s="25">
        <v>133.69999999999999</v>
      </c>
      <c r="T414" s="25">
        <v>10.76</v>
      </c>
      <c r="U414" s="25">
        <v>14.618336508624299</v>
      </c>
      <c r="V414" s="115">
        <v>13.167893676461199</v>
      </c>
      <c r="W414" s="116">
        <v>1572.3</v>
      </c>
      <c r="X414" s="114">
        <v>697102.59</v>
      </c>
      <c r="Y414" s="30">
        <v>45499</v>
      </c>
      <c r="Z414" s="28">
        <v>2024</v>
      </c>
      <c r="AA414" s="28">
        <v>7</v>
      </c>
      <c r="AB414" s="34">
        <v>22984.41049251</v>
      </c>
      <c r="AC414" s="34">
        <v>20703.8792274999</v>
      </c>
      <c r="AD414" s="117">
        <v>4446.33</v>
      </c>
      <c r="AE414" s="117">
        <v>229844.10492509999</v>
      </c>
      <c r="AF414" s="118" t="s">
        <v>551</v>
      </c>
      <c r="AG414" s="118" t="s">
        <v>66</v>
      </c>
    </row>
    <row r="415" spans="2:33" x14ac:dyDescent="0.2">
      <c r="B415" s="114">
        <f>CHOOSE(B$1,Tabla2[[#This Row],[Edad]]*12/365,Tabla2[[#This Row],[Tn/Ha]],Tabla2[[#This Row],[Tn]],Tabla2[[#This Row],[Area_Cosecha]])</f>
        <v>12.797260273972569</v>
      </c>
      <c r="C415" s="87" t="s">
        <v>550</v>
      </c>
      <c r="D415" s="23" t="s">
        <v>551</v>
      </c>
      <c r="E415" s="23" t="s">
        <v>551</v>
      </c>
      <c r="F415" s="23" t="s">
        <v>246</v>
      </c>
      <c r="G415" s="23" t="s">
        <v>19</v>
      </c>
      <c r="H415" s="23" t="s">
        <v>20</v>
      </c>
      <c r="I415" s="23" t="s">
        <v>9</v>
      </c>
      <c r="J415" s="23" t="s">
        <v>3</v>
      </c>
      <c r="K415" s="23" t="s">
        <v>742</v>
      </c>
      <c r="L415" s="23">
        <v>2023</v>
      </c>
      <c r="M415" s="24" t="s">
        <v>304</v>
      </c>
      <c r="N415" s="24">
        <v>45120</v>
      </c>
      <c r="O415" s="23" t="s">
        <v>50</v>
      </c>
      <c r="P415" s="86">
        <v>389.24999999999898</v>
      </c>
      <c r="Q415" s="86">
        <v>12.56</v>
      </c>
      <c r="R415" s="25">
        <v>0.8</v>
      </c>
      <c r="S415" s="25">
        <v>60.17</v>
      </c>
      <c r="T415" s="25">
        <v>4.7</v>
      </c>
      <c r="U415" s="25">
        <v>13.707282509347699</v>
      </c>
      <c r="V415" s="115">
        <v>12.254845450768499</v>
      </c>
      <c r="W415" s="116">
        <v>48.14</v>
      </c>
      <c r="X415" s="114">
        <v>14422.6</v>
      </c>
      <c r="Y415" s="30">
        <v>45510</v>
      </c>
      <c r="Z415" s="28">
        <v>2024</v>
      </c>
      <c r="AA415" s="28">
        <v>8</v>
      </c>
      <c r="AB415" s="34">
        <v>659.86857999999995</v>
      </c>
      <c r="AC415" s="34">
        <v>589.94826</v>
      </c>
      <c r="AD415" s="117">
        <v>311.39999999999998</v>
      </c>
      <c r="AE415" s="117">
        <v>6598.6858000000002</v>
      </c>
      <c r="AF415" s="118" t="s">
        <v>551</v>
      </c>
      <c r="AG415" s="118" t="s">
        <v>66</v>
      </c>
    </row>
    <row r="416" spans="2:33" x14ac:dyDescent="0.2">
      <c r="B416" s="114">
        <f>CHOOSE(B$1,Tabla2[[#This Row],[Edad]]*12/365,Tabla2[[#This Row],[Tn/Ha]],Tabla2[[#This Row],[Tn]],Tabla2[[#This Row],[Area_Cosecha]])</f>
        <v>11.371533266580002</v>
      </c>
      <c r="C416" s="87" t="s">
        <v>550</v>
      </c>
      <c r="D416" s="23" t="s">
        <v>551</v>
      </c>
      <c r="E416" s="23" t="s">
        <v>551</v>
      </c>
      <c r="F416" s="23" t="s">
        <v>247</v>
      </c>
      <c r="G416" s="23" t="s">
        <v>19</v>
      </c>
      <c r="H416" s="23" t="s">
        <v>20</v>
      </c>
      <c r="I416" s="23" t="s">
        <v>9</v>
      </c>
      <c r="J416" s="23" t="s">
        <v>4</v>
      </c>
      <c r="K416" s="23" t="s">
        <v>778</v>
      </c>
      <c r="L416" s="23">
        <v>2023</v>
      </c>
      <c r="M416" s="24" t="s">
        <v>62</v>
      </c>
      <c r="N416" s="24">
        <v>45166</v>
      </c>
      <c r="O416" s="23" t="s">
        <v>79</v>
      </c>
      <c r="P416" s="86">
        <v>345.88413685847502</v>
      </c>
      <c r="Q416" s="86">
        <v>12.86</v>
      </c>
      <c r="R416" s="25">
        <v>12.86</v>
      </c>
      <c r="S416" s="25">
        <v>83.91</v>
      </c>
      <c r="T416" s="25">
        <v>7.38</v>
      </c>
      <c r="U416" s="25">
        <v>14.378420339924499</v>
      </c>
      <c r="V416" s="115">
        <v>12.948530648256799</v>
      </c>
      <c r="W416" s="116">
        <v>1079.0630000000001</v>
      </c>
      <c r="X416" s="114">
        <v>301404.39</v>
      </c>
      <c r="Y416" s="30">
        <v>45513</v>
      </c>
      <c r="Z416" s="28">
        <v>2024</v>
      </c>
      <c r="AA416" s="28">
        <v>8</v>
      </c>
      <c r="AB416" s="34">
        <v>15515.22138726</v>
      </c>
      <c r="AC416" s="34">
        <v>13972.2803269</v>
      </c>
      <c r="AD416" s="117">
        <v>4448.07</v>
      </c>
      <c r="AE416" s="117">
        <v>155152.2138726</v>
      </c>
      <c r="AF416" s="118" t="s">
        <v>551</v>
      </c>
      <c r="AG416" s="118" t="s">
        <v>66</v>
      </c>
    </row>
    <row r="417" spans="2:33" x14ac:dyDescent="0.2">
      <c r="B417" s="114">
        <f>CHOOSE(B$1,Tabla2[[#This Row],[Edad]]*12/365,Tabla2[[#This Row],[Tn/Ha]],Tabla2[[#This Row],[Tn]],Tabla2[[#This Row],[Area_Cosecha]])</f>
        <v>11.809059333408459</v>
      </c>
      <c r="C417" s="87" t="s">
        <v>550</v>
      </c>
      <c r="D417" s="23" t="s">
        <v>551</v>
      </c>
      <c r="E417" s="23" t="s">
        <v>551</v>
      </c>
      <c r="F417" s="23" t="s">
        <v>248</v>
      </c>
      <c r="G417" s="23" t="s">
        <v>19</v>
      </c>
      <c r="H417" s="23" t="s">
        <v>20</v>
      </c>
      <c r="I417" s="23" t="s">
        <v>9</v>
      </c>
      <c r="J417" s="23" t="s">
        <v>5</v>
      </c>
      <c r="K417" s="23" t="s">
        <v>699</v>
      </c>
      <c r="L417" s="23">
        <v>2023</v>
      </c>
      <c r="M417" s="24" t="s">
        <v>304</v>
      </c>
      <c r="N417" s="24">
        <v>45091</v>
      </c>
      <c r="O417" s="23" t="s">
        <v>50</v>
      </c>
      <c r="P417" s="86">
        <v>359.19222139117397</v>
      </c>
      <c r="Q417" s="86">
        <v>13.37</v>
      </c>
      <c r="R417" s="25">
        <v>13.37</v>
      </c>
      <c r="S417" s="25">
        <v>110.47</v>
      </c>
      <c r="T417" s="25">
        <v>9.35</v>
      </c>
      <c r="U417" s="25">
        <v>15.5575097960095</v>
      </c>
      <c r="V417" s="115">
        <v>14.0615936737913</v>
      </c>
      <c r="W417" s="116">
        <v>1477.03</v>
      </c>
      <c r="X417" s="114">
        <v>822821.05</v>
      </c>
      <c r="Y417" s="30">
        <v>45451</v>
      </c>
      <c r="Z417" s="28">
        <v>2024</v>
      </c>
      <c r="AA417" s="28">
        <v>6</v>
      </c>
      <c r="AB417" s="34">
        <v>22978.9086939999</v>
      </c>
      <c r="AC417" s="34">
        <v>20769.395703999999</v>
      </c>
      <c r="AD417" s="117">
        <v>4802.3999999999996</v>
      </c>
      <c r="AE417" s="117">
        <v>229789.08694000001</v>
      </c>
      <c r="AF417" s="118" t="s">
        <v>551</v>
      </c>
      <c r="AG417" s="118" t="s">
        <v>66</v>
      </c>
    </row>
    <row r="418" spans="2:33" x14ac:dyDescent="0.2">
      <c r="B418" s="114">
        <f>CHOOSE(B$1,Tabla2[[#This Row],[Edad]]*12/365,Tabla2[[#This Row],[Tn/Ha]],Tabla2[[#This Row],[Tn]],Tabla2[[#This Row],[Area_Cosecha]])</f>
        <v>14.398473069964405</v>
      </c>
      <c r="C418" s="87" t="s">
        <v>550</v>
      </c>
      <c r="D418" s="23" t="s">
        <v>551</v>
      </c>
      <c r="E418" s="23" t="s">
        <v>551</v>
      </c>
      <c r="F418" s="23" t="s">
        <v>405</v>
      </c>
      <c r="G418" s="23" t="s">
        <v>19</v>
      </c>
      <c r="H418" s="23" t="s">
        <v>20</v>
      </c>
      <c r="I418" s="23" t="s">
        <v>9</v>
      </c>
      <c r="J418" s="23" t="s">
        <v>7</v>
      </c>
      <c r="K418" s="23" t="s">
        <v>673</v>
      </c>
      <c r="L418" s="23">
        <v>2022</v>
      </c>
      <c r="M418" s="24" t="s">
        <v>63</v>
      </c>
      <c r="N418" s="24">
        <v>44993</v>
      </c>
      <c r="O418" s="23" t="s">
        <v>50</v>
      </c>
      <c r="P418" s="86">
        <v>437.95355587808399</v>
      </c>
      <c r="Q418" s="86">
        <v>13.78</v>
      </c>
      <c r="R418" s="25">
        <v>13.78</v>
      </c>
      <c r="S418" s="25">
        <v>140.03</v>
      </c>
      <c r="T418" s="25">
        <v>9.73</v>
      </c>
      <c r="U418" s="25">
        <v>13.6783027962083</v>
      </c>
      <c r="V418" s="115">
        <v>12.2176332164273</v>
      </c>
      <c r="W418" s="116">
        <v>1929.6130000000001</v>
      </c>
      <c r="X418" s="114">
        <v>930653.47</v>
      </c>
      <c r="Y418" s="30">
        <v>45432</v>
      </c>
      <c r="Z418" s="28">
        <v>2024</v>
      </c>
      <c r="AA418" s="28">
        <v>5</v>
      </c>
      <c r="AB418" s="34">
        <v>26393.830893499999</v>
      </c>
      <c r="AC418" s="34">
        <v>23575.303883650002</v>
      </c>
      <c r="AD418" s="117">
        <v>6034.99999999999</v>
      </c>
      <c r="AE418" s="117">
        <v>263938.30893499998</v>
      </c>
      <c r="AF418" s="118" t="s">
        <v>551</v>
      </c>
      <c r="AG418" s="118" t="s">
        <v>66</v>
      </c>
    </row>
    <row r="419" spans="2:33" x14ac:dyDescent="0.2">
      <c r="B419" s="114">
        <f>CHOOSE(B$1,Tabla2[[#This Row],[Edad]]*12/365,Tabla2[[#This Row],[Tn/Ha]],Tabla2[[#This Row],[Tn]],Tabla2[[#This Row],[Area_Cosecha]])</f>
        <v>14.088985379161938</v>
      </c>
      <c r="C419" s="87" t="s">
        <v>550</v>
      </c>
      <c r="D419" s="23" t="s">
        <v>551</v>
      </c>
      <c r="E419" s="23" t="s">
        <v>551</v>
      </c>
      <c r="F419" s="23" t="s">
        <v>249</v>
      </c>
      <c r="G419" s="23" t="s">
        <v>19</v>
      </c>
      <c r="H419" s="23" t="s">
        <v>20</v>
      </c>
      <c r="I419" s="23" t="s">
        <v>9</v>
      </c>
      <c r="J419" s="23" t="s">
        <v>37</v>
      </c>
      <c r="K419" s="23" t="s">
        <v>855</v>
      </c>
      <c r="L419" s="23">
        <v>2022</v>
      </c>
      <c r="M419" s="24" t="s">
        <v>283</v>
      </c>
      <c r="N419" s="24">
        <v>45167</v>
      </c>
      <c r="O419" s="23" t="s">
        <v>50</v>
      </c>
      <c r="P419" s="86">
        <v>428.53997194950898</v>
      </c>
      <c r="Q419" s="86">
        <v>13.89</v>
      </c>
      <c r="R419" s="25">
        <v>7.13</v>
      </c>
      <c r="S419" s="25">
        <v>122.61</v>
      </c>
      <c r="T419" s="25">
        <v>8.6999999999999993</v>
      </c>
      <c r="U419" s="25">
        <v>14.4454511604364</v>
      </c>
      <c r="V419" s="115">
        <v>12.974279963168</v>
      </c>
      <c r="W419" s="116">
        <v>874.24</v>
      </c>
      <c r="X419" s="114">
        <v>535921.15</v>
      </c>
      <c r="Y419" s="30">
        <v>45596</v>
      </c>
      <c r="Z419" s="28">
        <v>2024</v>
      </c>
      <c r="AA419" s="28">
        <v>10</v>
      </c>
      <c r="AB419" s="34">
        <v>12628.7912225</v>
      </c>
      <c r="AC419" s="34">
        <v>11342.634515</v>
      </c>
      <c r="AD419" s="117">
        <v>3055.49</v>
      </c>
      <c r="AE419" s="117">
        <v>126287.91222499999</v>
      </c>
      <c r="AF419" s="118" t="s">
        <v>551</v>
      </c>
      <c r="AG419" s="118" t="s">
        <v>66</v>
      </c>
    </row>
    <row r="420" spans="2:33" x14ac:dyDescent="0.2">
      <c r="B420" s="114">
        <f>CHOOSE(B$1,Tabla2[[#This Row],[Edad]]*12/365,Tabla2[[#This Row],[Tn/Ha]],Tabla2[[#This Row],[Tn]],Tabla2[[#This Row],[Area_Cosecha]])</f>
        <v>14.141682974559684</v>
      </c>
      <c r="C420" s="87" t="s">
        <v>550</v>
      </c>
      <c r="D420" s="23" t="s">
        <v>551</v>
      </c>
      <c r="E420" s="23" t="s">
        <v>551</v>
      </c>
      <c r="F420" s="23" t="s">
        <v>249</v>
      </c>
      <c r="G420" s="23" t="s">
        <v>19</v>
      </c>
      <c r="H420" s="23" t="s">
        <v>20</v>
      </c>
      <c r="I420" s="23" t="s">
        <v>9</v>
      </c>
      <c r="J420" s="23" t="s">
        <v>37</v>
      </c>
      <c r="K420" s="23" t="s">
        <v>855</v>
      </c>
      <c r="L420" s="23">
        <v>2022</v>
      </c>
      <c r="M420" s="24" t="s">
        <v>283</v>
      </c>
      <c r="N420" s="24">
        <v>45167</v>
      </c>
      <c r="O420" s="23" t="s">
        <v>50</v>
      </c>
      <c r="P420" s="86">
        <v>430.142857142857</v>
      </c>
      <c r="Q420" s="86">
        <v>13.89</v>
      </c>
      <c r="R420" s="25">
        <v>4.76</v>
      </c>
      <c r="S420" s="25">
        <v>126.98</v>
      </c>
      <c r="T420" s="25">
        <v>8.98</v>
      </c>
      <c r="U420" s="25">
        <v>14.6514031299096</v>
      </c>
      <c r="V420" s="115">
        <v>13.2062881184606</v>
      </c>
      <c r="W420" s="116">
        <v>604.41999999999996</v>
      </c>
      <c r="X420" s="114">
        <v>384449.69</v>
      </c>
      <c r="Y420" s="30">
        <v>45598</v>
      </c>
      <c r="Z420" s="28">
        <v>2024</v>
      </c>
      <c r="AA420" s="28">
        <v>11</v>
      </c>
      <c r="AB420" s="34">
        <v>8855.6010797800009</v>
      </c>
      <c r="AC420" s="34">
        <v>7982.1446645599999</v>
      </c>
      <c r="AD420" s="117">
        <v>2047.48</v>
      </c>
      <c r="AE420" s="117">
        <v>88556.010797800001</v>
      </c>
      <c r="AF420" s="118" t="s">
        <v>551</v>
      </c>
      <c r="AG420" s="118" t="s">
        <v>66</v>
      </c>
    </row>
    <row r="421" spans="2:33" x14ac:dyDescent="0.2">
      <c r="B421" s="114">
        <f>CHOOSE(B$1,Tabla2[[#This Row],[Edad]]*12/365,Tabla2[[#This Row],[Tn/Ha]],Tabla2[[#This Row],[Tn]],Tabla2[[#This Row],[Area_Cosecha]])</f>
        <v>13.285161996563934</v>
      </c>
      <c r="C421" s="87" t="s">
        <v>550</v>
      </c>
      <c r="D421" s="23" t="s">
        <v>551</v>
      </c>
      <c r="E421" s="23" t="s">
        <v>551</v>
      </c>
      <c r="F421" s="23" t="s">
        <v>419</v>
      </c>
      <c r="G421" s="23" t="s">
        <v>19</v>
      </c>
      <c r="H421" s="23" t="s">
        <v>20</v>
      </c>
      <c r="I421" s="23" t="s">
        <v>10</v>
      </c>
      <c r="J421" s="23" t="s">
        <v>4</v>
      </c>
      <c r="K421" s="23" t="s">
        <v>613</v>
      </c>
      <c r="L421" s="23">
        <v>2022</v>
      </c>
      <c r="M421" s="24" t="s">
        <v>304</v>
      </c>
      <c r="N421" s="24">
        <v>44936</v>
      </c>
      <c r="O421" s="23" t="s">
        <v>50</v>
      </c>
      <c r="P421" s="86">
        <v>404.09034406215301</v>
      </c>
      <c r="Q421" s="86">
        <v>45.05</v>
      </c>
      <c r="R421" s="25">
        <v>45.05</v>
      </c>
      <c r="S421" s="25">
        <v>148.22999999999999</v>
      </c>
      <c r="T421" s="25">
        <v>11.16</v>
      </c>
      <c r="U421" s="25">
        <v>13.817564627410601</v>
      </c>
      <c r="V421" s="115">
        <v>12.332866764624001</v>
      </c>
      <c r="W421" s="116">
        <v>6677.9549999999999</v>
      </c>
      <c r="X421" s="114">
        <v>1651906.23</v>
      </c>
      <c r="Y421" s="30">
        <v>45343</v>
      </c>
      <c r="Z421" s="28">
        <v>2024</v>
      </c>
      <c r="AA421" s="28">
        <v>2</v>
      </c>
      <c r="AB421" s="34">
        <v>92273.074791439998</v>
      </c>
      <c r="AC421" s="34">
        <v>82358.329275155003</v>
      </c>
      <c r="AD421" s="117">
        <v>18204.27</v>
      </c>
      <c r="AE421" s="117">
        <v>922730.74791439902</v>
      </c>
      <c r="AF421" s="118" t="s">
        <v>551</v>
      </c>
      <c r="AG421" s="118" t="s">
        <v>66</v>
      </c>
    </row>
    <row r="422" spans="2:33" x14ac:dyDescent="0.2">
      <c r="B422" s="114">
        <f>CHOOSE(B$1,Tabla2[[#This Row],[Edad]]*12/365,Tabla2[[#This Row],[Tn/Ha]],Tabla2[[#This Row],[Tn]],Tabla2[[#This Row],[Area_Cosecha]])</f>
        <v>13.868175544309054</v>
      </c>
      <c r="C422" s="87" t="s">
        <v>550</v>
      </c>
      <c r="D422" s="23" t="s">
        <v>551</v>
      </c>
      <c r="E422" s="23" t="s">
        <v>551</v>
      </c>
      <c r="F422" s="23" t="s">
        <v>426</v>
      </c>
      <c r="G422" s="23" t="s">
        <v>19</v>
      </c>
      <c r="H422" s="23" t="s">
        <v>20</v>
      </c>
      <c r="I422" s="23" t="s">
        <v>10</v>
      </c>
      <c r="J422" s="23" t="s">
        <v>5</v>
      </c>
      <c r="K422" s="23" t="s">
        <v>614</v>
      </c>
      <c r="L422" s="23">
        <v>2022</v>
      </c>
      <c r="M422" s="24" t="s">
        <v>304</v>
      </c>
      <c r="N422" s="24">
        <v>44922</v>
      </c>
      <c r="O422" s="23" t="s">
        <v>50</v>
      </c>
      <c r="P422" s="86">
        <v>421.82367280606701</v>
      </c>
      <c r="Q422" s="86">
        <v>38.92</v>
      </c>
      <c r="R422" s="25">
        <v>36.92</v>
      </c>
      <c r="S422" s="25">
        <v>136.43</v>
      </c>
      <c r="T422" s="25">
        <v>9.84</v>
      </c>
      <c r="U422" s="25">
        <v>13.506853367817101</v>
      </c>
      <c r="V422" s="115">
        <v>12.045455828353299</v>
      </c>
      <c r="W422" s="116">
        <v>5037.1499999999996</v>
      </c>
      <c r="X422" s="114">
        <v>978066.91</v>
      </c>
      <c r="Y422" s="30">
        <v>45348</v>
      </c>
      <c r="Z422" s="28">
        <v>2024</v>
      </c>
      <c r="AA422" s="28">
        <v>2</v>
      </c>
      <c r="AB422" s="34">
        <v>68036.046441700004</v>
      </c>
      <c r="AC422" s="34">
        <v>60674.767825789997</v>
      </c>
      <c r="AD422" s="117">
        <v>15573.73</v>
      </c>
      <c r="AE422" s="117">
        <v>680360.46441699995</v>
      </c>
      <c r="AF422" s="118" t="s">
        <v>551</v>
      </c>
      <c r="AG422" s="118" t="s">
        <v>66</v>
      </c>
    </row>
    <row r="423" spans="2:33" x14ac:dyDescent="0.2">
      <c r="B423" s="114">
        <f>CHOOSE(B$1,Tabla2[[#This Row],[Edad]]*12/365,Tabla2[[#This Row],[Tn/Ha]],Tabla2[[#This Row],[Tn]],Tabla2[[#This Row],[Area_Cosecha]])</f>
        <v>11.27965918918629</v>
      </c>
      <c r="C423" s="87" t="s">
        <v>550</v>
      </c>
      <c r="D423" s="23" t="s">
        <v>551</v>
      </c>
      <c r="E423" s="23" t="s">
        <v>551</v>
      </c>
      <c r="F423" s="23" t="s">
        <v>250</v>
      </c>
      <c r="G423" s="23" t="s">
        <v>19</v>
      </c>
      <c r="H423" s="23" t="s">
        <v>20</v>
      </c>
      <c r="I423" s="23" t="s">
        <v>10</v>
      </c>
      <c r="J423" s="23" t="s">
        <v>6</v>
      </c>
      <c r="K423" s="23" t="s">
        <v>779</v>
      </c>
      <c r="L423" s="23">
        <v>2022</v>
      </c>
      <c r="M423" s="24" t="s">
        <v>64</v>
      </c>
      <c r="N423" s="24">
        <v>45171</v>
      </c>
      <c r="O423" s="23" t="s">
        <v>50</v>
      </c>
      <c r="P423" s="86">
        <v>343.08963367108299</v>
      </c>
      <c r="Q423" s="86">
        <v>41.99</v>
      </c>
      <c r="R423" s="25">
        <v>38.49</v>
      </c>
      <c r="S423" s="25">
        <v>91.57</v>
      </c>
      <c r="T423" s="25">
        <v>8.1199999999999992</v>
      </c>
      <c r="U423" s="25">
        <v>14.1060959744415</v>
      </c>
      <c r="V423" s="115">
        <v>12.663909142815299</v>
      </c>
      <c r="W423" s="116">
        <v>3524.4670000000001</v>
      </c>
      <c r="X423" s="114">
        <v>1076790.95</v>
      </c>
      <c r="Y423" s="30">
        <v>45515</v>
      </c>
      <c r="Z423" s="28">
        <v>2024</v>
      </c>
      <c r="AA423" s="28">
        <v>8</v>
      </c>
      <c r="AB423" s="34">
        <v>49716.469760751999</v>
      </c>
      <c r="AC423" s="34">
        <v>44633.529864851</v>
      </c>
      <c r="AD423" s="117">
        <v>13205.52</v>
      </c>
      <c r="AE423" s="117">
        <v>497164.69760751998</v>
      </c>
      <c r="AF423" s="118" t="s">
        <v>551</v>
      </c>
      <c r="AG423" s="118" t="s">
        <v>66</v>
      </c>
    </row>
    <row r="424" spans="2:33" x14ac:dyDescent="0.2">
      <c r="B424" s="114">
        <f>CHOOSE(B$1,Tabla2[[#This Row],[Edad]]*12/365,Tabla2[[#This Row],[Tn/Ha]],Tabla2[[#This Row],[Tn]],Tabla2[[#This Row],[Area_Cosecha]])</f>
        <v>13.786566414641623</v>
      </c>
      <c r="C424" s="87" t="s">
        <v>550</v>
      </c>
      <c r="D424" s="23" t="s">
        <v>551</v>
      </c>
      <c r="E424" s="23" t="s">
        <v>551</v>
      </c>
      <c r="F424" s="23" t="s">
        <v>251</v>
      </c>
      <c r="G424" s="23" t="s">
        <v>19</v>
      </c>
      <c r="H424" s="23" t="s">
        <v>20</v>
      </c>
      <c r="I424" s="23" t="s">
        <v>10</v>
      </c>
      <c r="J424" s="23" t="s">
        <v>8</v>
      </c>
      <c r="K424" s="23" t="s">
        <v>850</v>
      </c>
      <c r="L424" s="23">
        <v>2022</v>
      </c>
      <c r="M424" s="24" t="s">
        <v>64</v>
      </c>
      <c r="N424" s="24">
        <v>45174</v>
      </c>
      <c r="O424" s="23" t="s">
        <v>50</v>
      </c>
      <c r="P424" s="86">
        <v>419.34139511201602</v>
      </c>
      <c r="Q424" s="86">
        <v>39.54</v>
      </c>
      <c r="R424" s="25">
        <v>39.28</v>
      </c>
      <c r="S424" s="25">
        <v>108.01</v>
      </c>
      <c r="T424" s="25">
        <v>7.83</v>
      </c>
      <c r="U424" s="25">
        <v>14.3769945786484</v>
      </c>
      <c r="V424" s="115">
        <v>12.978559648029</v>
      </c>
      <c r="W424" s="116">
        <v>4242.68</v>
      </c>
      <c r="X424" s="114">
        <v>1147152.24</v>
      </c>
      <c r="Y424" s="30">
        <v>45595</v>
      </c>
      <c r="Z424" s="28">
        <v>2024</v>
      </c>
      <c r="AA424" s="28">
        <v>10</v>
      </c>
      <c r="AB424" s="34">
        <v>60996.987358940001</v>
      </c>
      <c r="AC424" s="34">
        <v>55063.875447500002</v>
      </c>
      <c r="AD424" s="117">
        <v>16471.73</v>
      </c>
      <c r="AE424" s="117">
        <v>609969.87358939997</v>
      </c>
      <c r="AF424" s="118" t="s">
        <v>551</v>
      </c>
      <c r="AG424" s="118" t="s">
        <v>66</v>
      </c>
    </row>
    <row r="425" spans="2:33" x14ac:dyDescent="0.2">
      <c r="B425" s="114">
        <f>CHOOSE(B$1,Tabla2[[#This Row],[Edad]]*12/365,Tabla2[[#This Row],[Tn/Ha]],Tabla2[[#This Row],[Tn]],Tabla2[[#This Row],[Area_Cosecha]])</f>
        <v>13.946048472075848</v>
      </c>
      <c r="C425" s="87" t="s">
        <v>550</v>
      </c>
      <c r="D425" s="23" t="s">
        <v>551</v>
      </c>
      <c r="E425" s="23" t="s">
        <v>551</v>
      </c>
      <c r="F425" s="23" t="s">
        <v>251</v>
      </c>
      <c r="G425" s="23" t="s">
        <v>19</v>
      </c>
      <c r="H425" s="23" t="s">
        <v>20</v>
      </c>
      <c r="I425" s="23" t="s">
        <v>10</v>
      </c>
      <c r="J425" s="23" t="s">
        <v>8</v>
      </c>
      <c r="K425" s="23" t="s">
        <v>850</v>
      </c>
      <c r="L425" s="23">
        <v>2022</v>
      </c>
      <c r="M425" s="24" t="s">
        <v>64</v>
      </c>
      <c r="N425" s="24">
        <v>45174</v>
      </c>
      <c r="O425" s="23" t="s">
        <v>50</v>
      </c>
      <c r="P425" s="86">
        <v>424.192307692307</v>
      </c>
      <c r="Q425" s="86">
        <v>39.54</v>
      </c>
      <c r="R425" s="25">
        <v>0.26</v>
      </c>
      <c r="S425" s="25">
        <v>135.19</v>
      </c>
      <c r="T425" s="25">
        <v>9.69</v>
      </c>
      <c r="U425" s="25">
        <v>14.4559445234708</v>
      </c>
      <c r="V425" s="115">
        <v>13.1003285917496</v>
      </c>
      <c r="W425" s="116">
        <v>35.15</v>
      </c>
      <c r="X425" s="114">
        <v>23555.86</v>
      </c>
      <c r="Y425" s="30">
        <v>45599</v>
      </c>
      <c r="Z425" s="28">
        <v>2024</v>
      </c>
      <c r="AA425" s="28">
        <v>11</v>
      </c>
      <c r="AB425" s="34">
        <v>508.12644999999998</v>
      </c>
      <c r="AC425" s="34">
        <v>460.47654999999997</v>
      </c>
      <c r="AD425" s="117">
        <v>110.289999999999</v>
      </c>
      <c r="AE425" s="117">
        <v>5081.2645000000002</v>
      </c>
      <c r="AF425" s="118" t="s">
        <v>551</v>
      </c>
      <c r="AG425" s="118" t="s">
        <v>66</v>
      </c>
    </row>
    <row r="426" spans="2:33" x14ac:dyDescent="0.2">
      <c r="B426" s="114">
        <f>CHOOSE(B$1,Tabla2[[#This Row],[Edad]]*12/365,Tabla2[[#This Row],[Tn/Ha]],Tabla2[[#This Row],[Tn]],Tabla2[[#This Row],[Area_Cosecha]])</f>
        <v>12.227453378171802</v>
      </c>
      <c r="C426" s="87" t="s">
        <v>550</v>
      </c>
      <c r="D426" s="23" t="s">
        <v>551</v>
      </c>
      <c r="E426" s="23" t="s">
        <v>551</v>
      </c>
      <c r="F426" s="23" t="s">
        <v>364</v>
      </c>
      <c r="G426" s="23" t="s">
        <v>19</v>
      </c>
      <c r="H426" s="23" t="s">
        <v>20</v>
      </c>
      <c r="I426" s="23" t="s">
        <v>11</v>
      </c>
      <c r="J426" s="23" t="s">
        <v>3</v>
      </c>
      <c r="K426" s="23" t="s">
        <v>743</v>
      </c>
      <c r="L426" s="23">
        <v>2022</v>
      </c>
      <c r="M426" s="24" t="s">
        <v>61</v>
      </c>
      <c r="N426" s="24">
        <v>45108</v>
      </c>
      <c r="O426" s="23" t="s">
        <v>79</v>
      </c>
      <c r="P426" s="86">
        <v>371.91837358605898</v>
      </c>
      <c r="Q426" s="86">
        <v>33.81</v>
      </c>
      <c r="R426" s="25">
        <v>32.71</v>
      </c>
      <c r="S426" s="25">
        <v>84.09</v>
      </c>
      <c r="T426" s="25">
        <v>6.88</v>
      </c>
      <c r="U426" s="25">
        <v>14.837449924314001</v>
      </c>
      <c r="V426" s="115">
        <v>13.325660706134</v>
      </c>
      <c r="W426" s="116">
        <v>2750.70999999999</v>
      </c>
      <c r="X426" s="114">
        <v>256940.03</v>
      </c>
      <c r="Y426" s="30">
        <v>45486</v>
      </c>
      <c r="Z426" s="28">
        <v>2024</v>
      </c>
      <c r="AA426" s="28">
        <v>7</v>
      </c>
      <c r="AB426" s="34">
        <v>40813.52188131</v>
      </c>
      <c r="AC426" s="34">
        <v>36655.028160969901</v>
      </c>
      <c r="AD426" s="117">
        <v>12165.449999999901</v>
      </c>
      <c r="AE426" s="117">
        <v>408135.21881310001</v>
      </c>
      <c r="AF426" s="118" t="s">
        <v>551</v>
      </c>
      <c r="AG426" s="118" t="s">
        <v>66</v>
      </c>
    </row>
    <row r="427" spans="2:33" x14ac:dyDescent="0.2">
      <c r="B427" s="114">
        <f>CHOOSE(B$1,Tabla2[[#This Row],[Edad]]*12/365,Tabla2[[#This Row],[Tn/Ha]],Tabla2[[#This Row],[Tn]],Tabla2[[#This Row],[Area_Cosecha]])</f>
        <v>12.401805350272012</v>
      </c>
      <c r="C427" s="87" t="s">
        <v>550</v>
      </c>
      <c r="D427" s="23" t="s">
        <v>551</v>
      </c>
      <c r="E427" s="23" t="s">
        <v>551</v>
      </c>
      <c r="F427" s="23" t="s">
        <v>360</v>
      </c>
      <c r="G427" s="23" t="s">
        <v>19</v>
      </c>
      <c r="H427" s="23" t="s">
        <v>20</v>
      </c>
      <c r="I427" s="23" t="s">
        <v>11</v>
      </c>
      <c r="J427" s="23" t="s">
        <v>4</v>
      </c>
      <c r="K427" s="23" t="s">
        <v>744</v>
      </c>
      <c r="L427" s="23">
        <v>2022</v>
      </c>
      <c r="M427" s="24" t="s">
        <v>61</v>
      </c>
      <c r="N427" s="24">
        <v>45110</v>
      </c>
      <c r="O427" s="23" t="s">
        <v>79</v>
      </c>
      <c r="P427" s="86">
        <v>377.22157940410699</v>
      </c>
      <c r="Q427" s="86">
        <v>34.57</v>
      </c>
      <c r="R427" s="25">
        <v>34.57</v>
      </c>
      <c r="S427" s="25">
        <v>88.49</v>
      </c>
      <c r="T427" s="25">
        <v>7.13</v>
      </c>
      <c r="U427" s="25">
        <v>15.491613569508599</v>
      </c>
      <c r="V427" s="115">
        <v>13.962391783848799</v>
      </c>
      <c r="W427" s="116">
        <v>3058.97</v>
      </c>
      <c r="X427" s="114">
        <v>895168</v>
      </c>
      <c r="Y427" s="30">
        <v>45488</v>
      </c>
      <c r="Z427" s="28">
        <v>2024</v>
      </c>
      <c r="AA427" s="28">
        <v>7</v>
      </c>
      <c r="AB427" s="34">
        <v>47388.381160719997</v>
      </c>
      <c r="AC427" s="34">
        <v>42710.537595039998</v>
      </c>
      <c r="AD427" s="117">
        <v>13040.55</v>
      </c>
      <c r="AE427" s="117">
        <v>473883.81160720001</v>
      </c>
      <c r="AF427" s="118" t="s">
        <v>551</v>
      </c>
      <c r="AG427" s="118" t="s">
        <v>66</v>
      </c>
    </row>
    <row r="428" spans="2:33" x14ac:dyDescent="0.2">
      <c r="B428" s="114">
        <f>CHOOSE(B$1,Tabla2[[#This Row],[Edad]]*12/365,Tabla2[[#This Row],[Tn/Ha]],Tabla2[[#This Row],[Tn]],Tabla2[[#This Row],[Area_Cosecha]])</f>
        <v>12.586719320216021</v>
      </c>
      <c r="C428" s="87" t="s">
        <v>550</v>
      </c>
      <c r="D428" s="23" t="s">
        <v>551</v>
      </c>
      <c r="E428" s="23" t="s">
        <v>551</v>
      </c>
      <c r="F428" s="23" t="s">
        <v>406</v>
      </c>
      <c r="G428" s="23" t="s">
        <v>19</v>
      </c>
      <c r="H428" s="23" t="s">
        <v>20</v>
      </c>
      <c r="I428" s="23" t="s">
        <v>11</v>
      </c>
      <c r="J428" s="23" t="s">
        <v>6</v>
      </c>
      <c r="K428" s="23" t="s">
        <v>572</v>
      </c>
      <c r="L428" s="23">
        <v>2022</v>
      </c>
      <c r="M428" s="24" t="s">
        <v>304</v>
      </c>
      <c r="N428" s="24">
        <v>44915</v>
      </c>
      <c r="O428" s="23" t="s">
        <v>50</v>
      </c>
      <c r="P428" s="86">
        <v>382.84604598990398</v>
      </c>
      <c r="Q428" s="86">
        <v>35.659999999999997</v>
      </c>
      <c r="R428" s="25">
        <v>35.659999999999997</v>
      </c>
      <c r="S428" s="25">
        <v>112.81</v>
      </c>
      <c r="T428" s="25">
        <v>8.9600000000000009</v>
      </c>
      <c r="U428" s="25">
        <v>13.785105623488599</v>
      </c>
      <c r="V428" s="115">
        <v>12.3445385241923</v>
      </c>
      <c r="W428" s="116">
        <v>4022.6299999999901</v>
      </c>
      <c r="X428" s="114">
        <v>1518857.7</v>
      </c>
      <c r="Y428" s="30">
        <v>45299</v>
      </c>
      <c r="Z428" s="28">
        <v>2024</v>
      </c>
      <c r="AA428" s="28">
        <v>1</v>
      </c>
      <c r="AB428" s="34">
        <v>55452.379434214003</v>
      </c>
      <c r="AC428" s="34">
        <v>49657.511003571999</v>
      </c>
      <c r="AD428" s="117">
        <v>13652.289999999901</v>
      </c>
      <c r="AE428" s="117">
        <v>554523.79434213997</v>
      </c>
      <c r="AF428" s="118" t="s">
        <v>551</v>
      </c>
      <c r="AG428" s="118" t="s">
        <v>66</v>
      </c>
    </row>
    <row r="429" spans="2:33" x14ac:dyDescent="0.2">
      <c r="B429" s="114">
        <f>CHOOSE(B$1,Tabla2[[#This Row],[Edad]]*12/365,Tabla2[[#This Row],[Tn/Ha]],Tabla2[[#This Row],[Tn]],Tabla2[[#This Row],[Area_Cosecha]])</f>
        <v>12.678419546105063</v>
      </c>
      <c r="C429" s="87" t="s">
        <v>550</v>
      </c>
      <c r="D429" s="23" t="s">
        <v>551</v>
      </c>
      <c r="E429" s="23" t="s">
        <v>551</v>
      </c>
      <c r="F429" s="23" t="s">
        <v>423</v>
      </c>
      <c r="G429" s="23" t="s">
        <v>19</v>
      </c>
      <c r="H429" s="23" t="s">
        <v>20</v>
      </c>
      <c r="I429" s="23" t="s">
        <v>11</v>
      </c>
      <c r="J429" s="23" t="s">
        <v>7</v>
      </c>
      <c r="K429" s="23" t="s">
        <v>573</v>
      </c>
      <c r="L429" s="23">
        <v>2022</v>
      </c>
      <c r="M429" s="24" t="s">
        <v>304</v>
      </c>
      <c r="N429" s="24">
        <v>44916</v>
      </c>
      <c r="O429" s="23" t="s">
        <v>50</v>
      </c>
      <c r="P429" s="86">
        <v>385.635261194029</v>
      </c>
      <c r="Q429" s="86">
        <v>38.81</v>
      </c>
      <c r="R429" s="25">
        <v>10.719999999999899</v>
      </c>
      <c r="S429" s="25">
        <v>115.75</v>
      </c>
      <c r="T429" s="25">
        <v>9.1300000000000008</v>
      </c>
      <c r="U429" s="25">
        <v>14.808943208100599</v>
      </c>
      <c r="V429" s="115">
        <v>13.363162353721901</v>
      </c>
      <c r="W429" s="116">
        <v>1240.8899999999901</v>
      </c>
      <c r="X429" s="114">
        <v>360860.77</v>
      </c>
      <c r="Y429" s="30">
        <v>45303</v>
      </c>
      <c r="Z429" s="28">
        <v>2024</v>
      </c>
      <c r="AA429" s="28">
        <v>1</v>
      </c>
      <c r="AB429" s="34">
        <v>18376.2695375</v>
      </c>
      <c r="AC429" s="34">
        <v>16582.21453311</v>
      </c>
      <c r="AD429" s="117">
        <v>4134.01</v>
      </c>
      <c r="AE429" s="117">
        <v>183762.69537500001</v>
      </c>
      <c r="AF429" s="118" t="s">
        <v>551</v>
      </c>
      <c r="AG429" s="118" t="s">
        <v>66</v>
      </c>
    </row>
    <row r="430" spans="2:33" x14ac:dyDescent="0.2">
      <c r="B430" s="114">
        <f>CHOOSE(B$1,Tabla2[[#This Row],[Edad]]*12/365,Tabla2[[#This Row],[Tn/Ha]],Tabla2[[#This Row],[Tn]],Tabla2[[#This Row],[Area_Cosecha]])</f>
        <v>13.425777222918477</v>
      </c>
      <c r="C430" s="87" t="s">
        <v>550</v>
      </c>
      <c r="D430" s="23" t="s">
        <v>551</v>
      </c>
      <c r="E430" s="23" t="s">
        <v>551</v>
      </c>
      <c r="F430" s="23" t="s">
        <v>423</v>
      </c>
      <c r="G430" s="23" t="s">
        <v>19</v>
      </c>
      <c r="H430" s="23" t="s">
        <v>20</v>
      </c>
      <c r="I430" s="23" t="s">
        <v>11</v>
      </c>
      <c r="J430" s="23" t="s">
        <v>7</v>
      </c>
      <c r="K430" s="23" t="s">
        <v>573</v>
      </c>
      <c r="L430" s="23">
        <v>2022</v>
      </c>
      <c r="M430" s="24" t="s">
        <v>304</v>
      </c>
      <c r="N430" s="24">
        <v>44916</v>
      </c>
      <c r="O430" s="23" t="s">
        <v>50</v>
      </c>
      <c r="P430" s="86">
        <v>408.36739053043698</v>
      </c>
      <c r="Q430" s="86">
        <v>38.81</v>
      </c>
      <c r="R430" s="25">
        <v>28.09</v>
      </c>
      <c r="S430" s="25">
        <v>118.85</v>
      </c>
      <c r="T430" s="25">
        <v>8.85</v>
      </c>
      <c r="U430" s="25">
        <v>13.8773077469356</v>
      </c>
      <c r="V430" s="115">
        <v>12.4203747015522</v>
      </c>
      <c r="W430" s="116">
        <v>3338.44</v>
      </c>
      <c r="X430" s="114">
        <v>793184.41</v>
      </c>
      <c r="Y430" s="30">
        <v>45336</v>
      </c>
      <c r="Z430" s="28">
        <v>2024</v>
      </c>
      <c r="AA430" s="28">
        <v>2</v>
      </c>
      <c r="AB430" s="34">
        <v>46328.559274679901</v>
      </c>
      <c r="AC430" s="34">
        <v>41464.675718649902</v>
      </c>
      <c r="AD430" s="117">
        <v>11471.039999999901</v>
      </c>
      <c r="AE430" s="117">
        <v>463285.59274679999</v>
      </c>
      <c r="AF430" s="118" t="s">
        <v>551</v>
      </c>
      <c r="AG430" s="118" t="s">
        <v>66</v>
      </c>
    </row>
    <row r="431" spans="2:33" x14ac:dyDescent="0.2">
      <c r="B431" s="114">
        <f>CHOOSE(B$1,Tabla2[[#This Row],[Edad]]*12/365,Tabla2[[#This Row],[Tn/Ha]],Tabla2[[#This Row],[Tn]],Tabla2[[#This Row],[Area_Cosecha]])</f>
        <v>13.430331225083176</v>
      </c>
      <c r="C431" s="87" t="s">
        <v>550</v>
      </c>
      <c r="D431" s="23" t="s">
        <v>551</v>
      </c>
      <c r="E431" s="23" t="s">
        <v>551</v>
      </c>
      <c r="F431" s="23" t="s">
        <v>417</v>
      </c>
      <c r="G431" s="23" t="s">
        <v>19</v>
      </c>
      <c r="H431" s="23" t="s">
        <v>20</v>
      </c>
      <c r="I431" s="23" t="s">
        <v>11</v>
      </c>
      <c r="J431" s="23" t="s">
        <v>8</v>
      </c>
      <c r="K431" s="23" t="s">
        <v>615</v>
      </c>
      <c r="L431" s="23">
        <v>2022</v>
      </c>
      <c r="M431" s="24" t="s">
        <v>304</v>
      </c>
      <c r="N431" s="24">
        <v>44917</v>
      </c>
      <c r="O431" s="23" t="s">
        <v>50</v>
      </c>
      <c r="P431" s="86">
        <v>408.50590809628</v>
      </c>
      <c r="Q431" s="86">
        <v>29.43</v>
      </c>
      <c r="R431" s="25">
        <v>22.85</v>
      </c>
      <c r="S431" s="25">
        <v>122.87</v>
      </c>
      <c r="T431" s="25">
        <v>9.15</v>
      </c>
      <c r="U431" s="25">
        <v>13.772761292115</v>
      </c>
      <c r="V431" s="115">
        <v>12.3118926597708</v>
      </c>
      <c r="W431" s="116">
        <v>2807.49</v>
      </c>
      <c r="X431" s="114">
        <v>855484.8</v>
      </c>
      <c r="Y431" s="30">
        <v>45327</v>
      </c>
      <c r="Z431" s="28">
        <v>2024</v>
      </c>
      <c r="AA431" s="28">
        <v>2</v>
      </c>
      <c r="AB431" s="34">
        <v>38666.889600000002</v>
      </c>
      <c r="AC431" s="34">
        <v>34565.515523379901</v>
      </c>
      <c r="AD431" s="117">
        <v>9334.36</v>
      </c>
      <c r="AE431" s="117">
        <v>386668.89600000001</v>
      </c>
      <c r="AF431" s="118" t="s">
        <v>551</v>
      </c>
      <c r="AG431" s="118" t="s">
        <v>66</v>
      </c>
    </row>
    <row r="432" spans="2:33" x14ac:dyDescent="0.2">
      <c r="B432" s="114">
        <f>CHOOSE(B$1,Tabla2[[#This Row],[Edad]]*12/365,Tabla2[[#This Row],[Tn/Ha]],Tabla2[[#This Row],[Tn]],Tabla2[[#This Row],[Area_Cosecha]])</f>
        <v>15.005028839221316</v>
      </c>
      <c r="C432" s="87" t="s">
        <v>550</v>
      </c>
      <c r="D432" s="23" t="s">
        <v>551</v>
      </c>
      <c r="E432" s="23" t="s">
        <v>551</v>
      </c>
      <c r="F432" s="23" t="s">
        <v>417</v>
      </c>
      <c r="G432" s="23" t="s">
        <v>19</v>
      </c>
      <c r="H432" s="23" t="s">
        <v>20</v>
      </c>
      <c r="I432" s="23" t="s">
        <v>11</v>
      </c>
      <c r="J432" s="23" t="s">
        <v>8</v>
      </c>
      <c r="K432" s="23" t="s">
        <v>615</v>
      </c>
      <c r="L432" s="23">
        <v>2022</v>
      </c>
      <c r="M432" s="24" t="s">
        <v>304</v>
      </c>
      <c r="N432" s="24">
        <v>44917</v>
      </c>
      <c r="O432" s="23" t="s">
        <v>50</v>
      </c>
      <c r="P432" s="86">
        <v>456.40296052631498</v>
      </c>
      <c r="Q432" s="86">
        <v>29.43</v>
      </c>
      <c r="R432" s="25">
        <v>6.0799999999999903</v>
      </c>
      <c r="S432" s="25">
        <v>141.09</v>
      </c>
      <c r="T432" s="25">
        <v>9.4</v>
      </c>
      <c r="U432" s="25">
        <v>13.694552412685599</v>
      </c>
      <c r="V432" s="115">
        <v>12.1940289216152</v>
      </c>
      <c r="W432" s="116">
        <v>857.81999999999903</v>
      </c>
      <c r="X432" s="114">
        <v>300489.62</v>
      </c>
      <c r="Y432" s="30">
        <v>45377</v>
      </c>
      <c r="Z432" s="28">
        <v>2024</v>
      </c>
      <c r="AA432" s="28">
        <v>3</v>
      </c>
      <c r="AB432" s="34">
        <v>11747.46095065</v>
      </c>
      <c r="AC432" s="34">
        <v>10460.28188954</v>
      </c>
      <c r="AD432" s="117">
        <v>2774.93</v>
      </c>
      <c r="AE432" s="117">
        <v>117474.6095065</v>
      </c>
      <c r="AF432" s="118" t="s">
        <v>551</v>
      </c>
      <c r="AG432" s="118" t="s">
        <v>66</v>
      </c>
    </row>
    <row r="433" spans="2:33" x14ac:dyDescent="0.2">
      <c r="B433" s="114">
        <f>CHOOSE(B$1,Tabla2[[#This Row],[Edad]]*12/365,Tabla2[[#This Row],[Tn/Ha]],Tabla2[[#This Row],[Tn]],Tabla2[[#This Row],[Area_Cosecha]])</f>
        <v>12.776575682382115</v>
      </c>
      <c r="C433" s="87" t="s">
        <v>550</v>
      </c>
      <c r="D433" s="23" t="s">
        <v>551</v>
      </c>
      <c r="E433" s="23" t="s">
        <v>551</v>
      </c>
      <c r="F433" s="23" t="s">
        <v>252</v>
      </c>
      <c r="G433" s="23" t="s">
        <v>19</v>
      </c>
      <c r="H433" s="23" t="s">
        <v>20</v>
      </c>
      <c r="I433" s="23" t="s">
        <v>12</v>
      </c>
      <c r="J433" s="23" t="s">
        <v>3</v>
      </c>
      <c r="K433" s="23" t="s">
        <v>745</v>
      </c>
      <c r="L433" s="23">
        <v>2023</v>
      </c>
      <c r="M433" s="24" t="s">
        <v>283</v>
      </c>
      <c r="N433" s="24">
        <v>45101</v>
      </c>
      <c r="O433" s="23" t="s">
        <v>50</v>
      </c>
      <c r="P433" s="86">
        <v>388.62084367245598</v>
      </c>
      <c r="Q433" s="86">
        <v>40.299999999999997</v>
      </c>
      <c r="R433" s="25">
        <v>40.299999999999997</v>
      </c>
      <c r="S433" s="25">
        <v>119.8</v>
      </c>
      <c r="T433" s="25">
        <v>9.3800000000000008</v>
      </c>
      <c r="U433" s="25">
        <v>15.937455897046901</v>
      </c>
      <c r="V433" s="115">
        <v>14.452323834046499</v>
      </c>
      <c r="W433" s="116">
        <v>4827.7529999999997</v>
      </c>
      <c r="X433" s="114">
        <v>1442950.08</v>
      </c>
      <c r="Y433" s="30">
        <v>45491</v>
      </c>
      <c r="Z433" s="28">
        <v>2024</v>
      </c>
      <c r="AA433" s="28">
        <v>7</v>
      </c>
      <c r="AB433" s="34">
        <v>76942.100519336294</v>
      </c>
      <c r="AC433" s="34">
        <v>69772.249746789603</v>
      </c>
      <c r="AD433" s="117">
        <v>15661.4199999999</v>
      </c>
      <c r="AE433" s="117">
        <v>769421.00519336294</v>
      </c>
      <c r="AF433" s="118" t="s">
        <v>551</v>
      </c>
      <c r="AG433" s="118" t="s">
        <v>66</v>
      </c>
    </row>
    <row r="434" spans="2:33" x14ac:dyDescent="0.2">
      <c r="B434" s="114">
        <f>CHOOSE(B$1,Tabla2[[#This Row],[Edad]]*12/365,Tabla2[[#This Row],[Tn/Ha]],Tabla2[[#This Row],[Tn]],Tabla2[[#This Row],[Area_Cosecha]])</f>
        <v>12.427397260273972</v>
      </c>
      <c r="C434" s="87" t="s">
        <v>550</v>
      </c>
      <c r="D434" s="23" t="s">
        <v>551</v>
      </c>
      <c r="E434" s="23" t="s">
        <v>551</v>
      </c>
      <c r="F434" s="23" t="s">
        <v>358</v>
      </c>
      <c r="G434" s="23" t="s">
        <v>19</v>
      </c>
      <c r="H434" s="23" t="s">
        <v>20</v>
      </c>
      <c r="I434" s="23" t="s">
        <v>12</v>
      </c>
      <c r="J434" s="23" t="s">
        <v>5</v>
      </c>
      <c r="K434" s="23" t="s">
        <v>680</v>
      </c>
      <c r="L434" s="23">
        <v>2021</v>
      </c>
      <c r="M434" s="24" t="s">
        <v>60</v>
      </c>
      <c r="N434" s="24">
        <v>45065</v>
      </c>
      <c r="O434" s="23" t="s">
        <v>79</v>
      </c>
      <c r="P434" s="86">
        <v>378</v>
      </c>
      <c r="Q434" s="86">
        <v>35.32</v>
      </c>
      <c r="R434" s="25">
        <v>2.46</v>
      </c>
      <c r="S434" s="25">
        <v>145.84</v>
      </c>
      <c r="T434" s="25">
        <v>11.74</v>
      </c>
      <c r="U434" s="25">
        <v>13.755625</v>
      </c>
      <c r="V434" s="115">
        <v>12.236249999999901</v>
      </c>
      <c r="W434" s="116">
        <v>358.77</v>
      </c>
      <c r="X434" s="114">
        <v>261617.71</v>
      </c>
      <c r="Y434" s="30">
        <v>45443</v>
      </c>
      <c r="Z434" s="28">
        <v>2024</v>
      </c>
      <c r="AA434" s="28">
        <v>5</v>
      </c>
      <c r="AB434" s="34">
        <v>4935.1055812499999</v>
      </c>
      <c r="AC434" s="34">
        <v>4389.9994124999903</v>
      </c>
      <c r="AD434" s="117">
        <v>929.88</v>
      </c>
      <c r="AE434" s="117">
        <v>49351.055812500003</v>
      </c>
      <c r="AF434" s="118" t="s">
        <v>551</v>
      </c>
      <c r="AG434" s="118" t="s">
        <v>66</v>
      </c>
    </row>
    <row r="435" spans="2:33" x14ac:dyDescent="0.2">
      <c r="B435" s="114">
        <f>CHOOSE(B$1,Tabla2[[#This Row],[Edad]]*12/365,Tabla2[[#This Row],[Tn/Ha]],Tabla2[[#This Row],[Tn]],Tabla2[[#This Row],[Area_Cosecha]])</f>
        <v>12.550269720441205</v>
      </c>
      <c r="C435" s="87" t="s">
        <v>550</v>
      </c>
      <c r="D435" s="23" t="s">
        <v>551</v>
      </c>
      <c r="E435" s="23" t="s">
        <v>551</v>
      </c>
      <c r="F435" s="23" t="s">
        <v>358</v>
      </c>
      <c r="G435" s="23" t="s">
        <v>19</v>
      </c>
      <c r="H435" s="23" t="s">
        <v>20</v>
      </c>
      <c r="I435" s="23" t="s">
        <v>12</v>
      </c>
      <c r="J435" s="23" t="s">
        <v>5</v>
      </c>
      <c r="K435" s="23" t="s">
        <v>680</v>
      </c>
      <c r="L435" s="23">
        <v>2021</v>
      </c>
      <c r="M435" s="24" t="s">
        <v>60</v>
      </c>
      <c r="N435" s="24">
        <v>45065</v>
      </c>
      <c r="O435" s="23" t="s">
        <v>79</v>
      </c>
      <c r="P435" s="86">
        <v>381.73737066341999</v>
      </c>
      <c r="Q435" s="86">
        <v>35.32</v>
      </c>
      <c r="R435" s="25">
        <v>32.86</v>
      </c>
      <c r="S435" s="25">
        <v>155.55000000000001</v>
      </c>
      <c r="T435" s="25">
        <v>12.39</v>
      </c>
      <c r="U435" s="25">
        <v>14.699916909893901</v>
      </c>
      <c r="V435" s="115">
        <v>13.1870834106451</v>
      </c>
      <c r="W435" s="116">
        <v>5111.53</v>
      </c>
      <c r="X435" s="114">
        <v>1331109.83</v>
      </c>
      <c r="Y435" s="30">
        <v>45450</v>
      </c>
      <c r="Z435" s="28">
        <v>2024</v>
      </c>
      <c r="AA435" s="28">
        <v>6</v>
      </c>
      <c r="AB435" s="34">
        <v>75139.066282429994</v>
      </c>
      <c r="AC435" s="34">
        <v>67406.172466015007</v>
      </c>
      <c r="AD435" s="117">
        <v>12543.89</v>
      </c>
      <c r="AE435" s="117">
        <v>751390.6628243</v>
      </c>
      <c r="AF435" s="118" t="s">
        <v>551</v>
      </c>
      <c r="AG435" s="118" t="s">
        <v>66</v>
      </c>
    </row>
    <row r="436" spans="2:33" x14ac:dyDescent="0.2">
      <c r="B436" s="114">
        <f>CHOOSE(B$1,Tabla2[[#This Row],[Edad]]*12/365,Tabla2[[#This Row],[Tn/Ha]],Tabla2[[#This Row],[Tn]],Tabla2[[#This Row],[Area_Cosecha]])</f>
        <v>13.869856661938126</v>
      </c>
      <c r="C436" s="87" t="s">
        <v>550</v>
      </c>
      <c r="D436" s="23" t="s">
        <v>551</v>
      </c>
      <c r="E436" s="23" t="s">
        <v>551</v>
      </c>
      <c r="F436" s="23" t="s">
        <v>253</v>
      </c>
      <c r="G436" s="23" t="s">
        <v>19</v>
      </c>
      <c r="H436" s="23" t="s">
        <v>20</v>
      </c>
      <c r="I436" s="23" t="s">
        <v>12</v>
      </c>
      <c r="J436" s="23" t="s">
        <v>6</v>
      </c>
      <c r="K436" s="23" t="s">
        <v>649</v>
      </c>
      <c r="L436" s="23">
        <v>2022</v>
      </c>
      <c r="M436" s="24" t="s">
        <v>60</v>
      </c>
      <c r="N436" s="24">
        <v>44980</v>
      </c>
      <c r="O436" s="23" t="s">
        <v>50</v>
      </c>
      <c r="P436" s="86">
        <v>421.87480680061799</v>
      </c>
      <c r="Q436" s="86">
        <v>38.82</v>
      </c>
      <c r="R436" s="25">
        <v>38.82</v>
      </c>
      <c r="S436" s="25">
        <v>122.73</v>
      </c>
      <c r="T436" s="25">
        <v>8.85</v>
      </c>
      <c r="U436" s="25">
        <v>14.6212580579839</v>
      </c>
      <c r="V436" s="115">
        <v>13.087164355337499</v>
      </c>
      <c r="W436" s="116">
        <v>4764.2139999999999</v>
      </c>
      <c r="X436" s="114">
        <v>1475247.6</v>
      </c>
      <c r="Y436" s="30">
        <v>45409</v>
      </c>
      <c r="Z436" s="28">
        <v>2024</v>
      </c>
      <c r="AA436" s="28">
        <v>4</v>
      </c>
      <c r="AB436" s="34">
        <v>69658.8023374599</v>
      </c>
      <c r="AC436" s="34">
        <v>62350.051641999897</v>
      </c>
      <c r="AD436" s="117">
        <v>16377.1799999999</v>
      </c>
      <c r="AE436" s="117">
        <v>696588.02337459906</v>
      </c>
      <c r="AF436" s="118" t="s">
        <v>551</v>
      </c>
      <c r="AG436" s="118" t="s">
        <v>66</v>
      </c>
    </row>
    <row r="437" spans="2:33" x14ac:dyDescent="0.2">
      <c r="B437" s="114">
        <f>CHOOSE(B$1,Tabla2[[#This Row],[Edad]]*12/365,Tabla2[[#This Row],[Tn/Ha]],Tabla2[[#This Row],[Tn]],Tabla2[[#This Row],[Area_Cosecha]])</f>
        <v>13.693935956722784</v>
      </c>
      <c r="C437" s="87" t="s">
        <v>550</v>
      </c>
      <c r="D437" s="23" t="s">
        <v>551</v>
      </c>
      <c r="E437" s="23" t="s">
        <v>551</v>
      </c>
      <c r="F437" s="23" t="s">
        <v>454</v>
      </c>
      <c r="G437" s="23" t="s">
        <v>19</v>
      </c>
      <c r="H437" s="23" t="s">
        <v>20</v>
      </c>
      <c r="I437" s="23" t="s">
        <v>12</v>
      </c>
      <c r="J437" s="23" t="s">
        <v>7</v>
      </c>
      <c r="K437" s="23" t="s">
        <v>616</v>
      </c>
      <c r="L437" s="23">
        <v>2022</v>
      </c>
      <c r="M437" s="24" t="s">
        <v>60</v>
      </c>
      <c r="N437" s="24">
        <v>44919</v>
      </c>
      <c r="O437" s="23" t="s">
        <v>50</v>
      </c>
      <c r="P437" s="86">
        <v>416.52388535031798</v>
      </c>
      <c r="Q437" s="86">
        <v>43.96</v>
      </c>
      <c r="R437" s="25">
        <v>43.96</v>
      </c>
      <c r="S437" s="25">
        <v>120.58</v>
      </c>
      <c r="T437" s="25">
        <v>8.81</v>
      </c>
      <c r="U437" s="25">
        <v>14.285673535660701</v>
      </c>
      <c r="V437" s="115">
        <v>12.7761681285936</v>
      </c>
      <c r="W437" s="116">
        <v>5300.65</v>
      </c>
      <c r="X437" s="114">
        <v>1067752.3700000001</v>
      </c>
      <c r="Y437" s="30">
        <v>45338</v>
      </c>
      <c r="Z437" s="28">
        <v>2024</v>
      </c>
      <c r="AA437" s="28">
        <v>2</v>
      </c>
      <c r="AB437" s="34">
        <v>75723.355426800001</v>
      </c>
      <c r="AC437" s="34">
        <v>67721.995590830003</v>
      </c>
      <c r="AD437" s="117">
        <v>18310.39</v>
      </c>
      <c r="AE437" s="117">
        <v>757233.55426799995</v>
      </c>
      <c r="AF437" s="118" t="s">
        <v>551</v>
      </c>
      <c r="AG437" s="118" t="s">
        <v>66</v>
      </c>
    </row>
    <row r="438" spans="2:33" x14ac:dyDescent="0.2">
      <c r="B438" s="114">
        <f>CHOOSE(B$1,Tabla2[[#This Row],[Edad]]*12/365,Tabla2[[#This Row],[Tn/Ha]],Tabla2[[#This Row],[Tn]],Tabla2[[#This Row],[Area_Cosecha]])</f>
        <v>12.038867147953281</v>
      </c>
      <c r="C438" s="87" t="s">
        <v>550</v>
      </c>
      <c r="D438" s="23" t="s">
        <v>551</v>
      </c>
      <c r="E438" s="23" t="s">
        <v>551</v>
      </c>
      <c r="F438" s="23" t="s">
        <v>255</v>
      </c>
      <c r="G438" s="23" t="s">
        <v>19</v>
      </c>
      <c r="H438" s="23" t="s">
        <v>20</v>
      </c>
      <c r="I438" s="23" t="s">
        <v>13</v>
      </c>
      <c r="J438" s="23" t="s">
        <v>5</v>
      </c>
      <c r="K438" s="23" t="s">
        <v>674</v>
      </c>
      <c r="L438" s="23">
        <v>2022</v>
      </c>
      <c r="M438" s="24" t="s">
        <v>64</v>
      </c>
      <c r="N438" s="24">
        <v>45062</v>
      </c>
      <c r="O438" s="23" t="s">
        <v>50</v>
      </c>
      <c r="P438" s="86">
        <v>366.18220908357898</v>
      </c>
      <c r="Q438" s="86">
        <v>37.21</v>
      </c>
      <c r="R438" s="25">
        <v>37.21</v>
      </c>
      <c r="S438" s="25">
        <v>140.56</v>
      </c>
      <c r="T438" s="25">
        <v>11.68</v>
      </c>
      <c r="U438" s="25">
        <v>15.1474305486601</v>
      </c>
      <c r="V438" s="115">
        <v>13.6345571047557</v>
      </c>
      <c r="W438" s="116">
        <v>5230.1469999999899</v>
      </c>
      <c r="X438" s="114">
        <v>815611.46</v>
      </c>
      <c r="Y438" s="30">
        <v>45430</v>
      </c>
      <c r="Z438" s="28">
        <v>2024</v>
      </c>
      <c r="AA438" s="28">
        <v>5</v>
      </c>
      <c r="AB438" s="34">
        <v>79223.288441783006</v>
      </c>
      <c r="AC438" s="34">
        <v>71310.737937767</v>
      </c>
      <c r="AD438" s="117">
        <v>13625.64</v>
      </c>
      <c r="AE438" s="117">
        <v>792232.88441783004</v>
      </c>
      <c r="AF438" s="118" t="s">
        <v>551</v>
      </c>
      <c r="AG438" s="118" t="s">
        <v>66</v>
      </c>
    </row>
    <row r="439" spans="2:33" x14ac:dyDescent="0.2">
      <c r="B439" s="114">
        <f>CHOOSE(B$1,Tabla2[[#This Row],[Edad]]*12/365,Tabla2[[#This Row],[Tn/Ha]],Tabla2[[#This Row],[Tn]],Tabla2[[#This Row],[Area_Cosecha]])</f>
        <v>14.670913228243036</v>
      </c>
      <c r="C439" s="87" t="s">
        <v>550</v>
      </c>
      <c r="D439" s="23" t="s">
        <v>551</v>
      </c>
      <c r="E439" s="23" t="s">
        <v>551</v>
      </c>
      <c r="F439" s="23" t="s">
        <v>256</v>
      </c>
      <c r="G439" s="23" t="s">
        <v>19</v>
      </c>
      <c r="H439" s="23" t="s">
        <v>20</v>
      </c>
      <c r="I439" s="23" t="s">
        <v>13</v>
      </c>
      <c r="J439" s="23" t="s">
        <v>6</v>
      </c>
      <c r="K439" s="23" t="s">
        <v>887</v>
      </c>
      <c r="L439" s="23">
        <v>2023</v>
      </c>
      <c r="M439" s="24" t="s">
        <v>68</v>
      </c>
      <c r="N439" s="24">
        <v>45177</v>
      </c>
      <c r="O439" s="23" t="s">
        <v>50</v>
      </c>
      <c r="P439" s="86">
        <v>446.24027735905901</v>
      </c>
      <c r="Q439" s="86">
        <v>33.17</v>
      </c>
      <c r="R439" s="25">
        <v>33.17</v>
      </c>
      <c r="S439" s="25">
        <v>86.31</v>
      </c>
      <c r="T439" s="25">
        <v>5.88</v>
      </c>
      <c r="U439" s="25">
        <v>15.9786235371587</v>
      </c>
      <c r="V439" s="115">
        <v>14.512144724910399</v>
      </c>
      <c r="W439" s="116">
        <v>2862.85</v>
      </c>
      <c r="X439" s="114">
        <v>484676.98</v>
      </c>
      <c r="Y439" s="30">
        <v>45624</v>
      </c>
      <c r="Z439" s="28">
        <v>2024</v>
      </c>
      <c r="AA439" s="28">
        <v>11</v>
      </c>
      <c r="AB439" s="34">
        <v>45744.402393354998</v>
      </c>
      <c r="AC439" s="34">
        <v>41546.093525709999</v>
      </c>
      <c r="AD439" s="117">
        <v>14801.789999999901</v>
      </c>
      <c r="AE439" s="117">
        <v>457444.02393354999</v>
      </c>
      <c r="AF439" s="118" t="s">
        <v>551</v>
      </c>
      <c r="AG439" s="118" t="s">
        <v>66</v>
      </c>
    </row>
    <row r="440" spans="2:33" x14ac:dyDescent="0.2">
      <c r="B440" s="114">
        <f>CHOOSE(B$1,Tabla2[[#This Row],[Edad]]*12/365,Tabla2[[#This Row],[Tn/Ha]],Tabla2[[#This Row],[Tn]],Tabla2[[#This Row],[Area_Cosecha]])</f>
        <v>14.50653212844993</v>
      </c>
      <c r="C440" s="87" t="s">
        <v>550</v>
      </c>
      <c r="D440" s="23" t="s">
        <v>551</v>
      </c>
      <c r="E440" s="23" t="s">
        <v>551</v>
      </c>
      <c r="F440" s="23" t="s">
        <v>257</v>
      </c>
      <c r="G440" s="23" t="s">
        <v>19</v>
      </c>
      <c r="H440" s="23" t="s">
        <v>20</v>
      </c>
      <c r="I440" s="23" t="s">
        <v>13</v>
      </c>
      <c r="J440" s="23" t="s">
        <v>7</v>
      </c>
      <c r="K440" s="23" t="s">
        <v>888</v>
      </c>
      <c r="L440" s="23">
        <v>2023</v>
      </c>
      <c r="M440" s="24" t="s">
        <v>68</v>
      </c>
      <c r="N440" s="24">
        <v>45180</v>
      </c>
      <c r="O440" s="23" t="s">
        <v>50</v>
      </c>
      <c r="P440" s="86">
        <v>441.24035224035202</v>
      </c>
      <c r="Q440" s="86">
        <v>38.61</v>
      </c>
      <c r="R440" s="25">
        <v>38.61</v>
      </c>
      <c r="S440" s="25">
        <v>104.27</v>
      </c>
      <c r="T440" s="25">
        <v>7.19</v>
      </c>
      <c r="U440" s="25">
        <v>15.601348517070999</v>
      </c>
      <c r="V440" s="115">
        <v>14.1317045654287</v>
      </c>
      <c r="W440" s="116">
        <v>4025.83</v>
      </c>
      <c r="X440" s="114">
        <v>1039545.45</v>
      </c>
      <c r="Y440" s="30">
        <v>45623</v>
      </c>
      <c r="Z440" s="28">
        <v>2024</v>
      </c>
      <c r="AA440" s="28">
        <v>11</v>
      </c>
      <c r="AB440" s="34">
        <v>62808.376900479998</v>
      </c>
      <c r="AC440" s="34">
        <v>56891.840190640003</v>
      </c>
      <c r="AD440" s="117">
        <v>17036.29</v>
      </c>
      <c r="AE440" s="117">
        <v>628083.76900480001</v>
      </c>
      <c r="AF440" s="118" t="s">
        <v>551</v>
      </c>
      <c r="AG440" s="118" t="s">
        <v>66</v>
      </c>
    </row>
    <row r="441" spans="2:33" x14ac:dyDescent="0.2">
      <c r="B441" s="114">
        <f>CHOOSE(B$1,Tabla2[[#This Row],[Edad]]*12/365,Tabla2[[#This Row],[Tn/Ha]],Tabla2[[#This Row],[Tn]],Tabla2[[#This Row],[Area_Cosecha]])</f>
        <v>14.33309407066672</v>
      </c>
      <c r="C441" s="87" t="s">
        <v>550</v>
      </c>
      <c r="D441" s="23" t="s">
        <v>551</v>
      </c>
      <c r="E441" s="23" t="s">
        <v>551</v>
      </c>
      <c r="F441" s="23" t="s">
        <v>258</v>
      </c>
      <c r="G441" s="23" t="s">
        <v>19</v>
      </c>
      <c r="H441" s="23" t="s">
        <v>20</v>
      </c>
      <c r="I441" s="23" t="s">
        <v>14</v>
      </c>
      <c r="J441" s="23" t="s">
        <v>3</v>
      </c>
      <c r="K441" s="23" t="s">
        <v>889</v>
      </c>
      <c r="L441" s="23">
        <v>2023</v>
      </c>
      <c r="M441" s="24" t="s">
        <v>283</v>
      </c>
      <c r="N441" s="24">
        <v>45183</v>
      </c>
      <c r="O441" s="23" t="s">
        <v>50</v>
      </c>
      <c r="P441" s="86">
        <v>435.96494464944601</v>
      </c>
      <c r="Q441" s="86">
        <v>37.94</v>
      </c>
      <c r="R441" s="25">
        <v>37.94</v>
      </c>
      <c r="S441" s="25">
        <v>109.69</v>
      </c>
      <c r="T441" s="25">
        <v>7.65</v>
      </c>
      <c r="U441" s="25">
        <v>15.876639136319399</v>
      </c>
      <c r="V441" s="115">
        <v>14.390352989751401</v>
      </c>
      <c r="W441" s="116">
        <v>4161.5499999999902</v>
      </c>
      <c r="X441" s="114">
        <v>1521581.54</v>
      </c>
      <c r="Y441" s="30">
        <v>45620</v>
      </c>
      <c r="Z441" s="28">
        <v>2024</v>
      </c>
      <c r="AA441" s="28">
        <v>11</v>
      </c>
      <c r="AB441" s="34">
        <v>66071.427597749993</v>
      </c>
      <c r="AC441" s="34">
        <v>59886.173484500003</v>
      </c>
      <c r="AD441" s="117">
        <v>16540.509999999998</v>
      </c>
      <c r="AE441" s="117">
        <v>660714.27597750002</v>
      </c>
      <c r="AF441" s="118" t="s">
        <v>551</v>
      </c>
      <c r="AG441" s="118" t="s">
        <v>66</v>
      </c>
    </row>
    <row r="442" spans="2:33" x14ac:dyDescent="0.2">
      <c r="B442" s="114">
        <f>CHOOSE(B$1,Tabla2[[#This Row],[Edad]]*12/365,Tabla2[[#This Row],[Tn/Ha]],Tabla2[[#This Row],[Tn]],Tabla2[[#This Row],[Area_Cosecha]])</f>
        <v>14.209021846065305</v>
      </c>
      <c r="C442" s="87" t="s">
        <v>550</v>
      </c>
      <c r="D442" s="23" t="s">
        <v>551</v>
      </c>
      <c r="E442" s="23" t="s">
        <v>551</v>
      </c>
      <c r="F442" s="23" t="s">
        <v>259</v>
      </c>
      <c r="G442" s="23" t="s">
        <v>19</v>
      </c>
      <c r="H442" s="23" t="s">
        <v>20</v>
      </c>
      <c r="I442" s="23" t="s">
        <v>14</v>
      </c>
      <c r="J442" s="23" t="s">
        <v>4</v>
      </c>
      <c r="K442" s="23" t="s">
        <v>890</v>
      </c>
      <c r="L442" s="23">
        <v>2023</v>
      </c>
      <c r="M442" s="24" t="s">
        <v>283</v>
      </c>
      <c r="N442" s="24">
        <v>45185</v>
      </c>
      <c r="O442" s="23" t="s">
        <v>50</v>
      </c>
      <c r="P442" s="86">
        <v>432.19108115115301</v>
      </c>
      <c r="Q442" s="86">
        <v>38.57</v>
      </c>
      <c r="R442" s="25">
        <v>38.57</v>
      </c>
      <c r="S442" s="25">
        <v>117.35</v>
      </c>
      <c r="T442" s="25">
        <v>8.26</v>
      </c>
      <c r="U442" s="25">
        <v>15.5786706991518</v>
      </c>
      <c r="V442" s="115">
        <v>14.1072890463383</v>
      </c>
      <c r="W442" s="116">
        <v>4526.2700000000004</v>
      </c>
      <c r="X442" s="114">
        <v>1059867.8799999999</v>
      </c>
      <c r="Y442" s="30">
        <v>45619</v>
      </c>
      <c r="Z442" s="28">
        <v>2024</v>
      </c>
      <c r="AA442" s="28">
        <v>11</v>
      </c>
      <c r="AB442" s="34">
        <v>70513.269825449999</v>
      </c>
      <c r="AC442" s="34">
        <v>63853.399191769902</v>
      </c>
      <c r="AD442" s="117">
        <v>16669.61</v>
      </c>
      <c r="AE442" s="117">
        <v>705132.69825450005</v>
      </c>
      <c r="AF442" s="118" t="s">
        <v>551</v>
      </c>
      <c r="AG442" s="118" t="s">
        <v>66</v>
      </c>
    </row>
    <row r="443" spans="2:33" x14ac:dyDescent="0.2">
      <c r="B443" s="114">
        <f>CHOOSE(B$1,Tabla2[[#This Row],[Edad]]*12/365,Tabla2[[#This Row],[Tn/Ha]],Tabla2[[#This Row],[Tn]],Tabla2[[#This Row],[Area_Cosecha]])</f>
        <v>15.893622306626106</v>
      </c>
      <c r="C443" s="87" t="s">
        <v>550</v>
      </c>
      <c r="D443" s="23" t="s">
        <v>551</v>
      </c>
      <c r="E443" s="23" t="s">
        <v>551</v>
      </c>
      <c r="F443" s="23" t="s">
        <v>506</v>
      </c>
      <c r="G443" s="23" t="s">
        <v>19</v>
      </c>
      <c r="H443" s="23" t="s">
        <v>20</v>
      </c>
      <c r="I443" s="23" t="s">
        <v>14</v>
      </c>
      <c r="J443" s="23" t="s">
        <v>5</v>
      </c>
      <c r="K443" s="23" t="s">
        <v>574</v>
      </c>
      <c r="L443" s="23">
        <v>2022</v>
      </c>
      <c r="M443" s="24" t="s">
        <v>63</v>
      </c>
      <c r="N443" s="24">
        <v>44814</v>
      </c>
      <c r="O443" s="23" t="s">
        <v>50</v>
      </c>
      <c r="P443" s="86">
        <v>483.43101182654402</v>
      </c>
      <c r="Q443" s="86">
        <v>32.909999999999897</v>
      </c>
      <c r="R443" s="25">
        <v>15.219999999999899</v>
      </c>
      <c r="S443" s="25">
        <v>185.72</v>
      </c>
      <c r="T443" s="25">
        <v>11.69</v>
      </c>
      <c r="U443" s="25">
        <v>13.7129358696961</v>
      </c>
      <c r="V443" s="115">
        <v>12.2195855375427</v>
      </c>
      <c r="W443" s="116">
        <v>2826.6550000000002</v>
      </c>
      <c r="X443" s="114">
        <v>404845.93</v>
      </c>
      <c r="Y443" s="30">
        <v>45307</v>
      </c>
      <c r="Z443" s="28">
        <v>2024</v>
      </c>
      <c r="AA443" s="28">
        <v>1</v>
      </c>
      <c r="AB443" s="34">
        <v>38761.738740756002</v>
      </c>
      <c r="AC443" s="34">
        <v>34540.552557622999</v>
      </c>
      <c r="AD443" s="117">
        <v>7357.82</v>
      </c>
      <c r="AE443" s="117">
        <v>387617.38740756002</v>
      </c>
      <c r="AF443" s="118" t="s">
        <v>551</v>
      </c>
      <c r="AG443" s="118" t="s">
        <v>66</v>
      </c>
    </row>
    <row r="444" spans="2:33" x14ac:dyDescent="0.2">
      <c r="B444" s="114">
        <f>CHOOSE(B$1,Tabla2[[#This Row],[Edad]]*12/365,Tabla2[[#This Row],[Tn/Ha]],Tabla2[[#This Row],[Tn]],Tabla2[[#This Row],[Area_Cosecha]])</f>
        <v>13.691985356044045</v>
      </c>
      <c r="C444" s="87" t="s">
        <v>550</v>
      </c>
      <c r="D444" s="23" t="s">
        <v>551</v>
      </c>
      <c r="E444" s="23" t="s">
        <v>551</v>
      </c>
      <c r="F444" s="23" t="s">
        <v>260</v>
      </c>
      <c r="G444" s="23" t="s">
        <v>19</v>
      </c>
      <c r="H444" s="23" t="s">
        <v>20</v>
      </c>
      <c r="I444" s="23" t="s">
        <v>14</v>
      </c>
      <c r="J444" s="23" t="s">
        <v>6</v>
      </c>
      <c r="K444" s="23" t="s">
        <v>650</v>
      </c>
      <c r="L444" s="23">
        <v>2023</v>
      </c>
      <c r="M444" s="24" t="s">
        <v>283</v>
      </c>
      <c r="N444" s="24">
        <v>44991</v>
      </c>
      <c r="O444" s="23" t="s">
        <v>50</v>
      </c>
      <c r="P444" s="86">
        <v>416.46455457967301</v>
      </c>
      <c r="Q444" s="86">
        <v>31.88</v>
      </c>
      <c r="R444" s="25">
        <v>31.88</v>
      </c>
      <c r="S444" s="25">
        <v>151.63999999999999</v>
      </c>
      <c r="T444" s="25">
        <v>11.07</v>
      </c>
      <c r="U444" s="25">
        <v>14.1117991752121</v>
      </c>
      <c r="V444" s="115">
        <v>12.6104487235537</v>
      </c>
      <c r="W444" s="116">
        <v>4834.1399999999903</v>
      </c>
      <c r="X444" s="114">
        <v>1052115.58</v>
      </c>
      <c r="Y444" s="30">
        <v>45412</v>
      </c>
      <c r="Z444" s="28">
        <v>2024</v>
      </c>
      <c r="AA444" s="28">
        <v>4</v>
      </c>
      <c r="AB444" s="34">
        <v>68218.412864860002</v>
      </c>
      <c r="AC444" s="34">
        <v>60960.674592479998</v>
      </c>
      <c r="AD444" s="117">
        <v>13276.89</v>
      </c>
      <c r="AE444" s="117">
        <v>682184.12864859996</v>
      </c>
      <c r="AF444" s="118" t="s">
        <v>551</v>
      </c>
      <c r="AG444" s="118" t="s">
        <v>66</v>
      </c>
    </row>
    <row r="445" spans="2:33" x14ac:dyDescent="0.2">
      <c r="B445" s="114">
        <f>CHOOSE(B$1,Tabla2[[#This Row],[Edad]]*12/365,Tabla2[[#This Row],[Tn/Ha]],Tabla2[[#This Row],[Tn]],Tabla2[[#This Row],[Area_Cosecha]])</f>
        <v>13.796574590619946</v>
      </c>
      <c r="C445" s="87" t="s">
        <v>550</v>
      </c>
      <c r="D445" s="23" t="s">
        <v>551</v>
      </c>
      <c r="E445" s="23" t="s">
        <v>551</v>
      </c>
      <c r="F445" s="23" t="s">
        <v>453</v>
      </c>
      <c r="G445" s="23" t="s">
        <v>19</v>
      </c>
      <c r="H445" s="23" t="s">
        <v>20</v>
      </c>
      <c r="I445" s="23" t="s">
        <v>14</v>
      </c>
      <c r="J445" s="23" t="s">
        <v>7</v>
      </c>
      <c r="K445" s="23" t="s">
        <v>623</v>
      </c>
      <c r="L445" s="23">
        <v>2022</v>
      </c>
      <c r="M445" s="24" t="s">
        <v>60</v>
      </c>
      <c r="N445" s="24">
        <v>44928</v>
      </c>
      <c r="O445" s="23" t="s">
        <v>50</v>
      </c>
      <c r="P445" s="86">
        <v>419.64581046468999</v>
      </c>
      <c r="Q445" s="86">
        <v>29.25</v>
      </c>
      <c r="R445" s="25">
        <v>27.33</v>
      </c>
      <c r="S445" s="25">
        <v>176.34</v>
      </c>
      <c r="T445" s="25">
        <v>12.78</v>
      </c>
      <c r="U445" s="25">
        <v>13.029906063046401</v>
      </c>
      <c r="V445" s="115">
        <v>11.5941646791835</v>
      </c>
      <c r="W445" s="116">
        <v>4819.3509999999997</v>
      </c>
      <c r="X445" s="114">
        <v>1416216.52</v>
      </c>
      <c r="Y445" s="30">
        <v>45350</v>
      </c>
      <c r="Z445" s="28">
        <v>2024</v>
      </c>
      <c r="AA445" s="28">
        <v>2</v>
      </c>
      <c r="AB445" s="34">
        <v>62795.690814848997</v>
      </c>
      <c r="AC445" s="34">
        <v>55876.349140787897</v>
      </c>
      <c r="AD445" s="117">
        <v>11468.92</v>
      </c>
      <c r="AE445" s="117">
        <v>627956.90814849001</v>
      </c>
      <c r="AF445" s="118" t="s">
        <v>551</v>
      </c>
      <c r="AG445" s="118" t="s">
        <v>66</v>
      </c>
    </row>
    <row r="446" spans="2:33" x14ac:dyDescent="0.2">
      <c r="B446" s="114">
        <f>CHOOSE(B$1,Tabla2[[#This Row],[Edad]]*12/365,Tabla2[[#This Row],[Tn/Ha]],Tabla2[[#This Row],[Tn]],Tabla2[[#This Row],[Area_Cosecha]])</f>
        <v>14.483390410958892</v>
      </c>
      <c r="C446" s="87" t="s">
        <v>550</v>
      </c>
      <c r="D446" s="23" t="s">
        <v>551</v>
      </c>
      <c r="E446" s="23" t="s">
        <v>551</v>
      </c>
      <c r="F446" s="23" t="s">
        <v>453</v>
      </c>
      <c r="G446" s="23" t="s">
        <v>19</v>
      </c>
      <c r="H446" s="23" t="s">
        <v>20</v>
      </c>
      <c r="I446" s="23" t="s">
        <v>14</v>
      </c>
      <c r="J446" s="23" t="s">
        <v>7</v>
      </c>
      <c r="K446" s="23" t="s">
        <v>623</v>
      </c>
      <c r="L446" s="23">
        <v>2022</v>
      </c>
      <c r="M446" s="24" t="s">
        <v>60</v>
      </c>
      <c r="N446" s="24">
        <v>44928</v>
      </c>
      <c r="O446" s="23" t="s">
        <v>50</v>
      </c>
      <c r="P446" s="86">
        <v>440.53645833333297</v>
      </c>
      <c r="Q446" s="86">
        <v>29.25</v>
      </c>
      <c r="R446" s="25">
        <v>1.92</v>
      </c>
      <c r="S446" s="25">
        <v>154.30000000000001</v>
      </c>
      <c r="T446" s="25">
        <v>10.65</v>
      </c>
      <c r="U446" s="25">
        <v>13.2743491824895</v>
      </c>
      <c r="V446" s="115">
        <v>11.786698819279099</v>
      </c>
      <c r="W446" s="116">
        <v>296.25799999999998</v>
      </c>
      <c r="X446" s="114">
        <v>153574.16</v>
      </c>
      <c r="Y446" s="30">
        <v>45374</v>
      </c>
      <c r="Z446" s="28">
        <v>2024</v>
      </c>
      <c r="AA446" s="28">
        <v>3</v>
      </c>
      <c r="AB446" s="34">
        <v>3932.632140106</v>
      </c>
      <c r="AC446" s="34">
        <v>3491.9038188019999</v>
      </c>
      <c r="AD446" s="117">
        <v>845.83</v>
      </c>
      <c r="AE446" s="117">
        <v>39326.321401059999</v>
      </c>
      <c r="AF446" s="118" t="s">
        <v>551</v>
      </c>
      <c r="AG446" s="118" t="s">
        <v>66</v>
      </c>
    </row>
    <row r="447" spans="2:33" x14ac:dyDescent="0.2">
      <c r="B447" s="114">
        <f>CHOOSE(B$1,Tabla2[[#This Row],[Edad]]*12/365,Tabla2[[#This Row],[Tn/Ha]],Tabla2[[#This Row],[Tn]],Tabla2[[#This Row],[Area_Cosecha]])</f>
        <v>13.661865948401489</v>
      </c>
      <c r="C447" s="87" t="s">
        <v>550</v>
      </c>
      <c r="D447" s="23" t="s">
        <v>551</v>
      </c>
      <c r="E447" s="23" t="s">
        <v>551</v>
      </c>
      <c r="F447" s="23" t="s">
        <v>482</v>
      </c>
      <c r="G447" s="23" t="s">
        <v>19</v>
      </c>
      <c r="H447" s="23" t="s">
        <v>20</v>
      </c>
      <c r="I447" s="23" t="s">
        <v>15</v>
      </c>
      <c r="J447" s="23" t="s">
        <v>3</v>
      </c>
      <c r="K447" s="23" t="s">
        <v>575</v>
      </c>
      <c r="L447" s="23">
        <v>2022</v>
      </c>
      <c r="M447" s="24" t="s">
        <v>64</v>
      </c>
      <c r="N447" s="24">
        <v>44881</v>
      </c>
      <c r="O447" s="23" t="s">
        <v>50</v>
      </c>
      <c r="P447" s="86">
        <v>415.54842259721198</v>
      </c>
      <c r="Q447" s="86">
        <v>27.76</v>
      </c>
      <c r="R447" s="25">
        <v>27.259999999999899</v>
      </c>
      <c r="S447" s="25">
        <v>103.6</v>
      </c>
      <c r="T447" s="25">
        <v>7.58</v>
      </c>
      <c r="U447" s="25">
        <v>14.5523936339541</v>
      </c>
      <c r="V447" s="115">
        <v>13.1067197211528</v>
      </c>
      <c r="W447" s="116">
        <v>2824.05599999999</v>
      </c>
      <c r="X447" s="114">
        <v>495979.63</v>
      </c>
      <c r="Y447" s="30">
        <v>45309</v>
      </c>
      <c r="Z447" s="28">
        <v>2024</v>
      </c>
      <c r="AA447" s="28">
        <v>1</v>
      </c>
      <c r="AB447" s="34">
        <v>41096.774556329998</v>
      </c>
      <c r="AC447" s="34">
        <v>37014.110468840001</v>
      </c>
      <c r="AD447" s="117">
        <v>11327.8499999999</v>
      </c>
      <c r="AE447" s="117">
        <v>410967.74556329998</v>
      </c>
      <c r="AF447" s="118" t="s">
        <v>551</v>
      </c>
      <c r="AG447" s="118" t="s">
        <v>66</v>
      </c>
    </row>
    <row r="448" spans="2:33" x14ac:dyDescent="0.2">
      <c r="B448" s="114">
        <f>CHOOSE(B$1,Tabla2[[#This Row],[Edad]]*12/365,Tabla2[[#This Row],[Tn/Ha]],Tabla2[[#This Row],[Tn]],Tabla2[[#This Row],[Area_Cosecha]])</f>
        <v>14.794520547945206</v>
      </c>
      <c r="C448" s="87" t="s">
        <v>550</v>
      </c>
      <c r="D448" s="23" t="s">
        <v>551</v>
      </c>
      <c r="E448" s="23" t="s">
        <v>551</v>
      </c>
      <c r="F448" s="23" t="s">
        <v>482</v>
      </c>
      <c r="G448" s="23" t="s">
        <v>19</v>
      </c>
      <c r="H448" s="23" t="s">
        <v>20</v>
      </c>
      <c r="I448" s="23" t="s">
        <v>15</v>
      </c>
      <c r="J448" s="23" t="s">
        <v>3</v>
      </c>
      <c r="K448" s="23" t="s">
        <v>575</v>
      </c>
      <c r="L448" s="23">
        <v>2022</v>
      </c>
      <c r="M448" s="24" t="s">
        <v>64</v>
      </c>
      <c r="N448" s="24">
        <v>44881</v>
      </c>
      <c r="O448" s="23" t="s">
        <v>50</v>
      </c>
      <c r="P448" s="86">
        <v>450</v>
      </c>
      <c r="Q448" s="86">
        <v>27.76</v>
      </c>
      <c r="R448" s="25">
        <v>0.5</v>
      </c>
      <c r="S448" s="25">
        <v>114.46</v>
      </c>
      <c r="T448" s="25">
        <v>7.74</v>
      </c>
      <c r="U448" s="25">
        <v>14.0025</v>
      </c>
      <c r="V448" s="115">
        <v>12.567</v>
      </c>
      <c r="W448" s="116">
        <v>57.23</v>
      </c>
      <c r="X448" s="114">
        <v>65505.46</v>
      </c>
      <c r="Y448" s="30">
        <v>45331</v>
      </c>
      <c r="Z448" s="28">
        <v>2024</v>
      </c>
      <c r="AA448" s="28">
        <v>2</v>
      </c>
      <c r="AB448" s="34">
        <v>801.36307499999998</v>
      </c>
      <c r="AC448" s="34">
        <v>719.20940999999902</v>
      </c>
      <c r="AD448" s="117">
        <v>225</v>
      </c>
      <c r="AE448" s="117">
        <v>8013.6307500000003</v>
      </c>
      <c r="AF448" s="118" t="s">
        <v>551</v>
      </c>
      <c r="AG448" s="118" t="s">
        <v>66</v>
      </c>
    </row>
    <row r="449" spans="2:33" x14ac:dyDescent="0.2">
      <c r="B449" s="114">
        <f>CHOOSE(B$1,Tabla2[[#This Row],[Edad]]*12/365,Tabla2[[#This Row],[Tn/Ha]],Tabla2[[#This Row],[Tn]],Tabla2[[#This Row],[Area_Cosecha]])</f>
        <v>12.680981964151103</v>
      </c>
      <c r="C449" s="87" t="s">
        <v>550</v>
      </c>
      <c r="D449" s="23" t="s">
        <v>551</v>
      </c>
      <c r="E449" s="23" t="s">
        <v>551</v>
      </c>
      <c r="F449" s="23" t="s">
        <v>261</v>
      </c>
      <c r="G449" s="23" t="s">
        <v>19</v>
      </c>
      <c r="H449" s="23" t="s">
        <v>20</v>
      </c>
      <c r="I449" s="23" t="s">
        <v>15</v>
      </c>
      <c r="J449" s="23" t="s">
        <v>4</v>
      </c>
      <c r="K449" s="23" t="s">
        <v>617</v>
      </c>
      <c r="L449" s="23">
        <v>2022</v>
      </c>
      <c r="M449" s="24" t="s">
        <v>64</v>
      </c>
      <c r="N449" s="24">
        <v>44944</v>
      </c>
      <c r="O449" s="23" t="s">
        <v>354</v>
      </c>
      <c r="P449" s="86">
        <v>385.71320140959602</v>
      </c>
      <c r="Q449" s="86">
        <v>36.89</v>
      </c>
      <c r="R449" s="25">
        <v>36.89</v>
      </c>
      <c r="S449" s="25">
        <v>110.75</v>
      </c>
      <c r="T449" s="25">
        <v>8.73</v>
      </c>
      <c r="U449" s="25">
        <v>13.7759985406404</v>
      </c>
      <c r="V449" s="115">
        <v>12.334281369962101</v>
      </c>
      <c r="W449" s="116">
        <v>4085.58</v>
      </c>
      <c r="X449" s="114">
        <v>1522094.59</v>
      </c>
      <c r="Y449" s="30">
        <v>45331</v>
      </c>
      <c r="Z449" s="28">
        <v>2024</v>
      </c>
      <c r="AA449" s="28">
        <v>2</v>
      </c>
      <c r="AB449" s="34">
        <v>56282.944117669998</v>
      </c>
      <c r="AC449" s="34">
        <v>50392.693279489999</v>
      </c>
      <c r="AD449" s="117">
        <v>14228.96</v>
      </c>
      <c r="AE449" s="117">
        <v>562829.44117670006</v>
      </c>
      <c r="AF449" s="118" t="s">
        <v>551</v>
      </c>
      <c r="AG449" s="118" t="s">
        <v>66</v>
      </c>
    </row>
    <row r="450" spans="2:33" x14ac:dyDescent="0.2">
      <c r="B450" s="114">
        <f>CHOOSE(B$1,Tabla2[[#This Row],[Edad]]*12/365,Tabla2[[#This Row],[Tn/Ha]],Tabla2[[#This Row],[Tn]],Tabla2[[#This Row],[Area_Cosecha]])</f>
        <v>13.27979163147929</v>
      </c>
      <c r="C450" s="87" t="s">
        <v>550</v>
      </c>
      <c r="D450" s="23" t="s">
        <v>551</v>
      </c>
      <c r="E450" s="23" t="s">
        <v>551</v>
      </c>
      <c r="F450" s="23" t="s">
        <v>481</v>
      </c>
      <c r="G450" s="23" t="s">
        <v>19</v>
      </c>
      <c r="H450" s="23" t="s">
        <v>20</v>
      </c>
      <c r="I450" s="23" t="s">
        <v>15</v>
      </c>
      <c r="J450" s="23" t="s">
        <v>5</v>
      </c>
      <c r="K450" s="23" t="s">
        <v>576</v>
      </c>
      <c r="L450" s="23">
        <v>2022</v>
      </c>
      <c r="M450" s="24" t="s">
        <v>64</v>
      </c>
      <c r="N450" s="24">
        <v>44889</v>
      </c>
      <c r="O450" s="23" t="s">
        <v>50</v>
      </c>
      <c r="P450" s="86">
        <v>403.92699545749502</v>
      </c>
      <c r="Q450" s="86">
        <v>40.67</v>
      </c>
      <c r="R450" s="25">
        <v>30.819999999999901</v>
      </c>
      <c r="S450" s="25">
        <v>94.45</v>
      </c>
      <c r="T450" s="25">
        <v>7.11</v>
      </c>
      <c r="U450" s="25">
        <v>15.0486007426847</v>
      </c>
      <c r="V450" s="115">
        <v>13.5487467669405</v>
      </c>
      <c r="W450" s="116">
        <v>2911.06</v>
      </c>
      <c r="X450" s="114">
        <v>915477.32</v>
      </c>
      <c r="Y450" s="30">
        <v>45294</v>
      </c>
      <c r="Z450" s="28">
        <v>2024</v>
      </c>
      <c r="AA450" s="28">
        <v>1</v>
      </c>
      <c r="AB450" s="34">
        <v>43807.379677999998</v>
      </c>
      <c r="AC450" s="34">
        <v>39441.214763370001</v>
      </c>
      <c r="AD450" s="117">
        <v>12449.029999999901</v>
      </c>
      <c r="AE450" s="117">
        <v>438073.79677999998</v>
      </c>
      <c r="AF450" s="118" t="s">
        <v>551</v>
      </c>
      <c r="AG450" s="118" t="s">
        <v>66</v>
      </c>
    </row>
    <row r="451" spans="2:33" x14ac:dyDescent="0.2">
      <c r="B451" s="114">
        <f>CHOOSE(B$1,Tabla2[[#This Row],[Edad]]*12/365,Tabla2[[#This Row],[Tn/Ha]],Tabla2[[#This Row],[Tn]],Tabla2[[#This Row],[Area_Cosecha]])</f>
        <v>12.826404987706358</v>
      </c>
      <c r="C451" s="87" t="s">
        <v>550</v>
      </c>
      <c r="D451" s="23" t="s">
        <v>551</v>
      </c>
      <c r="E451" s="23" t="s">
        <v>551</v>
      </c>
      <c r="F451" s="23" t="s">
        <v>434</v>
      </c>
      <c r="G451" s="23" t="s">
        <v>19</v>
      </c>
      <c r="H451" s="23" t="s">
        <v>20</v>
      </c>
      <c r="I451" s="23" t="s">
        <v>15</v>
      </c>
      <c r="J451" s="23" t="s">
        <v>6</v>
      </c>
      <c r="K451" s="23" t="s">
        <v>618</v>
      </c>
      <c r="L451" s="23">
        <v>2023</v>
      </c>
      <c r="M451" s="24" t="s">
        <v>304</v>
      </c>
      <c r="N451" s="24">
        <v>44938</v>
      </c>
      <c r="O451" s="23" t="s">
        <v>50</v>
      </c>
      <c r="P451" s="86">
        <v>390.13648504273499</v>
      </c>
      <c r="Q451" s="86">
        <v>37.44</v>
      </c>
      <c r="R451" s="25">
        <v>37.44</v>
      </c>
      <c r="S451" s="25">
        <v>105.69</v>
      </c>
      <c r="T451" s="25">
        <v>8.24</v>
      </c>
      <c r="U451" s="25">
        <v>13.594968045644499</v>
      </c>
      <c r="V451" s="115">
        <v>12.0665201586654</v>
      </c>
      <c r="W451" s="116">
        <v>3956.88</v>
      </c>
      <c r="X451" s="114">
        <v>529114.72</v>
      </c>
      <c r="Y451" s="30">
        <v>45336</v>
      </c>
      <c r="Z451" s="28">
        <v>2024</v>
      </c>
      <c r="AA451" s="28">
        <v>2</v>
      </c>
      <c r="AB451" s="34">
        <v>53793.657160449999</v>
      </c>
      <c r="AC451" s="34">
        <v>47745.772285419996</v>
      </c>
      <c r="AD451" s="117">
        <v>14606.71</v>
      </c>
      <c r="AE451" s="117">
        <v>537936.57160449994</v>
      </c>
      <c r="AF451" s="118" t="s">
        <v>551</v>
      </c>
      <c r="AG451" s="118" t="s">
        <v>66</v>
      </c>
    </row>
    <row r="452" spans="2:33" x14ac:dyDescent="0.2">
      <c r="B452" s="114">
        <f>CHOOSE(B$1,Tabla2[[#This Row],[Edad]]*12/365,Tabla2[[#This Row],[Tn/Ha]],Tabla2[[#This Row],[Tn]],Tabla2[[#This Row],[Area_Cosecha]])</f>
        <v>5.7238356164383557</v>
      </c>
      <c r="C452" s="87" t="s">
        <v>550</v>
      </c>
      <c r="D452" s="23" t="s">
        <v>551</v>
      </c>
      <c r="E452" s="23" t="s">
        <v>551</v>
      </c>
      <c r="F452" s="23" t="s">
        <v>434</v>
      </c>
      <c r="G452" s="23" t="s">
        <v>19</v>
      </c>
      <c r="H452" s="23" t="s">
        <v>20</v>
      </c>
      <c r="I452" s="23" t="s">
        <v>15</v>
      </c>
      <c r="J452" s="23" t="s">
        <v>6</v>
      </c>
      <c r="K452" s="23" t="s">
        <v>618</v>
      </c>
      <c r="L452" s="23">
        <v>2024</v>
      </c>
      <c r="M452" s="24" t="s">
        <v>315</v>
      </c>
      <c r="N452" s="24">
        <v>45342</v>
      </c>
      <c r="O452" s="23" t="s">
        <v>50</v>
      </c>
      <c r="P452" s="86">
        <v>174.1</v>
      </c>
      <c r="Q452" s="86">
        <v>39.81</v>
      </c>
      <c r="R452" s="25">
        <v>4.5</v>
      </c>
      <c r="S452" s="25">
        <v>121.39</v>
      </c>
      <c r="T452" s="25">
        <v>21.21</v>
      </c>
      <c r="U452" s="25">
        <v>14.847131716147601</v>
      </c>
      <c r="V452" s="115">
        <v>13.4288008105698</v>
      </c>
      <c r="W452" s="116">
        <v>546.27</v>
      </c>
      <c r="X452" s="114">
        <v>338738.43</v>
      </c>
      <c r="Y452" s="30">
        <v>45517</v>
      </c>
      <c r="Z452" s="28">
        <v>2024</v>
      </c>
      <c r="AA452" s="28">
        <v>8</v>
      </c>
      <c r="AB452" s="34">
        <v>8110.5426425799997</v>
      </c>
      <c r="AC452" s="34">
        <v>7335.7510187899998</v>
      </c>
      <c r="AD452" s="117">
        <v>783.44999999999902</v>
      </c>
      <c r="AE452" s="117">
        <v>81105.426425799902</v>
      </c>
      <c r="AF452" s="118" t="s">
        <v>551</v>
      </c>
      <c r="AG452" s="118" t="s">
        <v>66</v>
      </c>
    </row>
    <row r="453" spans="2:33" x14ac:dyDescent="0.2">
      <c r="B453" s="114">
        <f>CHOOSE(B$1,Tabla2[[#This Row],[Edad]]*12/365,Tabla2[[#This Row],[Tn/Ha]],Tabla2[[#This Row],[Tn]],Tabla2[[#This Row],[Area_Cosecha]])</f>
        <v>12.379444762748054</v>
      </c>
      <c r="C453" s="87" t="s">
        <v>550</v>
      </c>
      <c r="D453" s="23" t="s">
        <v>551</v>
      </c>
      <c r="E453" s="23" t="s">
        <v>551</v>
      </c>
      <c r="F453" s="23" t="s">
        <v>262</v>
      </c>
      <c r="G453" s="23" t="s">
        <v>19</v>
      </c>
      <c r="H453" s="23" t="s">
        <v>20</v>
      </c>
      <c r="I453" s="23" t="s">
        <v>15</v>
      </c>
      <c r="J453" s="23" t="s">
        <v>7</v>
      </c>
      <c r="K453" s="23" t="s">
        <v>746</v>
      </c>
      <c r="L453" s="23">
        <v>2023</v>
      </c>
      <c r="M453" s="24" t="s">
        <v>60</v>
      </c>
      <c r="N453" s="24">
        <v>45117</v>
      </c>
      <c r="O453" s="23" t="s">
        <v>50</v>
      </c>
      <c r="P453" s="86">
        <v>376.54144486692002</v>
      </c>
      <c r="Q453" s="86">
        <v>39.450000000000003</v>
      </c>
      <c r="R453" s="25">
        <v>39.450000000000003</v>
      </c>
      <c r="S453" s="25">
        <v>117.65</v>
      </c>
      <c r="T453" s="25">
        <v>9.5</v>
      </c>
      <c r="U453" s="25">
        <v>15.5676896338907</v>
      </c>
      <c r="V453" s="115">
        <v>14.0960443024771</v>
      </c>
      <c r="W453" s="116">
        <v>4641.21</v>
      </c>
      <c r="X453" s="114">
        <v>1366748.61</v>
      </c>
      <c r="Y453" s="30">
        <v>45495</v>
      </c>
      <c r="Z453" s="28">
        <v>2024</v>
      </c>
      <c r="AA453" s="28">
        <v>7</v>
      </c>
      <c r="AB453" s="34">
        <v>72252.916805710003</v>
      </c>
      <c r="AC453" s="34">
        <v>65422.701777099901</v>
      </c>
      <c r="AD453" s="117">
        <v>14854.56</v>
      </c>
      <c r="AE453" s="117">
        <v>722529.16805710003</v>
      </c>
      <c r="AF453" s="118" t="s">
        <v>551</v>
      </c>
      <c r="AG453" s="118" t="s">
        <v>66</v>
      </c>
    </row>
    <row r="454" spans="2:33" x14ac:dyDescent="0.2">
      <c r="B454" s="114">
        <f>CHOOSE(B$1,Tabla2[[#This Row],[Edad]]*12/365,Tabla2[[#This Row],[Tn/Ha]],Tabla2[[#This Row],[Tn]],Tabla2[[#This Row],[Area_Cosecha]])</f>
        <v>13.074683053304188</v>
      </c>
      <c r="C454" s="87" t="s">
        <v>550</v>
      </c>
      <c r="D454" s="23" t="s">
        <v>551</v>
      </c>
      <c r="E454" s="23" t="s">
        <v>551</v>
      </c>
      <c r="F454" s="23" t="s">
        <v>376</v>
      </c>
      <c r="G454" s="23" t="s">
        <v>19</v>
      </c>
      <c r="H454" s="23" t="s">
        <v>20</v>
      </c>
      <c r="I454" s="23" t="s">
        <v>15</v>
      </c>
      <c r="J454" s="23" t="s">
        <v>8</v>
      </c>
      <c r="K454" s="23" t="s">
        <v>619</v>
      </c>
      <c r="L454" s="23">
        <v>2022</v>
      </c>
      <c r="M454" s="24" t="s">
        <v>304</v>
      </c>
      <c r="N454" s="24">
        <v>44947</v>
      </c>
      <c r="O454" s="23" t="s">
        <v>50</v>
      </c>
      <c r="P454" s="86">
        <v>397.68827620466902</v>
      </c>
      <c r="Q454" s="86">
        <v>40.26</v>
      </c>
      <c r="R454" s="25">
        <v>40.26</v>
      </c>
      <c r="S454" s="25">
        <v>129.77000000000001</v>
      </c>
      <c r="T454" s="25">
        <v>9.93</v>
      </c>
      <c r="U454" s="25">
        <v>13.6742645375138</v>
      </c>
      <c r="V454" s="115">
        <v>12.2015873318137</v>
      </c>
      <c r="W454" s="116">
        <v>5224.7290000000003</v>
      </c>
      <c r="X454" s="114">
        <v>1145216.1299999999</v>
      </c>
      <c r="Y454" s="30">
        <v>45349</v>
      </c>
      <c r="Z454" s="28">
        <v>2024</v>
      </c>
      <c r="AA454" s="28">
        <v>2</v>
      </c>
      <c r="AB454" s="34">
        <v>71444.326482819903</v>
      </c>
      <c r="AC454" s="34">
        <v>63749.987178559997</v>
      </c>
      <c r="AD454" s="117">
        <v>16010.9299999999</v>
      </c>
      <c r="AE454" s="117">
        <v>714443.26482819906</v>
      </c>
      <c r="AF454" s="118" t="s">
        <v>551</v>
      </c>
      <c r="AG454" s="118" t="s">
        <v>66</v>
      </c>
    </row>
    <row r="455" spans="2:33" x14ac:dyDescent="0.2">
      <c r="B455" s="114">
        <f>CHOOSE(B$1,Tabla2[[#This Row],[Edad]]*12/365,Tabla2[[#This Row],[Tn/Ha]],Tabla2[[#This Row],[Tn]],Tabla2[[#This Row],[Area_Cosecha]])</f>
        <v>13.309616936488142</v>
      </c>
      <c r="C455" s="87" t="s">
        <v>550</v>
      </c>
      <c r="D455" s="23" t="s">
        <v>551</v>
      </c>
      <c r="E455" s="23" t="s">
        <v>551</v>
      </c>
      <c r="F455" s="23" t="s">
        <v>478</v>
      </c>
      <c r="G455" s="23" t="s">
        <v>19</v>
      </c>
      <c r="H455" s="23" t="s">
        <v>20</v>
      </c>
      <c r="I455" s="23" t="s">
        <v>21</v>
      </c>
      <c r="J455" s="23" t="s">
        <v>3</v>
      </c>
      <c r="K455" s="23" t="s">
        <v>577</v>
      </c>
      <c r="L455" s="23">
        <v>2022</v>
      </c>
      <c r="M455" s="24" t="s">
        <v>283</v>
      </c>
      <c r="N455" s="24">
        <v>44895</v>
      </c>
      <c r="O455" s="23" t="s">
        <v>50</v>
      </c>
      <c r="P455" s="86">
        <v>404.83418181818098</v>
      </c>
      <c r="Q455" s="86">
        <v>50.92</v>
      </c>
      <c r="R455" s="25">
        <v>27.5</v>
      </c>
      <c r="S455" s="25">
        <v>131.11000000000001</v>
      </c>
      <c r="T455" s="25">
        <v>9.85</v>
      </c>
      <c r="U455" s="25">
        <v>14.4712643387267</v>
      </c>
      <c r="V455" s="115">
        <v>13.0139371223423</v>
      </c>
      <c r="W455" s="116">
        <v>3605.62</v>
      </c>
      <c r="X455" s="114">
        <v>1214786</v>
      </c>
      <c r="Y455" s="30">
        <v>45302</v>
      </c>
      <c r="Z455" s="28">
        <v>2024</v>
      </c>
      <c r="AA455" s="28">
        <v>1</v>
      </c>
      <c r="AB455" s="34">
        <v>52177.880124999901</v>
      </c>
      <c r="AC455" s="34">
        <v>46923.311967059999</v>
      </c>
      <c r="AD455" s="117">
        <v>11132.94</v>
      </c>
      <c r="AE455" s="117">
        <v>521778.80125000002</v>
      </c>
      <c r="AF455" s="118" t="s">
        <v>551</v>
      </c>
      <c r="AG455" s="118" t="s">
        <v>66</v>
      </c>
    </row>
    <row r="456" spans="2:33" x14ac:dyDescent="0.2">
      <c r="B456" s="114">
        <f>CHOOSE(B$1,Tabla2[[#This Row],[Edad]]*12/365,Tabla2[[#This Row],[Tn/Ha]],Tabla2[[#This Row],[Tn]],Tabla2[[#This Row],[Area_Cosecha]])</f>
        <v>14.961958765409918</v>
      </c>
      <c r="C456" s="87" t="s">
        <v>550</v>
      </c>
      <c r="D456" s="23" t="s">
        <v>551</v>
      </c>
      <c r="E456" s="23" t="s">
        <v>551</v>
      </c>
      <c r="F456" s="23" t="s">
        <v>478</v>
      </c>
      <c r="G456" s="23" t="s">
        <v>19</v>
      </c>
      <c r="H456" s="23" t="s">
        <v>20</v>
      </c>
      <c r="I456" s="23" t="s">
        <v>21</v>
      </c>
      <c r="J456" s="23" t="s">
        <v>3</v>
      </c>
      <c r="K456" s="23" t="s">
        <v>577</v>
      </c>
      <c r="L456" s="23">
        <v>2022</v>
      </c>
      <c r="M456" s="24" t="s">
        <v>283</v>
      </c>
      <c r="N456" s="24">
        <v>44895</v>
      </c>
      <c r="O456" s="23" t="s">
        <v>50</v>
      </c>
      <c r="P456" s="86">
        <v>455.092912447885</v>
      </c>
      <c r="Q456" s="86">
        <v>50.92</v>
      </c>
      <c r="R456" s="25">
        <v>16.79</v>
      </c>
      <c r="S456" s="25">
        <v>115.25</v>
      </c>
      <c r="T456" s="25">
        <v>7.7</v>
      </c>
      <c r="U456" s="25">
        <v>12.886985076103301</v>
      </c>
      <c r="V456" s="115">
        <v>11.457273878883701</v>
      </c>
      <c r="W456" s="116">
        <v>1935</v>
      </c>
      <c r="X456" s="114">
        <v>553594.01</v>
      </c>
      <c r="Y456" s="30">
        <v>45351</v>
      </c>
      <c r="Z456" s="28">
        <v>2024</v>
      </c>
      <c r="AA456" s="28">
        <v>2</v>
      </c>
      <c r="AB456" s="34">
        <v>24936.316122259999</v>
      </c>
      <c r="AC456" s="34">
        <v>22169.824955640001</v>
      </c>
      <c r="AD456" s="117">
        <v>7641.01</v>
      </c>
      <c r="AE456" s="117">
        <v>249363.1612226</v>
      </c>
      <c r="AF456" s="118" t="s">
        <v>551</v>
      </c>
      <c r="AG456" s="118" t="s">
        <v>66</v>
      </c>
    </row>
    <row r="457" spans="2:33" x14ac:dyDescent="0.2">
      <c r="B457" s="114">
        <f>CHOOSE(B$1,Tabla2[[#This Row],[Edad]]*12/365,Tabla2[[#This Row],[Tn/Ha]],Tabla2[[#This Row],[Tn]],Tabla2[[#This Row],[Area_Cosecha]])</f>
        <v>15.024657534246575</v>
      </c>
      <c r="C457" s="87" t="s">
        <v>550</v>
      </c>
      <c r="D457" s="23" t="s">
        <v>551</v>
      </c>
      <c r="E457" s="23" t="s">
        <v>551</v>
      </c>
      <c r="F457" s="23" t="s">
        <v>478</v>
      </c>
      <c r="G457" s="23" t="s">
        <v>19</v>
      </c>
      <c r="H457" s="23" t="s">
        <v>20</v>
      </c>
      <c r="I457" s="23" t="s">
        <v>21</v>
      </c>
      <c r="J457" s="23" t="s">
        <v>3</v>
      </c>
      <c r="K457" s="23" t="s">
        <v>577</v>
      </c>
      <c r="L457" s="23">
        <v>2022</v>
      </c>
      <c r="M457" s="24" t="s">
        <v>283</v>
      </c>
      <c r="N457" s="24">
        <v>44895</v>
      </c>
      <c r="O457" s="23" t="s">
        <v>50</v>
      </c>
      <c r="P457" s="86">
        <v>457</v>
      </c>
      <c r="Q457" s="86">
        <v>50.919999999999902</v>
      </c>
      <c r="R457" s="25">
        <v>6.63</v>
      </c>
      <c r="S457" s="25">
        <v>173.59</v>
      </c>
      <c r="T457" s="25">
        <v>11.55</v>
      </c>
      <c r="U457" s="25">
        <v>13.015222222222199</v>
      </c>
      <c r="V457" s="115">
        <v>11.535555555555501</v>
      </c>
      <c r="W457" s="116">
        <v>1150.8719999999901</v>
      </c>
      <c r="X457" s="114">
        <v>665915.72</v>
      </c>
      <c r="Y457" s="30">
        <v>45352</v>
      </c>
      <c r="Z457" s="28">
        <v>2024</v>
      </c>
      <c r="AA457" s="28">
        <v>3</v>
      </c>
      <c r="AB457" s="34">
        <v>14978.854829333301</v>
      </c>
      <c r="AC457" s="34">
        <v>13275.947893333299</v>
      </c>
      <c r="AD457" s="117">
        <v>3029.91</v>
      </c>
      <c r="AE457" s="117">
        <v>149788.54829333301</v>
      </c>
      <c r="AF457" s="118" t="s">
        <v>551</v>
      </c>
      <c r="AG457" s="118" t="s">
        <v>66</v>
      </c>
    </row>
    <row r="458" spans="2:33" x14ac:dyDescent="0.2">
      <c r="B458" s="114">
        <f>CHOOSE(B$1,Tabla2[[#This Row],[Edad]]*12/365,Tabla2[[#This Row],[Tn/Ha]],Tabla2[[#This Row],[Tn]],Tabla2[[#This Row],[Area_Cosecha]])</f>
        <v>15.246472602739725</v>
      </c>
      <c r="C458" s="87" t="s">
        <v>550</v>
      </c>
      <c r="D458" s="23" t="s">
        <v>551</v>
      </c>
      <c r="E458" s="23" t="s">
        <v>551</v>
      </c>
      <c r="F458" s="23" t="s">
        <v>436</v>
      </c>
      <c r="G458" s="23" t="s">
        <v>19</v>
      </c>
      <c r="H458" s="23" t="s">
        <v>20</v>
      </c>
      <c r="I458" s="23" t="s">
        <v>21</v>
      </c>
      <c r="J458" s="23" t="s">
        <v>4</v>
      </c>
      <c r="K458" s="23" t="s">
        <v>651</v>
      </c>
      <c r="L458" s="23">
        <v>2022</v>
      </c>
      <c r="M458" s="24" t="s">
        <v>63</v>
      </c>
      <c r="N458" s="24">
        <v>44945</v>
      </c>
      <c r="O458" s="23" t="s">
        <v>50</v>
      </c>
      <c r="P458" s="86">
        <v>463.74687499999999</v>
      </c>
      <c r="Q458" s="86">
        <v>45.56</v>
      </c>
      <c r="R458" s="25">
        <v>22.4</v>
      </c>
      <c r="S458" s="25">
        <v>151.18</v>
      </c>
      <c r="T458" s="25">
        <v>9.92</v>
      </c>
      <c r="U458" s="25">
        <v>14.5025054672629</v>
      </c>
      <c r="V458" s="115">
        <v>12.995894081651199</v>
      </c>
      <c r="W458" s="116">
        <v>3386.5259999999998</v>
      </c>
      <c r="X458" s="114">
        <v>1286311.92</v>
      </c>
      <c r="Y458" s="30">
        <v>45412</v>
      </c>
      <c r="Z458" s="28">
        <v>2024</v>
      </c>
      <c r="AA458" s="28">
        <v>4</v>
      </c>
      <c r="AB458" s="34">
        <v>49113.111830028</v>
      </c>
      <c r="AC458" s="34">
        <v>44010.933200758001</v>
      </c>
      <c r="AD458" s="117">
        <v>10387.93</v>
      </c>
      <c r="AE458" s="117">
        <v>491131.11830028001</v>
      </c>
      <c r="AF458" s="118" t="s">
        <v>551</v>
      </c>
      <c r="AG458" s="118" t="s">
        <v>66</v>
      </c>
    </row>
    <row r="459" spans="2:33" x14ac:dyDescent="0.2">
      <c r="B459" s="114">
        <f>CHOOSE(B$1,Tabla2[[#This Row],[Edad]]*12/365,Tabla2[[#This Row],[Tn/Ha]],Tabla2[[#This Row],[Tn]],Tabla2[[#This Row],[Area_Cosecha]])</f>
        <v>15.418198594648274</v>
      </c>
      <c r="C459" s="87" t="s">
        <v>550</v>
      </c>
      <c r="D459" s="23" t="s">
        <v>551</v>
      </c>
      <c r="E459" s="23" t="s">
        <v>551</v>
      </c>
      <c r="F459" s="23" t="s">
        <v>436</v>
      </c>
      <c r="G459" s="23" t="s">
        <v>19</v>
      </c>
      <c r="H459" s="23" t="s">
        <v>20</v>
      </c>
      <c r="I459" s="23" t="s">
        <v>21</v>
      </c>
      <c r="J459" s="23" t="s">
        <v>4</v>
      </c>
      <c r="K459" s="23" t="s">
        <v>651</v>
      </c>
      <c r="L459" s="23">
        <v>2022</v>
      </c>
      <c r="M459" s="24" t="s">
        <v>63</v>
      </c>
      <c r="N459" s="24">
        <v>44945</v>
      </c>
      <c r="O459" s="23" t="s">
        <v>50</v>
      </c>
      <c r="P459" s="86">
        <v>468.97020725388501</v>
      </c>
      <c r="Q459" s="86">
        <v>45.56</v>
      </c>
      <c r="R459" s="25">
        <v>23.16</v>
      </c>
      <c r="S459" s="25">
        <v>157.13999999999999</v>
      </c>
      <c r="T459" s="25">
        <v>10.19</v>
      </c>
      <c r="U459" s="25">
        <v>14.1813134882028</v>
      </c>
      <c r="V459" s="115">
        <v>12.682361109310399</v>
      </c>
      <c r="W459" s="116">
        <v>3639.45</v>
      </c>
      <c r="X459" s="114">
        <v>1414783.54</v>
      </c>
      <c r="Y459" s="30">
        <v>45416</v>
      </c>
      <c r="Z459" s="28">
        <v>2024</v>
      </c>
      <c r="AA459" s="28">
        <v>5</v>
      </c>
      <c r="AB459" s="34">
        <v>51612.18137464</v>
      </c>
      <c r="AC459" s="34">
        <v>46156.81913928</v>
      </c>
      <c r="AD459" s="117">
        <v>10861.3499999999</v>
      </c>
      <c r="AE459" s="117">
        <v>516121.81374639901</v>
      </c>
      <c r="AF459" s="118" t="s">
        <v>551</v>
      </c>
      <c r="AG459" s="118" t="s">
        <v>66</v>
      </c>
    </row>
    <row r="460" spans="2:33" x14ac:dyDescent="0.2">
      <c r="B460" s="114">
        <f>CHOOSE(B$1,Tabla2[[#This Row],[Edad]]*12/365,Tabla2[[#This Row],[Tn/Ha]],Tabla2[[#This Row],[Tn]],Tabla2[[#This Row],[Area_Cosecha]])</f>
        <v>11.739230473206971</v>
      </c>
      <c r="C460" s="87" t="s">
        <v>550</v>
      </c>
      <c r="D460" s="23" t="s">
        <v>551</v>
      </c>
      <c r="E460" s="23" t="s">
        <v>551</v>
      </c>
      <c r="F460" s="23" t="s">
        <v>263</v>
      </c>
      <c r="G460" s="23" t="s">
        <v>19</v>
      </c>
      <c r="H460" s="23" t="s">
        <v>20</v>
      </c>
      <c r="I460" s="23" t="s">
        <v>21</v>
      </c>
      <c r="J460" s="23" t="s">
        <v>5</v>
      </c>
      <c r="K460" s="23" t="s">
        <v>747</v>
      </c>
      <c r="L460" s="23">
        <v>2022</v>
      </c>
      <c r="M460" s="24" t="s">
        <v>283</v>
      </c>
      <c r="N460" s="24">
        <v>45139</v>
      </c>
      <c r="O460" s="23" t="s">
        <v>50</v>
      </c>
      <c r="P460" s="86">
        <v>357.06826022671203</v>
      </c>
      <c r="Q460" s="86">
        <v>40.68</v>
      </c>
      <c r="R460" s="25">
        <v>40.58</v>
      </c>
      <c r="S460" s="25">
        <v>109.47</v>
      </c>
      <c r="T460" s="25">
        <v>9.33</v>
      </c>
      <c r="U460" s="25">
        <v>15.499724359075801</v>
      </c>
      <c r="V460" s="115">
        <v>14.0350868510733</v>
      </c>
      <c r="W460" s="116">
        <v>4442.32</v>
      </c>
      <c r="X460" s="114">
        <v>1230437.58</v>
      </c>
      <c r="Y460" s="30">
        <v>45498</v>
      </c>
      <c r="Z460" s="28">
        <v>2024</v>
      </c>
      <c r="AA460" s="28">
        <v>7</v>
      </c>
      <c r="AB460" s="34">
        <v>68854.735514810003</v>
      </c>
      <c r="AC460" s="34">
        <v>62348.34702026</v>
      </c>
      <c r="AD460" s="117">
        <v>14489.8299999999</v>
      </c>
      <c r="AE460" s="117">
        <v>688547.35514809994</v>
      </c>
      <c r="AF460" s="118" t="s">
        <v>551</v>
      </c>
      <c r="AG460" s="118" t="s">
        <v>66</v>
      </c>
    </row>
    <row r="461" spans="2:33" x14ac:dyDescent="0.2">
      <c r="B461" s="114">
        <f>CHOOSE(B$1,Tabla2[[#This Row],[Edad]]*12/365,Tabla2[[#This Row],[Tn/Ha]],Tabla2[[#This Row],[Tn]],Tabla2[[#This Row],[Area_Cosecha]])</f>
        <v>12.032876712328767</v>
      </c>
      <c r="C461" s="87" t="s">
        <v>550</v>
      </c>
      <c r="D461" s="23" t="s">
        <v>551</v>
      </c>
      <c r="E461" s="23" t="s">
        <v>551</v>
      </c>
      <c r="F461" s="23" t="s">
        <v>263</v>
      </c>
      <c r="G461" s="23" t="s">
        <v>19</v>
      </c>
      <c r="H461" s="23" t="s">
        <v>20</v>
      </c>
      <c r="I461" s="23" t="s">
        <v>21</v>
      </c>
      <c r="J461" s="23" t="s">
        <v>5</v>
      </c>
      <c r="K461" s="23" t="s">
        <v>747</v>
      </c>
      <c r="L461" s="23">
        <v>2022</v>
      </c>
      <c r="M461" s="24" t="s">
        <v>283</v>
      </c>
      <c r="N461" s="24">
        <v>45139</v>
      </c>
      <c r="O461" s="23" t="s">
        <v>50</v>
      </c>
      <c r="P461" s="86">
        <v>366</v>
      </c>
      <c r="Q461" s="86">
        <v>40.68</v>
      </c>
      <c r="R461" s="25">
        <v>0.1</v>
      </c>
      <c r="S461" s="25">
        <v>113.19</v>
      </c>
      <c r="T461" s="25">
        <v>9.41</v>
      </c>
      <c r="U461" s="25">
        <v>12.698</v>
      </c>
      <c r="V461" s="115">
        <v>11.252000000000001</v>
      </c>
      <c r="W461" s="116">
        <v>11.319000000000001</v>
      </c>
      <c r="X461" s="114">
        <v>12811.98</v>
      </c>
      <c r="Y461" s="30">
        <v>45505</v>
      </c>
      <c r="Z461" s="28">
        <v>2024</v>
      </c>
      <c r="AA461" s="28">
        <v>8</v>
      </c>
      <c r="AB461" s="34">
        <v>143.72866200000001</v>
      </c>
      <c r="AC461" s="34">
        <v>127.36138800000001</v>
      </c>
      <c r="AD461" s="117">
        <v>36.6</v>
      </c>
      <c r="AE461" s="117">
        <v>1437.2866200000001</v>
      </c>
      <c r="AF461" s="118" t="s">
        <v>551</v>
      </c>
      <c r="AG461" s="118" t="s">
        <v>66</v>
      </c>
    </row>
    <row r="462" spans="2:33" x14ac:dyDescent="0.2">
      <c r="B462" s="114">
        <f>CHOOSE(B$1,Tabla2[[#This Row],[Edad]]*12/365,Tabla2[[#This Row],[Tn/Ha]],Tabla2[[#This Row],[Tn]],Tabla2[[#This Row],[Area_Cosecha]])</f>
        <v>14.537852046690805</v>
      </c>
      <c r="C462" s="87" t="s">
        <v>550</v>
      </c>
      <c r="D462" s="23" t="s">
        <v>551</v>
      </c>
      <c r="E462" s="23" t="s">
        <v>551</v>
      </c>
      <c r="F462" s="23" t="s">
        <v>265</v>
      </c>
      <c r="G462" s="23" t="s">
        <v>19</v>
      </c>
      <c r="H462" s="23" t="s">
        <v>20</v>
      </c>
      <c r="I462" s="23" t="s">
        <v>21</v>
      </c>
      <c r="J462" s="23" t="s">
        <v>7</v>
      </c>
      <c r="K462" s="23" t="s">
        <v>652</v>
      </c>
      <c r="L462" s="23">
        <v>2022</v>
      </c>
      <c r="M462" s="24" t="s">
        <v>283</v>
      </c>
      <c r="N462" s="24">
        <v>44963</v>
      </c>
      <c r="O462" s="23" t="s">
        <v>50</v>
      </c>
      <c r="P462" s="86">
        <v>442.19299975351203</v>
      </c>
      <c r="Q462" s="86">
        <v>40.840000000000003</v>
      </c>
      <c r="R462" s="25">
        <v>40.57</v>
      </c>
      <c r="S462" s="25">
        <v>146.91999999999999</v>
      </c>
      <c r="T462" s="25">
        <v>10.11</v>
      </c>
      <c r="U462" s="25">
        <v>14.0392648025719</v>
      </c>
      <c r="V462" s="115">
        <v>12.5690551561147</v>
      </c>
      <c r="W462" s="116">
        <v>5960.5499999999902</v>
      </c>
      <c r="X462" s="114">
        <v>1766956.85</v>
      </c>
      <c r="Y462" s="30">
        <v>45408</v>
      </c>
      <c r="Z462" s="28">
        <v>2024</v>
      </c>
      <c r="AA462" s="28">
        <v>4</v>
      </c>
      <c r="AB462" s="34">
        <v>83681.739818970003</v>
      </c>
      <c r="AC462" s="34">
        <v>74918.481710780005</v>
      </c>
      <c r="AD462" s="117">
        <v>17939.77</v>
      </c>
      <c r="AE462" s="117">
        <v>836817.39818969998</v>
      </c>
      <c r="AF462" s="118" t="s">
        <v>551</v>
      </c>
      <c r="AG462" s="118" t="s">
        <v>66</v>
      </c>
    </row>
    <row r="463" spans="2:33" x14ac:dyDescent="0.2">
      <c r="B463" s="114">
        <f>CHOOSE(B$1,Tabla2[[#This Row],[Edad]]*12/365,Tabla2[[#This Row],[Tn/Ha]],Tabla2[[#This Row],[Tn]],Tabla2[[#This Row],[Area_Cosecha]])</f>
        <v>15.045357686453555</v>
      </c>
      <c r="C463" s="87" t="s">
        <v>550</v>
      </c>
      <c r="D463" s="23" t="s">
        <v>551</v>
      </c>
      <c r="E463" s="23" t="s">
        <v>551</v>
      </c>
      <c r="F463" s="23" t="s">
        <v>265</v>
      </c>
      <c r="G463" s="23" t="s">
        <v>19</v>
      </c>
      <c r="H463" s="23" t="s">
        <v>20</v>
      </c>
      <c r="I463" s="23" t="s">
        <v>21</v>
      </c>
      <c r="J463" s="23" t="s">
        <v>7</v>
      </c>
      <c r="K463" s="23" t="s">
        <v>652</v>
      </c>
      <c r="L463" s="23">
        <v>2022</v>
      </c>
      <c r="M463" s="24" t="s">
        <v>283</v>
      </c>
      <c r="N463" s="24">
        <v>44963</v>
      </c>
      <c r="O463" s="23" t="s">
        <v>50</v>
      </c>
      <c r="P463" s="86">
        <v>457.62962962962899</v>
      </c>
      <c r="Q463" s="86">
        <v>40.840000000000003</v>
      </c>
      <c r="R463" s="25">
        <v>0.27</v>
      </c>
      <c r="S463" s="25">
        <v>189.48</v>
      </c>
      <c r="T463" s="25">
        <v>12.59</v>
      </c>
      <c r="U463" s="25">
        <v>14.094891623534</v>
      </c>
      <c r="V463" s="115">
        <v>12.556225579554299</v>
      </c>
      <c r="W463" s="116">
        <v>51.16</v>
      </c>
      <c r="X463" s="114">
        <v>32327.77</v>
      </c>
      <c r="Y463" s="30">
        <v>45422</v>
      </c>
      <c r="Z463" s="28">
        <v>2024</v>
      </c>
      <c r="AA463" s="28">
        <v>5</v>
      </c>
      <c r="AB463" s="34">
        <v>721.09465546000001</v>
      </c>
      <c r="AC463" s="34">
        <v>642.37650065000003</v>
      </c>
      <c r="AD463" s="117">
        <v>123.56</v>
      </c>
      <c r="AE463" s="117">
        <v>7210.9465546000001</v>
      </c>
      <c r="AF463" s="118" t="s">
        <v>551</v>
      </c>
      <c r="AG463" s="118" t="s">
        <v>66</v>
      </c>
    </row>
    <row r="464" spans="2:33" x14ac:dyDescent="0.2">
      <c r="B464" s="114">
        <f>CHOOSE(B$1,Tabla2[[#This Row],[Edad]]*12/365,Tabla2[[#This Row],[Tn/Ha]],Tabla2[[#This Row],[Tn]],Tabla2[[#This Row],[Area_Cosecha]])</f>
        <v>13.237067794636966</v>
      </c>
      <c r="C464" s="87" t="s">
        <v>550</v>
      </c>
      <c r="D464" s="23" t="s">
        <v>551</v>
      </c>
      <c r="E464" s="23" t="s">
        <v>551</v>
      </c>
      <c r="F464" s="23" t="s">
        <v>266</v>
      </c>
      <c r="G464" s="23" t="s">
        <v>19</v>
      </c>
      <c r="H464" s="23" t="s">
        <v>20</v>
      </c>
      <c r="I464" s="23" t="s">
        <v>26</v>
      </c>
      <c r="J464" s="23" t="s">
        <v>3</v>
      </c>
      <c r="K464" s="23" t="s">
        <v>748</v>
      </c>
      <c r="L464" s="23">
        <v>2021</v>
      </c>
      <c r="M464" s="24" t="s">
        <v>64</v>
      </c>
      <c r="N464" s="24">
        <v>45089</v>
      </c>
      <c r="O464" s="23" t="s">
        <v>50</v>
      </c>
      <c r="P464" s="86">
        <v>402.62747875354103</v>
      </c>
      <c r="Q464" s="86">
        <v>21.32</v>
      </c>
      <c r="R464" s="25">
        <v>21.18</v>
      </c>
      <c r="S464" s="25">
        <v>128.99</v>
      </c>
      <c r="T464" s="25">
        <v>9.74</v>
      </c>
      <c r="U464" s="25">
        <v>15.918606754893</v>
      </c>
      <c r="V464" s="115">
        <v>14.417573076109001</v>
      </c>
      <c r="W464" s="116">
        <v>2731.9870000000001</v>
      </c>
      <c r="X464" s="114">
        <v>1182399.03</v>
      </c>
      <c r="Y464" s="30">
        <v>45493</v>
      </c>
      <c r="Z464" s="28">
        <v>2024</v>
      </c>
      <c r="AA464" s="28">
        <v>7</v>
      </c>
      <c r="AB464" s="34">
        <v>43489.426712480003</v>
      </c>
      <c r="AC464" s="34">
        <v>39388.622215479998</v>
      </c>
      <c r="AD464" s="117">
        <v>8527.65</v>
      </c>
      <c r="AE464" s="117">
        <v>434894.26712480001</v>
      </c>
      <c r="AF464" s="118" t="s">
        <v>551</v>
      </c>
      <c r="AG464" s="118" t="s">
        <v>66</v>
      </c>
    </row>
    <row r="465" spans="2:33" x14ac:dyDescent="0.2">
      <c r="B465" s="114">
        <f>CHOOSE(B$1,Tabla2[[#This Row],[Edad]]*12/365,Tabla2[[#This Row],[Tn/Ha]],Tabla2[[#This Row],[Tn]],Tabla2[[#This Row],[Area_Cosecha]])</f>
        <v>13.676712328767124</v>
      </c>
      <c r="C465" s="87" t="s">
        <v>550</v>
      </c>
      <c r="D465" s="23" t="s">
        <v>551</v>
      </c>
      <c r="E465" s="23" t="s">
        <v>551</v>
      </c>
      <c r="F465" s="23" t="s">
        <v>266</v>
      </c>
      <c r="G465" s="23" t="s">
        <v>19</v>
      </c>
      <c r="H465" s="23" t="s">
        <v>20</v>
      </c>
      <c r="I465" s="23" t="s">
        <v>26</v>
      </c>
      <c r="J465" s="23" t="s">
        <v>3</v>
      </c>
      <c r="K465" s="23" t="s">
        <v>748</v>
      </c>
      <c r="L465" s="23">
        <v>2021</v>
      </c>
      <c r="M465" s="24" t="s">
        <v>64</v>
      </c>
      <c r="N465" s="24">
        <v>45089</v>
      </c>
      <c r="O465" s="23" t="s">
        <v>50</v>
      </c>
      <c r="P465" s="86">
        <v>416</v>
      </c>
      <c r="Q465" s="86">
        <v>21.32</v>
      </c>
      <c r="R465" s="25">
        <v>0.14000000000000001</v>
      </c>
      <c r="S465" s="25">
        <v>87.58</v>
      </c>
      <c r="T465" s="25">
        <v>6.4</v>
      </c>
      <c r="U465" s="25">
        <v>13.006</v>
      </c>
      <c r="V465" s="115">
        <v>11.388999999999999</v>
      </c>
      <c r="W465" s="116">
        <v>12.260999999999999</v>
      </c>
      <c r="X465" s="114">
        <v>10738.01</v>
      </c>
      <c r="Y465" s="30">
        <v>45505</v>
      </c>
      <c r="Z465" s="28">
        <v>2024</v>
      </c>
      <c r="AA465" s="28">
        <v>8</v>
      </c>
      <c r="AB465" s="34">
        <v>159.466566</v>
      </c>
      <c r="AC465" s="34">
        <v>139.64052899999999</v>
      </c>
      <c r="AD465" s="117">
        <v>58.24</v>
      </c>
      <c r="AE465" s="117">
        <v>1594.6656599999999</v>
      </c>
      <c r="AF465" s="118" t="s">
        <v>551</v>
      </c>
      <c r="AG465" s="118" t="s">
        <v>66</v>
      </c>
    </row>
    <row r="466" spans="2:33" x14ac:dyDescent="0.2">
      <c r="B466" s="114">
        <f>CHOOSE(B$1,Tabla2[[#This Row],[Edad]]*12/365,Tabla2[[#This Row],[Tn/Ha]],Tabla2[[#This Row],[Tn]],Tabla2[[#This Row],[Area_Cosecha]])</f>
        <v>15.413551190094905</v>
      </c>
      <c r="C466" s="87" t="s">
        <v>550</v>
      </c>
      <c r="D466" s="23" t="s">
        <v>551</v>
      </c>
      <c r="E466" s="23" t="s">
        <v>551</v>
      </c>
      <c r="F466" s="23" t="s">
        <v>407</v>
      </c>
      <c r="G466" s="23" t="s">
        <v>19</v>
      </c>
      <c r="H466" s="23" t="s">
        <v>20</v>
      </c>
      <c r="I466" s="23" t="s">
        <v>26</v>
      </c>
      <c r="J466" s="23" t="s">
        <v>4</v>
      </c>
      <c r="K466" s="23" t="s">
        <v>620</v>
      </c>
      <c r="L466" s="23">
        <v>2021</v>
      </c>
      <c r="M466" s="24" t="s">
        <v>63</v>
      </c>
      <c r="N466" s="24">
        <v>44866</v>
      </c>
      <c r="O466" s="23" t="s">
        <v>79</v>
      </c>
      <c r="P466" s="86">
        <v>468.82884869871998</v>
      </c>
      <c r="Q466" s="86">
        <v>22.669999999999899</v>
      </c>
      <c r="R466" s="25">
        <v>22.669999999999899</v>
      </c>
      <c r="S466" s="25">
        <v>179.87</v>
      </c>
      <c r="T466" s="25">
        <v>11.67</v>
      </c>
      <c r="U466" s="25">
        <v>13.7069388214656</v>
      </c>
      <c r="V466" s="115">
        <v>12.217163944668201</v>
      </c>
      <c r="W466" s="116">
        <v>4077.59</v>
      </c>
      <c r="X466" s="114">
        <v>1051539.25</v>
      </c>
      <c r="Y466" s="30">
        <v>45341</v>
      </c>
      <c r="Z466" s="28">
        <v>2024</v>
      </c>
      <c r="AA466" s="28">
        <v>2</v>
      </c>
      <c r="AB466" s="34">
        <v>55891.276669019899</v>
      </c>
      <c r="AC466" s="34">
        <v>49816.585529139898</v>
      </c>
      <c r="AD466" s="117">
        <v>10628.35</v>
      </c>
      <c r="AE466" s="117">
        <v>558912.76669019903</v>
      </c>
      <c r="AF466" s="118" t="s">
        <v>551</v>
      </c>
      <c r="AG466" s="118" t="s">
        <v>66</v>
      </c>
    </row>
    <row r="467" spans="2:33" x14ac:dyDescent="0.2">
      <c r="B467" s="114">
        <f>CHOOSE(B$1,Tabla2[[#This Row],[Edad]]*12/365,Tabla2[[#This Row],[Tn/Ha]],Tabla2[[#This Row],[Tn]],Tabla2[[#This Row],[Area_Cosecha]])</f>
        <v>12.575384759980242</v>
      </c>
      <c r="C467" s="87" t="s">
        <v>550</v>
      </c>
      <c r="D467" s="23" t="s">
        <v>551</v>
      </c>
      <c r="E467" s="23" t="s">
        <v>551</v>
      </c>
      <c r="F467" s="23" t="s">
        <v>267</v>
      </c>
      <c r="G467" s="23" t="s">
        <v>19</v>
      </c>
      <c r="H467" s="23" t="s">
        <v>20</v>
      </c>
      <c r="I467" s="23" t="s">
        <v>26</v>
      </c>
      <c r="J467" s="23" t="s">
        <v>5</v>
      </c>
      <c r="K467" s="23" t="s">
        <v>621</v>
      </c>
      <c r="L467" s="23">
        <v>2021</v>
      </c>
      <c r="M467" s="24" t="s">
        <v>60</v>
      </c>
      <c r="N467" s="24">
        <v>44951</v>
      </c>
      <c r="O467" s="23" t="s">
        <v>50</v>
      </c>
      <c r="P467" s="86">
        <v>382.501286449399</v>
      </c>
      <c r="Q467" s="86">
        <v>23.319999999999901</v>
      </c>
      <c r="R467" s="25">
        <v>23.32</v>
      </c>
      <c r="S467" s="25">
        <v>124.43</v>
      </c>
      <c r="T467" s="25">
        <v>9.89</v>
      </c>
      <c r="U467" s="25">
        <v>14.2373462511648</v>
      </c>
      <c r="V467" s="115">
        <v>12.744651162731</v>
      </c>
      <c r="W467" s="116">
        <v>2901.72</v>
      </c>
      <c r="X467" s="114">
        <v>617661.92000000004</v>
      </c>
      <c r="Y467" s="30">
        <v>45336</v>
      </c>
      <c r="Z467" s="28">
        <v>2024</v>
      </c>
      <c r="AA467" s="28">
        <v>2</v>
      </c>
      <c r="AB467" s="34">
        <v>41312.792363929999</v>
      </c>
      <c r="AC467" s="34">
        <v>36981.409171920001</v>
      </c>
      <c r="AD467" s="117">
        <v>8919.93</v>
      </c>
      <c r="AE467" s="117">
        <v>413127.92363929999</v>
      </c>
      <c r="AF467" s="118" t="s">
        <v>551</v>
      </c>
      <c r="AG467" s="118" t="s">
        <v>66</v>
      </c>
    </row>
    <row r="468" spans="2:33" x14ac:dyDescent="0.2">
      <c r="B468" s="114">
        <f>CHOOSE(B$1,Tabla2[[#This Row],[Edad]]*12/365,Tabla2[[#This Row],[Tn/Ha]],Tabla2[[#This Row],[Tn]],Tabla2[[#This Row],[Area_Cosecha]])</f>
        <v>15.336706165784218</v>
      </c>
      <c r="C468" s="87" t="s">
        <v>550</v>
      </c>
      <c r="D468" s="23" t="s">
        <v>551</v>
      </c>
      <c r="E468" s="23" t="s">
        <v>551</v>
      </c>
      <c r="F468" s="23" t="s">
        <v>268</v>
      </c>
      <c r="G468" s="23" t="s">
        <v>19</v>
      </c>
      <c r="H468" s="23" t="s">
        <v>20</v>
      </c>
      <c r="I468" s="23" t="s">
        <v>26</v>
      </c>
      <c r="J468" s="23" t="s">
        <v>7</v>
      </c>
      <c r="K468" s="23" t="s">
        <v>856</v>
      </c>
      <c r="L468" s="23">
        <v>2022</v>
      </c>
      <c r="M468" s="24" t="s">
        <v>283</v>
      </c>
      <c r="N468" s="24">
        <v>45129</v>
      </c>
      <c r="O468" s="23" t="s">
        <v>50</v>
      </c>
      <c r="P468" s="86">
        <v>466.49147920926998</v>
      </c>
      <c r="Q468" s="86">
        <v>21.69</v>
      </c>
      <c r="R468" s="25">
        <v>14.67</v>
      </c>
      <c r="S468" s="25">
        <v>91.55</v>
      </c>
      <c r="T468" s="25">
        <v>5.97</v>
      </c>
      <c r="U468" s="25">
        <v>14.218219219085</v>
      </c>
      <c r="V468" s="115">
        <v>12.7441677072164</v>
      </c>
      <c r="W468" s="116">
        <v>1343.04</v>
      </c>
      <c r="X468" s="114">
        <v>614648.39</v>
      </c>
      <c r="Y468" s="30">
        <v>45596</v>
      </c>
      <c r="Z468" s="28">
        <v>2024</v>
      </c>
      <c r="AA468" s="28">
        <v>10</v>
      </c>
      <c r="AB468" s="34">
        <v>19095.637139999999</v>
      </c>
      <c r="AC468" s="34">
        <v>17115.926997499999</v>
      </c>
      <c r="AD468" s="117">
        <v>6843.43</v>
      </c>
      <c r="AE468" s="117">
        <v>190956.37139999901</v>
      </c>
      <c r="AF468" s="118" t="s">
        <v>551</v>
      </c>
      <c r="AG468" s="118" t="s">
        <v>66</v>
      </c>
    </row>
    <row r="469" spans="2:33" x14ac:dyDescent="0.2">
      <c r="B469" s="114">
        <f>CHOOSE(B$1,Tabla2[[#This Row],[Edad]]*12/365,Tabla2[[#This Row],[Tn/Ha]],Tabla2[[#This Row],[Tn]],Tabla2[[#This Row],[Area_Cosecha]])</f>
        <v>15.386301369863014</v>
      </c>
      <c r="C469" s="87" t="s">
        <v>550</v>
      </c>
      <c r="D469" s="23" t="s">
        <v>551</v>
      </c>
      <c r="E469" s="23" t="s">
        <v>551</v>
      </c>
      <c r="F469" s="23" t="s">
        <v>268</v>
      </c>
      <c r="G469" s="23" t="s">
        <v>19</v>
      </c>
      <c r="H469" s="23" t="s">
        <v>20</v>
      </c>
      <c r="I469" s="23" t="s">
        <v>26</v>
      </c>
      <c r="J469" s="23" t="s">
        <v>7</v>
      </c>
      <c r="K469" s="23" t="s">
        <v>856</v>
      </c>
      <c r="L469" s="23">
        <v>2022</v>
      </c>
      <c r="M469" s="24" t="s">
        <v>283</v>
      </c>
      <c r="N469" s="24">
        <v>45129</v>
      </c>
      <c r="O469" s="23" t="s">
        <v>50</v>
      </c>
      <c r="P469" s="86">
        <v>468</v>
      </c>
      <c r="Q469" s="86">
        <v>21.69</v>
      </c>
      <c r="R469" s="25">
        <v>2.08</v>
      </c>
      <c r="S469" s="25">
        <v>95.75</v>
      </c>
      <c r="T469" s="25">
        <v>6.22</v>
      </c>
      <c r="U469" s="25">
        <v>14.506625</v>
      </c>
      <c r="V469" s="115">
        <v>13.06475</v>
      </c>
      <c r="W469" s="116">
        <v>199.15</v>
      </c>
      <c r="X469" s="114">
        <v>190676.55</v>
      </c>
      <c r="Y469" s="30">
        <v>45597</v>
      </c>
      <c r="Z469" s="28">
        <v>2024</v>
      </c>
      <c r="AA469" s="28">
        <v>11</v>
      </c>
      <c r="AB469" s="34">
        <v>2888.9943687499999</v>
      </c>
      <c r="AC469" s="34">
        <v>2601.8449624999998</v>
      </c>
      <c r="AD469" s="117">
        <v>973.44</v>
      </c>
      <c r="AE469" s="117">
        <v>28889.943687499999</v>
      </c>
      <c r="AF469" s="118" t="s">
        <v>551</v>
      </c>
      <c r="AG469" s="118" t="s">
        <v>66</v>
      </c>
    </row>
  </sheetData>
  <mergeCells count="1">
    <mergeCell ref="AH2:AP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>
    <tabColor theme="1"/>
  </sheetPr>
  <dimension ref="B4:H19"/>
  <sheetViews>
    <sheetView showGridLines="0" workbookViewId="0">
      <selection activeCell="M19" sqref="M19"/>
    </sheetView>
  </sheetViews>
  <sheetFormatPr baseColWidth="10" defaultRowHeight="15" x14ac:dyDescent="0.25"/>
  <cols>
    <col min="1" max="1" width="4.85546875" customWidth="1"/>
    <col min="2" max="2" width="11.42578125" style="5"/>
    <col min="3" max="3" width="18" customWidth="1"/>
    <col min="4" max="4" width="19" customWidth="1"/>
    <col min="5" max="5" width="19.7109375" customWidth="1"/>
  </cols>
  <sheetData>
    <row r="4" spans="2:8" x14ac:dyDescent="0.25">
      <c r="B4" s="150" t="s">
        <v>58</v>
      </c>
      <c r="C4" s="150"/>
      <c r="D4" s="150"/>
      <c r="E4" s="150"/>
    </row>
    <row r="5" spans="2:8" x14ac:dyDescent="0.25">
      <c r="C5" s="5" t="s">
        <v>72</v>
      </c>
      <c r="D5" s="5" t="s">
        <v>73</v>
      </c>
      <c r="E5" s="5" t="s">
        <v>74</v>
      </c>
    </row>
    <row r="6" spans="2:8" x14ac:dyDescent="0.25">
      <c r="B6" s="7" t="s">
        <v>53</v>
      </c>
      <c r="C6" s="8" t="s">
        <v>70</v>
      </c>
      <c r="D6" s="8" t="s">
        <v>69</v>
      </c>
      <c r="E6" s="9" t="s">
        <v>71</v>
      </c>
    </row>
    <row r="7" spans="2:8" x14ac:dyDescent="0.25">
      <c r="B7" s="10" t="s">
        <v>57</v>
      </c>
      <c r="C7" s="11">
        <v>2</v>
      </c>
      <c r="D7" s="11">
        <v>3</v>
      </c>
      <c r="E7" s="12">
        <v>4</v>
      </c>
    </row>
    <row r="8" spans="2:8" x14ac:dyDescent="0.25">
      <c r="B8" s="13">
        <v>1</v>
      </c>
      <c r="C8" s="14">
        <v>1.4410940888120012E-2</v>
      </c>
      <c r="D8" s="14">
        <v>1.4111543267720631E-2</v>
      </c>
      <c r="E8" s="15">
        <v>1.381214564732125E-2</v>
      </c>
      <c r="G8" s="6">
        <v>2.4313489133114579E-4</v>
      </c>
    </row>
    <row r="9" spans="2:8" x14ac:dyDescent="0.25">
      <c r="B9" s="13">
        <v>2</v>
      </c>
      <c r="C9" s="14">
        <v>7.9694484376350173E-3</v>
      </c>
      <c r="D9" s="14">
        <v>6.8248670759602885E-3</v>
      </c>
      <c r="E9" s="15">
        <v>5.6802857142855597E-3</v>
      </c>
      <c r="G9" s="6">
        <v>-2.6324419948424013E-3</v>
      </c>
      <c r="H9" t="s">
        <v>54</v>
      </c>
    </row>
    <row r="10" spans="2:8" x14ac:dyDescent="0.25">
      <c r="B10" s="13">
        <v>3</v>
      </c>
      <c r="C10" s="14">
        <v>3.8257112364978242E-3</v>
      </c>
      <c r="D10" s="14">
        <v>1.0707180212022339E-2</v>
      </c>
      <c r="E10" s="15">
        <v>1.7588649187546854E-2</v>
      </c>
      <c r="G10" s="6">
        <v>-8.0712554557478468E-3</v>
      </c>
      <c r="H10" t="s">
        <v>54</v>
      </c>
    </row>
    <row r="11" spans="2:8" x14ac:dyDescent="0.25">
      <c r="B11" s="13">
        <v>4</v>
      </c>
      <c r="C11" s="14">
        <v>1.6165970610667796E-2</v>
      </c>
      <c r="D11" s="14">
        <v>1.3598558870612364E-2</v>
      </c>
      <c r="E11" s="15">
        <v>3.4024909154353501E-2</v>
      </c>
    </row>
    <row r="12" spans="2:8" x14ac:dyDescent="0.25">
      <c r="B12" s="13">
        <v>5</v>
      </c>
      <c r="C12" s="14">
        <v>5.1105572593275986E-2</v>
      </c>
      <c r="D12" s="14">
        <v>4.5783403404679027E-2</v>
      </c>
      <c r="E12" s="15">
        <v>3.039157596632009E-2</v>
      </c>
      <c r="G12" t="s">
        <v>55</v>
      </c>
    </row>
    <row r="13" spans="2:8" x14ac:dyDescent="0.25">
      <c r="B13" s="13">
        <v>6</v>
      </c>
      <c r="C13" s="14">
        <v>3.7804988808976411E-2</v>
      </c>
      <c r="D13" s="14">
        <v>3.9916508196139476E-2</v>
      </c>
      <c r="E13" s="15">
        <v>5.1299092913300405E-2</v>
      </c>
      <c r="G13" t="s">
        <v>56</v>
      </c>
    </row>
    <row r="14" spans="2:8" x14ac:dyDescent="0.25">
      <c r="B14" s="13">
        <v>7</v>
      </c>
      <c r="C14" s="14">
        <v>5.386533993676404E-2</v>
      </c>
      <c r="D14" s="14">
        <v>5.8889791619946862E-2</v>
      </c>
      <c r="E14" s="15">
        <v>2.1590228691688917E-2</v>
      </c>
    </row>
    <row r="15" spans="2:8" x14ac:dyDescent="0.25">
      <c r="B15" s="13">
        <v>8</v>
      </c>
      <c r="C15" s="14">
        <v>4.7785897990510265E-2</v>
      </c>
      <c r="D15" s="14">
        <v>3.1992687640082174E-2</v>
      </c>
      <c r="E15" s="15">
        <v>4.3394426562720488E-2</v>
      </c>
    </row>
    <row r="16" spans="2:8" x14ac:dyDescent="0.25">
      <c r="B16" s="13">
        <v>9</v>
      </c>
      <c r="C16" s="14">
        <v>6.6045810940235719E-2</v>
      </c>
      <c r="D16" s="14">
        <v>5.3595236147255546E-2</v>
      </c>
      <c r="E16" s="15">
        <v>4.4687492623132014E-2</v>
      </c>
    </row>
    <row r="17" spans="2:5" x14ac:dyDescent="0.25">
      <c r="B17" s="13">
        <v>10</v>
      </c>
      <c r="C17" s="14">
        <v>3.4972513625659438E-2</v>
      </c>
      <c r="D17" s="14">
        <v>3.4908401688945351E-2</v>
      </c>
      <c r="E17" s="15">
        <v>5.198989856902362E-2</v>
      </c>
    </row>
    <row r="18" spans="2:5" x14ac:dyDescent="0.25">
      <c r="B18" s="13">
        <v>11</v>
      </c>
      <c r="C18" s="14">
        <v>2.3805320761893602E-2</v>
      </c>
      <c r="D18" s="14">
        <v>4.324114434606622E-2</v>
      </c>
      <c r="E18" s="15">
        <v>6.4813257575757677E-2</v>
      </c>
    </row>
    <row r="19" spans="2:5" x14ac:dyDescent="0.25">
      <c r="B19" s="16">
        <v>12</v>
      </c>
      <c r="C19" s="17">
        <v>4.5087544038252637E-2</v>
      </c>
      <c r="D19" s="17">
        <v>3.2871923325346525E-2</v>
      </c>
      <c r="E19" s="18">
        <v>5.1324999999999898E-2</v>
      </c>
    </row>
  </sheetData>
  <mergeCells count="1">
    <mergeCell ref="B4:E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/>
  <dimension ref="B3:E18"/>
  <sheetViews>
    <sheetView showGridLines="0" workbookViewId="0">
      <selection activeCell="K32" sqref="K32"/>
    </sheetView>
  </sheetViews>
  <sheetFormatPr baseColWidth="10" defaultRowHeight="15" x14ac:dyDescent="0.25"/>
  <cols>
    <col min="2" max="2" width="13.28515625" bestFit="1" customWidth="1"/>
    <col min="3" max="3" width="14.140625" bestFit="1" customWidth="1"/>
    <col min="4" max="4" width="8.85546875" bestFit="1" customWidth="1"/>
    <col min="5" max="5" width="15.5703125" bestFit="1" customWidth="1"/>
  </cols>
  <sheetData>
    <row r="3" spans="2:5" x14ac:dyDescent="0.25">
      <c r="B3" t="s">
        <v>101</v>
      </c>
      <c r="C3" t="s">
        <v>95</v>
      </c>
      <c r="D3" t="s">
        <v>100</v>
      </c>
      <c r="E3" t="s">
        <v>96</v>
      </c>
    </row>
    <row r="4" spans="2:5" x14ac:dyDescent="0.25">
      <c r="B4" t="str">
        <f>CONCATENATE(Tabla3[[#This Row],[Macrofundo]],Tabla3[[#This Row],[Fundo]])</f>
        <v>GRBT01</v>
      </c>
      <c r="C4" t="s">
        <v>78</v>
      </c>
      <c r="D4" t="s">
        <v>16</v>
      </c>
      <c r="E4" t="s">
        <v>98</v>
      </c>
    </row>
    <row r="5" spans="2:5" x14ac:dyDescent="0.25">
      <c r="B5" t="str">
        <f>CONCATENATE(Tabla3[[#This Row],[Macrofundo]],Tabla3[[#This Row],[Fundo]])</f>
        <v>GRCT01</v>
      </c>
      <c r="C5" t="s">
        <v>78</v>
      </c>
      <c r="D5" t="s">
        <v>48</v>
      </c>
      <c r="E5" t="s">
        <v>97</v>
      </c>
    </row>
    <row r="6" spans="2:5" x14ac:dyDescent="0.25">
      <c r="B6" t="str">
        <f>CONCATENATE(Tabla3[[#This Row],[Macrofundo]],Tabla3[[#This Row],[Fundo]])</f>
        <v>GRCT02</v>
      </c>
      <c r="C6" t="s">
        <v>78</v>
      </c>
      <c r="D6" t="s">
        <v>49</v>
      </c>
      <c r="E6" t="s">
        <v>97</v>
      </c>
    </row>
    <row r="7" spans="2:5" x14ac:dyDescent="0.25">
      <c r="B7" t="str">
        <f>CONCATENATE(Tabla3[[#This Row],[Macrofundo]],Tabla3[[#This Row],[Fundo]])</f>
        <v>HCHC01</v>
      </c>
      <c r="C7" t="s">
        <v>17</v>
      </c>
      <c r="D7" t="s">
        <v>18</v>
      </c>
      <c r="E7" t="s">
        <v>98</v>
      </c>
    </row>
    <row r="8" spans="2:5" x14ac:dyDescent="0.25">
      <c r="B8" t="str">
        <f>CONCATENATE(Tabla3[[#This Row],[Macrofundo]],Tabla3[[#This Row],[Fundo]])</f>
        <v>LBLB01</v>
      </c>
      <c r="C8" t="s">
        <v>0</v>
      </c>
      <c r="D8" t="s">
        <v>1</v>
      </c>
      <c r="E8" t="s">
        <v>98</v>
      </c>
    </row>
    <row r="9" spans="2:5" x14ac:dyDescent="0.25">
      <c r="B9" t="str">
        <f>CONCATENATE(Tabla3[[#This Row],[Macrofundo]],Tabla3[[#This Row],[Fundo]])</f>
        <v>LB2LB02</v>
      </c>
      <c r="C9" t="s">
        <v>75</v>
      </c>
      <c r="D9" t="s">
        <v>52</v>
      </c>
      <c r="E9" t="s">
        <v>98</v>
      </c>
    </row>
    <row r="10" spans="2:5" x14ac:dyDescent="0.25">
      <c r="B10" t="str">
        <f>CONCATENATE(Tabla3[[#This Row],[Macrofundo]],Tabla3[[#This Row],[Fundo]])</f>
        <v>MLHT01</v>
      </c>
      <c r="C10" t="s">
        <v>22</v>
      </c>
      <c r="D10" t="s">
        <v>45</v>
      </c>
      <c r="E10" t="s">
        <v>97</v>
      </c>
    </row>
    <row r="11" spans="2:5" x14ac:dyDescent="0.25">
      <c r="B11" t="str">
        <f>CONCATENATE(Tabla3[[#This Row],[Macrofundo]],Tabla3[[#This Row],[Fundo]])</f>
        <v>MLML01</v>
      </c>
      <c r="C11" t="s">
        <v>22</v>
      </c>
      <c r="D11" t="s">
        <v>23</v>
      </c>
      <c r="E11" t="s">
        <v>97</v>
      </c>
    </row>
    <row r="12" spans="2:5" x14ac:dyDescent="0.25">
      <c r="B12" t="str">
        <f>CONCATENATE(Tabla3[[#This Row],[Macrofundo]],Tabla3[[#This Row],[Fundo]])</f>
        <v>MLML02</v>
      </c>
      <c r="C12" t="s">
        <v>22</v>
      </c>
      <c r="D12" t="s">
        <v>24</v>
      </c>
      <c r="E12" t="s">
        <v>97</v>
      </c>
    </row>
    <row r="13" spans="2:5" x14ac:dyDescent="0.25">
      <c r="B13" t="str">
        <f>CONCATENATE(Tabla3[[#This Row],[Macrofundo]],Tabla3[[#This Row],[Fundo]])</f>
        <v>MLML03</v>
      </c>
      <c r="C13" t="s">
        <v>22</v>
      </c>
      <c r="D13" t="s">
        <v>25</v>
      </c>
      <c r="E13" t="s">
        <v>97</v>
      </c>
    </row>
    <row r="14" spans="2:5" x14ac:dyDescent="0.25">
      <c r="B14" t="str">
        <f>CONCATENATE(Tabla3[[#This Row],[Macrofundo]],Tabla3[[#This Row],[Fundo]])</f>
        <v>MLML04</v>
      </c>
      <c r="C14" t="s">
        <v>22</v>
      </c>
      <c r="D14" t="s">
        <v>29</v>
      </c>
      <c r="E14" t="s">
        <v>97</v>
      </c>
    </row>
    <row r="15" spans="2:5" x14ac:dyDescent="0.25">
      <c r="B15" t="str">
        <f>CONCATENATE(Tabla3[[#This Row],[Macrofundo]],Tabla3[[#This Row],[Fundo]])</f>
        <v>MLML05</v>
      </c>
      <c r="C15" t="s">
        <v>22</v>
      </c>
      <c r="D15" t="s">
        <v>41</v>
      </c>
      <c r="E15" t="s">
        <v>97</v>
      </c>
    </row>
    <row r="16" spans="2:5" x14ac:dyDescent="0.25">
      <c r="B16" t="str">
        <f>CONCATENATE(Tabla3[[#This Row],[Macrofundo]],Tabla3[[#This Row],[Fundo]])</f>
        <v>MLML06</v>
      </c>
      <c r="C16" t="s">
        <v>22</v>
      </c>
      <c r="D16" t="s">
        <v>32</v>
      </c>
      <c r="E16" t="s">
        <v>97</v>
      </c>
    </row>
    <row r="17" spans="2:5" x14ac:dyDescent="0.25">
      <c r="B17" t="str">
        <f>CONCATENATE(Tabla3[[#This Row],[Macrofundo]],Tabla3[[#This Row],[Fundo]])</f>
        <v>MLSJ01</v>
      </c>
      <c r="C17" t="s">
        <v>22</v>
      </c>
      <c r="D17" t="s">
        <v>39</v>
      </c>
      <c r="E17" t="s">
        <v>97</v>
      </c>
    </row>
    <row r="18" spans="2:5" x14ac:dyDescent="0.25">
      <c r="B18" t="str">
        <f>CONCATENATE(Tabla3[[#This Row],[Macrofundo]],Tabla3[[#This Row],[Fundo]])</f>
        <v>SVSV01</v>
      </c>
      <c r="C18" t="s">
        <v>19</v>
      </c>
      <c r="D18" t="s">
        <v>20</v>
      </c>
      <c r="E18" t="s">
        <v>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TD-Rdtos</vt:lpstr>
      <vt:lpstr>TD-Areas</vt:lpstr>
      <vt:lpstr>TD-Edades</vt:lpstr>
      <vt:lpstr>TD-%ART</vt:lpstr>
      <vt:lpstr>TD-Proyección</vt:lpstr>
      <vt:lpstr>TD-Por Tipo de Cosecha</vt:lpstr>
      <vt:lpstr>VER-DETALLE-01</vt:lpstr>
      <vt:lpstr>BaseDatos</vt:lpstr>
      <vt:lpstr>Tasas de Maduración.</vt:lpstr>
      <vt:lpstr>Fundos-Gerencias</vt:lpstr>
      <vt:lpstr>'TD-%ART'!Área_de_impresión</vt:lpstr>
      <vt:lpstr>'TD-Areas'!Área_de_impresión</vt:lpstr>
      <vt:lpstr>'TD-Edades'!Área_de_impresión</vt:lpstr>
      <vt:lpstr>'TD-Por Tipo de Cosecha'!Área_de_impresión</vt:lpstr>
      <vt:lpstr>'TD-Proyección'!Área_de_impresión</vt:lpstr>
      <vt:lpstr>'TD-Rdtos'!Área_de_impresión</vt:lpstr>
      <vt:lpstr>'VER-DETALLE-01'!Área_de_impresión</vt:lpstr>
      <vt:lpstr>'VER-DETALLE-01'!Títulos_a_imprimir</vt:lpstr>
    </vt:vector>
  </TitlesOfParts>
  <Company>grupo romero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dummy</dc:creator>
  <cp:lastModifiedBy>Oxslier Vasquez Pinday</cp:lastModifiedBy>
  <cp:lastPrinted>2020-03-03T16:46:57Z</cp:lastPrinted>
  <dcterms:created xsi:type="dcterms:W3CDTF">2013-10-29T03:00:08Z</dcterms:created>
  <dcterms:modified xsi:type="dcterms:W3CDTF">2024-12-03T13:09:31Z</dcterms:modified>
</cp:coreProperties>
</file>